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127EE927-3F8F-4749-8453-67615505831A}" xr6:coauthVersionLast="47" xr6:coauthVersionMax="47" xr10:uidLastSave="{00000000-0000-0000-0000-000000000000}"/>
  <bookViews>
    <workbookView xWindow="-120" yWindow="-120" windowWidth="29040" windowHeight="15720" xr2:uid="{4E6A7648-E120-45F1-8918-28F0190A4467}"/>
  </bookViews>
  <sheets>
    <sheet name="Hoja1" sheetId="1" r:id="rId1"/>
  </sheets>
  <definedNames>
    <definedName name="DatosExternos_1" localSheetId="0" hidden="1">Hoja1!$A$1:$T$2501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501" i="1" l="1"/>
  <c r="W2501" i="1" s="1"/>
  <c r="U2501" i="1"/>
  <c r="P2501" i="1"/>
  <c r="L2501" i="1"/>
  <c r="G2501" i="1"/>
  <c r="M2501" i="1" s="1"/>
  <c r="N2501" i="1" s="1"/>
  <c r="V2500" i="1"/>
  <c r="W2500" i="1" s="1"/>
  <c r="U2500" i="1"/>
  <c r="P2500" i="1"/>
  <c r="M2500" i="1"/>
  <c r="N2500" i="1" s="1"/>
  <c r="L2500" i="1"/>
  <c r="K2500" i="1"/>
  <c r="G2500" i="1"/>
  <c r="W2499" i="1"/>
  <c r="V2499" i="1"/>
  <c r="U2499" i="1"/>
  <c r="P2499" i="1"/>
  <c r="L2499" i="1"/>
  <c r="G2499" i="1"/>
  <c r="K2499" i="1" s="1"/>
  <c r="V2498" i="1"/>
  <c r="W2498" i="1" s="1"/>
  <c r="U2498" i="1"/>
  <c r="P2498" i="1"/>
  <c r="M2498" i="1"/>
  <c r="N2498" i="1" s="1"/>
  <c r="L2498" i="1"/>
  <c r="K2498" i="1"/>
  <c r="G2498" i="1"/>
  <c r="W2497" i="1"/>
  <c r="V2497" i="1"/>
  <c r="U2497" i="1"/>
  <c r="P2497" i="1"/>
  <c r="L2497" i="1"/>
  <c r="M2497" i="1" s="1"/>
  <c r="N2497" i="1" s="1"/>
  <c r="K2497" i="1"/>
  <c r="G2497" i="1"/>
  <c r="V2496" i="1"/>
  <c r="W2496" i="1" s="1"/>
  <c r="U2496" i="1"/>
  <c r="P2496" i="1"/>
  <c r="M2496" i="1"/>
  <c r="N2496" i="1" s="1"/>
  <c r="L2496" i="1"/>
  <c r="G2496" i="1"/>
  <c r="K2496" i="1" s="1"/>
  <c r="W2495" i="1"/>
  <c r="V2495" i="1"/>
  <c r="U2495" i="1"/>
  <c r="P2495" i="1"/>
  <c r="L2495" i="1"/>
  <c r="G2495" i="1"/>
  <c r="V2494" i="1"/>
  <c r="W2494" i="1" s="1"/>
  <c r="U2494" i="1"/>
  <c r="P2494" i="1"/>
  <c r="L2494" i="1"/>
  <c r="K2494" i="1"/>
  <c r="G2494" i="1"/>
  <c r="M2494" i="1" s="1"/>
  <c r="N2494" i="1" s="1"/>
  <c r="W2493" i="1"/>
  <c r="V2493" i="1"/>
  <c r="U2493" i="1"/>
  <c r="P2493" i="1"/>
  <c r="L2493" i="1"/>
  <c r="G2493" i="1"/>
  <c r="V2492" i="1"/>
  <c r="W2492" i="1" s="1"/>
  <c r="U2492" i="1"/>
  <c r="P2492" i="1"/>
  <c r="M2492" i="1"/>
  <c r="N2492" i="1" s="1"/>
  <c r="L2492" i="1"/>
  <c r="K2492" i="1"/>
  <c r="G2492" i="1"/>
  <c r="V2491" i="1"/>
  <c r="W2491" i="1" s="1"/>
  <c r="U2491" i="1"/>
  <c r="P2491" i="1"/>
  <c r="L2491" i="1"/>
  <c r="G2491" i="1"/>
  <c r="W2490" i="1"/>
  <c r="V2490" i="1"/>
  <c r="U2490" i="1"/>
  <c r="P2490" i="1"/>
  <c r="L2490" i="1"/>
  <c r="K2490" i="1"/>
  <c r="G2490" i="1"/>
  <c r="M2490" i="1" s="1"/>
  <c r="N2490" i="1" s="1"/>
  <c r="W2489" i="1"/>
  <c r="V2489" i="1"/>
  <c r="U2489" i="1"/>
  <c r="P2489" i="1"/>
  <c r="L2489" i="1"/>
  <c r="K2489" i="1"/>
  <c r="G2489" i="1"/>
  <c r="M2489" i="1" s="1"/>
  <c r="N2489" i="1" s="1"/>
  <c r="V2488" i="1"/>
  <c r="W2488" i="1" s="1"/>
  <c r="U2488" i="1"/>
  <c r="P2488" i="1"/>
  <c r="M2488" i="1"/>
  <c r="N2488" i="1" s="1"/>
  <c r="L2488" i="1"/>
  <c r="K2488" i="1"/>
  <c r="G2488" i="1"/>
  <c r="W2487" i="1"/>
  <c r="V2487" i="1"/>
  <c r="U2487" i="1"/>
  <c r="P2487" i="1"/>
  <c r="L2487" i="1"/>
  <c r="G2487" i="1"/>
  <c r="K2487" i="1" s="1"/>
  <c r="V2486" i="1"/>
  <c r="W2486" i="1" s="1"/>
  <c r="U2486" i="1"/>
  <c r="P2486" i="1"/>
  <c r="N2486" i="1"/>
  <c r="M2486" i="1"/>
  <c r="L2486" i="1"/>
  <c r="K2486" i="1"/>
  <c r="G2486" i="1"/>
  <c r="W2485" i="1"/>
  <c r="V2485" i="1"/>
  <c r="U2485" i="1"/>
  <c r="P2485" i="1"/>
  <c r="L2485" i="1"/>
  <c r="G2485" i="1"/>
  <c r="V2484" i="1"/>
  <c r="W2484" i="1" s="1"/>
  <c r="U2484" i="1"/>
  <c r="P2484" i="1"/>
  <c r="M2484" i="1"/>
  <c r="N2484" i="1" s="1"/>
  <c r="L2484" i="1"/>
  <c r="K2484" i="1"/>
  <c r="G2484" i="1"/>
  <c r="V2483" i="1"/>
  <c r="W2483" i="1" s="1"/>
  <c r="U2483" i="1"/>
  <c r="P2483" i="1"/>
  <c r="L2483" i="1"/>
  <c r="G2483" i="1"/>
  <c r="V2482" i="1"/>
  <c r="W2482" i="1" s="1"/>
  <c r="U2482" i="1"/>
  <c r="P2482" i="1"/>
  <c r="L2482" i="1"/>
  <c r="G2482" i="1"/>
  <c r="M2482" i="1" s="1"/>
  <c r="N2482" i="1" s="1"/>
  <c r="W2481" i="1"/>
  <c r="V2481" i="1"/>
  <c r="U2481" i="1"/>
  <c r="P2481" i="1"/>
  <c r="L2481" i="1"/>
  <c r="G2481" i="1"/>
  <c r="M2481" i="1" s="1"/>
  <c r="N2481" i="1" s="1"/>
  <c r="V2480" i="1"/>
  <c r="W2480" i="1" s="1"/>
  <c r="U2480" i="1"/>
  <c r="P2480" i="1"/>
  <c r="M2480" i="1"/>
  <c r="N2480" i="1" s="1"/>
  <c r="L2480" i="1"/>
  <c r="K2480" i="1"/>
  <c r="G2480" i="1"/>
  <c r="W2479" i="1"/>
  <c r="V2479" i="1"/>
  <c r="U2479" i="1"/>
  <c r="P2479" i="1"/>
  <c r="L2479" i="1"/>
  <c r="G2479" i="1"/>
  <c r="K2479" i="1" s="1"/>
  <c r="V2478" i="1"/>
  <c r="W2478" i="1" s="1"/>
  <c r="U2478" i="1"/>
  <c r="P2478" i="1"/>
  <c r="N2478" i="1"/>
  <c r="M2478" i="1"/>
  <c r="L2478" i="1"/>
  <c r="K2478" i="1"/>
  <c r="G2478" i="1"/>
  <c r="W2477" i="1"/>
  <c r="V2477" i="1"/>
  <c r="U2477" i="1"/>
  <c r="P2477" i="1"/>
  <c r="L2477" i="1"/>
  <c r="G2477" i="1"/>
  <c r="V2476" i="1"/>
  <c r="W2476" i="1" s="1"/>
  <c r="U2476" i="1"/>
  <c r="P2476" i="1"/>
  <c r="M2476" i="1"/>
  <c r="N2476" i="1" s="1"/>
  <c r="L2476" i="1"/>
  <c r="K2476" i="1"/>
  <c r="G2476" i="1"/>
  <c r="V2475" i="1"/>
  <c r="W2475" i="1" s="1"/>
  <c r="U2475" i="1"/>
  <c r="P2475" i="1"/>
  <c r="L2475" i="1"/>
  <c r="G2475" i="1"/>
  <c r="W2474" i="1"/>
  <c r="V2474" i="1"/>
  <c r="U2474" i="1"/>
  <c r="P2474" i="1"/>
  <c r="L2474" i="1"/>
  <c r="K2474" i="1"/>
  <c r="G2474" i="1"/>
  <c r="M2474" i="1" s="1"/>
  <c r="N2474" i="1" s="1"/>
  <c r="W2473" i="1"/>
  <c r="V2473" i="1"/>
  <c r="U2473" i="1"/>
  <c r="P2473" i="1"/>
  <c r="L2473" i="1"/>
  <c r="K2473" i="1"/>
  <c r="G2473" i="1"/>
  <c r="M2473" i="1" s="1"/>
  <c r="N2473" i="1" s="1"/>
  <c r="V2472" i="1"/>
  <c r="W2472" i="1" s="1"/>
  <c r="U2472" i="1"/>
  <c r="P2472" i="1"/>
  <c r="M2472" i="1"/>
  <c r="N2472" i="1" s="1"/>
  <c r="L2472" i="1"/>
  <c r="K2472" i="1"/>
  <c r="G2472" i="1"/>
  <c r="W2471" i="1"/>
  <c r="V2471" i="1"/>
  <c r="U2471" i="1"/>
  <c r="P2471" i="1"/>
  <c r="L2471" i="1"/>
  <c r="G2471" i="1"/>
  <c r="V2470" i="1"/>
  <c r="W2470" i="1" s="1"/>
  <c r="U2470" i="1"/>
  <c r="P2470" i="1"/>
  <c r="M2470" i="1"/>
  <c r="N2470" i="1" s="1"/>
  <c r="L2470" i="1"/>
  <c r="K2470" i="1"/>
  <c r="G2470" i="1"/>
  <c r="W2469" i="1"/>
  <c r="V2469" i="1"/>
  <c r="U2469" i="1"/>
  <c r="P2469" i="1"/>
  <c r="L2469" i="1"/>
  <c r="G2469" i="1"/>
  <c r="V2468" i="1"/>
  <c r="W2468" i="1" s="1"/>
  <c r="U2468" i="1"/>
  <c r="P2468" i="1"/>
  <c r="M2468" i="1"/>
  <c r="N2468" i="1" s="1"/>
  <c r="L2468" i="1"/>
  <c r="K2468" i="1"/>
  <c r="G2468" i="1"/>
  <c r="V2467" i="1"/>
  <c r="W2467" i="1" s="1"/>
  <c r="U2467" i="1"/>
  <c r="P2467" i="1"/>
  <c r="L2467" i="1"/>
  <c r="G2467" i="1"/>
  <c r="V2466" i="1"/>
  <c r="W2466" i="1" s="1"/>
  <c r="U2466" i="1"/>
  <c r="P2466" i="1"/>
  <c r="L2466" i="1"/>
  <c r="G2466" i="1"/>
  <c r="M2466" i="1" s="1"/>
  <c r="N2466" i="1" s="1"/>
  <c r="W2465" i="1"/>
  <c r="V2465" i="1"/>
  <c r="U2465" i="1"/>
  <c r="P2465" i="1"/>
  <c r="L2465" i="1"/>
  <c r="G2465" i="1"/>
  <c r="M2465" i="1" s="1"/>
  <c r="N2465" i="1" s="1"/>
  <c r="V2464" i="1"/>
  <c r="W2464" i="1" s="1"/>
  <c r="U2464" i="1"/>
  <c r="P2464" i="1"/>
  <c r="M2464" i="1"/>
  <c r="N2464" i="1" s="1"/>
  <c r="L2464" i="1"/>
  <c r="K2464" i="1"/>
  <c r="G2464" i="1"/>
  <c r="W2463" i="1"/>
  <c r="V2463" i="1"/>
  <c r="U2463" i="1"/>
  <c r="P2463" i="1"/>
  <c r="L2463" i="1"/>
  <c r="G2463" i="1"/>
  <c r="K2463" i="1" s="1"/>
  <c r="V2462" i="1"/>
  <c r="W2462" i="1" s="1"/>
  <c r="U2462" i="1"/>
  <c r="P2462" i="1"/>
  <c r="N2462" i="1"/>
  <c r="M2462" i="1"/>
  <c r="L2462" i="1"/>
  <c r="K2462" i="1"/>
  <c r="G2462" i="1"/>
  <c r="W2461" i="1"/>
  <c r="V2461" i="1"/>
  <c r="U2461" i="1"/>
  <c r="P2461" i="1"/>
  <c r="L2461" i="1"/>
  <c r="G2461" i="1"/>
  <c r="V2460" i="1"/>
  <c r="W2460" i="1" s="1"/>
  <c r="U2460" i="1"/>
  <c r="P2460" i="1"/>
  <c r="M2460" i="1"/>
  <c r="N2460" i="1" s="1"/>
  <c r="L2460" i="1"/>
  <c r="K2460" i="1"/>
  <c r="G2460" i="1"/>
  <c r="V2459" i="1"/>
  <c r="W2459" i="1" s="1"/>
  <c r="U2459" i="1"/>
  <c r="P2459" i="1"/>
  <c r="L2459" i="1"/>
  <c r="G2459" i="1"/>
  <c r="W2458" i="1"/>
  <c r="V2458" i="1"/>
  <c r="U2458" i="1"/>
  <c r="P2458" i="1"/>
  <c r="L2458" i="1"/>
  <c r="K2458" i="1"/>
  <c r="G2458" i="1"/>
  <c r="M2458" i="1" s="1"/>
  <c r="N2458" i="1" s="1"/>
  <c r="W2457" i="1"/>
  <c r="V2457" i="1"/>
  <c r="U2457" i="1"/>
  <c r="P2457" i="1"/>
  <c r="L2457" i="1"/>
  <c r="K2457" i="1"/>
  <c r="G2457" i="1"/>
  <c r="M2457" i="1" s="1"/>
  <c r="N2457" i="1" s="1"/>
  <c r="V2456" i="1"/>
  <c r="W2456" i="1" s="1"/>
  <c r="U2456" i="1"/>
  <c r="P2456" i="1"/>
  <c r="M2456" i="1"/>
  <c r="N2456" i="1" s="1"/>
  <c r="L2456" i="1"/>
  <c r="K2456" i="1"/>
  <c r="G2456" i="1"/>
  <c r="W2455" i="1"/>
  <c r="V2455" i="1"/>
  <c r="U2455" i="1"/>
  <c r="P2455" i="1"/>
  <c r="L2455" i="1"/>
  <c r="G2455" i="1"/>
  <c r="V2454" i="1"/>
  <c r="W2454" i="1" s="1"/>
  <c r="U2454" i="1"/>
  <c r="P2454" i="1"/>
  <c r="M2454" i="1"/>
  <c r="N2454" i="1" s="1"/>
  <c r="L2454" i="1"/>
  <c r="K2454" i="1"/>
  <c r="G2454" i="1"/>
  <c r="W2453" i="1"/>
  <c r="V2453" i="1"/>
  <c r="U2453" i="1"/>
  <c r="P2453" i="1"/>
  <c r="L2453" i="1"/>
  <c r="G2453" i="1"/>
  <c r="V2452" i="1"/>
  <c r="W2452" i="1" s="1"/>
  <c r="U2452" i="1"/>
  <c r="P2452" i="1"/>
  <c r="M2452" i="1"/>
  <c r="N2452" i="1" s="1"/>
  <c r="L2452" i="1"/>
  <c r="K2452" i="1"/>
  <c r="G2452" i="1"/>
  <c r="V2451" i="1"/>
  <c r="W2451" i="1" s="1"/>
  <c r="U2451" i="1"/>
  <c r="P2451" i="1"/>
  <c r="L2451" i="1"/>
  <c r="G2451" i="1"/>
  <c r="V2450" i="1"/>
  <c r="W2450" i="1" s="1"/>
  <c r="U2450" i="1"/>
  <c r="P2450" i="1"/>
  <c r="L2450" i="1"/>
  <c r="G2450" i="1"/>
  <c r="M2450" i="1" s="1"/>
  <c r="N2450" i="1" s="1"/>
  <c r="W2449" i="1"/>
  <c r="V2449" i="1"/>
  <c r="U2449" i="1"/>
  <c r="P2449" i="1"/>
  <c r="L2449" i="1"/>
  <c r="G2449" i="1"/>
  <c r="M2449" i="1" s="1"/>
  <c r="N2449" i="1" s="1"/>
  <c r="V2448" i="1"/>
  <c r="W2448" i="1" s="1"/>
  <c r="U2448" i="1"/>
  <c r="P2448" i="1"/>
  <c r="M2448" i="1"/>
  <c r="N2448" i="1" s="1"/>
  <c r="L2448" i="1"/>
  <c r="K2448" i="1"/>
  <c r="G2448" i="1"/>
  <c r="W2447" i="1"/>
  <c r="V2447" i="1"/>
  <c r="U2447" i="1"/>
  <c r="P2447" i="1"/>
  <c r="L2447" i="1"/>
  <c r="G2447" i="1"/>
  <c r="K2447" i="1" s="1"/>
  <c r="V2446" i="1"/>
  <c r="W2446" i="1" s="1"/>
  <c r="U2446" i="1"/>
  <c r="P2446" i="1"/>
  <c r="N2446" i="1"/>
  <c r="M2446" i="1"/>
  <c r="L2446" i="1"/>
  <c r="K2446" i="1"/>
  <c r="G2446" i="1"/>
  <c r="W2445" i="1"/>
  <c r="V2445" i="1"/>
  <c r="U2445" i="1"/>
  <c r="P2445" i="1"/>
  <c r="L2445" i="1"/>
  <c r="G2445" i="1"/>
  <c r="V2444" i="1"/>
  <c r="W2444" i="1" s="1"/>
  <c r="U2444" i="1"/>
  <c r="P2444" i="1"/>
  <c r="M2444" i="1"/>
  <c r="N2444" i="1" s="1"/>
  <c r="L2444" i="1"/>
  <c r="K2444" i="1"/>
  <c r="G2444" i="1"/>
  <c r="V2443" i="1"/>
  <c r="W2443" i="1" s="1"/>
  <c r="U2443" i="1"/>
  <c r="P2443" i="1"/>
  <c r="L2443" i="1"/>
  <c r="G2443" i="1"/>
  <c r="W2442" i="1"/>
  <c r="V2442" i="1"/>
  <c r="U2442" i="1"/>
  <c r="P2442" i="1"/>
  <c r="L2442" i="1"/>
  <c r="K2442" i="1"/>
  <c r="G2442" i="1"/>
  <c r="M2442" i="1" s="1"/>
  <c r="N2442" i="1" s="1"/>
  <c r="W2441" i="1"/>
  <c r="V2441" i="1"/>
  <c r="U2441" i="1"/>
  <c r="P2441" i="1"/>
  <c r="L2441" i="1"/>
  <c r="K2441" i="1"/>
  <c r="G2441" i="1"/>
  <c r="M2441" i="1" s="1"/>
  <c r="N2441" i="1" s="1"/>
  <c r="V2440" i="1"/>
  <c r="W2440" i="1" s="1"/>
  <c r="U2440" i="1"/>
  <c r="P2440" i="1"/>
  <c r="M2440" i="1"/>
  <c r="N2440" i="1" s="1"/>
  <c r="L2440" i="1"/>
  <c r="K2440" i="1"/>
  <c r="G2440" i="1"/>
  <c r="W2439" i="1"/>
  <c r="V2439" i="1"/>
  <c r="U2439" i="1"/>
  <c r="P2439" i="1"/>
  <c r="L2439" i="1"/>
  <c r="G2439" i="1"/>
  <c r="V2438" i="1"/>
  <c r="W2438" i="1" s="1"/>
  <c r="U2438" i="1"/>
  <c r="P2438" i="1"/>
  <c r="M2438" i="1"/>
  <c r="N2438" i="1" s="1"/>
  <c r="L2438" i="1"/>
  <c r="K2438" i="1"/>
  <c r="G2438" i="1"/>
  <c r="W2437" i="1"/>
  <c r="V2437" i="1"/>
  <c r="U2437" i="1"/>
  <c r="P2437" i="1"/>
  <c r="L2437" i="1"/>
  <c r="G2437" i="1"/>
  <c r="V2436" i="1"/>
  <c r="W2436" i="1" s="1"/>
  <c r="U2436" i="1"/>
  <c r="P2436" i="1"/>
  <c r="M2436" i="1"/>
  <c r="N2436" i="1" s="1"/>
  <c r="L2436" i="1"/>
  <c r="K2436" i="1"/>
  <c r="G2436" i="1"/>
  <c r="V2435" i="1"/>
  <c r="W2435" i="1" s="1"/>
  <c r="U2435" i="1"/>
  <c r="P2435" i="1"/>
  <c r="L2435" i="1"/>
  <c r="G2435" i="1"/>
  <c r="V2434" i="1"/>
  <c r="W2434" i="1" s="1"/>
  <c r="U2434" i="1"/>
  <c r="P2434" i="1"/>
  <c r="L2434" i="1"/>
  <c r="G2434" i="1"/>
  <c r="M2434" i="1" s="1"/>
  <c r="N2434" i="1" s="1"/>
  <c r="W2433" i="1"/>
  <c r="V2433" i="1"/>
  <c r="U2433" i="1"/>
  <c r="P2433" i="1"/>
  <c r="L2433" i="1"/>
  <c r="G2433" i="1"/>
  <c r="M2433" i="1" s="1"/>
  <c r="N2433" i="1" s="1"/>
  <c r="V2432" i="1"/>
  <c r="W2432" i="1" s="1"/>
  <c r="U2432" i="1"/>
  <c r="P2432" i="1"/>
  <c r="M2432" i="1"/>
  <c r="N2432" i="1" s="1"/>
  <c r="L2432" i="1"/>
  <c r="K2432" i="1"/>
  <c r="G2432" i="1"/>
  <c r="W2431" i="1"/>
  <c r="V2431" i="1"/>
  <c r="U2431" i="1"/>
  <c r="P2431" i="1"/>
  <c r="L2431" i="1"/>
  <c r="G2431" i="1"/>
  <c r="K2431" i="1" s="1"/>
  <c r="V2430" i="1"/>
  <c r="W2430" i="1" s="1"/>
  <c r="U2430" i="1"/>
  <c r="P2430" i="1"/>
  <c r="N2430" i="1"/>
  <c r="M2430" i="1"/>
  <c r="L2430" i="1"/>
  <c r="K2430" i="1"/>
  <c r="G2430" i="1"/>
  <c r="W2429" i="1"/>
  <c r="V2429" i="1"/>
  <c r="U2429" i="1"/>
  <c r="P2429" i="1"/>
  <c r="L2429" i="1"/>
  <c r="G2429" i="1"/>
  <c r="V2428" i="1"/>
  <c r="W2428" i="1" s="1"/>
  <c r="U2428" i="1"/>
  <c r="P2428" i="1"/>
  <c r="M2428" i="1"/>
  <c r="N2428" i="1" s="1"/>
  <c r="L2428" i="1"/>
  <c r="K2428" i="1"/>
  <c r="G2428" i="1"/>
  <c r="V2427" i="1"/>
  <c r="W2427" i="1" s="1"/>
  <c r="U2427" i="1"/>
  <c r="P2427" i="1"/>
  <c r="L2427" i="1"/>
  <c r="G2427" i="1"/>
  <c r="V2426" i="1"/>
  <c r="W2426" i="1" s="1"/>
  <c r="U2426" i="1"/>
  <c r="P2426" i="1"/>
  <c r="L2426" i="1"/>
  <c r="G2426" i="1"/>
  <c r="M2426" i="1" s="1"/>
  <c r="N2426" i="1" s="1"/>
  <c r="W2425" i="1"/>
  <c r="V2425" i="1"/>
  <c r="U2425" i="1"/>
  <c r="P2425" i="1"/>
  <c r="L2425" i="1"/>
  <c r="K2425" i="1"/>
  <c r="G2425" i="1"/>
  <c r="M2425" i="1" s="1"/>
  <c r="N2425" i="1" s="1"/>
  <c r="V2424" i="1"/>
  <c r="W2424" i="1" s="1"/>
  <c r="U2424" i="1"/>
  <c r="P2424" i="1"/>
  <c r="M2424" i="1"/>
  <c r="N2424" i="1" s="1"/>
  <c r="L2424" i="1"/>
  <c r="K2424" i="1"/>
  <c r="G2424" i="1"/>
  <c r="W2423" i="1"/>
  <c r="V2423" i="1"/>
  <c r="U2423" i="1"/>
  <c r="P2423" i="1"/>
  <c r="L2423" i="1"/>
  <c r="G2423" i="1"/>
  <c r="V2422" i="1"/>
  <c r="W2422" i="1" s="1"/>
  <c r="U2422" i="1"/>
  <c r="P2422" i="1"/>
  <c r="M2422" i="1"/>
  <c r="N2422" i="1" s="1"/>
  <c r="L2422" i="1"/>
  <c r="K2422" i="1"/>
  <c r="G2422" i="1"/>
  <c r="W2421" i="1"/>
  <c r="V2421" i="1"/>
  <c r="U2421" i="1"/>
  <c r="P2421" i="1"/>
  <c r="L2421" i="1"/>
  <c r="G2421" i="1"/>
  <c r="V2420" i="1"/>
  <c r="W2420" i="1" s="1"/>
  <c r="U2420" i="1"/>
  <c r="P2420" i="1"/>
  <c r="M2420" i="1"/>
  <c r="N2420" i="1" s="1"/>
  <c r="L2420" i="1"/>
  <c r="K2420" i="1"/>
  <c r="G2420" i="1"/>
  <c r="V2419" i="1"/>
  <c r="W2419" i="1" s="1"/>
  <c r="U2419" i="1"/>
  <c r="P2419" i="1"/>
  <c r="L2419" i="1"/>
  <c r="G2419" i="1"/>
  <c r="V2418" i="1"/>
  <c r="W2418" i="1" s="1"/>
  <c r="U2418" i="1"/>
  <c r="P2418" i="1"/>
  <c r="L2418" i="1"/>
  <c r="G2418" i="1"/>
  <c r="W2417" i="1"/>
  <c r="V2417" i="1"/>
  <c r="U2417" i="1"/>
  <c r="P2417" i="1"/>
  <c r="L2417" i="1"/>
  <c r="G2417" i="1"/>
  <c r="V2416" i="1"/>
  <c r="W2416" i="1" s="1"/>
  <c r="U2416" i="1"/>
  <c r="P2416" i="1"/>
  <c r="M2416" i="1"/>
  <c r="N2416" i="1" s="1"/>
  <c r="L2416" i="1"/>
  <c r="K2416" i="1"/>
  <c r="G2416" i="1"/>
  <c r="W2415" i="1"/>
  <c r="V2415" i="1"/>
  <c r="U2415" i="1"/>
  <c r="P2415" i="1"/>
  <c r="L2415" i="1"/>
  <c r="G2415" i="1"/>
  <c r="K2415" i="1" s="1"/>
  <c r="V2414" i="1"/>
  <c r="W2414" i="1" s="1"/>
  <c r="U2414" i="1"/>
  <c r="P2414" i="1"/>
  <c r="M2414" i="1"/>
  <c r="N2414" i="1" s="1"/>
  <c r="L2414" i="1"/>
  <c r="K2414" i="1"/>
  <c r="G2414" i="1"/>
  <c r="W2413" i="1"/>
  <c r="V2413" i="1"/>
  <c r="U2413" i="1"/>
  <c r="P2413" i="1"/>
  <c r="L2413" i="1"/>
  <c r="G2413" i="1"/>
  <c r="V2412" i="1"/>
  <c r="W2412" i="1" s="1"/>
  <c r="U2412" i="1"/>
  <c r="P2412" i="1"/>
  <c r="M2412" i="1"/>
  <c r="N2412" i="1" s="1"/>
  <c r="L2412" i="1"/>
  <c r="K2412" i="1"/>
  <c r="G2412" i="1"/>
  <c r="V2411" i="1"/>
  <c r="W2411" i="1" s="1"/>
  <c r="U2411" i="1"/>
  <c r="P2411" i="1"/>
  <c r="L2411" i="1"/>
  <c r="G2411" i="1"/>
  <c r="V2410" i="1"/>
  <c r="W2410" i="1" s="1"/>
  <c r="U2410" i="1"/>
  <c r="P2410" i="1"/>
  <c r="L2410" i="1"/>
  <c r="G2410" i="1"/>
  <c r="M2410" i="1" s="1"/>
  <c r="N2410" i="1" s="1"/>
  <c r="W2409" i="1"/>
  <c r="V2409" i="1"/>
  <c r="U2409" i="1"/>
  <c r="P2409" i="1"/>
  <c r="L2409" i="1"/>
  <c r="G2409" i="1"/>
  <c r="M2409" i="1" s="1"/>
  <c r="N2409" i="1" s="1"/>
  <c r="V2408" i="1"/>
  <c r="W2408" i="1" s="1"/>
  <c r="U2408" i="1"/>
  <c r="P2408" i="1"/>
  <c r="M2408" i="1"/>
  <c r="N2408" i="1" s="1"/>
  <c r="L2408" i="1"/>
  <c r="K2408" i="1"/>
  <c r="G2408" i="1"/>
  <c r="W2407" i="1"/>
  <c r="V2407" i="1"/>
  <c r="U2407" i="1"/>
  <c r="P2407" i="1"/>
  <c r="L2407" i="1"/>
  <c r="G2407" i="1"/>
  <c r="V2406" i="1"/>
  <c r="W2406" i="1" s="1"/>
  <c r="U2406" i="1"/>
  <c r="P2406" i="1"/>
  <c r="M2406" i="1"/>
  <c r="N2406" i="1" s="1"/>
  <c r="L2406" i="1"/>
  <c r="K2406" i="1"/>
  <c r="G2406" i="1"/>
  <c r="W2405" i="1"/>
  <c r="V2405" i="1"/>
  <c r="U2405" i="1"/>
  <c r="P2405" i="1"/>
  <c r="L2405" i="1"/>
  <c r="G2405" i="1"/>
  <c r="V2404" i="1"/>
  <c r="W2404" i="1" s="1"/>
  <c r="U2404" i="1"/>
  <c r="P2404" i="1"/>
  <c r="M2404" i="1"/>
  <c r="N2404" i="1" s="1"/>
  <c r="L2404" i="1"/>
  <c r="K2404" i="1"/>
  <c r="G2404" i="1"/>
  <c r="V2403" i="1"/>
  <c r="W2403" i="1" s="1"/>
  <c r="U2403" i="1"/>
  <c r="P2403" i="1"/>
  <c r="L2403" i="1"/>
  <c r="G2403" i="1"/>
  <c r="V2402" i="1"/>
  <c r="W2402" i="1" s="1"/>
  <c r="U2402" i="1"/>
  <c r="P2402" i="1"/>
  <c r="L2402" i="1"/>
  <c r="G2402" i="1"/>
  <c r="W2401" i="1"/>
  <c r="V2401" i="1"/>
  <c r="U2401" i="1"/>
  <c r="P2401" i="1"/>
  <c r="L2401" i="1"/>
  <c r="G2401" i="1"/>
  <c r="V2400" i="1"/>
  <c r="W2400" i="1" s="1"/>
  <c r="U2400" i="1"/>
  <c r="P2400" i="1"/>
  <c r="M2400" i="1"/>
  <c r="N2400" i="1" s="1"/>
  <c r="L2400" i="1"/>
  <c r="K2400" i="1"/>
  <c r="G2400" i="1"/>
  <c r="W2399" i="1"/>
  <c r="V2399" i="1"/>
  <c r="U2399" i="1"/>
  <c r="P2399" i="1"/>
  <c r="L2399" i="1"/>
  <c r="G2399" i="1"/>
  <c r="K2399" i="1" s="1"/>
  <c r="V2398" i="1"/>
  <c r="W2398" i="1" s="1"/>
  <c r="U2398" i="1"/>
  <c r="P2398" i="1"/>
  <c r="N2398" i="1"/>
  <c r="M2398" i="1"/>
  <c r="L2398" i="1"/>
  <c r="K2398" i="1"/>
  <c r="G2398" i="1"/>
  <c r="W2397" i="1"/>
  <c r="V2397" i="1"/>
  <c r="U2397" i="1"/>
  <c r="P2397" i="1"/>
  <c r="L2397" i="1"/>
  <c r="G2397" i="1"/>
  <c r="V2396" i="1"/>
  <c r="W2396" i="1" s="1"/>
  <c r="U2396" i="1"/>
  <c r="P2396" i="1"/>
  <c r="M2396" i="1"/>
  <c r="N2396" i="1" s="1"/>
  <c r="L2396" i="1"/>
  <c r="K2396" i="1"/>
  <c r="G2396" i="1"/>
  <c r="V2395" i="1"/>
  <c r="W2395" i="1" s="1"/>
  <c r="U2395" i="1"/>
  <c r="P2395" i="1"/>
  <c r="L2395" i="1"/>
  <c r="G2395" i="1"/>
  <c r="V2394" i="1"/>
  <c r="W2394" i="1" s="1"/>
  <c r="U2394" i="1"/>
  <c r="P2394" i="1"/>
  <c r="L2394" i="1"/>
  <c r="K2394" i="1"/>
  <c r="G2394" i="1"/>
  <c r="M2394" i="1" s="1"/>
  <c r="N2394" i="1" s="1"/>
  <c r="W2393" i="1"/>
  <c r="V2393" i="1"/>
  <c r="U2393" i="1"/>
  <c r="P2393" i="1"/>
  <c r="L2393" i="1"/>
  <c r="G2393" i="1"/>
  <c r="M2393" i="1" s="1"/>
  <c r="N2393" i="1" s="1"/>
  <c r="V2392" i="1"/>
  <c r="W2392" i="1" s="1"/>
  <c r="U2392" i="1"/>
  <c r="P2392" i="1"/>
  <c r="M2392" i="1"/>
  <c r="N2392" i="1" s="1"/>
  <c r="L2392" i="1"/>
  <c r="K2392" i="1"/>
  <c r="G2392" i="1"/>
  <c r="W2391" i="1"/>
  <c r="V2391" i="1"/>
  <c r="U2391" i="1"/>
  <c r="P2391" i="1"/>
  <c r="L2391" i="1"/>
  <c r="G2391" i="1"/>
  <c r="V2390" i="1"/>
  <c r="W2390" i="1" s="1"/>
  <c r="U2390" i="1"/>
  <c r="P2390" i="1"/>
  <c r="M2390" i="1"/>
  <c r="N2390" i="1" s="1"/>
  <c r="L2390" i="1"/>
  <c r="K2390" i="1"/>
  <c r="G2390" i="1"/>
  <c r="W2389" i="1"/>
  <c r="V2389" i="1"/>
  <c r="U2389" i="1"/>
  <c r="P2389" i="1"/>
  <c r="L2389" i="1"/>
  <c r="G2389" i="1"/>
  <c r="V2388" i="1"/>
  <c r="W2388" i="1" s="1"/>
  <c r="U2388" i="1"/>
  <c r="P2388" i="1"/>
  <c r="M2388" i="1"/>
  <c r="N2388" i="1" s="1"/>
  <c r="L2388" i="1"/>
  <c r="K2388" i="1"/>
  <c r="G2388" i="1"/>
  <c r="V2387" i="1"/>
  <c r="W2387" i="1" s="1"/>
  <c r="U2387" i="1"/>
  <c r="P2387" i="1"/>
  <c r="L2387" i="1"/>
  <c r="G2387" i="1"/>
  <c r="V2386" i="1"/>
  <c r="W2386" i="1" s="1"/>
  <c r="U2386" i="1"/>
  <c r="P2386" i="1"/>
  <c r="L2386" i="1"/>
  <c r="G2386" i="1"/>
  <c r="W2385" i="1"/>
  <c r="V2385" i="1"/>
  <c r="U2385" i="1"/>
  <c r="P2385" i="1"/>
  <c r="L2385" i="1"/>
  <c r="G2385" i="1"/>
  <c r="V2384" i="1"/>
  <c r="W2384" i="1" s="1"/>
  <c r="U2384" i="1"/>
  <c r="P2384" i="1"/>
  <c r="M2384" i="1"/>
  <c r="N2384" i="1" s="1"/>
  <c r="L2384" i="1"/>
  <c r="K2384" i="1"/>
  <c r="G2384" i="1"/>
  <c r="W2383" i="1"/>
  <c r="V2383" i="1"/>
  <c r="U2383" i="1"/>
  <c r="P2383" i="1"/>
  <c r="L2383" i="1"/>
  <c r="G2383" i="1"/>
  <c r="K2383" i="1" s="1"/>
  <c r="V2382" i="1"/>
  <c r="W2382" i="1" s="1"/>
  <c r="U2382" i="1"/>
  <c r="P2382" i="1"/>
  <c r="N2382" i="1"/>
  <c r="M2382" i="1"/>
  <c r="L2382" i="1"/>
  <c r="K2382" i="1"/>
  <c r="G2382" i="1"/>
  <c r="W2381" i="1"/>
  <c r="V2381" i="1"/>
  <c r="U2381" i="1"/>
  <c r="P2381" i="1"/>
  <c r="L2381" i="1"/>
  <c r="G2381" i="1"/>
  <c r="V2380" i="1"/>
  <c r="W2380" i="1" s="1"/>
  <c r="U2380" i="1"/>
  <c r="P2380" i="1"/>
  <c r="M2380" i="1"/>
  <c r="N2380" i="1" s="1"/>
  <c r="L2380" i="1"/>
  <c r="K2380" i="1"/>
  <c r="G2380" i="1"/>
  <c r="V2379" i="1"/>
  <c r="W2379" i="1" s="1"/>
  <c r="U2379" i="1"/>
  <c r="P2379" i="1"/>
  <c r="L2379" i="1"/>
  <c r="G2379" i="1"/>
  <c r="V2378" i="1"/>
  <c r="W2378" i="1" s="1"/>
  <c r="U2378" i="1"/>
  <c r="P2378" i="1"/>
  <c r="L2378" i="1"/>
  <c r="G2378" i="1"/>
  <c r="W2377" i="1"/>
  <c r="V2377" i="1"/>
  <c r="U2377" i="1"/>
  <c r="P2377" i="1"/>
  <c r="L2377" i="1"/>
  <c r="K2377" i="1"/>
  <c r="G2377" i="1"/>
  <c r="M2377" i="1" s="1"/>
  <c r="N2377" i="1" s="1"/>
  <c r="V2376" i="1"/>
  <c r="W2376" i="1" s="1"/>
  <c r="U2376" i="1"/>
  <c r="P2376" i="1"/>
  <c r="M2376" i="1"/>
  <c r="N2376" i="1" s="1"/>
  <c r="L2376" i="1"/>
  <c r="K2376" i="1"/>
  <c r="G2376" i="1"/>
  <c r="W2375" i="1"/>
  <c r="V2375" i="1"/>
  <c r="U2375" i="1"/>
  <c r="P2375" i="1"/>
  <c r="L2375" i="1"/>
  <c r="G2375" i="1"/>
  <c r="V2374" i="1"/>
  <c r="W2374" i="1" s="1"/>
  <c r="U2374" i="1"/>
  <c r="P2374" i="1"/>
  <c r="M2374" i="1"/>
  <c r="N2374" i="1" s="1"/>
  <c r="L2374" i="1"/>
  <c r="K2374" i="1"/>
  <c r="G2374" i="1"/>
  <c r="W2373" i="1"/>
  <c r="V2373" i="1"/>
  <c r="U2373" i="1"/>
  <c r="P2373" i="1"/>
  <c r="L2373" i="1"/>
  <c r="G2373" i="1"/>
  <c r="V2372" i="1"/>
  <c r="W2372" i="1" s="1"/>
  <c r="U2372" i="1"/>
  <c r="P2372" i="1"/>
  <c r="M2372" i="1"/>
  <c r="N2372" i="1" s="1"/>
  <c r="L2372" i="1"/>
  <c r="K2372" i="1"/>
  <c r="G2372" i="1"/>
  <c r="V2371" i="1"/>
  <c r="W2371" i="1" s="1"/>
  <c r="U2371" i="1"/>
  <c r="P2371" i="1"/>
  <c r="L2371" i="1"/>
  <c r="G2371" i="1"/>
  <c r="V2370" i="1"/>
  <c r="W2370" i="1" s="1"/>
  <c r="U2370" i="1"/>
  <c r="P2370" i="1"/>
  <c r="L2370" i="1"/>
  <c r="G2370" i="1"/>
  <c r="W2369" i="1"/>
  <c r="V2369" i="1"/>
  <c r="U2369" i="1"/>
  <c r="P2369" i="1"/>
  <c r="L2369" i="1"/>
  <c r="G2369" i="1"/>
  <c r="V2368" i="1"/>
  <c r="W2368" i="1" s="1"/>
  <c r="U2368" i="1"/>
  <c r="P2368" i="1"/>
  <c r="M2368" i="1"/>
  <c r="N2368" i="1" s="1"/>
  <c r="L2368" i="1"/>
  <c r="K2368" i="1"/>
  <c r="G2368" i="1"/>
  <c r="W2367" i="1"/>
  <c r="V2367" i="1"/>
  <c r="U2367" i="1"/>
  <c r="P2367" i="1"/>
  <c r="L2367" i="1"/>
  <c r="G2367" i="1"/>
  <c r="K2367" i="1" s="1"/>
  <c r="V2366" i="1"/>
  <c r="W2366" i="1" s="1"/>
  <c r="U2366" i="1"/>
  <c r="P2366" i="1"/>
  <c r="M2366" i="1"/>
  <c r="N2366" i="1" s="1"/>
  <c r="L2366" i="1"/>
  <c r="K2366" i="1"/>
  <c r="G2366" i="1"/>
  <c r="W2365" i="1"/>
  <c r="V2365" i="1"/>
  <c r="U2365" i="1"/>
  <c r="P2365" i="1"/>
  <c r="L2365" i="1"/>
  <c r="G2365" i="1"/>
  <c r="V2364" i="1"/>
  <c r="W2364" i="1" s="1"/>
  <c r="U2364" i="1"/>
  <c r="P2364" i="1"/>
  <c r="M2364" i="1"/>
  <c r="N2364" i="1" s="1"/>
  <c r="L2364" i="1"/>
  <c r="K2364" i="1"/>
  <c r="G2364" i="1"/>
  <c r="V2363" i="1"/>
  <c r="W2363" i="1" s="1"/>
  <c r="U2363" i="1"/>
  <c r="P2363" i="1"/>
  <c r="L2363" i="1"/>
  <c r="G2363" i="1"/>
  <c r="V2362" i="1"/>
  <c r="W2362" i="1" s="1"/>
  <c r="U2362" i="1"/>
  <c r="P2362" i="1"/>
  <c r="L2362" i="1"/>
  <c r="G2362" i="1"/>
  <c r="M2362" i="1" s="1"/>
  <c r="N2362" i="1" s="1"/>
  <c r="W2361" i="1"/>
  <c r="V2361" i="1"/>
  <c r="U2361" i="1"/>
  <c r="P2361" i="1"/>
  <c r="L2361" i="1"/>
  <c r="K2361" i="1"/>
  <c r="G2361" i="1"/>
  <c r="M2361" i="1" s="1"/>
  <c r="N2361" i="1" s="1"/>
  <c r="V2360" i="1"/>
  <c r="W2360" i="1" s="1"/>
  <c r="U2360" i="1"/>
  <c r="P2360" i="1"/>
  <c r="M2360" i="1"/>
  <c r="N2360" i="1" s="1"/>
  <c r="L2360" i="1"/>
  <c r="K2360" i="1"/>
  <c r="G2360" i="1"/>
  <c r="W2359" i="1"/>
  <c r="V2359" i="1"/>
  <c r="U2359" i="1"/>
  <c r="P2359" i="1"/>
  <c r="L2359" i="1"/>
  <c r="G2359" i="1"/>
  <c r="V2358" i="1"/>
  <c r="W2358" i="1" s="1"/>
  <c r="U2358" i="1"/>
  <c r="P2358" i="1"/>
  <c r="N2358" i="1"/>
  <c r="M2358" i="1"/>
  <c r="L2358" i="1"/>
  <c r="K2358" i="1"/>
  <c r="G2358" i="1"/>
  <c r="W2357" i="1"/>
  <c r="V2357" i="1"/>
  <c r="U2357" i="1"/>
  <c r="P2357" i="1"/>
  <c r="L2357" i="1"/>
  <c r="G2357" i="1"/>
  <c r="V2356" i="1"/>
  <c r="W2356" i="1" s="1"/>
  <c r="U2356" i="1"/>
  <c r="P2356" i="1"/>
  <c r="M2356" i="1"/>
  <c r="N2356" i="1" s="1"/>
  <c r="L2356" i="1"/>
  <c r="K2356" i="1"/>
  <c r="G2356" i="1"/>
  <c r="W2355" i="1"/>
  <c r="V2355" i="1"/>
  <c r="U2355" i="1"/>
  <c r="P2355" i="1"/>
  <c r="L2355" i="1"/>
  <c r="G2355" i="1"/>
  <c r="V2354" i="1"/>
  <c r="W2354" i="1" s="1"/>
  <c r="U2354" i="1"/>
  <c r="P2354" i="1"/>
  <c r="L2354" i="1"/>
  <c r="K2354" i="1"/>
  <c r="G2354" i="1"/>
  <c r="M2354" i="1" s="1"/>
  <c r="N2354" i="1" s="1"/>
  <c r="W2353" i="1"/>
  <c r="V2353" i="1"/>
  <c r="U2353" i="1"/>
  <c r="P2353" i="1"/>
  <c r="L2353" i="1"/>
  <c r="G2353" i="1"/>
  <c r="V2352" i="1"/>
  <c r="W2352" i="1" s="1"/>
  <c r="U2352" i="1"/>
  <c r="P2352" i="1"/>
  <c r="M2352" i="1"/>
  <c r="N2352" i="1" s="1"/>
  <c r="L2352" i="1"/>
  <c r="K2352" i="1"/>
  <c r="G2352" i="1"/>
  <c r="W2351" i="1"/>
  <c r="V2351" i="1"/>
  <c r="U2351" i="1"/>
  <c r="P2351" i="1"/>
  <c r="L2351" i="1"/>
  <c r="G2351" i="1"/>
  <c r="V2350" i="1"/>
  <c r="W2350" i="1" s="1"/>
  <c r="U2350" i="1"/>
  <c r="P2350" i="1"/>
  <c r="N2350" i="1"/>
  <c r="M2350" i="1"/>
  <c r="L2350" i="1"/>
  <c r="K2350" i="1"/>
  <c r="G2350" i="1"/>
  <c r="W2349" i="1"/>
  <c r="V2349" i="1"/>
  <c r="U2349" i="1"/>
  <c r="P2349" i="1"/>
  <c r="L2349" i="1"/>
  <c r="G2349" i="1"/>
  <c r="V2348" i="1"/>
  <c r="W2348" i="1" s="1"/>
  <c r="U2348" i="1"/>
  <c r="P2348" i="1"/>
  <c r="M2348" i="1"/>
  <c r="N2348" i="1" s="1"/>
  <c r="L2348" i="1"/>
  <c r="K2348" i="1"/>
  <c r="G2348" i="1"/>
  <c r="V2347" i="1"/>
  <c r="W2347" i="1" s="1"/>
  <c r="U2347" i="1"/>
  <c r="P2347" i="1"/>
  <c r="L2347" i="1"/>
  <c r="G2347" i="1"/>
  <c r="V2346" i="1"/>
  <c r="W2346" i="1" s="1"/>
  <c r="U2346" i="1"/>
  <c r="P2346" i="1"/>
  <c r="L2346" i="1"/>
  <c r="G2346" i="1"/>
  <c r="W2345" i="1"/>
  <c r="V2345" i="1"/>
  <c r="U2345" i="1"/>
  <c r="P2345" i="1"/>
  <c r="L2345" i="1"/>
  <c r="K2345" i="1"/>
  <c r="G2345" i="1"/>
  <c r="M2345" i="1" s="1"/>
  <c r="N2345" i="1" s="1"/>
  <c r="V2344" i="1"/>
  <c r="W2344" i="1" s="1"/>
  <c r="U2344" i="1"/>
  <c r="P2344" i="1"/>
  <c r="M2344" i="1"/>
  <c r="N2344" i="1" s="1"/>
  <c r="L2344" i="1"/>
  <c r="K2344" i="1"/>
  <c r="G2344" i="1"/>
  <c r="W2343" i="1"/>
  <c r="V2343" i="1"/>
  <c r="U2343" i="1"/>
  <c r="P2343" i="1"/>
  <c r="L2343" i="1"/>
  <c r="G2343" i="1"/>
  <c r="V2342" i="1"/>
  <c r="W2342" i="1" s="1"/>
  <c r="U2342" i="1"/>
  <c r="P2342" i="1"/>
  <c r="N2342" i="1"/>
  <c r="M2342" i="1"/>
  <c r="L2342" i="1"/>
  <c r="K2342" i="1"/>
  <c r="G2342" i="1"/>
  <c r="W2341" i="1"/>
  <c r="V2341" i="1"/>
  <c r="U2341" i="1"/>
  <c r="P2341" i="1"/>
  <c r="L2341" i="1"/>
  <c r="G2341" i="1"/>
  <c r="V2340" i="1"/>
  <c r="W2340" i="1" s="1"/>
  <c r="U2340" i="1"/>
  <c r="P2340" i="1"/>
  <c r="M2340" i="1"/>
  <c r="N2340" i="1" s="1"/>
  <c r="L2340" i="1"/>
  <c r="K2340" i="1"/>
  <c r="G2340" i="1"/>
  <c r="W2339" i="1"/>
  <c r="V2339" i="1"/>
  <c r="U2339" i="1"/>
  <c r="P2339" i="1"/>
  <c r="L2339" i="1"/>
  <c r="K2339" i="1"/>
  <c r="G2339" i="1"/>
  <c r="W2338" i="1"/>
  <c r="V2338" i="1"/>
  <c r="U2338" i="1"/>
  <c r="P2338" i="1"/>
  <c r="L2338" i="1"/>
  <c r="M2338" i="1" s="1"/>
  <c r="N2338" i="1" s="1"/>
  <c r="K2338" i="1"/>
  <c r="G2338" i="1"/>
  <c r="V2337" i="1"/>
  <c r="W2337" i="1" s="1"/>
  <c r="U2337" i="1"/>
  <c r="P2337" i="1"/>
  <c r="L2337" i="1"/>
  <c r="G2337" i="1"/>
  <c r="W2336" i="1"/>
  <c r="V2336" i="1"/>
  <c r="U2336" i="1"/>
  <c r="P2336" i="1"/>
  <c r="M2336" i="1"/>
  <c r="N2336" i="1" s="1"/>
  <c r="L2336" i="1"/>
  <c r="K2336" i="1"/>
  <c r="G2336" i="1"/>
  <c r="W2335" i="1"/>
  <c r="V2335" i="1"/>
  <c r="U2335" i="1"/>
  <c r="P2335" i="1"/>
  <c r="N2335" i="1"/>
  <c r="L2335" i="1"/>
  <c r="K2335" i="1"/>
  <c r="G2335" i="1"/>
  <c r="M2335" i="1" s="1"/>
  <c r="V2334" i="1"/>
  <c r="W2334" i="1" s="1"/>
  <c r="U2334" i="1"/>
  <c r="P2334" i="1"/>
  <c r="L2334" i="1"/>
  <c r="M2334" i="1" s="1"/>
  <c r="N2334" i="1" s="1"/>
  <c r="K2334" i="1"/>
  <c r="G2334" i="1"/>
  <c r="V2333" i="1"/>
  <c r="W2333" i="1" s="1"/>
  <c r="U2333" i="1"/>
  <c r="P2333" i="1"/>
  <c r="L2333" i="1"/>
  <c r="G2333" i="1"/>
  <c r="K2333" i="1" s="1"/>
  <c r="V2332" i="1"/>
  <c r="W2332" i="1" s="1"/>
  <c r="U2332" i="1"/>
  <c r="P2332" i="1"/>
  <c r="M2332" i="1"/>
  <c r="N2332" i="1" s="1"/>
  <c r="L2332" i="1"/>
  <c r="K2332" i="1"/>
  <c r="G2332" i="1"/>
  <c r="W2331" i="1"/>
  <c r="V2331" i="1"/>
  <c r="U2331" i="1"/>
  <c r="P2331" i="1"/>
  <c r="N2331" i="1"/>
  <c r="M2331" i="1"/>
  <c r="L2331" i="1"/>
  <c r="G2331" i="1"/>
  <c r="K2331" i="1" s="1"/>
  <c r="W2330" i="1"/>
  <c r="V2330" i="1"/>
  <c r="U2330" i="1"/>
  <c r="P2330" i="1"/>
  <c r="L2330" i="1"/>
  <c r="G2330" i="1"/>
  <c r="M2330" i="1" s="1"/>
  <c r="N2330" i="1" s="1"/>
  <c r="W2329" i="1"/>
  <c r="V2329" i="1"/>
  <c r="U2329" i="1"/>
  <c r="P2329" i="1"/>
  <c r="L2329" i="1"/>
  <c r="G2329" i="1"/>
  <c r="M2329" i="1" s="1"/>
  <c r="N2329" i="1" s="1"/>
  <c r="V2328" i="1"/>
  <c r="W2328" i="1" s="1"/>
  <c r="U2328" i="1"/>
  <c r="P2328" i="1"/>
  <c r="M2328" i="1"/>
  <c r="N2328" i="1" s="1"/>
  <c r="L2328" i="1"/>
  <c r="K2328" i="1"/>
  <c r="G2328" i="1"/>
  <c r="W2327" i="1"/>
  <c r="V2327" i="1"/>
  <c r="U2327" i="1"/>
  <c r="P2327" i="1"/>
  <c r="L2327" i="1"/>
  <c r="M2327" i="1" s="1"/>
  <c r="N2327" i="1" s="1"/>
  <c r="G2327" i="1"/>
  <c r="K2327" i="1" s="1"/>
  <c r="W2326" i="1"/>
  <c r="V2326" i="1"/>
  <c r="U2326" i="1"/>
  <c r="P2326" i="1"/>
  <c r="L2326" i="1"/>
  <c r="G2326" i="1"/>
  <c r="M2326" i="1" s="1"/>
  <c r="N2326" i="1" s="1"/>
  <c r="W2325" i="1"/>
  <c r="V2325" i="1"/>
  <c r="U2325" i="1"/>
  <c r="P2325" i="1"/>
  <c r="L2325" i="1"/>
  <c r="G2325" i="1"/>
  <c r="M2325" i="1" s="1"/>
  <c r="N2325" i="1" s="1"/>
  <c r="V2324" i="1"/>
  <c r="W2324" i="1" s="1"/>
  <c r="U2324" i="1"/>
  <c r="P2324" i="1"/>
  <c r="L2324" i="1"/>
  <c r="M2324" i="1" s="1"/>
  <c r="N2324" i="1" s="1"/>
  <c r="K2324" i="1"/>
  <c r="G2324" i="1"/>
  <c r="W2323" i="1"/>
  <c r="V2323" i="1"/>
  <c r="U2323" i="1"/>
  <c r="P2323" i="1"/>
  <c r="L2323" i="1"/>
  <c r="M2323" i="1" s="1"/>
  <c r="N2323" i="1" s="1"/>
  <c r="G2323" i="1"/>
  <c r="K2323" i="1" s="1"/>
  <c r="W2322" i="1"/>
  <c r="V2322" i="1"/>
  <c r="U2322" i="1"/>
  <c r="P2322" i="1"/>
  <c r="L2322" i="1"/>
  <c r="G2322" i="1"/>
  <c r="M2322" i="1" s="1"/>
  <c r="N2322" i="1" s="1"/>
  <c r="W2321" i="1"/>
  <c r="V2321" i="1"/>
  <c r="U2321" i="1"/>
  <c r="P2321" i="1"/>
  <c r="L2321" i="1"/>
  <c r="G2321" i="1"/>
  <c r="M2321" i="1" s="1"/>
  <c r="N2321" i="1" s="1"/>
  <c r="V2320" i="1"/>
  <c r="W2320" i="1" s="1"/>
  <c r="U2320" i="1"/>
  <c r="P2320" i="1"/>
  <c r="L2320" i="1"/>
  <c r="M2320" i="1" s="1"/>
  <c r="N2320" i="1" s="1"/>
  <c r="K2320" i="1"/>
  <c r="G2320" i="1"/>
  <c r="W2319" i="1"/>
  <c r="V2319" i="1"/>
  <c r="U2319" i="1"/>
  <c r="P2319" i="1"/>
  <c r="L2319" i="1"/>
  <c r="M2319" i="1" s="1"/>
  <c r="N2319" i="1" s="1"/>
  <c r="G2319" i="1"/>
  <c r="K2319" i="1" s="1"/>
  <c r="W2318" i="1"/>
  <c r="V2318" i="1"/>
  <c r="U2318" i="1"/>
  <c r="P2318" i="1"/>
  <c r="L2318" i="1"/>
  <c r="G2318" i="1"/>
  <c r="M2318" i="1" s="1"/>
  <c r="N2318" i="1" s="1"/>
  <c r="W2317" i="1"/>
  <c r="V2317" i="1"/>
  <c r="U2317" i="1"/>
  <c r="P2317" i="1"/>
  <c r="L2317" i="1"/>
  <c r="G2317" i="1"/>
  <c r="M2317" i="1" s="1"/>
  <c r="N2317" i="1" s="1"/>
  <c r="V2316" i="1"/>
  <c r="W2316" i="1" s="1"/>
  <c r="U2316" i="1"/>
  <c r="P2316" i="1"/>
  <c r="L2316" i="1"/>
  <c r="M2316" i="1" s="1"/>
  <c r="N2316" i="1" s="1"/>
  <c r="K2316" i="1"/>
  <c r="G2316" i="1"/>
  <c r="W2315" i="1"/>
  <c r="V2315" i="1"/>
  <c r="U2315" i="1"/>
  <c r="P2315" i="1"/>
  <c r="L2315" i="1"/>
  <c r="G2315" i="1"/>
  <c r="K2315" i="1" s="1"/>
  <c r="W2314" i="1"/>
  <c r="V2314" i="1"/>
  <c r="U2314" i="1"/>
  <c r="P2314" i="1"/>
  <c r="L2314" i="1"/>
  <c r="G2314" i="1"/>
  <c r="M2314" i="1" s="1"/>
  <c r="N2314" i="1" s="1"/>
  <c r="W2313" i="1"/>
  <c r="V2313" i="1"/>
  <c r="U2313" i="1"/>
  <c r="P2313" i="1"/>
  <c r="L2313" i="1"/>
  <c r="G2313" i="1"/>
  <c r="M2313" i="1" s="1"/>
  <c r="N2313" i="1" s="1"/>
  <c r="V2312" i="1"/>
  <c r="W2312" i="1" s="1"/>
  <c r="U2312" i="1"/>
  <c r="P2312" i="1"/>
  <c r="L2312" i="1"/>
  <c r="M2312" i="1" s="1"/>
  <c r="N2312" i="1" s="1"/>
  <c r="K2312" i="1"/>
  <c r="G2312" i="1"/>
  <c r="W2311" i="1"/>
  <c r="V2311" i="1"/>
  <c r="U2311" i="1"/>
  <c r="P2311" i="1"/>
  <c r="L2311" i="1"/>
  <c r="G2311" i="1"/>
  <c r="K2311" i="1" s="1"/>
  <c r="W2310" i="1"/>
  <c r="V2310" i="1"/>
  <c r="U2310" i="1"/>
  <c r="P2310" i="1"/>
  <c r="L2310" i="1"/>
  <c r="G2310" i="1"/>
  <c r="M2310" i="1" s="1"/>
  <c r="N2310" i="1" s="1"/>
  <c r="V2309" i="1"/>
  <c r="W2309" i="1" s="1"/>
  <c r="U2309" i="1"/>
  <c r="P2309" i="1"/>
  <c r="L2309" i="1"/>
  <c r="G2309" i="1"/>
  <c r="M2309" i="1" s="1"/>
  <c r="N2309" i="1" s="1"/>
  <c r="V2308" i="1"/>
  <c r="W2308" i="1" s="1"/>
  <c r="U2308" i="1"/>
  <c r="P2308" i="1"/>
  <c r="L2308" i="1"/>
  <c r="G2308" i="1"/>
  <c r="M2308" i="1" s="1"/>
  <c r="N2308" i="1" s="1"/>
  <c r="V2307" i="1"/>
  <c r="W2307" i="1" s="1"/>
  <c r="U2307" i="1"/>
  <c r="P2307" i="1"/>
  <c r="M2307" i="1"/>
  <c r="N2307" i="1" s="1"/>
  <c r="L2307" i="1"/>
  <c r="K2307" i="1"/>
  <c r="G2307" i="1"/>
  <c r="W2306" i="1"/>
  <c r="V2306" i="1"/>
  <c r="U2306" i="1"/>
  <c r="P2306" i="1"/>
  <c r="L2306" i="1"/>
  <c r="G2306" i="1"/>
  <c r="W2305" i="1"/>
  <c r="V2305" i="1"/>
  <c r="U2305" i="1"/>
  <c r="P2305" i="1"/>
  <c r="M2305" i="1"/>
  <c r="N2305" i="1" s="1"/>
  <c r="L2305" i="1"/>
  <c r="K2305" i="1"/>
  <c r="G2305" i="1"/>
  <c r="V2304" i="1"/>
  <c r="W2304" i="1" s="1"/>
  <c r="U2304" i="1"/>
  <c r="P2304" i="1"/>
  <c r="M2304" i="1"/>
  <c r="N2304" i="1" s="1"/>
  <c r="L2304" i="1"/>
  <c r="K2304" i="1"/>
  <c r="G2304" i="1"/>
  <c r="V2303" i="1"/>
  <c r="W2303" i="1" s="1"/>
  <c r="U2303" i="1"/>
  <c r="P2303" i="1"/>
  <c r="L2303" i="1"/>
  <c r="G2303" i="1"/>
  <c r="K2303" i="1" s="1"/>
  <c r="V2302" i="1"/>
  <c r="W2302" i="1" s="1"/>
  <c r="U2302" i="1"/>
  <c r="P2302" i="1"/>
  <c r="N2302" i="1"/>
  <c r="M2302" i="1"/>
  <c r="L2302" i="1"/>
  <c r="K2302" i="1"/>
  <c r="G2302" i="1"/>
  <c r="V2301" i="1"/>
  <c r="W2301" i="1" s="1"/>
  <c r="U2301" i="1"/>
  <c r="P2301" i="1"/>
  <c r="L2301" i="1"/>
  <c r="K2301" i="1"/>
  <c r="G2301" i="1"/>
  <c r="V2300" i="1"/>
  <c r="W2300" i="1" s="1"/>
  <c r="U2300" i="1"/>
  <c r="P2300" i="1"/>
  <c r="L2300" i="1"/>
  <c r="M2300" i="1" s="1"/>
  <c r="N2300" i="1" s="1"/>
  <c r="K2300" i="1"/>
  <c r="G2300" i="1"/>
  <c r="V2299" i="1"/>
  <c r="W2299" i="1" s="1"/>
  <c r="U2299" i="1"/>
  <c r="P2299" i="1"/>
  <c r="M2299" i="1"/>
  <c r="N2299" i="1" s="1"/>
  <c r="L2299" i="1"/>
  <c r="G2299" i="1"/>
  <c r="K2299" i="1" s="1"/>
  <c r="W2298" i="1"/>
  <c r="V2298" i="1"/>
  <c r="U2298" i="1"/>
  <c r="P2298" i="1"/>
  <c r="N2298" i="1"/>
  <c r="M2298" i="1"/>
  <c r="L2298" i="1"/>
  <c r="G2298" i="1"/>
  <c r="K2298" i="1" s="1"/>
  <c r="W2297" i="1"/>
  <c r="V2297" i="1"/>
  <c r="U2297" i="1"/>
  <c r="P2297" i="1"/>
  <c r="L2297" i="1"/>
  <c r="K2297" i="1"/>
  <c r="G2297" i="1"/>
  <c r="M2297" i="1" s="1"/>
  <c r="N2297" i="1" s="1"/>
  <c r="V2296" i="1"/>
  <c r="W2296" i="1" s="1"/>
  <c r="U2296" i="1"/>
  <c r="P2296" i="1"/>
  <c r="L2296" i="1"/>
  <c r="M2296" i="1" s="1"/>
  <c r="N2296" i="1" s="1"/>
  <c r="K2296" i="1"/>
  <c r="G2296" i="1"/>
  <c r="W2295" i="1"/>
  <c r="V2295" i="1"/>
  <c r="U2295" i="1"/>
  <c r="P2295" i="1"/>
  <c r="L2295" i="1"/>
  <c r="G2295" i="1"/>
  <c r="K2295" i="1" s="1"/>
  <c r="W2294" i="1"/>
  <c r="V2294" i="1"/>
  <c r="U2294" i="1"/>
  <c r="P2294" i="1"/>
  <c r="L2294" i="1"/>
  <c r="G2294" i="1"/>
  <c r="M2294" i="1" s="1"/>
  <c r="N2294" i="1" s="1"/>
  <c r="V2293" i="1"/>
  <c r="W2293" i="1" s="1"/>
  <c r="U2293" i="1"/>
  <c r="P2293" i="1"/>
  <c r="L2293" i="1"/>
  <c r="G2293" i="1"/>
  <c r="M2293" i="1" s="1"/>
  <c r="N2293" i="1" s="1"/>
  <c r="V2292" i="1"/>
  <c r="W2292" i="1" s="1"/>
  <c r="U2292" i="1"/>
  <c r="P2292" i="1"/>
  <c r="L2292" i="1"/>
  <c r="G2292" i="1"/>
  <c r="M2292" i="1" s="1"/>
  <c r="N2292" i="1" s="1"/>
  <c r="V2291" i="1"/>
  <c r="W2291" i="1" s="1"/>
  <c r="U2291" i="1"/>
  <c r="P2291" i="1"/>
  <c r="M2291" i="1"/>
  <c r="N2291" i="1" s="1"/>
  <c r="L2291" i="1"/>
  <c r="K2291" i="1"/>
  <c r="G2291" i="1"/>
  <c r="W2290" i="1"/>
  <c r="V2290" i="1"/>
  <c r="U2290" i="1"/>
  <c r="P2290" i="1"/>
  <c r="L2290" i="1"/>
  <c r="G2290" i="1"/>
  <c r="W2289" i="1"/>
  <c r="V2289" i="1"/>
  <c r="U2289" i="1"/>
  <c r="P2289" i="1"/>
  <c r="M2289" i="1"/>
  <c r="N2289" i="1" s="1"/>
  <c r="L2289" i="1"/>
  <c r="K2289" i="1"/>
  <c r="G2289" i="1"/>
  <c r="V2288" i="1"/>
  <c r="W2288" i="1" s="1"/>
  <c r="U2288" i="1"/>
  <c r="P2288" i="1"/>
  <c r="M2288" i="1"/>
  <c r="N2288" i="1" s="1"/>
  <c r="L2288" i="1"/>
  <c r="K2288" i="1"/>
  <c r="G2288" i="1"/>
  <c r="V2287" i="1"/>
  <c r="W2287" i="1" s="1"/>
  <c r="U2287" i="1"/>
  <c r="P2287" i="1"/>
  <c r="L2287" i="1"/>
  <c r="G2287" i="1"/>
  <c r="K2287" i="1" s="1"/>
  <c r="V2286" i="1"/>
  <c r="W2286" i="1" s="1"/>
  <c r="U2286" i="1"/>
  <c r="P2286" i="1"/>
  <c r="N2286" i="1"/>
  <c r="M2286" i="1"/>
  <c r="L2286" i="1"/>
  <c r="K2286" i="1"/>
  <c r="G2286" i="1"/>
  <c r="V2285" i="1"/>
  <c r="W2285" i="1" s="1"/>
  <c r="U2285" i="1"/>
  <c r="P2285" i="1"/>
  <c r="L2285" i="1"/>
  <c r="K2285" i="1"/>
  <c r="G2285" i="1"/>
  <c r="V2284" i="1"/>
  <c r="W2284" i="1" s="1"/>
  <c r="U2284" i="1"/>
  <c r="P2284" i="1"/>
  <c r="L2284" i="1"/>
  <c r="M2284" i="1" s="1"/>
  <c r="N2284" i="1" s="1"/>
  <c r="K2284" i="1"/>
  <c r="G2284" i="1"/>
  <c r="V2283" i="1"/>
  <c r="W2283" i="1" s="1"/>
  <c r="U2283" i="1"/>
  <c r="P2283" i="1"/>
  <c r="M2283" i="1"/>
  <c r="N2283" i="1" s="1"/>
  <c r="L2283" i="1"/>
  <c r="G2283" i="1"/>
  <c r="K2283" i="1" s="1"/>
  <c r="W2282" i="1"/>
  <c r="V2282" i="1"/>
  <c r="U2282" i="1"/>
  <c r="P2282" i="1"/>
  <c r="N2282" i="1"/>
  <c r="M2282" i="1"/>
  <c r="L2282" i="1"/>
  <c r="G2282" i="1"/>
  <c r="K2282" i="1" s="1"/>
  <c r="W2281" i="1"/>
  <c r="V2281" i="1"/>
  <c r="U2281" i="1"/>
  <c r="P2281" i="1"/>
  <c r="L2281" i="1"/>
  <c r="K2281" i="1"/>
  <c r="G2281" i="1"/>
  <c r="M2281" i="1" s="1"/>
  <c r="N2281" i="1" s="1"/>
  <c r="V2280" i="1"/>
  <c r="W2280" i="1" s="1"/>
  <c r="U2280" i="1"/>
  <c r="P2280" i="1"/>
  <c r="L2280" i="1"/>
  <c r="M2280" i="1" s="1"/>
  <c r="N2280" i="1" s="1"/>
  <c r="K2280" i="1"/>
  <c r="G2280" i="1"/>
  <c r="W2279" i="1"/>
  <c r="V2279" i="1"/>
  <c r="U2279" i="1"/>
  <c r="P2279" i="1"/>
  <c r="L2279" i="1"/>
  <c r="G2279" i="1"/>
  <c r="K2279" i="1" s="1"/>
  <c r="W2278" i="1"/>
  <c r="V2278" i="1"/>
  <c r="U2278" i="1"/>
  <c r="P2278" i="1"/>
  <c r="L2278" i="1"/>
  <c r="G2278" i="1"/>
  <c r="M2278" i="1" s="1"/>
  <c r="N2278" i="1" s="1"/>
  <c r="V2277" i="1"/>
  <c r="W2277" i="1" s="1"/>
  <c r="U2277" i="1"/>
  <c r="P2277" i="1"/>
  <c r="L2277" i="1"/>
  <c r="G2277" i="1"/>
  <c r="M2277" i="1" s="1"/>
  <c r="N2277" i="1" s="1"/>
  <c r="V2276" i="1"/>
  <c r="W2276" i="1" s="1"/>
  <c r="U2276" i="1"/>
  <c r="P2276" i="1"/>
  <c r="L2276" i="1"/>
  <c r="G2276" i="1"/>
  <c r="M2276" i="1" s="1"/>
  <c r="N2276" i="1" s="1"/>
  <c r="V2275" i="1"/>
  <c r="W2275" i="1" s="1"/>
  <c r="U2275" i="1"/>
  <c r="P2275" i="1"/>
  <c r="M2275" i="1"/>
  <c r="N2275" i="1" s="1"/>
  <c r="L2275" i="1"/>
  <c r="K2275" i="1"/>
  <c r="G2275" i="1"/>
  <c r="W2274" i="1"/>
  <c r="V2274" i="1"/>
  <c r="U2274" i="1"/>
  <c r="P2274" i="1"/>
  <c r="L2274" i="1"/>
  <c r="G2274" i="1"/>
  <c r="W2273" i="1"/>
  <c r="V2273" i="1"/>
  <c r="U2273" i="1"/>
  <c r="P2273" i="1"/>
  <c r="L2273" i="1"/>
  <c r="K2273" i="1"/>
  <c r="G2273" i="1"/>
  <c r="M2273" i="1" s="1"/>
  <c r="N2273" i="1" s="1"/>
  <c r="V2272" i="1"/>
  <c r="W2272" i="1" s="1"/>
  <c r="U2272" i="1"/>
  <c r="P2272" i="1"/>
  <c r="M2272" i="1"/>
  <c r="N2272" i="1" s="1"/>
  <c r="L2272" i="1"/>
  <c r="K2272" i="1"/>
  <c r="G2272" i="1"/>
  <c r="V2271" i="1"/>
  <c r="W2271" i="1" s="1"/>
  <c r="U2271" i="1"/>
  <c r="P2271" i="1"/>
  <c r="L2271" i="1"/>
  <c r="G2271" i="1"/>
  <c r="K2271" i="1" s="1"/>
  <c r="V2270" i="1"/>
  <c r="W2270" i="1" s="1"/>
  <c r="U2270" i="1"/>
  <c r="P2270" i="1"/>
  <c r="N2270" i="1"/>
  <c r="M2270" i="1"/>
  <c r="L2270" i="1"/>
  <c r="K2270" i="1"/>
  <c r="G2270" i="1"/>
  <c r="V2269" i="1"/>
  <c r="W2269" i="1" s="1"/>
  <c r="U2269" i="1"/>
  <c r="P2269" i="1"/>
  <c r="L2269" i="1"/>
  <c r="K2269" i="1"/>
  <c r="G2269" i="1"/>
  <c r="V2268" i="1"/>
  <c r="W2268" i="1" s="1"/>
  <c r="U2268" i="1"/>
  <c r="P2268" i="1"/>
  <c r="L2268" i="1"/>
  <c r="M2268" i="1" s="1"/>
  <c r="N2268" i="1" s="1"/>
  <c r="K2268" i="1"/>
  <c r="G2268" i="1"/>
  <c r="V2267" i="1"/>
  <c r="W2267" i="1" s="1"/>
  <c r="U2267" i="1"/>
  <c r="P2267" i="1"/>
  <c r="M2267" i="1"/>
  <c r="N2267" i="1" s="1"/>
  <c r="L2267" i="1"/>
  <c r="G2267" i="1"/>
  <c r="K2267" i="1" s="1"/>
  <c r="W2266" i="1"/>
  <c r="V2266" i="1"/>
  <c r="U2266" i="1"/>
  <c r="P2266" i="1"/>
  <c r="N2266" i="1"/>
  <c r="M2266" i="1"/>
  <c r="L2266" i="1"/>
  <c r="G2266" i="1"/>
  <c r="K2266" i="1" s="1"/>
  <c r="W2265" i="1"/>
  <c r="V2265" i="1"/>
  <c r="U2265" i="1"/>
  <c r="P2265" i="1"/>
  <c r="L2265" i="1"/>
  <c r="K2265" i="1"/>
  <c r="G2265" i="1"/>
  <c r="M2265" i="1" s="1"/>
  <c r="N2265" i="1" s="1"/>
  <c r="V2264" i="1"/>
  <c r="W2264" i="1" s="1"/>
  <c r="U2264" i="1"/>
  <c r="P2264" i="1"/>
  <c r="L2264" i="1"/>
  <c r="M2264" i="1" s="1"/>
  <c r="N2264" i="1" s="1"/>
  <c r="K2264" i="1"/>
  <c r="G2264" i="1"/>
  <c r="W2263" i="1"/>
  <c r="V2263" i="1"/>
  <c r="U2263" i="1"/>
  <c r="P2263" i="1"/>
  <c r="L2263" i="1"/>
  <c r="G2263" i="1"/>
  <c r="K2263" i="1" s="1"/>
  <c r="W2262" i="1"/>
  <c r="V2262" i="1"/>
  <c r="U2262" i="1"/>
  <c r="P2262" i="1"/>
  <c r="L2262" i="1"/>
  <c r="G2262" i="1"/>
  <c r="M2262" i="1" s="1"/>
  <c r="N2262" i="1" s="1"/>
  <c r="V2261" i="1"/>
  <c r="W2261" i="1" s="1"/>
  <c r="U2261" i="1"/>
  <c r="P2261" i="1"/>
  <c r="L2261" i="1"/>
  <c r="G2261" i="1"/>
  <c r="M2261" i="1" s="1"/>
  <c r="N2261" i="1" s="1"/>
  <c r="V2260" i="1"/>
  <c r="W2260" i="1" s="1"/>
  <c r="U2260" i="1"/>
  <c r="P2260" i="1"/>
  <c r="L2260" i="1"/>
  <c r="G2260" i="1"/>
  <c r="M2260" i="1" s="1"/>
  <c r="N2260" i="1" s="1"/>
  <c r="V2259" i="1"/>
  <c r="W2259" i="1" s="1"/>
  <c r="U2259" i="1"/>
  <c r="P2259" i="1"/>
  <c r="M2259" i="1"/>
  <c r="N2259" i="1" s="1"/>
  <c r="L2259" i="1"/>
  <c r="K2259" i="1"/>
  <c r="G2259" i="1"/>
  <c r="W2258" i="1"/>
  <c r="V2258" i="1"/>
  <c r="U2258" i="1"/>
  <c r="P2258" i="1"/>
  <c r="L2258" i="1"/>
  <c r="G2258" i="1"/>
  <c r="W2257" i="1"/>
  <c r="V2257" i="1"/>
  <c r="U2257" i="1"/>
  <c r="P2257" i="1"/>
  <c r="L2257" i="1"/>
  <c r="K2257" i="1"/>
  <c r="G2257" i="1"/>
  <c r="M2257" i="1" s="1"/>
  <c r="N2257" i="1" s="1"/>
  <c r="V2256" i="1"/>
  <c r="W2256" i="1" s="1"/>
  <c r="U2256" i="1"/>
  <c r="P2256" i="1"/>
  <c r="M2256" i="1"/>
  <c r="N2256" i="1" s="1"/>
  <c r="L2256" i="1"/>
  <c r="K2256" i="1"/>
  <c r="G2256" i="1"/>
  <c r="V2255" i="1"/>
  <c r="W2255" i="1" s="1"/>
  <c r="U2255" i="1"/>
  <c r="P2255" i="1"/>
  <c r="L2255" i="1"/>
  <c r="G2255" i="1"/>
  <c r="K2255" i="1" s="1"/>
  <c r="V2254" i="1"/>
  <c r="W2254" i="1" s="1"/>
  <c r="U2254" i="1"/>
  <c r="P2254" i="1"/>
  <c r="N2254" i="1"/>
  <c r="M2254" i="1"/>
  <c r="L2254" i="1"/>
  <c r="K2254" i="1"/>
  <c r="G2254" i="1"/>
  <c r="V2253" i="1"/>
  <c r="W2253" i="1" s="1"/>
  <c r="U2253" i="1"/>
  <c r="P2253" i="1"/>
  <c r="L2253" i="1"/>
  <c r="K2253" i="1"/>
  <c r="G2253" i="1"/>
  <c r="V2252" i="1"/>
  <c r="W2252" i="1" s="1"/>
  <c r="U2252" i="1"/>
  <c r="P2252" i="1"/>
  <c r="L2252" i="1"/>
  <c r="M2252" i="1" s="1"/>
  <c r="N2252" i="1" s="1"/>
  <c r="K2252" i="1"/>
  <c r="G2252" i="1"/>
  <c r="V2251" i="1"/>
  <c r="W2251" i="1" s="1"/>
  <c r="U2251" i="1"/>
  <c r="P2251" i="1"/>
  <c r="M2251" i="1"/>
  <c r="N2251" i="1" s="1"/>
  <c r="L2251" i="1"/>
  <c r="G2251" i="1"/>
  <c r="K2251" i="1" s="1"/>
  <c r="W2250" i="1"/>
  <c r="V2250" i="1"/>
  <c r="U2250" i="1"/>
  <c r="P2250" i="1"/>
  <c r="N2250" i="1"/>
  <c r="M2250" i="1"/>
  <c r="L2250" i="1"/>
  <c r="G2250" i="1"/>
  <c r="K2250" i="1" s="1"/>
  <c r="V2249" i="1"/>
  <c r="W2249" i="1" s="1"/>
  <c r="U2249" i="1"/>
  <c r="P2249" i="1"/>
  <c r="L2249" i="1"/>
  <c r="K2249" i="1"/>
  <c r="G2249" i="1"/>
  <c r="M2249" i="1" s="1"/>
  <c r="N2249" i="1" s="1"/>
  <c r="W2248" i="1"/>
  <c r="V2248" i="1"/>
  <c r="U2248" i="1"/>
  <c r="P2248" i="1"/>
  <c r="L2248" i="1"/>
  <c r="G2248" i="1"/>
  <c r="M2248" i="1" s="1"/>
  <c r="N2248" i="1" s="1"/>
  <c r="V2247" i="1"/>
  <c r="W2247" i="1" s="1"/>
  <c r="U2247" i="1"/>
  <c r="P2247" i="1"/>
  <c r="M2247" i="1"/>
  <c r="N2247" i="1" s="1"/>
  <c r="L2247" i="1"/>
  <c r="K2247" i="1"/>
  <c r="G2247" i="1"/>
  <c r="W2246" i="1"/>
  <c r="V2246" i="1"/>
  <c r="U2246" i="1"/>
  <c r="P2246" i="1"/>
  <c r="L2246" i="1"/>
  <c r="G2246" i="1"/>
  <c r="W2245" i="1"/>
  <c r="V2245" i="1"/>
  <c r="U2245" i="1"/>
  <c r="P2245" i="1"/>
  <c r="L2245" i="1"/>
  <c r="K2245" i="1"/>
  <c r="G2245" i="1"/>
  <c r="M2245" i="1" s="1"/>
  <c r="N2245" i="1" s="1"/>
  <c r="V2244" i="1"/>
  <c r="W2244" i="1" s="1"/>
  <c r="U2244" i="1"/>
  <c r="P2244" i="1"/>
  <c r="L2244" i="1"/>
  <c r="M2244" i="1" s="1"/>
  <c r="N2244" i="1" s="1"/>
  <c r="K2244" i="1"/>
  <c r="G2244" i="1"/>
  <c r="V2243" i="1"/>
  <c r="W2243" i="1" s="1"/>
  <c r="U2243" i="1"/>
  <c r="P2243" i="1"/>
  <c r="M2243" i="1"/>
  <c r="N2243" i="1" s="1"/>
  <c r="L2243" i="1"/>
  <c r="G2243" i="1"/>
  <c r="K2243" i="1" s="1"/>
  <c r="W2242" i="1"/>
  <c r="V2242" i="1"/>
  <c r="U2242" i="1"/>
  <c r="P2242" i="1"/>
  <c r="M2242" i="1"/>
  <c r="N2242" i="1" s="1"/>
  <c r="L2242" i="1"/>
  <c r="G2242" i="1"/>
  <c r="K2242" i="1" s="1"/>
  <c r="V2241" i="1"/>
  <c r="W2241" i="1" s="1"/>
  <c r="U2241" i="1"/>
  <c r="P2241" i="1"/>
  <c r="N2241" i="1"/>
  <c r="L2241" i="1"/>
  <c r="K2241" i="1"/>
  <c r="G2241" i="1"/>
  <c r="M2241" i="1" s="1"/>
  <c r="W2240" i="1"/>
  <c r="V2240" i="1"/>
  <c r="U2240" i="1"/>
  <c r="P2240" i="1"/>
  <c r="L2240" i="1"/>
  <c r="G2240" i="1"/>
  <c r="M2240" i="1" s="1"/>
  <c r="N2240" i="1" s="1"/>
  <c r="V2239" i="1"/>
  <c r="W2239" i="1" s="1"/>
  <c r="U2239" i="1"/>
  <c r="P2239" i="1"/>
  <c r="M2239" i="1"/>
  <c r="N2239" i="1" s="1"/>
  <c r="L2239" i="1"/>
  <c r="K2239" i="1"/>
  <c r="G2239" i="1"/>
  <c r="V2238" i="1"/>
  <c r="W2238" i="1" s="1"/>
  <c r="U2238" i="1"/>
  <c r="P2238" i="1"/>
  <c r="L2238" i="1"/>
  <c r="G2238" i="1"/>
  <c r="W2237" i="1"/>
  <c r="V2237" i="1"/>
  <c r="U2237" i="1"/>
  <c r="P2237" i="1"/>
  <c r="L2237" i="1"/>
  <c r="K2237" i="1"/>
  <c r="G2237" i="1"/>
  <c r="M2237" i="1" s="1"/>
  <c r="N2237" i="1" s="1"/>
  <c r="V2236" i="1"/>
  <c r="W2236" i="1" s="1"/>
  <c r="U2236" i="1"/>
  <c r="P2236" i="1"/>
  <c r="N2236" i="1"/>
  <c r="L2236" i="1"/>
  <c r="M2236" i="1" s="1"/>
  <c r="K2236" i="1"/>
  <c r="G2236" i="1"/>
  <c r="V2235" i="1"/>
  <c r="W2235" i="1" s="1"/>
  <c r="U2235" i="1"/>
  <c r="P2235" i="1"/>
  <c r="L2235" i="1"/>
  <c r="M2235" i="1" s="1"/>
  <c r="N2235" i="1" s="1"/>
  <c r="G2235" i="1"/>
  <c r="K2235" i="1" s="1"/>
  <c r="W2234" i="1"/>
  <c r="V2234" i="1"/>
  <c r="U2234" i="1"/>
  <c r="P2234" i="1"/>
  <c r="M2234" i="1"/>
  <c r="N2234" i="1" s="1"/>
  <c r="L2234" i="1"/>
  <c r="G2234" i="1"/>
  <c r="K2234" i="1" s="1"/>
  <c r="V2233" i="1"/>
  <c r="W2233" i="1" s="1"/>
  <c r="U2233" i="1"/>
  <c r="P2233" i="1"/>
  <c r="L2233" i="1"/>
  <c r="K2233" i="1"/>
  <c r="G2233" i="1"/>
  <c r="M2233" i="1" s="1"/>
  <c r="N2233" i="1" s="1"/>
  <c r="W2232" i="1"/>
  <c r="V2232" i="1"/>
  <c r="U2232" i="1"/>
  <c r="P2232" i="1"/>
  <c r="L2232" i="1"/>
  <c r="G2232" i="1"/>
  <c r="V2231" i="1"/>
  <c r="W2231" i="1" s="1"/>
  <c r="U2231" i="1"/>
  <c r="P2231" i="1"/>
  <c r="M2231" i="1"/>
  <c r="N2231" i="1" s="1"/>
  <c r="L2231" i="1"/>
  <c r="K2231" i="1"/>
  <c r="G2231" i="1"/>
  <c r="V2230" i="1"/>
  <c r="W2230" i="1" s="1"/>
  <c r="U2230" i="1"/>
  <c r="P2230" i="1"/>
  <c r="L2230" i="1"/>
  <c r="G2230" i="1"/>
  <c r="W2229" i="1"/>
  <c r="V2229" i="1"/>
  <c r="U2229" i="1"/>
  <c r="P2229" i="1"/>
  <c r="L2229" i="1"/>
  <c r="K2229" i="1"/>
  <c r="G2229" i="1"/>
  <c r="M2229" i="1" s="1"/>
  <c r="N2229" i="1" s="1"/>
  <c r="V2228" i="1"/>
  <c r="W2228" i="1" s="1"/>
  <c r="U2228" i="1"/>
  <c r="P2228" i="1"/>
  <c r="N2228" i="1"/>
  <c r="L2228" i="1"/>
  <c r="M2228" i="1" s="1"/>
  <c r="K2228" i="1"/>
  <c r="G2228" i="1"/>
  <c r="V2227" i="1"/>
  <c r="W2227" i="1" s="1"/>
  <c r="U2227" i="1"/>
  <c r="P2227" i="1"/>
  <c r="L2227" i="1"/>
  <c r="M2227" i="1" s="1"/>
  <c r="N2227" i="1" s="1"/>
  <c r="G2227" i="1"/>
  <c r="K2227" i="1" s="1"/>
  <c r="W2226" i="1"/>
  <c r="V2226" i="1"/>
  <c r="U2226" i="1"/>
  <c r="P2226" i="1"/>
  <c r="M2226" i="1"/>
  <c r="N2226" i="1" s="1"/>
  <c r="L2226" i="1"/>
  <c r="G2226" i="1"/>
  <c r="K2226" i="1" s="1"/>
  <c r="V2225" i="1"/>
  <c r="W2225" i="1" s="1"/>
  <c r="U2225" i="1"/>
  <c r="P2225" i="1"/>
  <c r="L2225" i="1"/>
  <c r="K2225" i="1"/>
  <c r="G2225" i="1"/>
  <c r="M2225" i="1" s="1"/>
  <c r="N2225" i="1" s="1"/>
  <c r="W2224" i="1"/>
  <c r="V2224" i="1"/>
  <c r="U2224" i="1"/>
  <c r="P2224" i="1"/>
  <c r="L2224" i="1"/>
  <c r="G2224" i="1"/>
  <c r="V2223" i="1"/>
  <c r="W2223" i="1" s="1"/>
  <c r="U2223" i="1"/>
  <c r="P2223" i="1"/>
  <c r="M2223" i="1"/>
  <c r="N2223" i="1" s="1"/>
  <c r="L2223" i="1"/>
  <c r="K2223" i="1"/>
  <c r="G2223" i="1"/>
  <c r="V2222" i="1"/>
  <c r="W2222" i="1" s="1"/>
  <c r="U2222" i="1"/>
  <c r="P2222" i="1"/>
  <c r="L2222" i="1"/>
  <c r="G2222" i="1"/>
  <c r="W2221" i="1"/>
  <c r="V2221" i="1"/>
  <c r="U2221" i="1"/>
  <c r="P2221" i="1"/>
  <c r="L2221" i="1"/>
  <c r="K2221" i="1"/>
  <c r="G2221" i="1"/>
  <c r="M2221" i="1" s="1"/>
  <c r="N2221" i="1" s="1"/>
  <c r="V2220" i="1"/>
  <c r="W2220" i="1" s="1"/>
  <c r="U2220" i="1"/>
  <c r="P2220" i="1"/>
  <c r="N2220" i="1"/>
  <c r="L2220" i="1"/>
  <c r="M2220" i="1" s="1"/>
  <c r="K2220" i="1"/>
  <c r="G2220" i="1"/>
  <c r="V2219" i="1"/>
  <c r="W2219" i="1" s="1"/>
  <c r="U2219" i="1"/>
  <c r="P2219" i="1"/>
  <c r="L2219" i="1"/>
  <c r="M2219" i="1" s="1"/>
  <c r="N2219" i="1" s="1"/>
  <c r="G2219" i="1"/>
  <c r="K2219" i="1" s="1"/>
  <c r="W2218" i="1"/>
  <c r="V2218" i="1"/>
  <c r="U2218" i="1"/>
  <c r="P2218" i="1"/>
  <c r="M2218" i="1"/>
  <c r="N2218" i="1" s="1"/>
  <c r="L2218" i="1"/>
  <c r="G2218" i="1"/>
  <c r="K2218" i="1" s="1"/>
  <c r="W2217" i="1"/>
  <c r="V2217" i="1"/>
  <c r="U2217" i="1"/>
  <c r="P2217" i="1"/>
  <c r="L2217" i="1"/>
  <c r="K2217" i="1"/>
  <c r="G2217" i="1"/>
  <c r="M2217" i="1" s="1"/>
  <c r="N2217" i="1" s="1"/>
  <c r="W2216" i="1"/>
  <c r="V2216" i="1"/>
  <c r="U2216" i="1"/>
  <c r="P2216" i="1"/>
  <c r="L2216" i="1"/>
  <c r="G2216" i="1"/>
  <c r="M2216" i="1" s="1"/>
  <c r="N2216" i="1" s="1"/>
  <c r="V2215" i="1"/>
  <c r="W2215" i="1" s="1"/>
  <c r="U2215" i="1"/>
  <c r="P2215" i="1"/>
  <c r="M2215" i="1"/>
  <c r="N2215" i="1" s="1"/>
  <c r="L2215" i="1"/>
  <c r="K2215" i="1"/>
  <c r="G2215" i="1"/>
  <c r="W2214" i="1"/>
  <c r="V2214" i="1"/>
  <c r="U2214" i="1"/>
  <c r="P2214" i="1"/>
  <c r="N2214" i="1"/>
  <c r="M2214" i="1"/>
  <c r="L2214" i="1"/>
  <c r="G2214" i="1"/>
  <c r="K2214" i="1" s="1"/>
  <c r="W2213" i="1"/>
  <c r="V2213" i="1"/>
  <c r="U2213" i="1"/>
  <c r="P2213" i="1"/>
  <c r="L2213" i="1"/>
  <c r="G2213" i="1"/>
  <c r="M2213" i="1" s="1"/>
  <c r="N2213" i="1" s="1"/>
  <c r="V2212" i="1"/>
  <c r="W2212" i="1" s="1"/>
  <c r="U2212" i="1"/>
  <c r="P2212" i="1"/>
  <c r="N2212" i="1"/>
  <c r="L2212" i="1"/>
  <c r="M2212" i="1" s="1"/>
  <c r="K2212" i="1"/>
  <c r="G2212" i="1"/>
  <c r="V2211" i="1"/>
  <c r="W2211" i="1" s="1"/>
  <c r="U2211" i="1"/>
  <c r="P2211" i="1"/>
  <c r="M2211" i="1"/>
  <c r="N2211" i="1" s="1"/>
  <c r="L2211" i="1"/>
  <c r="G2211" i="1"/>
  <c r="K2211" i="1" s="1"/>
  <c r="V2210" i="1"/>
  <c r="W2210" i="1" s="1"/>
  <c r="U2210" i="1"/>
  <c r="P2210" i="1"/>
  <c r="N2210" i="1"/>
  <c r="M2210" i="1"/>
  <c r="L2210" i="1"/>
  <c r="G2210" i="1"/>
  <c r="K2210" i="1" s="1"/>
  <c r="V2209" i="1"/>
  <c r="W2209" i="1" s="1"/>
  <c r="U2209" i="1"/>
  <c r="P2209" i="1"/>
  <c r="N2209" i="1"/>
  <c r="L2209" i="1"/>
  <c r="G2209" i="1"/>
  <c r="M2209" i="1" s="1"/>
  <c r="W2208" i="1"/>
  <c r="V2208" i="1"/>
  <c r="U2208" i="1"/>
  <c r="P2208" i="1"/>
  <c r="L2208" i="1"/>
  <c r="K2208" i="1"/>
  <c r="G2208" i="1"/>
  <c r="V2207" i="1"/>
  <c r="W2207" i="1" s="1"/>
  <c r="U2207" i="1"/>
  <c r="P2207" i="1"/>
  <c r="M2207" i="1"/>
  <c r="N2207" i="1" s="1"/>
  <c r="L2207" i="1"/>
  <c r="K2207" i="1"/>
  <c r="G2207" i="1"/>
  <c r="V2206" i="1"/>
  <c r="W2206" i="1" s="1"/>
  <c r="U2206" i="1"/>
  <c r="P2206" i="1"/>
  <c r="L2206" i="1"/>
  <c r="G2206" i="1"/>
  <c r="K2206" i="1" s="1"/>
  <c r="W2205" i="1"/>
  <c r="V2205" i="1"/>
  <c r="U2205" i="1"/>
  <c r="P2205" i="1"/>
  <c r="L2205" i="1"/>
  <c r="K2205" i="1"/>
  <c r="G2205" i="1"/>
  <c r="M2205" i="1" s="1"/>
  <c r="N2205" i="1" s="1"/>
  <c r="V2204" i="1"/>
  <c r="W2204" i="1" s="1"/>
  <c r="U2204" i="1"/>
  <c r="P2204" i="1"/>
  <c r="L2204" i="1"/>
  <c r="M2204" i="1" s="1"/>
  <c r="N2204" i="1" s="1"/>
  <c r="K2204" i="1"/>
  <c r="G2204" i="1"/>
  <c r="V2203" i="1"/>
  <c r="W2203" i="1" s="1"/>
  <c r="U2203" i="1"/>
  <c r="P2203" i="1"/>
  <c r="L2203" i="1"/>
  <c r="M2203" i="1" s="1"/>
  <c r="N2203" i="1" s="1"/>
  <c r="G2203" i="1"/>
  <c r="K2203" i="1" s="1"/>
  <c r="V2202" i="1"/>
  <c r="W2202" i="1" s="1"/>
  <c r="U2202" i="1"/>
  <c r="P2202" i="1"/>
  <c r="L2202" i="1"/>
  <c r="G2202" i="1"/>
  <c r="K2202" i="1" s="1"/>
  <c r="V2201" i="1"/>
  <c r="W2201" i="1" s="1"/>
  <c r="U2201" i="1"/>
  <c r="P2201" i="1"/>
  <c r="L2201" i="1"/>
  <c r="K2201" i="1"/>
  <c r="G2201" i="1"/>
  <c r="M2201" i="1" s="1"/>
  <c r="N2201" i="1" s="1"/>
  <c r="W2200" i="1"/>
  <c r="V2200" i="1"/>
  <c r="U2200" i="1"/>
  <c r="P2200" i="1"/>
  <c r="L2200" i="1"/>
  <c r="K2200" i="1"/>
  <c r="G2200" i="1"/>
  <c r="W2199" i="1"/>
  <c r="V2199" i="1"/>
  <c r="U2199" i="1"/>
  <c r="P2199" i="1"/>
  <c r="L2199" i="1"/>
  <c r="K2199" i="1"/>
  <c r="G2199" i="1"/>
  <c r="M2199" i="1" s="1"/>
  <c r="N2199" i="1" s="1"/>
  <c r="W2198" i="1"/>
  <c r="V2198" i="1"/>
  <c r="U2198" i="1"/>
  <c r="P2198" i="1"/>
  <c r="M2198" i="1"/>
  <c r="N2198" i="1" s="1"/>
  <c r="L2198" i="1"/>
  <c r="G2198" i="1"/>
  <c r="K2198" i="1" s="1"/>
  <c r="V2197" i="1"/>
  <c r="W2197" i="1" s="1"/>
  <c r="U2197" i="1"/>
  <c r="P2197" i="1"/>
  <c r="N2197" i="1"/>
  <c r="M2197" i="1"/>
  <c r="L2197" i="1"/>
  <c r="K2197" i="1"/>
  <c r="G2197" i="1"/>
  <c r="W2196" i="1"/>
  <c r="V2196" i="1"/>
  <c r="U2196" i="1"/>
  <c r="P2196" i="1"/>
  <c r="L2196" i="1"/>
  <c r="M2196" i="1" s="1"/>
  <c r="N2196" i="1" s="1"/>
  <c r="G2196" i="1"/>
  <c r="K2196" i="1" s="1"/>
  <c r="V2195" i="1"/>
  <c r="W2195" i="1" s="1"/>
  <c r="U2195" i="1"/>
  <c r="P2195" i="1"/>
  <c r="L2195" i="1"/>
  <c r="M2195" i="1" s="1"/>
  <c r="N2195" i="1" s="1"/>
  <c r="K2195" i="1"/>
  <c r="G2195" i="1"/>
  <c r="W2194" i="1"/>
  <c r="V2194" i="1"/>
  <c r="U2194" i="1"/>
  <c r="P2194" i="1"/>
  <c r="M2194" i="1"/>
  <c r="N2194" i="1" s="1"/>
  <c r="L2194" i="1"/>
  <c r="G2194" i="1"/>
  <c r="K2194" i="1" s="1"/>
  <c r="W2193" i="1"/>
  <c r="V2193" i="1"/>
  <c r="U2193" i="1"/>
  <c r="P2193" i="1"/>
  <c r="L2193" i="1"/>
  <c r="G2193" i="1"/>
  <c r="M2193" i="1" s="1"/>
  <c r="N2193" i="1" s="1"/>
  <c r="V2192" i="1"/>
  <c r="W2192" i="1" s="1"/>
  <c r="U2192" i="1"/>
  <c r="P2192" i="1"/>
  <c r="L2192" i="1"/>
  <c r="G2192" i="1"/>
  <c r="M2192" i="1" s="1"/>
  <c r="N2192" i="1" s="1"/>
  <c r="V2191" i="1"/>
  <c r="W2191" i="1" s="1"/>
  <c r="U2191" i="1"/>
  <c r="P2191" i="1"/>
  <c r="L2191" i="1"/>
  <c r="K2191" i="1"/>
  <c r="G2191" i="1"/>
  <c r="M2191" i="1" s="1"/>
  <c r="N2191" i="1" s="1"/>
  <c r="W2190" i="1"/>
  <c r="V2190" i="1"/>
  <c r="U2190" i="1"/>
  <c r="P2190" i="1"/>
  <c r="L2190" i="1"/>
  <c r="G2190" i="1"/>
  <c r="W2189" i="1"/>
  <c r="V2189" i="1"/>
  <c r="U2189" i="1"/>
  <c r="P2189" i="1"/>
  <c r="L2189" i="1"/>
  <c r="K2189" i="1"/>
  <c r="G2189" i="1"/>
  <c r="M2189" i="1" s="1"/>
  <c r="N2189" i="1" s="1"/>
  <c r="V2188" i="1"/>
  <c r="W2188" i="1" s="1"/>
  <c r="U2188" i="1"/>
  <c r="P2188" i="1"/>
  <c r="L2188" i="1"/>
  <c r="K2188" i="1"/>
  <c r="G2188" i="1"/>
  <c r="W2187" i="1"/>
  <c r="V2187" i="1"/>
  <c r="U2187" i="1"/>
  <c r="P2187" i="1"/>
  <c r="M2187" i="1"/>
  <c r="N2187" i="1" s="1"/>
  <c r="L2187" i="1"/>
  <c r="G2187" i="1"/>
  <c r="K2187" i="1" s="1"/>
  <c r="V2186" i="1"/>
  <c r="W2186" i="1" s="1"/>
  <c r="U2186" i="1"/>
  <c r="P2186" i="1"/>
  <c r="N2186" i="1"/>
  <c r="M2186" i="1"/>
  <c r="L2186" i="1"/>
  <c r="K2186" i="1"/>
  <c r="G2186" i="1"/>
  <c r="V2185" i="1"/>
  <c r="W2185" i="1" s="1"/>
  <c r="U2185" i="1"/>
  <c r="P2185" i="1"/>
  <c r="L2185" i="1"/>
  <c r="M2185" i="1" s="1"/>
  <c r="N2185" i="1" s="1"/>
  <c r="G2185" i="1"/>
  <c r="K2185" i="1" s="1"/>
  <c r="W2184" i="1"/>
  <c r="V2184" i="1"/>
  <c r="U2184" i="1"/>
  <c r="P2184" i="1"/>
  <c r="L2184" i="1"/>
  <c r="G2184" i="1"/>
  <c r="M2184" i="1" s="1"/>
  <c r="N2184" i="1" s="1"/>
  <c r="V2183" i="1"/>
  <c r="W2183" i="1" s="1"/>
  <c r="U2183" i="1"/>
  <c r="P2183" i="1"/>
  <c r="L2183" i="1"/>
  <c r="K2183" i="1"/>
  <c r="G2183" i="1"/>
  <c r="M2183" i="1" s="1"/>
  <c r="N2183" i="1" s="1"/>
  <c r="W2182" i="1"/>
  <c r="V2182" i="1"/>
  <c r="U2182" i="1"/>
  <c r="P2182" i="1"/>
  <c r="L2182" i="1"/>
  <c r="G2182" i="1"/>
  <c r="W2181" i="1"/>
  <c r="V2181" i="1"/>
  <c r="U2181" i="1"/>
  <c r="P2181" i="1"/>
  <c r="L2181" i="1"/>
  <c r="K2181" i="1"/>
  <c r="G2181" i="1"/>
  <c r="M2181" i="1" s="1"/>
  <c r="N2181" i="1" s="1"/>
  <c r="V2180" i="1"/>
  <c r="W2180" i="1" s="1"/>
  <c r="U2180" i="1"/>
  <c r="P2180" i="1"/>
  <c r="L2180" i="1"/>
  <c r="K2180" i="1"/>
  <c r="G2180" i="1"/>
  <c r="W2179" i="1"/>
  <c r="V2179" i="1"/>
  <c r="U2179" i="1"/>
  <c r="P2179" i="1"/>
  <c r="M2179" i="1"/>
  <c r="N2179" i="1" s="1"/>
  <c r="L2179" i="1"/>
  <c r="G2179" i="1"/>
  <c r="K2179" i="1" s="1"/>
  <c r="V2178" i="1"/>
  <c r="W2178" i="1" s="1"/>
  <c r="U2178" i="1"/>
  <c r="P2178" i="1"/>
  <c r="N2178" i="1"/>
  <c r="M2178" i="1"/>
  <c r="L2178" i="1"/>
  <c r="K2178" i="1"/>
  <c r="G2178" i="1"/>
  <c r="V2177" i="1"/>
  <c r="W2177" i="1" s="1"/>
  <c r="U2177" i="1"/>
  <c r="P2177" i="1"/>
  <c r="L2177" i="1"/>
  <c r="M2177" i="1" s="1"/>
  <c r="N2177" i="1" s="1"/>
  <c r="G2177" i="1"/>
  <c r="K2177" i="1" s="1"/>
  <c r="W2176" i="1"/>
  <c r="V2176" i="1"/>
  <c r="U2176" i="1"/>
  <c r="P2176" i="1"/>
  <c r="L2176" i="1"/>
  <c r="G2176" i="1"/>
  <c r="M2176" i="1" s="1"/>
  <c r="N2176" i="1" s="1"/>
  <c r="V2175" i="1"/>
  <c r="W2175" i="1" s="1"/>
  <c r="U2175" i="1"/>
  <c r="P2175" i="1"/>
  <c r="L2175" i="1"/>
  <c r="K2175" i="1"/>
  <c r="G2175" i="1"/>
  <c r="M2175" i="1" s="1"/>
  <c r="N2175" i="1" s="1"/>
  <c r="W2174" i="1"/>
  <c r="V2174" i="1"/>
  <c r="U2174" i="1"/>
  <c r="P2174" i="1"/>
  <c r="L2174" i="1"/>
  <c r="G2174" i="1"/>
  <c r="W2173" i="1"/>
  <c r="V2173" i="1"/>
  <c r="U2173" i="1"/>
  <c r="P2173" i="1"/>
  <c r="L2173" i="1"/>
  <c r="K2173" i="1"/>
  <c r="G2173" i="1"/>
  <c r="M2173" i="1" s="1"/>
  <c r="N2173" i="1" s="1"/>
  <c r="V2172" i="1"/>
  <c r="W2172" i="1" s="1"/>
  <c r="U2172" i="1"/>
  <c r="P2172" i="1"/>
  <c r="L2172" i="1"/>
  <c r="K2172" i="1"/>
  <c r="G2172" i="1"/>
  <c r="W2171" i="1"/>
  <c r="V2171" i="1"/>
  <c r="U2171" i="1"/>
  <c r="P2171" i="1"/>
  <c r="M2171" i="1"/>
  <c r="N2171" i="1" s="1"/>
  <c r="L2171" i="1"/>
  <c r="G2171" i="1"/>
  <c r="K2171" i="1" s="1"/>
  <c r="V2170" i="1"/>
  <c r="W2170" i="1" s="1"/>
  <c r="U2170" i="1"/>
  <c r="P2170" i="1"/>
  <c r="N2170" i="1"/>
  <c r="M2170" i="1"/>
  <c r="L2170" i="1"/>
  <c r="K2170" i="1"/>
  <c r="G2170" i="1"/>
  <c r="V2169" i="1"/>
  <c r="W2169" i="1" s="1"/>
  <c r="U2169" i="1"/>
  <c r="P2169" i="1"/>
  <c r="L2169" i="1"/>
  <c r="M2169" i="1" s="1"/>
  <c r="N2169" i="1" s="1"/>
  <c r="G2169" i="1"/>
  <c r="K2169" i="1" s="1"/>
  <c r="W2168" i="1"/>
  <c r="V2168" i="1"/>
  <c r="U2168" i="1"/>
  <c r="P2168" i="1"/>
  <c r="L2168" i="1"/>
  <c r="G2168" i="1"/>
  <c r="M2168" i="1" s="1"/>
  <c r="N2168" i="1" s="1"/>
  <c r="V2167" i="1"/>
  <c r="W2167" i="1" s="1"/>
  <c r="U2167" i="1"/>
  <c r="P2167" i="1"/>
  <c r="L2167" i="1"/>
  <c r="K2167" i="1"/>
  <c r="G2167" i="1"/>
  <c r="M2167" i="1" s="1"/>
  <c r="N2167" i="1" s="1"/>
  <c r="W2166" i="1"/>
  <c r="V2166" i="1"/>
  <c r="U2166" i="1"/>
  <c r="P2166" i="1"/>
  <c r="L2166" i="1"/>
  <c r="G2166" i="1"/>
  <c r="W2165" i="1"/>
  <c r="V2165" i="1"/>
  <c r="U2165" i="1"/>
  <c r="P2165" i="1"/>
  <c r="L2165" i="1"/>
  <c r="K2165" i="1"/>
  <c r="G2165" i="1"/>
  <c r="M2165" i="1" s="1"/>
  <c r="N2165" i="1" s="1"/>
  <c r="V2164" i="1"/>
  <c r="W2164" i="1" s="1"/>
  <c r="U2164" i="1"/>
  <c r="P2164" i="1"/>
  <c r="L2164" i="1"/>
  <c r="K2164" i="1"/>
  <c r="G2164" i="1"/>
  <c r="W2163" i="1"/>
  <c r="V2163" i="1"/>
  <c r="U2163" i="1"/>
  <c r="P2163" i="1"/>
  <c r="M2163" i="1"/>
  <c r="N2163" i="1" s="1"/>
  <c r="L2163" i="1"/>
  <c r="G2163" i="1"/>
  <c r="K2163" i="1" s="1"/>
  <c r="V2162" i="1"/>
  <c r="W2162" i="1" s="1"/>
  <c r="U2162" i="1"/>
  <c r="P2162" i="1"/>
  <c r="N2162" i="1"/>
  <c r="M2162" i="1"/>
  <c r="L2162" i="1"/>
  <c r="K2162" i="1"/>
  <c r="G2162" i="1"/>
  <c r="V2161" i="1"/>
  <c r="W2161" i="1" s="1"/>
  <c r="U2161" i="1"/>
  <c r="P2161" i="1"/>
  <c r="L2161" i="1"/>
  <c r="M2161" i="1" s="1"/>
  <c r="N2161" i="1" s="1"/>
  <c r="G2161" i="1"/>
  <c r="K2161" i="1" s="1"/>
  <c r="W2160" i="1"/>
  <c r="V2160" i="1"/>
  <c r="U2160" i="1"/>
  <c r="P2160" i="1"/>
  <c r="L2160" i="1"/>
  <c r="G2160" i="1"/>
  <c r="M2160" i="1" s="1"/>
  <c r="N2160" i="1" s="1"/>
  <c r="V2159" i="1"/>
  <c r="W2159" i="1" s="1"/>
  <c r="U2159" i="1"/>
  <c r="P2159" i="1"/>
  <c r="L2159" i="1"/>
  <c r="K2159" i="1"/>
  <c r="G2159" i="1"/>
  <c r="M2159" i="1" s="1"/>
  <c r="N2159" i="1" s="1"/>
  <c r="W2158" i="1"/>
  <c r="V2158" i="1"/>
  <c r="U2158" i="1"/>
  <c r="P2158" i="1"/>
  <c r="L2158" i="1"/>
  <c r="G2158" i="1"/>
  <c r="W2157" i="1"/>
  <c r="V2157" i="1"/>
  <c r="U2157" i="1"/>
  <c r="P2157" i="1"/>
  <c r="L2157" i="1"/>
  <c r="K2157" i="1"/>
  <c r="G2157" i="1"/>
  <c r="M2157" i="1" s="1"/>
  <c r="N2157" i="1" s="1"/>
  <c r="V2156" i="1"/>
  <c r="W2156" i="1" s="1"/>
  <c r="U2156" i="1"/>
  <c r="P2156" i="1"/>
  <c r="L2156" i="1"/>
  <c r="K2156" i="1"/>
  <c r="G2156" i="1"/>
  <c r="M2156" i="1" s="1"/>
  <c r="N2156" i="1" s="1"/>
  <c r="W2155" i="1"/>
  <c r="V2155" i="1"/>
  <c r="U2155" i="1"/>
  <c r="P2155" i="1"/>
  <c r="M2155" i="1"/>
  <c r="N2155" i="1" s="1"/>
  <c r="L2155" i="1"/>
  <c r="G2155" i="1"/>
  <c r="K2155" i="1" s="1"/>
  <c r="V2154" i="1"/>
  <c r="W2154" i="1" s="1"/>
  <c r="U2154" i="1"/>
  <c r="P2154" i="1"/>
  <c r="N2154" i="1"/>
  <c r="M2154" i="1"/>
  <c r="L2154" i="1"/>
  <c r="K2154" i="1"/>
  <c r="G2154" i="1"/>
  <c r="V2153" i="1"/>
  <c r="W2153" i="1" s="1"/>
  <c r="U2153" i="1"/>
  <c r="P2153" i="1"/>
  <c r="L2153" i="1"/>
  <c r="M2153" i="1" s="1"/>
  <c r="N2153" i="1" s="1"/>
  <c r="G2153" i="1"/>
  <c r="K2153" i="1" s="1"/>
  <c r="W2152" i="1"/>
  <c r="V2152" i="1"/>
  <c r="U2152" i="1"/>
  <c r="P2152" i="1"/>
  <c r="L2152" i="1"/>
  <c r="G2152" i="1"/>
  <c r="M2152" i="1" s="1"/>
  <c r="N2152" i="1" s="1"/>
  <c r="V2151" i="1"/>
  <c r="W2151" i="1" s="1"/>
  <c r="U2151" i="1"/>
  <c r="P2151" i="1"/>
  <c r="L2151" i="1"/>
  <c r="K2151" i="1"/>
  <c r="G2151" i="1"/>
  <c r="M2151" i="1" s="1"/>
  <c r="N2151" i="1" s="1"/>
  <c r="W2150" i="1"/>
  <c r="V2150" i="1"/>
  <c r="U2150" i="1"/>
  <c r="P2150" i="1"/>
  <c r="L2150" i="1"/>
  <c r="G2150" i="1"/>
  <c r="W2149" i="1"/>
  <c r="V2149" i="1"/>
  <c r="U2149" i="1"/>
  <c r="P2149" i="1"/>
  <c r="L2149" i="1"/>
  <c r="K2149" i="1"/>
  <c r="G2149" i="1"/>
  <c r="M2149" i="1" s="1"/>
  <c r="N2149" i="1" s="1"/>
  <c r="V2148" i="1"/>
  <c r="W2148" i="1" s="1"/>
  <c r="U2148" i="1"/>
  <c r="P2148" i="1"/>
  <c r="L2148" i="1"/>
  <c r="K2148" i="1"/>
  <c r="G2148" i="1"/>
  <c r="M2148" i="1" s="1"/>
  <c r="N2148" i="1" s="1"/>
  <c r="W2147" i="1"/>
  <c r="V2147" i="1"/>
  <c r="U2147" i="1"/>
  <c r="P2147" i="1"/>
  <c r="M2147" i="1"/>
  <c r="N2147" i="1" s="1"/>
  <c r="L2147" i="1"/>
  <c r="G2147" i="1"/>
  <c r="K2147" i="1" s="1"/>
  <c r="V2146" i="1"/>
  <c r="W2146" i="1" s="1"/>
  <c r="U2146" i="1"/>
  <c r="P2146" i="1"/>
  <c r="N2146" i="1"/>
  <c r="M2146" i="1"/>
  <c r="L2146" i="1"/>
  <c r="K2146" i="1"/>
  <c r="G2146" i="1"/>
  <c r="V2145" i="1"/>
  <c r="W2145" i="1" s="1"/>
  <c r="U2145" i="1"/>
  <c r="P2145" i="1"/>
  <c r="L2145" i="1"/>
  <c r="M2145" i="1" s="1"/>
  <c r="N2145" i="1" s="1"/>
  <c r="G2145" i="1"/>
  <c r="K2145" i="1" s="1"/>
  <c r="W2144" i="1"/>
  <c r="V2144" i="1"/>
  <c r="U2144" i="1"/>
  <c r="P2144" i="1"/>
  <c r="L2144" i="1"/>
  <c r="G2144" i="1"/>
  <c r="M2144" i="1" s="1"/>
  <c r="N2144" i="1" s="1"/>
  <c r="V2143" i="1"/>
  <c r="W2143" i="1" s="1"/>
  <c r="U2143" i="1"/>
  <c r="P2143" i="1"/>
  <c r="L2143" i="1"/>
  <c r="K2143" i="1"/>
  <c r="G2143" i="1"/>
  <c r="M2143" i="1" s="1"/>
  <c r="N2143" i="1" s="1"/>
  <c r="W2142" i="1"/>
  <c r="V2142" i="1"/>
  <c r="U2142" i="1"/>
  <c r="P2142" i="1"/>
  <c r="L2142" i="1"/>
  <c r="G2142" i="1"/>
  <c r="W2141" i="1"/>
  <c r="V2141" i="1"/>
  <c r="U2141" i="1"/>
  <c r="P2141" i="1"/>
  <c r="L2141" i="1"/>
  <c r="K2141" i="1"/>
  <c r="G2141" i="1"/>
  <c r="M2141" i="1" s="1"/>
  <c r="N2141" i="1" s="1"/>
  <c r="V2140" i="1"/>
  <c r="W2140" i="1" s="1"/>
  <c r="U2140" i="1"/>
  <c r="P2140" i="1"/>
  <c r="L2140" i="1"/>
  <c r="K2140" i="1"/>
  <c r="G2140" i="1"/>
  <c r="M2140" i="1" s="1"/>
  <c r="N2140" i="1" s="1"/>
  <c r="W2139" i="1"/>
  <c r="V2139" i="1"/>
  <c r="U2139" i="1"/>
  <c r="P2139" i="1"/>
  <c r="M2139" i="1"/>
  <c r="N2139" i="1" s="1"/>
  <c r="L2139" i="1"/>
  <c r="G2139" i="1"/>
  <c r="K2139" i="1" s="1"/>
  <c r="V2138" i="1"/>
  <c r="W2138" i="1" s="1"/>
  <c r="U2138" i="1"/>
  <c r="P2138" i="1"/>
  <c r="N2138" i="1"/>
  <c r="M2138" i="1"/>
  <c r="L2138" i="1"/>
  <c r="K2138" i="1"/>
  <c r="G2138" i="1"/>
  <c r="V2137" i="1"/>
  <c r="W2137" i="1" s="1"/>
  <c r="U2137" i="1"/>
  <c r="P2137" i="1"/>
  <c r="L2137" i="1"/>
  <c r="M2137" i="1" s="1"/>
  <c r="N2137" i="1" s="1"/>
  <c r="G2137" i="1"/>
  <c r="K2137" i="1" s="1"/>
  <c r="W2136" i="1"/>
  <c r="V2136" i="1"/>
  <c r="U2136" i="1"/>
  <c r="P2136" i="1"/>
  <c r="L2136" i="1"/>
  <c r="G2136" i="1"/>
  <c r="M2136" i="1" s="1"/>
  <c r="N2136" i="1" s="1"/>
  <c r="V2135" i="1"/>
  <c r="W2135" i="1" s="1"/>
  <c r="U2135" i="1"/>
  <c r="P2135" i="1"/>
  <c r="L2135" i="1"/>
  <c r="K2135" i="1"/>
  <c r="G2135" i="1"/>
  <c r="M2135" i="1" s="1"/>
  <c r="N2135" i="1" s="1"/>
  <c r="W2134" i="1"/>
  <c r="V2134" i="1"/>
  <c r="U2134" i="1"/>
  <c r="P2134" i="1"/>
  <c r="L2134" i="1"/>
  <c r="G2134" i="1"/>
  <c r="W2133" i="1"/>
  <c r="V2133" i="1"/>
  <c r="U2133" i="1"/>
  <c r="P2133" i="1"/>
  <c r="L2133" i="1"/>
  <c r="K2133" i="1"/>
  <c r="G2133" i="1"/>
  <c r="M2133" i="1" s="1"/>
  <c r="N2133" i="1" s="1"/>
  <c r="V2132" i="1"/>
  <c r="W2132" i="1" s="1"/>
  <c r="U2132" i="1"/>
  <c r="P2132" i="1"/>
  <c r="L2132" i="1"/>
  <c r="K2132" i="1"/>
  <c r="G2132" i="1"/>
  <c r="M2132" i="1" s="1"/>
  <c r="N2132" i="1" s="1"/>
  <c r="W2131" i="1"/>
  <c r="V2131" i="1"/>
  <c r="U2131" i="1"/>
  <c r="P2131" i="1"/>
  <c r="M2131" i="1"/>
  <c r="N2131" i="1" s="1"/>
  <c r="L2131" i="1"/>
  <c r="G2131" i="1"/>
  <c r="K2131" i="1" s="1"/>
  <c r="V2130" i="1"/>
  <c r="W2130" i="1" s="1"/>
  <c r="U2130" i="1"/>
  <c r="P2130" i="1"/>
  <c r="M2130" i="1"/>
  <c r="N2130" i="1" s="1"/>
  <c r="L2130" i="1"/>
  <c r="K2130" i="1"/>
  <c r="G2130" i="1"/>
  <c r="V2129" i="1"/>
  <c r="W2129" i="1" s="1"/>
  <c r="U2129" i="1"/>
  <c r="P2129" i="1"/>
  <c r="L2129" i="1"/>
  <c r="M2129" i="1" s="1"/>
  <c r="N2129" i="1" s="1"/>
  <c r="G2129" i="1"/>
  <c r="K2129" i="1" s="1"/>
  <c r="W2128" i="1"/>
  <c r="V2128" i="1"/>
  <c r="U2128" i="1"/>
  <c r="P2128" i="1"/>
  <c r="L2128" i="1"/>
  <c r="G2128" i="1"/>
  <c r="M2128" i="1" s="1"/>
  <c r="N2128" i="1" s="1"/>
  <c r="V2127" i="1"/>
  <c r="W2127" i="1" s="1"/>
  <c r="U2127" i="1"/>
  <c r="P2127" i="1"/>
  <c r="L2127" i="1"/>
  <c r="K2127" i="1"/>
  <c r="G2127" i="1"/>
  <c r="M2127" i="1" s="1"/>
  <c r="N2127" i="1" s="1"/>
  <c r="W2126" i="1"/>
  <c r="V2126" i="1"/>
  <c r="U2126" i="1"/>
  <c r="P2126" i="1"/>
  <c r="L2126" i="1"/>
  <c r="G2126" i="1"/>
  <c r="W2125" i="1"/>
  <c r="V2125" i="1"/>
  <c r="U2125" i="1"/>
  <c r="P2125" i="1"/>
  <c r="L2125" i="1"/>
  <c r="K2125" i="1"/>
  <c r="G2125" i="1"/>
  <c r="M2125" i="1" s="1"/>
  <c r="N2125" i="1" s="1"/>
  <c r="V2124" i="1"/>
  <c r="W2124" i="1" s="1"/>
  <c r="U2124" i="1"/>
  <c r="P2124" i="1"/>
  <c r="L2124" i="1"/>
  <c r="K2124" i="1"/>
  <c r="G2124" i="1"/>
  <c r="W2123" i="1"/>
  <c r="V2123" i="1"/>
  <c r="U2123" i="1"/>
  <c r="P2123" i="1"/>
  <c r="L2123" i="1"/>
  <c r="M2123" i="1" s="1"/>
  <c r="N2123" i="1" s="1"/>
  <c r="G2123" i="1"/>
  <c r="K2123" i="1" s="1"/>
  <c r="V2122" i="1"/>
  <c r="W2122" i="1" s="1"/>
  <c r="U2122" i="1"/>
  <c r="P2122" i="1"/>
  <c r="N2122" i="1"/>
  <c r="M2122" i="1"/>
  <c r="L2122" i="1"/>
  <c r="K2122" i="1"/>
  <c r="G2122" i="1"/>
  <c r="V2121" i="1"/>
  <c r="W2121" i="1" s="1"/>
  <c r="U2121" i="1"/>
  <c r="P2121" i="1"/>
  <c r="N2121" i="1"/>
  <c r="L2121" i="1"/>
  <c r="M2121" i="1" s="1"/>
  <c r="G2121" i="1"/>
  <c r="K2121" i="1" s="1"/>
  <c r="W2120" i="1"/>
  <c r="V2120" i="1"/>
  <c r="U2120" i="1"/>
  <c r="P2120" i="1"/>
  <c r="L2120" i="1"/>
  <c r="G2120" i="1"/>
  <c r="V2119" i="1"/>
  <c r="W2119" i="1" s="1"/>
  <c r="U2119" i="1"/>
  <c r="P2119" i="1"/>
  <c r="L2119" i="1"/>
  <c r="K2119" i="1"/>
  <c r="G2119" i="1"/>
  <c r="M2119" i="1" s="1"/>
  <c r="N2119" i="1" s="1"/>
  <c r="V2118" i="1"/>
  <c r="W2118" i="1" s="1"/>
  <c r="U2118" i="1"/>
  <c r="P2118" i="1"/>
  <c r="L2118" i="1"/>
  <c r="G2118" i="1"/>
  <c r="W2117" i="1"/>
  <c r="V2117" i="1"/>
  <c r="U2117" i="1"/>
  <c r="P2117" i="1"/>
  <c r="M2117" i="1"/>
  <c r="N2117" i="1" s="1"/>
  <c r="L2117" i="1"/>
  <c r="K2117" i="1"/>
  <c r="G2117" i="1"/>
  <c r="V2116" i="1"/>
  <c r="W2116" i="1" s="1"/>
  <c r="U2116" i="1"/>
  <c r="P2116" i="1"/>
  <c r="N2116" i="1"/>
  <c r="L2116" i="1"/>
  <c r="K2116" i="1"/>
  <c r="G2116" i="1"/>
  <c r="M2116" i="1" s="1"/>
  <c r="W2115" i="1"/>
  <c r="V2115" i="1"/>
  <c r="U2115" i="1"/>
  <c r="P2115" i="1"/>
  <c r="M2115" i="1"/>
  <c r="N2115" i="1" s="1"/>
  <c r="L2115" i="1"/>
  <c r="G2115" i="1"/>
  <c r="K2115" i="1" s="1"/>
  <c r="V2114" i="1"/>
  <c r="W2114" i="1" s="1"/>
  <c r="U2114" i="1"/>
  <c r="P2114" i="1"/>
  <c r="N2114" i="1"/>
  <c r="M2114" i="1"/>
  <c r="L2114" i="1"/>
  <c r="K2114" i="1"/>
  <c r="G2114" i="1"/>
  <c r="V2113" i="1"/>
  <c r="W2113" i="1" s="1"/>
  <c r="U2113" i="1"/>
  <c r="P2113" i="1"/>
  <c r="N2113" i="1"/>
  <c r="L2113" i="1"/>
  <c r="M2113" i="1" s="1"/>
  <c r="G2113" i="1"/>
  <c r="K2113" i="1" s="1"/>
  <c r="W2112" i="1"/>
  <c r="V2112" i="1"/>
  <c r="U2112" i="1"/>
  <c r="P2112" i="1"/>
  <c r="M2112" i="1"/>
  <c r="N2112" i="1" s="1"/>
  <c r="L2112" i="1"/>
  <c r="G2112" i="1"/>
  <c r="K2112" i="1" s="1"/>
  <c r="V2111" i="1"/>
  <c r="W2111" i="1" s="1"/>
  <c r="U2111" i="1"/>
  <c r="P2111" i="1"/>
  <c r="N2111" i="1"/>
  <c r="L2111" i="1"/>
  <c r="K2111" i="1"/>
  <c r="G2111" i="1"/>
  <c r="M2111" i="1" s="1"/>
  <c r="V2110" i="1"/>
  <c r="W2110" i="1" s="1"/>
  <c r="U2110" i="1"/>
  <c r="P2110" i="1"/>
  <c r="L2110" i="1"/>
  <c r="G2110" i="1"/>
  <c r="W2109" i="1"/>
  <c r="V2109" i="1"/>
  <c r="U2109" i="1"/>
  <c r="P2109" i="1"/>
  <c r="M2109" i="1"/>
  <c r="N2109" i="1" s="1"/>
  <c r="L2109" i="1"/>
  <c r="K2109" i="1"/>
  <c r="G2109" i="1"/>
  <c r="V2108" i="1"/>
  <c r="W2108" i="1" s="1"/>
  <c r="U2108" i="1"/>
  <c r="P2108" i="1"/>
  <c r="N2108" i="1"/>
  <c r="L2108" i="1"/>
  <c r="K2108" i="1"/>
  <c r="G2108" i="1"/>
  <c r="M2108" i="1" s="1"/>
  <c r="W2107" i="1"/>
  <c r="V2107" i="1"/>
  <c r="U2107" i="1"/>
  <c r="P2107" i="1"/>
  <c r="M2107" i="1"/>
  <c r="N2107" i="1" s="1"/>
  <c r="L2107" i="1"/>
  <c r="G2107" i="1"/>
  <c r="K2107" i="1" s="1"/>
  <c r="V2106" i="1"/>
  <c r="W2106" i="1" s="1"/>
  <c r="U2106" i="1"/>
  <c r="P2106" i="1"/>
  <c r="N2106" i="1"/>
  <c r="M2106" i="1"/>
  <c r="L2106" i="1"/>
  <c r="K2106" i="1"/>
  <c r="G2106" i="1"/>
  <c r="V2105" i="1"/>
  <c r="W2105" i="1" s="1"/>
  <c r="U2105" i="1"/>
  <c r="P2105" i="1"/>
  <c r="N2105" i="1"/>
  <c r="L2105" i="1"/>
  <c r="M2105" i="1" s="1"/>
  <c r="G2105" i="1"/>
  <c r="K2105" i="1" s="1"/>
  <c r="W2104" i="1"/>
  <c r="V2104" i="1"/>
  <c r="U2104" i="1"/>
  <c r="P2104" i="1"/>
  <c r="M2104" i="1"/>
  <c r="N2104" i="1" s="1"/>
  <c r="L2104" i="1"/>
  <c r="G2104" i="1"/>
  <c r="K2104" i="1" s="1"/>
  <c r="V2103" i="1"/>
  <c r="W2103" i="1" s="1"/>
  <c r="U2103" i="1"/>
  <c r="P2103" i="1"/>
  <c r="N2103" i="1"/>
  <c r="L2103" i="1"/>
  <c r="K2103" i="1"/>
  <c r="G2103" i="1"/>
  <c r="M2103" i="1" s="1"/>
  <c r="V2102" i="1"/>
  <c r="W2102" i="1" s="1"/>
  <c r="U2102" i="1"/>
  <c r="P2102" i="1"/>
  <c r="L2102" i="1"/>
  <c r="G2102" i="1"/>
  <c r="W2101" i="1"/>
  <c r="V2101" i="1"/>
  <c r="U2101" i="1"/>
  <c r="P2101" i="1"/>
  <c r="M2101" i="1"/>
  <c r="N2101" i="1" s="1"/>
  <c r="L2101" i="1"/>
  <c r="K2101" i="1"/>
  <c r="G2101" i="1"/>
  <c r="V2100" i="1"/>
  <c r="W2100" i="1" s="1"/>
  <c r="U2100" i="1"/>
  <c r="P2100" i="1"/>
  <c r="N2100" i="1"/>
  <c r="L2100" i="1"/>
  <c r="K2100" i="1"/>
  <c r="G2100" i="1"/>
  <c r="M2100" i="1" s="1"/>
  <c r="W2099" i="1"/>
  <c r="V2099" i="1"/>
  <c r="U2099" i="1"/>
  <c r="P2099" i="1"/>
  <c r="M2099" i="1"/>
  <c r="N2099" i="1" s="1"/>
  <c r="L2099" i="1"/>
  <c r="G2099" i="1"/>
  <c r="K2099" i="1" s="1"/>
  <c r="V2098" i="1"/>
  <c r="W2098" i="1" s="1"/>
  <c r="U2098" i="1"/>
  <c r="P2098" i="1"/>
  <c r="N2098" i="1"/>
  <c r="M2098" i="1"/>
  <c r="L2098" i="1"/>
  <c r="K2098" i="1"/>
  <c r="G2098" i="1"/>
  <c r="V2097" i="1"/>
  <c r="W2097" i="1" s="1"/>
  <c r="U2097" i="1"/>
  <c r="P2097" i="1"/>
  <c r="N2097" i="1"/>
  <c r="L2097" i="1"/>
  <c r="M2097" i="1" s="1"/>
  <c r="G2097" i="1"/>
  <c r="K2097" i="1" s="1"/>
  <c r="W2096" i="1"/>
  <c r="V2096" i="1"/>
  <c r="U2096" i="1"/>
  <c r="P2096" i="1"/>
  <c r="M2096" i="1"/>
  <c r="N2096" i="1" s="1"/>
  <c r="L2096" i="1"/>
  <c r="G2096" i="1"/>
  <c r="K2096" i="1" s="1"/>
  <c r="V2095" i="1"/>
  <c r="W2095" i="1" s="1"/>
  <c r="U2095" i="1"/>
  <c r="P2095" i="1"/>
  <c r="N2095" i="1"/>
  <c r="L2095" i="1"/>
  <c r="K2095" i="1"/>
  <c r="G2095" i="1"/>
  <c r="M2095" i="1" s="1"/>
  <c r="V2094" i="1"/>
  <c r="W2094" i="1" s="1"/>
  <c r="U2094" i="1"/>
  <c r="P2094" i="1"/>
  <c r="L2094" i="1"/>
  <c r="G2094" i="1"/>
  <c r="W2093" i="1"/>
  <c r="V2093" i="1"/>
  <c r="U2093" i="1"/>
  <c r="P2093" i="1"/>
  <c r="M2093" i="1"/>
  <c r="N2093" i="1" s="1"/>
  <c r="L2093" i="1"/>
  <c r="K2093" i="1"/>
  <c r="G2093" i="1"/>
  <c r="V2092" i="1"/>
  <c r="W2092" i="1" s="1"/>
  <c r="U2092" i="1"/>
  <c r="P2092" i="1"/>
  <c r="N2092" i="1"/>
  <c r="L2092" i="1"/>
  <c r="K2092" i="1"/>
  <c r="G2092" i="1"/>
  <c r="M2092" i="1" s="1"/>
  <c r="W2091" i="1"/>
  <c r="V2091" i="1"/>
  <c r="U2091" i="1"/>
  <c r="P2091" i="1"/>
  <c r="M2091" i="1"/>
  <c r="N2091" i="1" s="1"/>
  <c r="L2091" i="1"/>
  <c r="G2091" i="1"/>
  <c r="K2091" i="1" s="1"/>
  <c r="V2090" i="1"/>
  <c r="W2090" i="1" s="1"/>
  <c r="U2090" i="1"/>
  <c r="P2090" i="1"/>
  <c r="N2090" i="1"/>
  <c r="M2090" i="1"/>
  <c r="L2090" i="1"/>
  <c r="K2090" i="1"/>
  <c r="G2090" i="1"/>
  <c r="V2089" i="1"/>
  <c r="W2089" i="1" s="1"/>
  <c r="U2089" i="1"/>
  <c r="P2089" i="1"/>
  <c r="N2089" i="1"/>
  <c r="L2089" i="1"/>
  <c r="M2089" i="1" s="1"/>
  <c r="G2089" i="1"/>
  <c r="K2089" i="1" s="1"/>
  <c r="W2088" i="1"/>
  <c r="V2088" i="1"/>
  <c r="U2088" i="1"/>
  <c r="P2088" i="1"/>
  <c r="M2088" i="1"/>
  <c r="N2088" i="1" s="1"/>
  <c r="L2088" i="1"/>
  <c r="G2088" i="1"/>
  <c r="K2088" i="1" s="1"/>
  <c r="V2087" i="1"/>
  <c r="W2087" i="1" s="1"/>
  <c r="U2087" i="1"/>
  <c r="P2087" i="1"/>
  <c r="N2087" i="1"/>
  <c r="L2087" i="1"/>
  <c r="K2087" i="1"/>
  <c r="G2087" i="1"/>
  <c r="M2087" i="1" s="1"/>
  <c r="V2086" i="1"/>
  <c r="W2086" i="1" s="1"/>
  <c r="U2086" i="1"/>
  <c r="P2086" i="1"/>
  <c r="L2086" i="1"/>
  <c r="G2086" i="1"/>
  <c r="W2085" i="1"/>
  <c r="V2085" i="1"/>
  <c r="U2085" i="1"/>
  <c r="P2085" i="1"/>
  <c r="M2085" i="1"/>
  <c r="N2085" i="1" s="1"/>
  <c r="L2085" i="1"/>
  <c r="K2085" i="1"/>
  <c r="G2085" i="1"/>
  <c r="W2084" i="1"/>
  <c r="V2084" i="1"/>
  <c r="U2084" i="1"/>
  <c r="P2084" i="1"/>
  <c r="L2084" i="1"/>
  <c r="K2084" i="1"/>
  <c r="G2084" i="1"/>
  <c r="W2083" i="1"/>
  <c r="V2083" i="1"/>
  <c r="U2083" i="1"/>
  <c r="P2083" i="1"/>
  <c r="M2083" i="1"/>
  <c r="N2083" i="1" s="1"/>
  <c r="L2083" i="1"/>
  <c r="K2083" i="1"/>
  <c r="G2083" i="1"/>
  <c r="V2082" i="1"/>
  <c r="W2082" i="1" s="1"/>
  <c r="U2082" i="1"/>
  <c r="P2082" i="1"/>
  <c r="N2082" i="1"/>
  <c r="M2082" i="1"/>
  <c r="L2082" i="1"/>
  <c r="K2082" i="1"/>
  <c r="G2082" i="1"/>
  <c r="V2081" i="1"/>
  <c r="W2081" i="1" s="1"/>
  <c r="U2081" i="1"/>
  <c r="P2081" i="1"/>
  <c r="N2081" i="1"/>
  <c r="M2081" i="1"/>
  <c r="L2081" i="1"/>
  <c r="G2081" i="1"/>
  <c r="K2081" i="1" s="1"/>
  <c r="W2080" i="1"/>
  <c r="V2080" i="1"/>
  <c r="U2080" i="1"/>
  <c r="P2080" i="1"/>
  <c r="L2080" i="1"/>
  <c r="G2080" i="1"/>
  <c r="K2080" i="1" s="1"/>
  <c r="V2079" i="1"/>
  <c r="W2079" i="1" s="1"/>
  <c r="U2079" i="1"/>
  <c r="P2079" i="1"/>
  <c r="L2079" i="1"/>
  <c r="K2079" i="1"/>
  <c r="G2079" i="1"/>
  <c r="M2079" i="1" s="1"/>
  <c r="N2079" i="1" s="1"/>
  <c r="W2078" i="1"/>
  <c r="V2078" i="1"/>
  <c r="U2078" i="1"/>
  <c r="P2078" i="1"/>
  <c r="L2078" i="1"/>
  <c r="G2078" i="1"/>
  <c r="W2077" i="1"/>
  <c r="V2077" i="1"/>
  <c r="U2077" i="1"/>
  <c r="P2077" i="1"/>
  <c r="L2077" i="1"/>
  <c r="G2077" i="1"/>
  <c r="W2076" i="1"/>
  <c r="V2076" i="1"/>
  <c r="U2076" i="1"/>
  <c r="P2076" i="1"/>
  <c r="L2076" i="1"/>
  <c r="G2076" i="1"/>
  <c r="W2075" i="1"/>
  <c r="V2075" i="1"/>
  <c r="U2075" i="1"/>
  <c r="P2075" i="1"/>
  <c r="L2075" i="1"/>
  <c r="G2075" i="1"/>
  <c r="V2074" i="1"/>
  <c r="W2074" i="1" s="1"/>
  <c r="U2074" i="1"/>
  <c r="P2074" i="1"/>
  <c r="M2074" i="1"/>
  <c r="N2074" i="1" s="1"/>
  <c r="L2074" i="1"/>
  <c r="K2074" i="1"/>
  <c r="G2074" i="1"/>
  <c r="V2073" i="1"/>
  <c r="W2073" i="1" s="1"/>
  <c r="U2073" i="1"/>
  <c r="P2073" i="1"/>
  <c r="M2073" i="1"/>
  <c r="N2073" i="1" s="1"/>
  <c r="L2073" i="1"/>
  <c r="G2073" i="1"/>
  <c r="K2073" i="1" s="1"/>
  <c r="W2072" i="1"/>
  <c r="V2072" i="1"/>
  <c r="U2072" i="1"/>
  <c r="P2072" i="1"/>
  <c r="M2072" i="1"/>
  <c r="N2072" i="1" s="1"/>
  <c r="L2072" i="1"/>
  <c r="G2072" i="1"/>
  <c r="K2072" i="1" s="1"/>
  <c r="V2071" i="1"/>
  <c r="W2071" i="1" s="1"/>
  <c r="U2071" i="1"/>
  <c r="P2071" i="1"/>
  <c r="N2071" i="1"/>
  <c r="L2071" i="1"/>
  <c r="K2071" i="1"/>
  <c r="G2071" i="1"/>
  <c r="M2071" i="1" s="1"/>
  <c r="V2070" i="1"/>
  <c r="W2070" i="1" s="1"/>
  <c r="U2070" i="1"/>
  <c r="P2070" i="1"/>
  <c r="L2070" i="1"/>
  <c r="G2070" i="1"/>
  <c r="W2069" i="1"/>
  <c r="V2069" i="1"/>
  <c r="U2069" i="1"/>
  <c r="P2069" i="1"/>
  <c r="M2069" i="1"/>
  <c r="N2069" i="1" s="1"/>
  <c r="L2069" i="1"/>
  <c r="K2069" i="1"/>
  <c r="G2069" i="1"/>
  <c r="W2068" i="1"/>
  <c r="V2068" i="1"/>
  <c r="U2068" i="1"/>
  <c r="P2068" i="1"/>
  <c r="L2068" i="1"/>
  <c r="K2068" i="1"/>
  <c r="G2068" i="1"/>
  <c r="W2067" i="1"/>
  <c r="V2067" i="1"/>
  <c r="U2067" i="1"/>
  <c r="P2067" i="1"/>
  <c r="M2067" i="1"/>
  <c r="N2067" i="1" s="1"/>
  <c r="L2067" i="1"/>
  <c r="K2067" i="1"/>
  <c r="G2067" i="1"/>
  <c r="V2066" i="1"/>
  <c r="W2066" i="1" s="1"/>
  <c r="U2066" i="1"/>
  <c r="P2066" i="1"/>
  <c r="N2066" i="1"/>
  <c r="M2066" i="1"/>
  <c r="L2066" i="1"/>
  <c r="K2066" i="1"/>
  <c r="G2066" i="1"/>
  <c r="W2065" i="1"/>
  <c r="V2065" i="1"/>
  <c r="U2065" i="1"/>
  <c r="P2065" i="1"/>
  <c r="L2065" i="1"/>
  <c r="M2065" i="1" s="1"/>
  <c r="N2065" i="1" s="1"/>
  <c r="G2065" i="1"/>
  <c r="K2065" i="1" s="1"/>
  <c r="W2064" i="1"/>
  <c r="V2064" i="1"/>
  <c r="U2064" i="1"/>
  <c r="P2064" i="1"/>
  <c r="L2064" i="1"/>
  <c r="G2064" i="1"/>
  <c r="M2064" i="1" s="1"/>
  <c r="N2064" i="1" s="1"/>
  <c r="V2063" i="1"/>
  <c r="W2063" i="1" s="1"/>
  <c r="U2063" i="1"/>
  <c r="P2063" i="1"/>
  <c r="L2063" i="1"/>
  <c r="K2063" i="1"/>
  <c r="G2063" i="1"/>
  <c r="W2062" i="1"/>
  <c r="V2062" i="1"/>
  <c r="U2062" i="1"/>
  <c r="P2062" i="1"/>
  <c r="L2062" i="1"/>
  <c r="G2062" i="1"/>
  <c r="K2062" i="1" s="1"/>
  <c r="V2061" i="1"/>
  <c r="W2061" i="1" s="1"/>
  <c r="U2061" i="1"/>
  <c r="P2061" i="1"/>
  <c r="N2061" i="1"/>
  <c r="M2061" i="1"/>
  <c r="L2061" i="1"/>
  <c r="K2061" i="1"/>
  <c r="G2061" i="1"/>
  <c r="W2060" i="1"/>
  <c r="V2060" i="1"/>
  <c r="U2060" i="1"/>
  <c r="P2060" i="1"/>
  <c r="L2060" i="1"/>
  <c r="K2060" i="1"/>
  <c r="G2060" i="1"/>
  <c r="W2059" i="1"/>
  <c r="V2059" i="1"/>
  <c r="U2059" i="1"/>
  <c r="P2059" i="1"/>
  <c r="M2059" i="1"/>
  <c r="N2059" i="1" s="1"/>
  <c r="L2059" i="1"/>
  <c r="K2059" i="1"/>
  <c r="G2059" i="1"/>
  <c r="V2058" i="1"/>
  <c r="W2058" i="1" s="1"/>
  <c r="U2058" i="1"/>
  <c r="P2058" i="1"/>
  <c r="N2058" i="1"/>
  <c r="M2058" i="1"/>
  <c r="L2058" i="1"/>
  <c r="K2058" i="1"/>
  <c r="G2058" i="1"/>
  <c r="W2057" i="1"/>
  <c r="V2057" i="1"/>
  <c r="U2057" i="1"/>
  <c r="P2057" i="1"/>
  <c r="L2057" i="1"/>
  <c r="M2057" i="1" s="1"/>
  <c r="N2057" i="1" s="1"/>
  <c r="G2057" i="1"/>
  <c r="K2057" i="1" s="1"/>
  <c r="W2056" i="1"/>
  <c r="V2056" i="1"/>
  <c r="U2056" i="1"/>
  <c r="P2056" i="1"/>
  <c r="L2056" i="1"/>
  <c r="G2056" i="1"/>
  <c r="M2056" i="1" s="1"/>
  <c r="N2056" i="1" s="1"/>
  <c r="V2055" i="1"/>
  <c r="W2055" i="1" s="1"/>
  <c r="U2055" i="1"/>
  <c r="P2055" i="1"/>
  <c r="L2055" i="1"/>
  <c r="K2055" i="1"/>
  <c r="G2055" i="1"/>
  <c r="W2054" i="1"/>
  <c r="V2054" i="1"/>
  <c r="U2054" i="1"/>
  <c r="P2054" i="1"/>
  <c r="L2054" i="1"/>
  <c r="G2054" i="1"/>
  <c r="K2054" i="1" s="1"/>
  <c r="V2053" i="1"/>
  <c r="W2053" i="1" s="1"/>
  <c r="U2053" i="1"/>
  <c r="P2053" i="1"/>
  <c r="N2053" i="1"/>
  <c r="M2053" i="1"/>
  <c r="L2053" i="1"/>
  <c r="K2053" i="1"/>
  <c r="G2053" i="1"/>
  <c r="W2052" i="1"/>
  <c r="V2052" i="1"/>
  <c r="U2052" i="1"/>
  <c r="P2052" i="1"/>
  <c r="L2052" i="1"/>
  <c r="K2052" i="1"/>
  <c r="G2052" i="1"/>
  <c r="W2051" i="1"/>
  <c r="V2051" i="1"/>
  <c r="U2051" i="1"/>
  <c r="P2051" i="1"/>
  <c r="L2051" i="1"/>
  <c r="G2051" i="1"/>
  <c r="M2051" i="1" s="1"/>
  <c r="N2051" i="1" s="1"/>
  <c r="W2050" i="1"/>
  <c r="V2050" i="1"/>
  <c r="U2050" i="1"/>
  <c r="P2050" i="1"/>
  <c r="M2050" i="1"/>
  <c r="N2050" i="1" s="1"/>
  <c r="L2050" i="1"/>
  <c r="K2050" i="1"/>
  <c r="G2050" i="1"/>
  <c r="V2049" i="1"/>
  <c r="W2049" i="1" s="1"/>
  <c r="U2049" i="1"/>
  <c r="P2049" i="1"/>
  <c r="L2049" i="1"/>
  <c r="K2049" i="1"/>
  <c r="G2049" i="1"/>
  <c r="M2049" i="1" s="1"/>
  <c r="N2049" i="1" s="1"/>
  <c r="W2048" i="1"/>
  <c r="V2048" i="1"/>
  <c r="U2048" i="1"/>
  <c r="P2048" i="1"/>
  <c r="L2048" i="1"/>
  <c r="G2048" i="1"/>
  <c r="W2047" i="1"/>
  <c r="V2047" i="1"/>
  <c r="U2047" i="1"/>
  <c r="P2047" i="1"/>
  <c r="L2047" i="1"/>
  <c r="K2047" i="1"/>
  <c r="G2047" i="1"/>
  <c r="M2047" i="1" s="1"/>
  <c r="N2047" i="1" s="1"/>
  <c r="V2046" i="1"/>
  <c r="W2046" i="1" s="1"/>
  <c r="U2046" i="1"/>
  <c r="P2046" i="1"/>
  <c r="L2046" i="1"/>
  <c r="K2046" i="1"/>
  <c r="G2046" i="1"/>
  <c r="W2045" i="1"/>
  <c r="V2045" i="1"/>
  <c r="U2045" i="1"/>
  <c r="P2045" i="1"/>
  <c r="M2045" i="1"/>
  <c r="N2045" i="1" s="1"/>
  <c r="L2045" i="1"/>
  <c r="G2045" i="1"/>
  <c r="K2045" i="1" s="1"/>
  <c r="V2044" i="1"/>
  <c r="W2044" i="1" s="1"/>
  <c r="U2044" i="1"/>
  <c r="P2044" i="1"/>
  <c r="N2044" i="1"/>
  <c r="M2044" i="1"/>
  <c r="L2044" i="1"/>
  <c r="K2044" i="1"/>
  <c r="G2044" i="1"/>
  <c r="W2043" i="1"/>
  <c r="V2043" i="1"/>
  <c r="U2043" i="1"/>
  <c r="P2043" i="1"/>
  <c r="L2043" i="1"/>
  <c r="G2043" i="1"/>
  <c r="M2043" i="1" s="1"/>
  <c r="N2043" i="1" s="1"/>
  <c r="W2042" i="1"/>
  <c r="V2042" i="1"/>
  <c r="U2042" i="1"/>
  <c r="P2042" i="1"/>
  <c r="M2042" i="1"/>
  <c r="N2042" i="1" s="1"/>
  <c r="L2042" i="1"/>
  <c r="K2042" i="1"/>
  <c r="G2042" i="1"/>
  <c r="V2041" i="1"/>
  <c r="W2041" i="1" s="1"/>
  <c r="U2041" i="1"/>
  <c r="P2041" i="1"/>
  <c r="L2041" i="1"/>
  <c r="K2041" i="1"/>
  <c r="G2041" i="1"/>
  <c r="M2041" i="1" s="1"/>
  <c r="N2041" i="1" s="1"/>
  <c r="W2040" i="1"/>
  <c r="V2040" i="1"/>
  <c r="U2040" i="1"/>
  <c r="P2040" i="1"/>
  <c r="L2040" i="1"/>
  <c r="G2040" i="1"/>
  <c r="W2039" i="1"/>
  <c r="V2039" i="1"/>
  <c r="U2039" i="1"/>
  <c r="P2039" i="1"/>
  <c r="L2039" i="1"/>
  <c r="K2039" i="1"/>
  <c r="G2039" i="1"/>
  <c r="M2039" i="1" s="1"/>
  <c r="N2039" i="1" s="1"/>
  <c r="V2038" i="1"/>
  <c r="W2038" i="1" s="1"/>
  <c r="U2038" i="1"/>
  <c r="P2038" i="1"/>
  <c r="L2038" i="1"/>
  <c r="K2038" i="1"/>
  <c r="G2038" i="1"/>
  <c r="M2038" i="1" s="1"/>
  <c r="N2038" i="1" s="1"/>
  <c r="W2037" i="1"/>
  <c r="V2037" i="1"/>
  <c r="U2037" i="1"/>
  <c r="P2037" i="1"/>
  <c r="M2037" i="1"/>
  <c r="N2037" i="1" s="1"/>
  <c r="L2037" i="1"/>
  <c r="G2037" i="1"/>
  <c r="K2037" i="1" s="1"/>
  <c r="V2036" i="1"/>
  <c r="W2036" i="1" s="1"/>
  <c r="U2036" i="1"/>
  <c r="P2036" i="1"/>
  <c r="N2036" i="1"/>
  <c r="M2036" i="1"/>
  <c r="L2036" i="1"/>
  <c r="K2036" i="1"/>
  <c r="G2036" i="1"/>
  <c r="W2035" i="1"/>
  <c r="V2035" i="1"/>
  <c r="U2035" i="1"/>
  <c r="P2035" i="1"/>
  <c r="L2035" i="1"/>
  <c r="G2035" i="1"/>
  <c r="M2035" i="1" s="1"/>
  <c r="N2035" i="1" s="1"/>
  <c r="W2034" i="1"/>
  <c r="V2034" i="1"/>
  <c r="U2034" i="1"/>
  <c r="P2034" i="1"/>
  <c r="M2034" i="1"/>
  <c r="N2034" i="1" s="1"/>
  <c r="L2034" i="1"/>
  <c r="K2034" i="1"/>
  <c r="G2034" i="1"/>
  <c r="V2033" i="1"/>
  <c r="W2033" i="1" s="1"/>
  <c r="U2033" i="1"/>
  <c r="P2033" i="1"/>
  <c r="L2033" i="1"/>
  <c r="K2033" i="1"/>
  <c r="G2033" i="1"/>
  <c r="M2033" i="1" s="1"/>
  <c r="N2033" i="1" s="1"/>
  <c r="W2032" i="1"/>
  <c r="V2032" i="1"/>
  <c r="U2032" i="1"/>
  <c r="P2032" i="1"/>
  <c r="L2032" i="1"/>
  <c r="G2032" i="1"/>
  <c r="W2031" i="1"/>
  <c r="V2031" i="1"/>
  <c r="U2031" i="1"/>
  <c r="P2031" i="1"/>
  <c r="L2031" i="1"/>
  <c r="K2031" i="1"/>
  <c r="G2031" i="1"/>
  <c r="M2031" i="1" s="1"/>
  <c r="N2031" i="1" s="1"/>
  <c r="V2030" i="1"/>
  <c r="W2030" i="1" s="1"/>
  <c r="U2030" i="1"/>
  <c r="P2030" i="1"/>
  <c r="L2030" i="1"/>
  <c r="K2030" i="1"/>
  <c r="G2030" i="1"/>
  <c r="M2030" i="1" s="1"/>
  <c r="N2030" i="1" s="1"/>
  <c r="W2029" i="1"/>
  <c r="V2029" i="1"/>
  <c r="U2029" i="1"/>
  <c r="P2029" i="1"/>
  <c r="M2029" i="1"/>
  <c r="N2029" i="1" s="1"/>
  <c r="L2029" i="1"/>
  <c r="G2029" i="1"/>
  <c r="K2029" i="1" s="1"/>
  <c r="V2028" i="1"/>
  <c r="W2028" i="1" s="1"/>
  <c r="U2028" i="1"/>
  <c r="P2028" i="1"/>
  <c r="N2028" i="1"/>
  <c r="M2028" i="1"/>
  <c r="L2028" i="1"/>
  <c r="K2028" i="1"/>
  <c r="G2028" i="1"/>
  <c r="W2027" i="1"/>
  <c r="V2027" i="1"/>
  <c r="U2027" i="1"/>
  <c r="P2027" i="1"/>
  <c r="L2027" i="1"/>
  <c r="G2027" i="1"/>
  <c r="M2027" i="1" s="1"/>
  <c r="N2027" i="1" s="1"/>
  <c r="W2026" i="1"/>
  <c r="V2026" i="1"/>
  <c r="U2026" i="1"/>
  <c r="P2026" i="1"/>
  <c r="M2026" i="1"/>
  <c r="N2026" i="1" s="1"/>
  <c r="L2026" i="1"/>
  <c r="K2026" i="1"/>
  <c r="G2026" i="1"/>
  <c r="V2025" i="1"/>
  <c r="W2025" i="1" s="1"/>
  <c r="U2025" i="1"/>
  <c r="P2025" i="1"/>
  <c r="L2025" i="1"/>
  <c r="K2025" i="1"/>
  <c r="G2025" i="1"/>
  <c r="M2025" i="1" s="1"/>
  <c r="N2025" i="1" s="1"/>
  <c r="W2024" i="1"/>
  <c r="V2024" i="1"/>
  <c r="U2024" i="1"/>
  <c r="P2024" i="1"/>
  <c r="L2024" i="1"/>
  <c r="G2024" i="1"/>
  <c r="W2023" i="1"/>
  <c r="V2023" i="1"/>
  <c r="U2023" i="1"/>
  <c r="P2023" i="1"/>
  <c r="L2023" i="1"/>
  <c r="K2023" i="1"/>
  <c r="G2023" i="1"/>
  <c r="M2023" i="1" s="1"/>
  <c r="N2023" i="1" s="1"/>
  <c r="V2022" i="1"/>
  <c r="W2022" i="1" s="1"/>
  <c r="U2022" i="1"/>
  <c r="P2022" i="1"/>
  <c r="L2022" i="1"/>
  <c r="K2022" i="1"/>
  <c r="G2022" i="1"/>
  <c r="W2021" i="1"/>
  <c r="V2021" i="1"/>
  <c r="U2021" i="1"/>
  <c r="P2021" i="1"/>
  <c r="M2021" i="1"/>
  <c r="N2021" i="1" s="1"/>
  <c r="L2021" i="1"/>
  <c r="G2021" i="1"/>
  <c r="K2021" i="1" s="1"/>
  <c r="V2020" i="1"/>
  <c r="W2020" i="1" s="1"/>
  <c r="U2020" i="1"/>
  <c r="P2020" i="1"/>
  <c r="N2020" i="1"/>
  <c r="M2020" i="1"/>
  <c r="L2020" i="1"/>
  <c r="K2020" i="1"/>
  <c r="G2020" i="1"/>
  <c r="W2019" i="1"/>
  <c r="V2019" i="1"/>
  <c r="U2019" i="1"/>
  <c r="P2019" i="1"/>
  <c r="L2019" i="1"/>
  <c r="G2019" i="1"/>
  <c r="M2019" i="1" s="1"/>
  <c r="N2019" i="1" s="1"/>
  <c r="W2018" i="1"/>
  <c r="V2018" i="1"/>
  <c r="U2018" i="1"/>
  <c r="P2018" i="1"/>
  <c r="M2018" i="1"/>
  <c r="N2018" i="1" s="1"/>
  <c r="L2018" i="1"/>
  <c r="K2018" i="1"/>
  <c r="G2018" i="1"/>
  <c r="V2017" i="1"/>
  <c r="W2017" i="1" s="1"/>
  <c r="U2017" i="1"/>
  <c r="P2017" i="1"/>
  <c r="L2017" i="1"/>
  <c r="K2017" i="1"/>
  <c r="G2017" i="1"/>
  <c r="M2017" i="1" s="1"/>
  <c r="N2017" i="1" s="1"/>
  <c r="W2016" i="1"/>
  <c r="V2016" i="1"/>
  <c r="U2016" i="1"/>
  <c r="P2016" i="1"/>
  <c r="L2016" i="1"/>
  <c r="G2016" i="1"/>
  <c r="W2015" i="1"/>
  <c r="V2015" i="1"/>
  <c r="U2015" i="1"/>
  <c r="P2015" i="1"/>
  <c r="L2015" i="1"/>
  <c r="K2015" i="1"/>
  <c r="G2015" i="1"/>
  <c r="M2015" i="1" s="1"/>
  <c r="N2015" i="1" s="1"/>
  <c r="V2014" i="1"/>
  <c r="W2014" i="1" s="1"/>
  <c r="U2014" i="1"/>
  <c r="P2014" i="1"/>
  <c r="L2014" i="1"/>
  <c r="K2014" i="1"/>
  <c r="G2014" i="1"/>
  <c r="W2013" i="1"/>
  <c r="V2013" i="1"/>
  <c r="U2013" i="1"/>
  <c r="P2013" i="1"/>
  <c r="M2013" i="1"/>
  <c r="N2013" i="1" s="1"/>
  <c r="L2013" i="1"/>
  <c r="G2013" i="1"/>
  <c r="K2013" i="1" s="1"/>
  <c r="V2012" i="1"/>
  <c r="W2012" i="1" s="1"/>
  <c r="U2012" i="1"/>
  <c r="P2012" i="1"/>
  <c r="N2012" i="1"/>
  <c r="M2012" i="1"/>
  <c r="L2012" i="1"/>
  <c r="K2012" i="1"/>
  <c r="G2012" i="1"/>
  <c r="W2011" i="1"/>
  <c r="V2011" i="1"/>
  <c r="U2011" i="1"/>
  <c r="P2011" i="1"/>
  <c r="L2011" i="1"/>
  <c r="G2011" i="1"/>
  <c r="M2011" i="1" s="1"/>
  <c r="N2011" i="1" s="1"/>
  <c r="W2010" i="1"/>
  <c r="V2010" i="1"/>
  <c r="U2010" i="1"/>
  <c r="P2010" i="1"/>
  <c r="M2010" i="1"/>
  <c r="N2010" i="1" s="1"/>
  <c r="L2010" i="1"/>
  <c r="K2010" i="1"/>
  <c r="G2010" i="1"/>
  <c r="V2009" i="1"/>
  <c r="W2009" i="1" s="1"/>
  <c r="U2009" i="1"/>
  <c r="P2009" i="1"/>
  <c r="L2009" i="1"/>
  <c r="K2009" i="1"/>
  <c r="G2009" i="1"/>
  <c r="M2009" i="1" s="1"/>
  <c r="N2009" i="1" s="1"/>
  <c r="W2008" i="1"/>
  <c r="V2008" i="1"/>
  <c r="U2008" i="1"/>
  <c r="P2008" i="1"/>
  <c r="L2008" i="1"/>
  <c r="G2008" i="1"/>
  <c r="W2007" i="1"/>
  <c r="V2007" i="1"/>
  <c r="U2007" i="1"/>
  <c r="P2007" i="1"/>
  <c r="L2007" i="1"/>
  <c r="K2007" i="1"/>
  <c r="G2007" i="1"/>
  <c r="M2007" i="1" s="1"/>
  <c r="N2007" i="1" s="1"/>
  <c r="V2006" i="1"/>
  <c r="W2006" i="1" s="1"/>
  <c r="U2006" i="1"/>
  <c r="P2006" i="1"/>
  <c r="L2006" i="1"/>
  <c r="K2006" i="1"/>
  <c r="G2006" i="1"/>
  <c r="M2006" i="1" s="1"/>
  <c r="N2006" i="1" s="1"/>
  <c r="W2005" i="1"/>
  <c r="V2005" i="1"/>
  <c r="U2005" i="1"/>
  <c r="P2005" i="1"/>
  <c r="M2005" i="1"/>
  <c r="N2005" i="1" s="1"/>
  <c r="L2005" i="1"/>
  <c r="G2005" i="1"/>
  <c r="K2005" i="1" s="1"/>
  <c r="V2004" i="1"/>
  <c r="W2004" i="1" s="1"/>
  <c r="U2004" i="1"/>
  <c r="P2004" i="1"/>
  <c r="N2004" i="1"/>
  <c r="M2004" i="1"/>
  <c r="L2004" i="1"/>
  <c r="K2004" i="1"/>
  <c r="G2004" i="1"/>
  <c r="W2003" i="1"/>
  <c r="V2003" i="1"/>
  <c r="U2003" i="1"/>
  <c r="P2003" i="1"/>
  <c r="L2003" i="1"/>
  <c r="G2003" i="1"/>
  <c r="M2003" i="1" s="1"/>
  <c r="N2003" i="1" s="1"/>
  <c r="W2002" i="1"/>
  <c r="V2002" i="1"/>
  <c r="U2002" i="1"/>
  <c r="P2002" i="1"/>
  <c r="M2002" i="1"/>
  <c r="N2002" i="1" s="1"/>
  <c r="L2002" i="1"/>
  <c r="K2002" i="1"/>
  <c r="G2002" i="1"/>
  <c r="V2001" i="1"/>
  <c r="W2001" i="1" s="1"/>
  <c r="U2001" i="1"/>
  <c r="P2001" i="1"/>
  <c r="L2001" i="1"/>
  <c r="K2001" i="1"/>
  <c r="G2001" i="1"/>
  <c r="M2001" i="1" s="1"/>
  <c r="N2001" i="1" s="1"/>
  <c r="W2000" i="1"/>
  <c r="V2000" i="1"/>
  <c r="U2000" i="1"/>
  <c r="P2000" i="1"/>
  <c r="L2000" i="1"/>
  <c r="G2000" i="1"/>
  <c r="W1999" i="1"/>
  <c r="V1999" i="1"/>
  <c r="U1999" i="1"/>
  <c r="P1999" i="1"/>
  <c r="L1999" i="1"/>
  <c r="K1999" i="1"/>
  <c r="G1999" i="1"/>
  <c r="M1999" i="1" s="1"/>
  <c r="N1999" i="1" s="1"/>
  <c r="V1998" i="1"/>
  <c r="W1998" i="1" s="1"/>
  <c r="U1998" i="1"/>
  <c r="P1998" i="1"/>
  <c r="L1998" i="1"/>
  <c r="K1998" i="1"/>
  <c r="G1998" i="1"/>
  <c r="M1998" i="1" s="1"/>
  <c r="N1998" i="1" s="1"/>
  <c r="W1997" i="1"/>
  <c r="V1997" i="1"/>
  <c r="U1997" i="1"/>
  <c r="P1997" i="1"/>
  <c r="M1997" i="1"/>
  <c r="N1997" i="1" s="1"/>
  <c r="L1997" i="1"/>
  <c r="G1997" i="1"/>
  <c r="K1997" i="1" s="1"/>
  <c r="V1996" i="1"/>
  <c r="W1996" i="1" s="1"/>
  <c r="U1996" i="1"/>
  <c r="P1996" i="1"/>
  <c r="N1996" i="1"/>
  <c r="M1996" i="1"/>
  <c r="L1996" i="1"/>
  <c r="K1996" i="1"/>
  <c r="G1996" i="1"/>
  <c r="W1995" i="1"/>
  <c r="V1995" i="1"/>
  <c r="U1995" i="1"/>
  <c r="P1995" i="1"/>
  <c r="L1995" i="1"/>
  <c r="G1995" i="1"/>
  <c r="W1994" i="1"/>
  <c r="V1994" i="1"/>
  <c r="U1994" i="1"/>
  <c r="P1994" i="1"/>
  <c r="M1994" i="1"/>
  <c r="N1994" i="1" s="1"/>
  <c r="L1994" i="1"/>
  <c r="K1994" i="1"/>
  <c r="G1994" i="1"/>
  <c r="V1993" i="1"/>
  <c r="W1993" i="1" s="1"/>
  <c r="U1993" i="1"/>
  <c r="P1993" i="1"/>
  <c r="L1993" i="1"/>
  <c r="K1993" i="1"/>
  <c r="G1993" i="1"/>
  <c r="M1993" i="1" s="1"/>
  <c r="N1993" i="1" s="1"/>
  <c r="W1992" i="1"/>
  <c r="V1992" i="1"/>
  <c r="U1992" i="1"/>
  <c r="P1992" i="1"/>
  <c r="L1992" i="1"/>
  <c r="G1992" i="1"/>
  <c r="W1991" i="1"/>
  <c r="V1991" i="1"/>
  <c r="U1991" i="1"/>
  <c r="P1991" i="1"/>
  <c r="L1991" i="1"/>
  <c r="K1991" i="1"/>
  <c r="G1991" i="1"/>
  <c r="M1991" i="1" s="1"/>
  <c r="N1991" i="1" s="1"/>
  <c r="V1990" i="1"/>
  <c r="W1990" i="1" s="1"/>
  <c r="U1990" i="1"/>
  <c r="P1990" i="1"/>
  <c r="L1990" i="1"/>
  <c r="K1990" i="1"/>
  <c r="G1990" i="1"/>
  <c r="W1989" i="1"/>
  <c r="V1989" i="1"/>
  <c r="U1989" i="1"/>
  <c r="P1989" i="1"/>
  <c r="M1989" i="1"/>
  <c r="N1989" i="1" s="1"/>
  <c r="L1989" i="1"/>
  <c r="G1989" i="1"/>
  <c r="K1989" i="1" s="1"/>
  <c r="V1988" i="1"/>
  <c r="W1988" i="1" s="1"/>
  <c r="U1988" i="1"/>
  <c r="P1988" i="1"/>
  <c r="N1988" i="1"/>
  <c r="M1988" i="1"/>
  <c r="L1988" i="1"/>
  <c r="K1988" i="1"/>
  <c r="G1988" i="1"/>
  <c r="W1987" i="1"/>
  <c r="V1987" i="1"/>
  <c r="U1987" i="1"/>
  <c r="P1987" i="1"/>
  <c r="L1987" i="1"/>
  <c r="G1987" i="1"/>
  <c r="M1987" i="1" s="1"/>
  <c r="N1987" i="1" s="1"/>
  <c r="W1986" i="1"/>
  <c r="V1986" i="1"/>
  <c r="U1986" i="1"/>
  <c r="P1986" i="1"/>
  <c r="M1986" i="1"/>
  <c r="N1986" i="1" s="1"/>
  <c r="L1986" i="1"/>
  <c r="K1986" i="1"/>
  <c r="G1986" i="1"/>
  <c r="V1985" i="1"/>
  <c r="W1985" i="1" s="1"/>
  <c r="U1985" i="1"/>
  <c r="P1985" i="1"/>
  <c r="L1985" i="1"/>
  <c r="K1985" i="1"/>
  <c r="G1985" i="1"/>
  <c r="M1985" i="1" s="1"/>
  <c r="N1985" i="1" s="1"/>
  <c r="W1984" i="1"/>
  <c r="V1984" i="1"/>
  <c r="U1984" i="1"/>
  <c r="P1984" i="1"/>
  <c r="L1984" i="1"/>
  <c r="G1984" i="1"/>
  <c r="W1983" i="1"/>
  <c r="V1983" i="1"/>
  <c r="U1983" i="1"/>
  <c r="P1983" i="1"/>
  <c r="L1983" i="1"/>
  <c r="K1983" i="1"/>
  <c r="G1983" i="1"/>
  <c r="M1983" i="1" s="1"/>
  <c r="N1983" i="1" s="1"/>
  <c r="V1982" i="1"/>
  <c r="W1982" i="1" s="1"/>
  <c r="U1982" i="1"/>
  <c r="P1982" i="1"/>
  <c r="L1982" i="1"/>
  <c r="K1982" i="1"/>
  <c r="G1982" i="1"/>
  <c r="W1981" i="1"/>
  <c r="V1981" i="1"/>
  <c r="U1981" i="1"/>
  <c r="P1981" i="1"/>
  <c r="L1981" i="1"/>
  <c r="G1981" i="1"/>
  <c r="K1981" i="1" s="1"/>
  <c r="V1980" i="1"/>
  <c r="W1980" i="1" s="1"/>
  <c r="U1980" i="1"/>
  <c r="P1980" i="1"/>
  <c r="N1980" i="1"/>
  <c r="M1980" i="1"/>
  <c r="L1980" i="1"/>
  <c r="K1980" i="1"/>
  <c r="G1980" i="1"/>
  <c r="W1979" i="1"/>
  <c r="V1979" i="1"/>
  <c r="U1979" i="1"/>
  <c r="P1979" i="1"/>
  <c r="L1979" i="1"/>
  <c r="G1979" i="1"/>
  <c r="W1978" i="1"/>
  <c r="V1978" i="1"/>
  <c r="U1978" i="1"/>
  <c r="P1978" i="1"/>
  <c r="M1978" i="1"/>
  <c r="N1978" i="1" s="1"/>
  <c r="L1978" i="1"/>
  <c r="K1978" i="1"/>
  <c r="G1978" i="1"/>
  <c r="V1977" i="1"/>
  <c r="W1977" i="1" s="1"/>
  <c r="U1977" i="1"/>
  <c r="P1977" i="1"/>
  <c r="L1977" i="1"/>
  <c r="K1977" i="1"/>
  <c r="G1977" i="1"/>
  <c r="M1977" i="1" s="1"/>
  <c r="N1977" i="1" s="1"/>
  <c r="V1976" i="1"/>
  <c r="W1976" i="1" s="1"/>
  <c r="U1976" i="1"/>
  <c r="P1976" i="1"/>
  <c r="L1976" i="1"/>
  <c r="G1976" i="1"/>
  <c r="W1975" i="1"/>
  <c r="V1975" i="1"/>
  <c r="U1975" i="1"/>
  <c r="P1975" i="1"/>
  <c r="L1975" i="1"/>
  <c r="G1975" i="1"/>
  <c r="M1975" i="1" s="1"/>
  <c r="N1975" i="1" s="1"/>
  <c r="V1974" i="1"/>
  <c r="W1974" i="1" s="1"/>
  <c r="U1974" i="1"/>
  <c r="P1974" i="1"/>
  <c r="L1974" i="1"/>
  <c r="K1974" i="1"/>
  <c r="G1974" i="1"/>
  <c r="M1974" i="1" s="1"/>
  <c r="N1974" i="1" s="1"/>
  <c r="W1973" i="1"/>
  <c r="V1973" i="1"/>
  <c r="U1973" i="1"/>
  <c r="P1973" i="1"/>
  <c r="M1973" i="1"/>
  <c r="N1973" i="1" s="1"/>
  <c r="L1973" i="1"/>
  <c r="G1973" i="1"/>
  <c r="K1973" i="1" s="1"/>
  <c r="V1972" i="1"/>
  <c r="W1972" i="1" s="1"/>
  <c r="U1972" i="1"/>
  <c r="P1972" i="1"/>
  <c r="M1972" i="1"/>
  <c r="N1972" i="1" s="1"/>
  <c r="L1972" i="1"/>
  <c r="K1972" i="1"/>
  <c r="G1972" i="1"/>
  <c r="W1971" i="1"/>
  <c r="V1971" i="1"/>
  <c r="U1971" i="1"/>
  <c r="P1971" i="1"/>
  <c r="L1971" i="1"/>
  <c r="G1971" i="1"/>
  <c r="W1970" i="1"/>
  <c r="V1970" i="1"/>
  <c r="U1970" i="1"/>
  <c r="P1970" i="1"/>
  <c r="M1970" i="1"/>
  <c r="N1970" i="1" s="1"/>
  <c r="L1970" i="1"/>
  <c r="K1970" i="1"/>
  <c r="G1970" i="1"/>
  <c r="V1969" i="1"/>
  <c r="W1969" i="1" s="1"/>
  <c r="U1969" i="1"/>
  <c r="P1969" i="1"/>
  <c r="L1969" i="1"/>
  <c r="K1969" i="1"/>
  <c r="G1969" i="1"/>
  <c r="M1969" i="1" s="1"/>
  <c r="N1969" i="1" s="1"/>
  <c r="V1968" i="1"/>
  <c r="W1968" i="1" s="1"/>
  <c r="U1968" i="1"/>
  <c r="P1968" i="1"/>
  <c r="L1968" i="1"/>
  <c r="G1968" i="1"/>
  <c r="K1968" i="1" s="1"/>
  <c r="W1967" i="1"/>
  <c r="V1967" i="1"/>
  <c r="U1967" i="1"/>
  <c r="P1967" i="1"/>
  <c r="L1967" i="1"/>
  <c r="G1967" i="1"/>
  <c r="M1967" i="1" s="1"/>
  <c r="N1967" i="1" s="1"/>
  <c r="V1966" i="1"/>
  <c r="W1966" i="1" s="1"/>
  <c r="U1966" i="1"/>
  <c r="P1966" i="1"/>
  <c r="L1966" i="1"/>
  <c r="K1966" i="1"/>
  <c r="G1966" i="1"/>
  <c r="W1965" i="1"/>
  <c r="V1965" i="1"/>
  <c r="U1965" i="1"/>
  <c r="P1965" i="1"/>
  <c r="M1965" i="1"/>
  <c r="N1965" i="1" s="1"/>
  <c r="L1965" i="1"/>
  <c r="G1965" i="1"/>
  <c r="K1965" i="1" s="1"/>
  <c r="V1964" i="1"/>
  <c r="W1964" i="1" s="1"/>
  <c r="U1964" i="1"/>
  <c r="P1964" i="1"/>
  <c r="N1964" i="1"/>
  <c r="M1964" i="1"/>
  <c r="L1964" i="1"/>
  <c r="K1964" i="1"/>
  <c r="G1964" i="1"/>
  <c r="V1963" i="1"/>
  <c r="W1963" i="1" s="1"/>
  <c r="U1963" i="1"/>
  <c r="P1963" i="1"/>
  <c r="L1963" i="1"/>
  <c r="G1963" i="1"/>
  <c r="W1962" i="1"/>
  <c r="V1962" i="1"/>
  <c r="U1962" i="1"/>
  <c r="P1962" i="1"/>
  <c r="M1962" i="1"/>
  <c r="N1962" i="1" s="1"/>
  <c r="L1962" i="1"/>
  <c r="K1962" i="1"/>
  <c r="G1962" i="1"/>
  <c r="V1961" i="1"/>
  <c r="W1961" i="1" s="1"/>
  <c r="U1961" i="1"/>
  <c r="P1961" i="1"/>
  <c r="L1961" i="1"/>
  <c r="K1961" i="1"/>
  <c r="G1961" i="1"/>
  <c r="W1960" i="1"/>
  <c r="V1960" i="1"/>
  <c r="U1960" i="1"/>
  <c r="P1960" i="1"/>
  <c r="L1960" i="1"/>
  <c r="G1960" i="1"/>
  <c r="K1960" i="1" s="1"/>
  <c r="W1959" i="1"/>
  <c r="V1959" i="1"/>
  <c r="U1959" i="1"/>
  <c r="P1959" i="1"/>
  <c r="L1959" i="1"/>
  <c r="G1959" i="1"/>
  <c r="K1959" i="1" s="1"/>
  <c r="V1958" i="1"/>
  <c r="W1958" i="1" s="1"/>
  <c r="U1958" i="1"/>
  <c r="P1958" i="1"/>
  <c r="L1958" i="1"/>
  <c r="K1958" i="1"/>
  <c r="G1958" i="1"/>
  <c r="M1958" i="1" s="1"/>
  <c r="N1958" i="1" s="1"/>
  <c r="W1957" i="1"/>
  <c r="V1957" i="1"/>
  <c r="U1957" i="1"/>
  <c r="P1957" i="1"/>
  <c r="L1957" i="1"/>
  <c r="G1957" i="1"/>
  <c r="V1956" i="1"/>
  <c r="W1956" i="1" s="1"/>
  <c r="U1956" i="1"/>
  <c r="P1956" i="1"/>
  <c r="N1956" i="1"/>
  <c r="M1956" i="1"/>
  <c r="L1956" i="1"/>
  <c r="K1956" i="1"/>
  <c r="G1956" i="1"/>
  <c r="V1955" i="1"/>
  <c r="W1955" i="1" s="1"/>
  <c r="U1955" i="1"/>
  <c r="P1955" i="1"/>
  <c r="L1955" i="1"/>
  <c r="G1955" i="1"/>
  <c r="W1954" i="1"/>
  <c r="V1954" i="1"/>
  <c r="U1954" i="1"/>
  <c r="P1954" i="1"/>
  <c r="L1954" i="1"/>
  <c r="G1954" i="1"/>
  <c r="M1954" i="1" s="1"/>
  <c r="N1954" i="1" s="1"/>
  <c r="V1953" i="1"/>
  <c r="W1953" i="1" s="1"/>
  <c r="U1953" i="1"/>
  <c r="P1953" i="1"/>
  <c r="N1953" i="1"/>
  <c r="L1953" i="1"/>
  <c r="K1953" i="1"/>
  <c r="G1953" i="1"/>
  <c r="M1953" i="1" s="1"/>
  <c r="V1952" i="1"/>
  <c r="W1952" i="1" s="1"/>
  <c r="U1952" i="1"/>
  <c r="P1952" i="1"/>
  <c r="M1952" i="1"/>
  <c r="N1952" i="1" s="1"/>
  <c r="L1952" i="1"/>
  <c r="G1952" i="1"/>
  <c r="K1952" i="1" s="1"/>
  <c r="V1951" i="1"/>
  <c r="W1951" i="1" s="1"/>
  <c r="U1951" i="1"/>
  <c r="P1951" i="1"/>
  <c r="N1951" i="1"/>
  <c r="M1951" i="1"/>
  <c r="L1951" i="1"/>
  <c r="G1951" i="1"/>
  <c r="K1951" i="1" s="1"/>
  <c r="V1950" i="1"/>
  <c r="W1950" i="1" s="1"/>
  <c r="U1950" i="1"/>
  <c r="P1950" i="1"/>
  <c r="N1950" i="1"/>
  <c r="L1950" i="1"/>
  <c r="G1950" i="1"/>
  <c r="M1950" i="1" s="1"/>
  <c r="W1949" i="1"/>
  <c r="V1949" i="1"/>
  <c r="U1949" i="1"/>
  <c r="P1949" i="1"/>
  <c r="M1949" i="1"/>
  <c r="N1949" i="1" s="1"/>
  <c r="L1949" i="1"/>
  <c r="G1949" i="1"/>
  <c r="K1949" i="1" s="1"/>
  <c r="V1948" i="1"/>
  <c r="W1948" i="1" s="1"/>
  <c r="U1948" i="1"/>
  <c r="P1948" i="1"/>
  <c r="N1948" i="1"/>
  <c r="M1948" i="1"/>
  <c r="L1948" i="1"/>
  <c r="K1948" i="1"/>
  <c r="G1948" i="1"/>
  <c r="V1947" i="1"/>
  <c r="W1947" i="1" s="1"/>
  <c r="U1947" i="1"/>
  <c r="P1947" i="1"/>
  <c r="L1947" i="1"/>
  <c r="G1947" i="1"/>
  <c r="K1947" i="1" s="1"/>
  <c r="W1946" i="1"/>
  <c r="V1946" i="1"/>
  <c r="U1946" i="1"/>
  <c r="P1946" i="1"/>
  <c r="L1946" i="1"/>
  <c r="G1946" i="1"/>
  <c r="M1946" i="1" s="1"/>
  <c r="N1946" i="1" s="1"/>
  <c r="V1945" i="1"/>
  <c r="W1945" i="1" s="1"/>
  <c r="U1945" i="1"/>
  <c r="P1945" i="1"/>
  <c r="N1945" i="1"/>
  <c r="L1945" i="1"/>
  <c r="K1945" i="1"/>
  <c r="G1945" i="1"/>
  <c r="M1945" i="1" s="1"/>
  <c r="V1944" i="1"/>
  <c r="W1944" i="1" s="1"/>
  <c r="U1944" i="1"/>
  <c r="P1944" i="1"/>
  <c r="M1944" i="1"/>
  <c r="N1944" i="1" s="1"/>
  <c r="L1944" i="1"/>
  <c r="G1944" i="1"/>
  <c r="K1944" i="1" s="1"/>
  <c r="V1943" i="1"/>
  <c r="W1943" i="1" s="1"/>
  <c r="U1943" i="1"/>
  <c r="P1943" i="1"/>
  <c r="N1943" i="1"/>
  <c r="M1943" i="1"/>
  <c r="L1943" i="1"/>
  <c r="G1943" i="1"/>
  <c r="K1943" i="1" s="1"/>
  <c r="V1942" i="1"/>
  <c r="W1942" i="1" s="1"/>
  <c r="U1942" i="1"/>
  <c r="P1942" i="1"/>
  <c r="N1942" i="1"/>
  <c r="L1942" i="1"/>
  <c r="G1942" i="1"/>
  <c r="M1942" i="1" s="1"/>
  <c r="W1941" i="1"/>
  <c r="V1941" i="1"/>
  <c r="U1941" i="1"/>
  <c r="P1941" i="1"/>
  <c r="M1941" i="1"/>
  <c r="N1941" i="1" s="1"/>
  <c r="L1941" i="1"/>
  <c r="G1941" i="1"/>
  <c r="K1941" i="1" s="1"/>
  <c r="V1940" i="1"/>
  <c r="W1940" i="1" s="1"/>
  <c r="U1940" i="1"/>
  <c r="P1940" i="1"/>
  <c r="N1940" i="1"/>
  <c r="M1940" i="1"/>
  <c r="L1940" i="1"/>
  <c r="K1940" i="1"/>
  <c r="G1940" i="1"/>
  <c r="V1939" i="1"/>
  <c r="W1939" i="1" s="1"/>
  <c r="U1939" i="1"/>
  <c r="P1939" i="1"/>
  <c r="L1939" i="1"/>
  <c r="G1939" i="1"/>
  <c r="K1939" i="1" s="1"/>
  <c r="W1938" i="1"/>
  <c r="V1938" i="1"/>
  <c r="U1938" i="1"/>
  <c r="P1938" i="1"/>
  <c r="L1938" i="1"/>
  <c r="K1938" i="1"/>
  <c r="G1938" i="1"/>
  <c r="M1938" i="1" s="1"/>
  <c r="N1938" i="1" s="1"/>
  <c r="V1937" i="1"/>
  <c r="W1937" i="1" s="1"/>
  <c r="U1937" i="1"/>
  <c r="P1937" i="1"/>
  <c r="N1937" i="1"/>
  <c r="L1937" i="1"/>
  <c r="K1937" i="1"/>
  <c r="G1937" i="1"/>
  <c r="M1937" i="1" s="1"/>
  <c r="V1936" i="1"/>
  <c r="W1936" i="1" s="1"/>
  <c r="U1936" i="1"/>
  <c r="P1936" i="1"/>
  <c r="M1936" i="1"/>
  <c r="N1936" i="1" s="1"/>
  <c r="L1936" i="1"/>
  <c r="G1936" i="1"/>
  <c r="K1936" i="1" s="1"/>
  <c r="W1935" i="1"/>
  <c r="V1935" i="1"/>
  <c r="U1935" i="1"/>
  <c r="P1935" i="1"/>
  <c r="N1935" i="1"/>
  <c r="M1935" i="1"/>
  <c r="L1935" i="1"/>
  <c r="G1935" i="1"/>
  <c r="K1935" i="1" s="1"/>
  <c r="V1934" i="1"/>
  <c r="W1934" i="1" s="1"/>
  <c r="U1934" i="1"/>
  <c r="P1934" i="1"/>
  <c r="N1934" i="1"/>
  <c r="L1934" i="1"/>
  <c r="G1934" i="1"/>
  <c r="M1934" i="1" s="1"/>
  <c r="W1933" i="1"/>
  <c r="V1933" i="1"/>
  <c r="U1933" i="1"/>
  <c r="P1933" i="1"/>
  <c r="L1933" i="1"/>
  <c r="G1933" i="1"/>
  <c r="M1933" i="1" s="1"/>
  <c r="N1933" i="1" s="1"/>
  <c r="V1932" i="1"/>
  <c r="W1932" i="1" s="1"/>
  <c r="U1932" i="1"/>
  <c r="P1932" i="1"/>
  <c r="N1932" i="1"/>
  <c r="M1932" i="1"/>
  <c r="L1932" i="1"/>
  <c r="K1932" i="1"/>
  <c r="G1932" i="1"/>
  <c r="V1931" i="1"/>
  <c r="W1931" i="1" s="1"/>
  <c r="U1931" i="1"/>
  <c r="P1931" i="1"/>
  <c r="L1931" i="1"/>
  <c r="G1931" i="1"/>
  <c r="K1931" i="1" s="1"/>
  <c r="W1930" i="1"/>
  <c r="V1930" i="1"/>
  <c r="U1930" i="1"/>
  <c r="P1930" i="1"/>
  <c r="L1930" i="1"/>
  <c r="K1930" i="1"/>
  <c r="G1930" i="1"/>
  <c r="M1930" i="1" s="1"/>
  <c r="N1930" i="1" s="1"/>
  <c r="V1929" i="1"/>
  <c r="W1929" i="1" s="1"/>
  <c r="U1929" i="1"/>
  <c r="P1929" i="1"/>
  <c r="L1929" i="1"/>
  <c r="K1929" i="1"/>
  <c r="G1929" i="1"/>
  <c r="M1929" i="1" s="1"/>
  <c r="N1929" i="1" s="1"/>
  <c r="V1928" i="1"/>
  <c r="W1928" i="1" s="1"/>
  <c r="U1928" i="1"/>
  <c r="P1928" i="1"/>
  <c r="M1928" i="1"/>
  <c r="N1928" i="1" s="1"/>
  <c r="L1928" i="1"/>
  <c r="G1928" i="1"/>
  <c r="K1928" i="1" s="1"/>
  <c r="W1927" i="1"/>
  <c r="V1927" i="1"/>
  <c r="U1927" i="1"/>
  <c r="P1927" i="1"/>
  <c r="L1927" i="1"/>
  <c r="G1927" i="1"/>
  <c r="M1927" i="1" s="1"/>
  <c r="N1927" i="1" s="1"/>
  <c r="V1926" i="1"/>
  <c r="W1926" i="1" s="1"/>
  <c r="U1926" i="1"/>
  <c r="P1926" i="1"/>
  <c r="L1926" i="1"/>
  <c r="G1926" i="1"/>
  <c r="M1926" i="1" s="1"/>
  <c r="N1926" i="1" s="1"/>
  <c r="W1925" i="1"/>
  <c r="V1925" i="1"/>
  <c r="U1925" i="1"/>
  <c r="P1925" i="1"/>
  <c r="L1925" i="1"/>
  <c r="G1925" i="1"/>
  <c r="M1925" i="1" s="1"/>
  <c r="N1925" i="1" s="1"/>
  <c r="V1924" i="1"/>
  <c r="W1924" i="1" s="1"/>
  <c r="U1924" i="1"/>
  <c r="P1924" i="1"/>
  <c r="N1924" i="1"/>
  <c r="M1924" i="1"/>
  <c r="L1924" i="1"/>
  <c r="K1924" i="1"/>
  <c r="G1924" i="1"/>
  <c r="V1923" i="1"/>
  <c r="W1923" i="1" s="1"/>
  <c r="U1923" i="1"/>
  <c r="P1923" i="1"/>
  <c r="L1923" i="1"/>
  <c r="G1923" i="1"/>
  <c r="K1923" i="1" s="1"/>
  <c r="V1922" i="1"/>
  <c r="W1922" i="1" s="1"/>
  <c r="U1922" i="1"/>
  <c r="P1922" i="1"/>
  <c r="L1922" i="1"/>
  <c r="K1922" i="1"/>
  <c r="G1922" i="1"/>
  <c r="M1922" i="1" s="1"/>
  <c r="N1922" i="1" s="1"/>
  <c r="W1921" i="1"/>
  <c r="V1921" i="1"/>
  <c r="U1921" i="1"/>
  <c r="P1921" i="1"/>
  <c r="L1921" i="1"/>
  <c r="K1921" i="1"/>
  <c r="G1921" i="1"/>
  <c r="M1921" i="1" s="1"/>
  <c r="N1921" i="1" s="1"/>
  <c r="W1920" i="1"/>
  <c r="V1920" i="1"/>
  <c r="U1920" i="1"/>
  <c r="P1920" i="1"/>
  <c r="L1920" i="1"/>
  <c r="K1920" i="1"/>
  <c r="G1920" i="1"/>
  <c r="M1920" i="1" s="1"/>
  <c r="N1920" i="1" s="1"/>
  <c r="W1919" i="1"/>
  <c r="V1919" i="1"/>
  <c r="U1919" i="1"/>
  <c r="P1919" i="1"/>
  <c r="L1919" i="1"/>
  <c r="G1919" i="1"/>
  <c r="W1918" i="1"/>
  <c r="V1918" i="1"/>
  <c r="U1918" i="1"/>
  <c r="P1918" i="1"/>
  <c r="L1918" i="1"/>
  <c r="K1918" i="1"/>
  <c r="G1918" i="1"/>
  <c r="M1918" i="1" s="1"/>
  <c r="N1918" i="1" s="1"/>
  <c r="W1917" i="1"/>
  <c r="V1917" i="1"/>
  <c r="U1917" i="1"/>
  <c r="P1917" i="1"/>
  <c r="L1917" i="1"/>
  <c r="K1917" i="1"/>
  <c r="G1917" i="1"/>
  <c r="W1916" i="1"/>
  <c r="V1916" i="1"/>
  <c r="U1916" i="1"/>
  <c r="P1916" i="1"/>
  <c r="M1916" i="1"/>
  <c r="N1916" i="1" s="1"/>
  <c r="L1916" i="1"/>
  <c r="K1916" i="1"/>
  <c r="G1916" i="1"/>
  <c r="V1915" i="1"/>
  <c r="W1915" i="1" s="1"/>
  <c r="U1915" i="1"/>
  <c r="P1915" i="1"/>
  <c r="N1915" i="1"/>
  <c r="M1915" i="1"/>
  <c r="L1915" i="1"/>
  <c r="K1915" i="1"/>
  <c r="G1915" i="1"/>
  <c r="V1914" i="1"/>
  <c r="W1914" i="1" s="1"/>
  <c r="U1914" i="1"/>
  <c r="P1914" i="1"/>
  <c r="N1914" i="1"/>
  <c r="M1914" i="1"/>
  <c r="L1914" i="1"/>
  <c r="G1914" i="1"/>
  <c r="K1914" i="1" s="1"/>
  <c r="W1913" i="1"/>
  <c r="V1913" i="1"/>
  <c r="U1913" i="1"/>
  <c r="P1913" i="1"/>
  <c r="L1913" i="1"/>
  <c r="G1913" i="1"/>
  <c r="M1913" i="1" s="1"/>
  <c r="N1913" i="1" s="1"/>
  <c r="V1912" i="1"/>
  <c r="W1912" i="1" s="1"/>
  <c r="U1912" i="1"/>
  <c r="P1912" i="1"/>
  <c r="L1912" i="1"/>
  <c r="K1912" i="1"/>
  <c r="G1912" i="1"/>
  <c r="M1912" i="1" s="1"/>
  <c r="N1912" i="1" s="1"/>
  <c r="W1911" i="1"/>
  <c r="V1911" i="1"/>
  <c r="U1911" i="1"/>
  <c r="P1911" i="1"/>
  <c r="L1911" i="1"/>
  <c r="G1911" i="1"/>
  <c r="W1910" i="1"/>
  <c r="V1910" i="1"/>
  <c r="U1910" i="1"/>
  <c r="P1910" i="1"/>
  <c r="L1910" i="1"/>
  <c r="K1910" i="1"/>
  <c r="G1910" i="1"/>
  <c r="M1910" i="1" s="1"/>
  <c r="N1910" i="1" s="1"/>
  <c r="W1909" i="1"/>
  <c r="V1909" i="1"/>
  <c r="U1909" i="1"/>
  <c r="P1909" i="1"/>
  <c r="L1909" i="1"/>
  <c r="K1909" i="1"/>
  <c r="G1909" i="1"/>
  <c r="W1908" i="1"/>
  <c r="V1908" i="1"/>
  <c r="U1908" i="1"/>
  <c r="P1908" i="1"/>
  <c r="M1908" i="1"/>
  <c r="N1908" i="1" s="1"/>
  <c r="L1908" i="1"/>
  <c r="K1908" i="1"/>
  <c r="G1908" i="1"/>
  <c r="V1907" i="1"/>
  <c r="W1907" i="1" s="1"/>
  <c r="U1907" i="1"/>
  <c r="P1907" i="1"/>
  <c r="N1907" i="1"/>
  <c r="M1907" i="1"/>
  <c r="L1907" i="1"/>
  <c r="K1907" i="1"/>
  <c r="G1907" i="1"/>
  <c r="V1906" i="1"/>
  <c r="W1906" i="1" s="1"/>
  <c r="U1906" i="1"/>
  <c r="P1906" i="1"/>
  <c r="N1906" i="1"/>
  <c r="M1906" i="1"/>
  <c r="L1906" i="1"/>
  <c r="G1906" i="1"/>
  <c r="K1906" i="1" s="1"/>
  <c r="W1905" i="1"/>
  <c r="V1905" i="1"/>
  <c r="U1905" i="1"/>
  <c r="P1905" i="1"/>
  <c r="L1905" i="1"/>
  <c r="G1905" i="1"/>
  <c r="M1905" i="1" s="1"/>
  <c r="N1905" i="1" s="1"/>
  <c r="V1904" i="1"/>
  <c r="W1904" i="1" s="1"/>
  <c r="U1904" i="1"/>
  <c r="P1904" i="1"/>
  <c r="L1904" i="1"/>
  <c r="K1904" i="1"/>
  <c r="G1904" i="1"/>
  <c r="M1904" i="1" s="1"/>
  <c r="N1904" i="1" s="1"/>
  <c r="W1903" i="1"/>
  <c r="V1903" i="1"/>
  <c r="U1903" i="1"/>
  <c r="P1903" i="1"/>
  <c r="L1903" i="1"/>
  <c r="G1903" i="1"/>
  <c r="W1902" i="1"/>
  <c r="V1902" i="1"/>
  <c r="U1902" i="1"/>
  <c r="P1902" i="1"/>
  <c r="L1902" i="1"/>
  <c r="K1902" i="1"/>
  <c r="G1902" i="1"/>
  <c r="M1902" i="1" s="1"/>
  <c r="N1902" i="1" s="1"/>
  <c r="W1901" i="1"/>
  <c r="V1901" i="1"/>
  <c r="U1901" i="1"/>
  <c r="P1901" i="1"/>
  <c r="L1901" i="1"/>
  <c r="K1901" i="1"/>
  <c r="G1901" i="1"/>
  <c r="W1900" i="1"/>
  <c r="V1900" i="1"/>
  <c r="U1900" i="1"/>
  <c r="P1900" i="1"/>
  <c r="M1900" i="1"/>
  <c r="N1900" i="1" s="1"/>
  <c r="L1900" i="1"/>
  <c r="K1900" i="1"/>
  <c r="G1900" i="1"/>
  <c r="V1899" i="1"/>
  <c r="W1899" i="1" s="1"/>
  <c r="U1899" i="1"/>
  <c r="P1899" i="1"/>
  <c r="N1899" i="1"/>
  <c r="M1899" i="1"/>
  <c r="L1899" i="1"/>
  <c r="K1899" i="1"/>
  <c r="G1899" i="1"/>
  <c r="V1898" i="1"/>
  <c r="W1898" i="1" s="1"/>
  <c r="U1898" i="1"/>
  <c r="P1898" i="1"/>
  <c r="N1898" i="1"/>
  <c r="M1898" i="1"/>
  <c r="L1898" i="1"/>
  <c r="G1898" i="1"/>
  <c r="K1898" i="1" s="1"/>
  <c r="W1897" i="1"/>
  <c r="V1897" i="1"/>
  <c r="U1897" i="1"/>
  <c r="P1897" i="1"/>
  <c r="L1897" i="1"/>
  <c r="G1897" i="1"/>
  <c r="M1897" i="1" s="1"/>
  <c r="N1897" i="1" s="1"/>
  <c r="V1896" i="1"/>
  <c r="W1896" i="1" s="1"/>
  <c r="U1896" i="1"/>
  <c r="P1896" i="1"/>
  <c r="L1896" i="1"/>
  <c r="K1896" i="1"/>
  <c r="G1896" i="1"/>
  <c r="M1896" i="1" s="1"/>
  <c r="N1896" i="1" s="1"/>
  <c r="W1895" i="1"/>
  <c r="V1895" i="1"/>
  <c r="U1895" i="1"/>
  <c r="P1895" i="1"/>
  <c r="L1895" i="1"/>
  <c r="G1895" i="1"/>
  <c r="W1894" i="1"/>
  <c r="V1894" i="1"/>
  <c r="U1894" i="1"/>
  <c r="P1894" i="1"/>
  <c r="L1894" i="1"/>
  <c r="K1894" i="1"/>
  <c r="G1894" i="1"/>
  <c r="M1894" i="1" s="1"/>
  <c r="N1894" i="1" s="1"/>
  <c r="W1893" i="1"/>
  <c r="V1893" i="1"/>
  <c r="U1893" i="1"/>
  <c r="P1893" i="1"/>
  <c r="L1893" i="1"/>
  <c r="K1893" i="1"/>
  <c r="G1893" i="1"/>
  <c r="M1893" i="1" s="1"/>
  <c r="N1893" i="1" s="1"/>
  <c r="W1892" i="1"/>
  <c r="V1892" i="1"/>
  <c r="U1892" i="1"/>
  <c r="P1892" i="1"/>
  <c r="M1892" i="1"/>
  <c r="N1892" i="1" s="1"/>
  <c r="L1892" i="1"/>
  <c r="K1892" i="1"/>
  <c r="G1892" i="1"/>
  <c r="V1891" i="1"/>
  <c r="W1891" i="1" s="1"/>
  <c r="U1891" i="1"/>
  <c r="P1891" i="1"/>
  <c r="N1891" i="1"/>
  <c r="M1891" i="1"/>
  <c r="L1891" i="1"/>
  <c r="K1891" i="1"/>
  <c r="G1891" i="1"/>
  <c r="V1890" i="1"/>
  <c r="W1890" i="1" s="1"/>
  <c r="U1890" i="1"/>
  <c r="P1890" i="1"/>
  <c r="N1890" i="1"/>
  <c r="M1890" i="1"/>
  <c r="L1890" i="1"/>
  <c r="G1890" i="1"/>
  <c r="K1890" i="1" s="1"/>
  <c r="W1889" i="1"/>
  <c r="V1889" i="1"/>
  <c r="U1889" i="1"/>
  <c r="P1889" i="1"/>
  <c r="L1889" i="1"/>
  <c r="G1889" i="1"/>
  <c r="M1889" i="1" s="1"/>
  <c r="N1889" i="1" s="1"/>
  <c r="V1888" i="1"/>
  <c r="W1888" i="1" s="1"/>
  <c r="U1888" i="1"/>
  <c r="P1888" i="1"/>
  <c r="L1888" i="1"/>
  <c r="K1888" i="1"/>
  <c r="G1888" i="1"/>
  <c r="M1888" i="1" s="1"/>
  <c r="N1888" i="1" s="1"/>
  <c r="W1887" i="1"/>
  <c r="V1887" i="1"/>
  <c r="U1887" i="1"/>
  <c r="P1887" i="1"/>
  <c r="L1887" i="1"/>
  <c r="G1887" i="1"/>
  <c r="W1886" i="1"/>
  <c r="V1886" i="1"/>
  <c r="U1886" i="1"/>
  <c r="P1886" i="1"/>
  <c r="L1886" i="1"/>
  <c r="K1886" i="1"/>
  <c r="G1886" i="1"/>
  <c r="M1886" i="1" s="1"/>
  <c r="N1886" i="1" s="1"/>
  <c r="W1885" i="1"/>
  <c r="V1885" i="1"/>
  <c r="U1885" i="1"/>
  <c r="P1885" i="1"/>
  <c r="L1885" i="1"/>
  <c r="K1885" i="1"/>
  <c r="G1885" i="1"/>
  <c r="M1885" i="1" s="1"/>
  <c r="N1885" i="1" s="1"/>
  <c r="W1884" i="1"/>
  <c r="V1884" i="1"/>
  <c r="U1884" i="1"/>
  <c r="P1884" i="1"/>
  <c r="M1884" i="1"/>
  <c r="N1884" i="1" s="1"/>
  <c r="L1884" i="1"/>
  <c r="K1884" i="1"/>
  <c r="G1884" i="1"/>
  <c r="V1883" i="1"/>
  <c r="W1883" i="1" s="1"/>
  <c r="U1883" i="1"/>
  <c r="P1883" i="1"/>
  <c r="N1883" i="1"/>
  <c r="M1883" i="1"/>
  <c r="L1883" i="1"/>
  <c r="K1883" i="1"/>
  <c r="G1883" i="1"/>
  <c r="V1882" i="1"/>
  <c r="W1882" i="1" s="1"/>
  <c r="U1882" i="1"/>
  <c r="P1882" i="1"/>
  <c r="N1882" i="1"/>
  <c r="M1882" i="1"/>
  <c r="L1882" i="1"/>
  <c r="G1882" i="1"/>
  <c r="K1882" i="1" s="1"/>
  <c r="W1881" i="1"/>
  <c r="V1881" i="1"/>
  <c r="U1881" i="1"/>
  <c r="P1881" i="1"/>
  <c r="L1881" i="1"/>
  <c r="G1881" i="1"/>
  <c r="M1881" i="1" s="1"/>
  <c r="N1881" i="1" s="1"/>
  <c r="V1880" i="1"/>
  <c r="W1880" i="1" s="1"/>
  <c r="U1880" i="1"/>
  <c r="P1880" i="1"/>
  <c r="L1880" i="1"/>
  <c r="K1880" i="1"/>
  <c r="G1880" i="1"/>
  <c r="M1880" i="1" s="1"/>
  <c r="N1880" i="1" s="1"/>
  <c r="W1879" i="1"/>
  <c r="V1879" i="1"/>
  <c r="U1879" i="1"/>
  <c r="P1879" i="1"/>
  <c r="L1879" i="1"/>
  <c r="G1879" i="1"/>
  <c r="W1878" i="1"/>
  <c r="V1878" i="1"/>
  <c r="U1878" i="1"/>
  <c r="P1878" i="1"/>
  <c r="L1878" i="1"/>
  <c r="K1878" i="1"/>
  <c r="G1878" i="1"/>
  <c r="M1878" i="1" s="1"/>
  <c r="N1878" i="1" s="1"/>
  <c r="W1877" i="1"/>
  <c r="V1877" i="1"/>
  <c r="U1877" i="1"/>
  <c r="P1877" i="1"/>
  <c r="L1877" i="1"/>
  <c r="K1877" i="1"/>
  <c r="G1877" i="1"/>
  <c r="M1877" i="1" s="1"/>
  <c r="N1877" i="1" s="1"/>
  <c r="W1876" i="1"/>
  <c r="V1876" i="1"/>
  <c r="U1876" i="1"/>
  <c r="P1876" i="1"/>
  <c r="M1876" i="1"/>
  <c r="N1876" i="1" s="1"/>
  <c r="L1876" i="1"/>
  <c r="K1876" i="1"/>
  <c r="G1876" i="1"/>
  <c r="V1875" i="1"/>
  <c r="W1875" i="1" s="1"/>
  <c r="U1875" i="1"/>
  <c r="P1875" i="1"/>
  <c r="N1875" i="1"/>
  <c r="M1875" i="1"/>
  <c r="L1875" i="1"/>
  <c r="K1875" i="1"/>
  <c r="G1875" i="1"/>
  <c r="V1874" i="1"/>
  <c r="W1874" i="1" s="1"/>
  <c r="U1874" i="1"/>
  <c r="P1874" i="1"/>
  <c r="N1874" i="1"/>
  <c r="M1874" i="1"/>
  <c r="L1874" i="1"/>
  <c r="G1874" i="1"/>
  <c r="K1874" i="1" s="1"/>
  <c r="W1873" i="1"/>
  <c r="V1873" i="1"/>
  <c r="U1873" i="1"/>
  <c r="P1873" i="1"/>
  <c r="L1873" i="1"/>
  <c r="G1873" i="1"/>
  <c r="M1873" i="1" s="1"/>
  <c r="N1873" i="1" s="1"/>
  <c r="V1872" i="1"/>
  <c r="W1872" i="1" s="1"/>
  <c r="U1872" i="1"/>
  <c r="P1872" i="1"/>
  <c r="L1872" i="1"/>
  <c r="K1872" i="1"/>
  <c r="G1872" i="1"/>
  <c r="M1872" i="1" s="1"/>
  <c r="N1872" i="1" s="1"/>
  <c r="W1871" i="1"/>
  <c r="V1871" i="1"/>
  <c r="U1871" i="1"/>
  <c r="P1871" i="1"/>
  <c r="L1871" i="1"/>
  <c r="G1871" i="1"/>
  <c r="W1870" i="1"/>
  <c r="V1870" i="1"/>
  <c r="U1870" i="1"/>
  <c r="P1870" i="1"/>
  <c r="L1870" i="1"/>
  <c r="K1870" i="1"/>
  <c r="G1870" i="1"/>
  <c r="M1870" i="1" s="1"/>
  <c r="N1870" i="1" s="1"/>
  <c r="W1869" i="1"/>
  <c r="V1869" i="1"/>
  <c r="U1869" i="1"/>
  <c r="P1869" i="1"/>
  <c r="L1869" i="1"/>
  <c r="K1869" i="1"/>
  <c r="G1869" i="1"/>
  <c r="M1869" i="1" s="1"/>
  <c r="N1869" i="1" s="1"/>
  <c r="W1868" i="1"/>
  <c r="V1868" i="1"/>
  <c r="U1868" i="1"/>
  <c r="P1868" i="1"/>
  <c r="M1868" i="1"/>
  <c r="N1868" i="1" s="1"/>
  <c r="L1868" i="1"/>
  <c r="K1868" i="1"/>
  <c r="G1868" i="1"/>
  <c r="V1867" i="1"/>
  <c r="W1867" i="1" s="1"/>
  <c r="U1867" i="1"/>
  <c r="P1867" i="1"/>
  <c r="N1867" i="1"/>
  <c r="M1867" i="1"/>
  <c r="L1867" i="1"/>
  <c r="K1867" i="1"/>
  <c r="G1867" i="1"/>
  <c r="V1866" i="1"/>
  <c r="W1866" i="1" s="1"/>
  <c r="U1866" i="1"/>
  <c r="P1866" i="1"/>
  <c r="N1866" i="1"/>
  <c r="M1866" i="1"/>
  <c r="L1866" i="1"/>
  <c r="G1866" i="1"/>
  <c r="K1866" i="1" s="1"/>
  <c r="W1865" i="1"/>
  <c r="V1865" i="1"/>
  <c r="U1865" i="1"/>
  <c r="P1865" i="1"/>
  <c r="L1865" i="1"/>
  <c r="G1865" i="1"/>
  <c r="M1865" i="1" s="1"/>
  <c r="N1865" i="1" s="1"/>
  <c r="V1864" i="1"/>
  <c r="W1864" i="1" s="1"/>
  <c r="U1864" i="1"/>
  <c r="P1864" i="1"/>
  <c r="L1864" i="1"/>
  <c r="K1864" i="1"/>
  <c r="G1864" i="1"/>
  <c r="M1864" i="1" s="1"/>
  <c r="N1864" i="1" s="1"/>
  <c r="W1863" i="1"/>
  <c r="V1863" i="1"/>
  <c r="U1863" i="1"/>
  <c r="P1863" i="1"/>
  <c r="L1863" i="1"/>
  <c r="G1863" i="1"/>
  <c r="W1862" i="1"/>
  <c r="V1862" i="1"/>
  <c r="U1862" i="1"/>
  <c r="P1862" i="1"/>
  <c r="L1862" i="1"/>
  <c r="K1862" i="1"/>
  <c r="G1862" i="1"/>
  <c r="M1862" i="1" s="1"/>
  <c r="N1862" i="1" s="1"/>
  <c r="W1861" i="1"/>
  <c r="V1861" i="1"/>
  <c r="U1861" i="1"/>
  <c r="P1861" i="1"/>
  <c r="L1861" i="1"/>
  <c r="K1861" i="1"/>
  <c r="G1861" i="1"/>
  <c r="W1860" i="1"/>
  <c r="V1860" i="1"/>
  <c r="U1860" i="1"/>
  <c r="P1860" i="1"/>
  <c r="M1860" i="1"/>
  <c r="N1860" i="1" s="1"/>
  <c r="L1860" i="1"/>
  <c r="K1860" i="1"/>
  <c r="G1860" i="1"/>
  <c r="V1859" i="1"/>
  <c r="W1859" i="1" s="1"/>
  <c r="U1859" i="1"/>
  <c r="P1859" i="1"/>
  <c r="N1859" i="1"/>
  <c r="M1859" i="1"/>
  <c r="L1859" i="1"/>
  <c r="K1859" i="1"/>
  <c r="G1859" i="1"/>
  <c r="V1858" i="1"/>
  <c r="W1858" i="1" s="1"/>
  <c r="U1858" i="1"/>
  <c r="P1858" i="1"/>
  <c r="N1858" i="1"/>
  <c r="M1858" i="1"/>
  <c r="L1858" i="1"/>
  <c r="G1858" i="1"/>
  <c r="K1858" i="1" s="1"/>
  <c r="W1857" i="1"/>
  <c r="V1857" i="1"/>
  <c r="U1857" i="1"/>
  <c r="P1857" i="1"/>
  <c r="L1857" i="1"/>
  <c r="G1857" i="1"/>
  <c r="M1857" i="1" s="1"/>
  <c r="N1857" i="1" s="1"/>
  <c r="V1856" i="1"/>
  <c r="W1856" i="1" s="1"/>
  <c r="U1856" i="1"/>
  <c r="P1856" i="1"/>
  <c r="L1856" i="1"/>
  <c r="K1856" i="1"/>
  <c r="G1856" i="1"/>
  <c r="M1856" i="1" s="1"/>
  <c r="N1856" i="1" s="1"/>
  <c r="W1855" i="1"/>
  <c r="V1855" i="1"/>
  <c r="U1855" i="1"/>
  <c r="P1855" i="1"/>
  <c r="L1855" i="1"/>
  <c r="G1855" i="1"/>
  <c r="W1854" i="1"/>
  <c r="V1854" i="1"/>
  <c r="U1854" i="1"/>
  <c r="P1854" i="1"/>
  <c r="L1854" i="1"/>
  <c r="K1854" i="1"/>
  <c r="G1854" i="1"/>
  <c r="M1854" i="1" s="1"/>
  <c r="N1854" i="1" s="1"/>
  <c r="W1853" i="1"/>
  <c r="V1853" i="1"/>
  <c r="U1853" i="1"/>
  <c r="P1853" i="1"/>
  <c r="L1853" i="1"/>
  <c r="K1853" i="1"/>
  <c r="G1853" i="1"/>
  <c r="W1852" i="1"/>
  <c r="V1852" i="1"/>
  <c r="U1852" i="1"/>
  <c r="P1852" i="1"/>
  <c r="M1852" i="1"/>
  <c r="N1852" i="1" s="1"/>
  <c r="L1852" i="1"/>
  <c r="K1852" i="1"/>
  <c r="G1852" i="1"/>
  <c r="V1851" i="1"/>
  <c r="W1851" i="1" s="1"/>
  <c r="U1851" i="1"/>
  <c r="P1851" i="1"/>
  <c r="N1851" i="1"/>
  <c r="M1851" i="1"/>
  <c r="L1851" i="1"/>
  <c r="K1851" i="1"/>
  <c r="G1851" i="1"/>
  <c r="V1850" i="1"/>
  <c r="W1850" i="1" s="1"/>
  <c r="U1850" i="1"/>
  <c r="P1850" i="1"/>
  <c r="N1850" i="1"/>
  <c r="M1850" i="1"/>
  <c r="L1850" i="1"/>
  <c r="G1850" i="1"/>
  <c r="K1850" i="1" s="1"/>
  <c r="W1849" i="1"/>
  <c r="V1849" i="1"/>
  <c r="U1849" i="1"/>
  <c r="P1849" i="1"/>
  <c r="L1849" i="1"/>
  <c r="G1849" i="1"/>
  <c r="M1849" i="1" s="1"/>
  <c r="N1849" i="1" s="1"/>
  <c r="V1848" i="1"/>
  <c r="W1848" i="1" s="1"/>
  <c r="U1848" i="1"/>
  <c r="P1848" i="1"/>
  <c r="L1848" i="1"/>
  <c r="K1848" i="1"/>
  <c r="G1848" i="1"/>
  <c r="M1848" i="1" s="1"/>
  <c r="N1848" i="1" s="1"/>
  <c r="V1847" i="1"/>
  <c r="W1847" i="1" s="1"/>
  <c r="U1847" i="1"/>
  <c r="P1847" i="1"/>
  <c r="L1847" i="1"/>
  <c r="G1847" i="1"/>
  <c r="W1846" i="1"/>
  <c r="V1846" i="1"/>
  <c r="U1846" i="1"/>
  <c r="P1846" i="1"/>
  <c r="L1846" i="1"/>
  <c r="K1846" i="1"/>
  <c r="G1846" i="1"/>
  <c r="M1846" i="1" s="1"/>
  <c r="N1846" i="1" s="1"/>
  <c r="W1845" i="1"/>
  <c r="V1845" i="1"/>
  <c r="U1845" i="1"/>
  <c r="P1845" i="1"/>
  <c r="L1845" i="1"/>
  <c r="K1845" i="1"/>
  <c r="G1845" i="1"/>
  <c r="W1844" i="1"/>
  <c r="V1844" i="1"/>
  <c r="U1844" i="1"/>
  <c r="P1844" i="1"/>
  <c r="L1844" i="1"/>
  <c r="M1844" i="1" s="1"/>
  <c r="N1844" i="1" s="1"/>
  <c r="K1844" i="1"/>
  <c r="G1844" i="1"/>
  <c r="V1843" i="1"/>
  <c r="W1843" i="1" s="1"/>
  <c r="U1843" i="1"/>
  <c r="P1843" i="1"/>
  <c r="N1843" i="1"/>
  <c r="M1843" i="1"/>
  <c r="L1843" i="1"/>
  <c r="K1843" i="1"/>
  <c r="G1843" i="1"/>
  <c r="V1842" i="1"/>
  <c r="W1842" i="1" s="1"/>
  <c r="U1842" i="1"/>
  <c r="P1842" i="1"/>
  <c r="N1842" i="1"/>
  <c r="M1842" i="1"/>
  <c r="L1842" i="1"/>
  <c r="G1842" i="1"/>
  <c r="K1842" i="1" s="1"/>
  <c r="W1841" i="1"/>
  <c r="V1841" i="1"/>
  <c r="U1841" i="1"/>
  <c r="P1841" i="1"/>
  <c r="L1841" i="1"/>
  <c r="G1841" i="1"/>
  <c r="M1841" i="1" s="1"/>
  <c r="N1841" i="1" s="1"/>
  <c r="V1840" i="1"/>
  <c r="W1840" i="1" s="1"/>
  <c r="U1840" i="1"/>
  <c r="P1840" i="1"/>
  <c r="L1840" i="1"/>
  <c r="K1840" i="1"/>
  <c r="G1840" i="1"/>
  <c r="M1840" i="1" s="1"/>
  <c r="N1840" i="1" s="1"/>
  <c r="W1839" i="1"/>
  <c r="V1839" i="1"/>
  <c r="U1839" i="1"/>
  <c r="P1839" i="1"/>
  <c r="L1839" i="1"/>
  <c r="G1839" i="1"/>
  <c r="V1838" i="1"/>
  <c r="W1838" i="1" s="1"/>
  <c r="U1838" i="1"/>
  <c r="P1838" i="1"/>
  <c r="L1838" i="1"/>
  <c r="G1838" i="1"/>
  <c r="M1838" i="1" s="1"/>
  <c r="N1838" i="1" s="1"/>
  <c r="W1837" i="1"/>
  <c r="V1837" i="1"/>
  <c r="U1837" i="1"/>
  <c r="P1837" i="1"/>
  <c r="L1837" i="1"/>
  <c r="K1837" i="1"/>
  <c r="G1837" i="1"/>
  <c r="W1836" i="1"/>
  <c r="V1836" i="1"/>
  <c r="U1836" i="1"/>
  <c r="P1836" i="1"/>
  <c r="M1836" i="1"/>
  <c r="N1836" i="1" s="1"/>
  <c r="L1836" i="1"/>
  <c r="K1836" i="1"/>
  <c r="G1836" i="1"/>
  <c r="V1835" i="1"/>
  <c r="W1835" i="1" s="1"/>
  <c r="U1835" i="1"/>
  <c r="P1835" i="1"/>
  <c r="M1835" i="1"/>
  <c r="N1835" i="1" s="1"/>
  <c r="L1835" i="1"/>
  <c r="K1835" i="1"/>
  <c r="G1835" i="1"/>
  <c r="V1834" i="1"/>
  <c r="W1834" i="1" s="1"/>
  <c r="U1834" i="1"/>
  <c r="P1834" i="1"/>
  <c r="M1834" i="1"/>
  <c r="N1834" i="1" s="1"/>
  <c r="L1834" i="1"/>
  <c r="G1834" i="1"/>
  <c r="K1834" i="1" s="1"/>
  <c r="W1833" i="1"/>
  <c r="V1833" i="1"/>
  <c r="U1833" i="1"/>
  <c r="P1833" i="1"/>
  <c r="L1833" i="1"/>
  <c r="G1833" i="1"/>
  <c r="V1832" i="1"/>
  <c r="W1832" i="1" s="1"/>
  <c r="U1832" i="1"/>
  <c r="P1832" i="1"/>
  <c r="L1832" i="1"/>
  <c r="K1832" i="1"/>
  <c r="G1832" i="1"/>
  <c r="M1832" i="1" s="1"/>
  <c r="N1832" i="1" s="1"/>
  <c r="W1831" i="1"/>
  <c r="V1831" i="1"/>
  <c r="U1831" i="1"/>
  <c r="P1831" i="1"/>
  <c r="L1831" i="1"/>
  <c r="G1831" i="1"/>
  <c r="V1830" i="1"/>
  <c r="W1830" i="1" s="1"/>
  <c r="U1830" i="1"/>
  <c r="P1830" i="1"/>
  <c r="M1830" i="1"/>
  <c r="N1830" i="1" s="1"/>
  <c r="L1830" i="1"/>
  <c r="K1830" i="1"/>
  <c r="G1830" i="1"/>
  <c r="W1829" i="1"/>
  <c r="V1829" i="1"/>
  <c r="U1829" i="1"/>
  <c r="P1829" i="1"/>
  <c r="L1829" i="1"/>
  <c r="K1829" i="1"/>
  <c r="G1829" i="1"/>
  <c r="W1828" i="1"/>
  <c r="V1828" i="1"/>
  <c r="U1828" i="1"/>
  <c r="P1828" i="1"/>
  <c r="M1828" i="1"/>
  <c r="N1828" i="1" s="1"/>
  <c r="L1828" i="1"/>
  <c r="K1828" i="1"/>
  <c r="G1828" i="1"/>
  <c r="W1827" i="1"/>
  <c r="V1827" i="1"/>
  <c r="U1827" i="1"/>
  <c r="P1827" i="1"/>
  <c r="N1827" i="1"/>
  <c r="L1827" i="1"/>
  <c r="M1827" i="1" s="1"/>
  <c r="K1827" i="1"/>
  <c r="G1827" i="1"/>
  <c r="V1826" i="1"/>
  <c r="W1826" i="1" s="1"/>
  <c r="U1826" i="1"/>
  <c r="P1826" i="1"/>
  <c r="L1826" i="1"/>
  <c r="M1826" i="1" s="1"/>
  <c r="N1826" i="1" s="1"/>
  <c r="K1826" i="1"/>
  <c r="G1826" i="1"/>
  <c r="W1825" i="1"/>
  <c r="V1825" i="1"/>
  <c r="U1825" i="1"/>
  <c r="P1825" i="1"/>
  <c r="M1825" i="1"/>
  <c r="N1825" i="1" s="1"/>
  <c r="L1825" i="1"/>
  <c r="G1825" i="1"/>
  <c r="K1825" i="1" s="1"/>
  <c r="V1824" i="1"/>
  <c r="W1824" i="1" s="1"/>
  <c r="U1824" i="1"/>
  <c r="P1824" i="1"/>
  <c r="N1824" i="1"/>
  <c r="L1824" i="1"/>
  <c r="K1824" i="1"/>
  <c r="G1824" i="1"/>
  <c r="M1824" i="1" s="1"/>
  <c r="V1823" i="1"/>
  <c r="W1823" i="1" s="1"/>
  <c r="U1823" i="1"/>
  <c r="P1823" i="1"/>
  <c r="L1823" i="1"/>
  <c r="G1823" i="1"/>
  <c r="W1822" i="1"/>
  <c r="V1822" i="1"/>
  <c r="U1822" i="1"/>
  <c r="P1822" i="1"/>
  <c r="M1822" i="1"/>
  <c r="N1822" i="1" s="1"/>
  <c r="L1822" i="1"/>
  <c r="K1822" i="1"/>
  <c r="G1822" i="1"/>
  <c r="W1821" i="1"/>
  <c r="V1821" i="1"/>
  <c r="U1821" i="1"/>
  <c r="P1821" i="1"/>
  <c r="L1821" i="1"/>
  <c r="K1821" i="1"/>
  <c r="G1821" i="1"/>
  <c r="W1820" i="1"/>
  <c r="V1820" i="1"/>
  <c r="U1820" i="1"/>
  <c r="P1820" i="1"/>
  <c r="M1820" i="1"/>
  <c r="N1820" i="1" s="1"/>
  <c r="L1820" i="1"/>
  <c r="K1820" i="1"/>
  <c r="G1820" i="1"/>
  <c r="W1819" i="1"/>
  <c r="V1819" i="1"/>
  <c r="U1819" i="1"/>
  <c r="P1819" i="1"/>
  <c r="L1819" i="1"/>
  <c r="M1819" i="1" s="1"/>
  <c r="N1819" i="1" s="1"/>
  <c r="K1819" i="1"/>
  <c r="G1819" i="1"/>
  <c r="V1818" i="1"/>
  <c r="W1818" i="1" s="1"/>
  <c r="U1818" i="1"/>
  <c r="P1818" i="1"/>
  <c r="L1818" i="1"/>
  <c r="M1818" i="1" s="1"/>
  <c r="N1818" i="1" s="1"/>
  <c r="K1818" i="1"/>
  <c r="G1818" i="1"/>
  <c r="W1817" i="1"/>
  <c r="V1817" i="1"/>
  <c r="U1817" i="1"/>
  <c r="P1817" i="1"/>
  <c r="M1817" i="1"/>
  <c r="N1817" i="1" s="1"/>
  <c r="L1817" i="1"/>
  <c r="G1817" i="1"/>
  <c r="K1817" i="1" s="1"/>
  <c r="V1816" i="1"/>
  <c r="W1816" i="1" s="1"/>
  <c r="U1816" i="1"/>
  <c r="P1816" i="1"/>
  <c r="N1816" i="1"/>
  <c r="M1816" i="1"/>
  <c r="L1816" i="1"/>
  <c r="K1816" i="1"/>
  <c r="G1816" i="1"/>
  <c r="V1815" i="1"/>
  <c r="W1815" i="1" s="1"/>
  <c r="U1815" i="1"/>
  <c r="P1815" i="1"/>
  <c r="L1815" i="1"/>
  <c r="G1815" i="1"/>
  <c r="V1814" i="1"/>
  <c r="W1814" i="1" s="1"/>
  <c r="U1814" i="1"/>
  <c r="P1814" i="1"/>
  <c r="L1814" i="1"/>
  <c r="G1814" i="1"/>
  <c r="V1813" i="1"/>
  <c r="W1813" i="1" s="1"/>
  <c r="U1813" i="1"/>
  <c r="P1813" i="1"/>
  <c r="L1813" i="1"/>
  <c r="G1813" i="1"/>
  <c r="W1812" i="1"/>
  <c r="V1812" i="1"/>
  <c r="U1812" i="1"/>
  <c r="P1812" i="1"/>
  <c r="L1812" i="1"/>
  <c r="G1812" i="1"/>
  <c r="W1811" i="1"/>
  <c r="V1811" i="1"/>
  <c r="U1811" i="1"/>
  <c r="P1811" i="1"/>
  <c r="M1811" i="1"/>
  <c r="N1811" i="1" s="1"/>
  <c r="L1811" i="1"/>
  <c r="K1811" i="1"/>
  <c r="G1811" i="1"/>
  <c r="V1810" i="1"/>
  <c r="W1810" i="1" s="1"/>
  <c r="U1810" i="1"/>
  <c r="P1810" i="1"/>
  <c r="M1810" i="1"/>
  <c r="N1810" i="1" s="1"/>
  <c r="L1810" i="1"/>
  <c r="K1810" i="1"/>
  <c r="G1810" i="1"/>
  <c r="W1809" i="1"/>
  <c r="V1809" i="1"/>
  <c r="U1809" i="1"/>
  <c r="P1809" i="1"/>
  <c r="N1809" i="1"/>
  <c r="M1809" i="1"/>
  <c r="L1809" i="1"/>
  <c r="G1809" i="1"/>
  <c r="K1809" i="1" s="1"/>
  <c r="V1808" i="1"/>
  <c r="W1808" i="1" s="1"/>
  <c r="U1808" i="1"/>
  <c r="P1808" i="1"/>
  <c r="N1808" i="1"/>
  <c r="M1808" i="1"/>
  <c r="L1808" i="1"/>
  <c r="K1808" i="1"/>
  <c r="G1808" i="1"/>
  <c r="W1807" i="1"/>
  <c r="V1807" i="1"/>
  <c r="U1807" i="1"/>
  <c r="P1807" i="1"/>
  <c r="L1807" i="1"/>
  <c r="G1807" i="1"/>
  <c r="W1806" i="1"/>
  <c r="V1806" i="1"/>
  <c r="U1806" i="1"/>
  <c r="P1806" i="1"/>
  <c r="M1806" i="1"/>
  <c r="N1806" i="1" s="1"/>
  <c r="L1806" i="1"/>
  <c r="K1806" i="1"/>
  <c r="G1806" i="1"/>
  <c r="W1805" i="1"/>
  <c r="V1805" i="1"/>
  <c r="U1805" i="1"/>
  <c r="P1805" i="1"/>
  <c r="L1805" i="1"/>
  <c r="K1805" i="1"/>
  <c r="G1805" i="1"/>
  <c r="W1804" i="1"/>
  <c r="V1804" i="1"/>
  <c r="U1804" i="1"/>
  <c r="P1804" i="1"/>
  <c r="L1804" i="1"/>
  <c r="M1804" i="1" s="1"/>
  <c r="N1804" i="1" s="1"/>
  <c r="K1804" i="1"/>
  <c r="G1804" i="1"/>
  <c r="W1803" i="1"/>
  <c r="V1803" i="1"/>
  <c r="U1803" i="1"/>
  <c r="P1803" i="1"/>
  <c r="L1803" i="1"/>
  <c r="M1803" i="1" s="1"/>
  <c r="N1803" i="1" s="1"/>
  <c r="K1803" i="1"/>
  <c r="G1803" i="1"/>
  <c r="V1802" i="1"/>
  <c r="W1802" i="1" s="1"/>
  <c r="U1802" i="1"/>
  <c r="P1802" i="1"/>
  <c r="L1802" i="1"/>
  <c r="M1802" i="1" s="1"/>
  <c r="N1802" i="1" s="1"/>
  <c r="K1802" i="1"/>
  <c r="G1802" i="1"/>
  <c r="W1801" i="1"/>
  <c r="V1801" i="1"/>
  <c r="U1801" i="1"/>
  <c r="P1801" i="1"/>
  <c r="L1801" i="1"/>
  <c r="G1801" i="1"/>
  <c r="V1800" i="1"/>
  <c r="W1800" i="1" s="1"/>
  <c r="U1800" i="1"/>
  <c r="P1800" i="1"/>
  <c r="M1800" i="1"/>
  <c r="N1800" i="1" s="1"/>
  <c r="L1800" i="1"/>
  <c r="K1800" i="1"/>
  <c r="G1800" i="1"/>
  <c r="V1799" i="1"/>
  <c r="W1799" i="1" s="1"/>
  <c r="U1799" i="1"/>
  <c r="P1799" i="1"/>
  <c r="L1799" i="1"/>
  <c r="G1799" i="1"/>
  <c r="W1798" i="1"/>
  <c r="V1798" i="1"/>
  <c r="U1798" i="1"/>
  <c r="P1798" i="1"/>
  <c r="L1798" i="1"/>
  <c r="K1798" i="1"/>
  <c r="G1798" i="1"/>
  <c r="M1798" i="1" s="1"/>
  <c r="N1798" i="1" s="1"/>
  <c r="W1797" i="1"/>
  <c r="V1797" i="1"/>
  <c r="U1797" i="1"/>
  <c r="P1797" i="1"/>
  <c r="L1797" i="1"/>
  <c r="K1797" i="1"/>
  <c r="G1797" i="1"/>
  <c r="M1797" i="1" s="1"/>
  <c r="N1797" i="1" s="1"/>
  <c r="W1796" i="1"/>
  <c r="V1796" i="1"/>
  <c r="U1796" i="1"/>
  <c r="P1796" i="1"/>
  <c r="L1796" i="1"/>
  <c r="K1796" i="1"/>
  <c r="G1796" i="1"/>
  <c r="M1796" i="1" s="1"/>
  <c r="N1796" i="1" s="1"/>
  <c r="W1795" i="1"/>
  <c r="V1795" i="1"/>
  <c r="U1795" i="1"/>
  <c r="P1795" i="1"/>
  <c r="L1795" i="1"/>
  <c r="G1795" i="1"/>
  <c r="V1794" i="1"/>
  <c r="W1794" i="1" s="1"/>
  <c r="U1794" i="1"/>
  <c r="P1794" i="1"/>
  <c r="L1794" i="1"/>
  <c r="M1794" i="1" s="1"/>
  <c r="N1794" i="1" s="1"/>
  <c r="K1794" i="1"/>
  <c r="G1794" i="1"/>
  <c r="W1793" i="1"/>
  <c r="V1793" i="1"/>
  <c r="U1793" i="1"/>
  <c r="P1793" i="1"/>
  <c r="L1793" i="1"/>
  <c r="G1793" i="1"/>
  <c r="V1792" i="1"/>
  <c r="W1792" i="1" s="1"/>
  <c r="U1792" i="1"/>
  <c r="P1792" i="1"/>
  <c r="M1792" i="1"/>
  <c r="N1792" i="1" s="1"/>
  <c r="L1792" i="1"/>
  <c r="K1792" i="1"/>
  <c r="G1792" i="1"/>
  <c r="W1791" i="1"/>
  <c r="V1791" i="1"/>
  <c r="U1791" i="1"/>
  <c r="P1791" i="1"/>
  <c r="L1791" i="1"/>
  <c r="K1791" i="1"/>
  <c r="G1791" i="1"/>
  <c r="W1790" i="1"/>
  <c r="V1790" i="1"/>
  <c r="U1790" i="1"/>
  <c r="P1790" i="1"/>
  <c r="L1790" i="1"/>
  <c r="G1790" i="1"/>
  <c r="K1790" i="1" s="1"/>
  <c r="W1789" i="1"/>
  <c r="V1789" i="1"/>
  <c r="U1789" i="1"/>
  <c r="P1789" i="1"/>
  <c r="M1789" i="1"/>
  <c r="N1789" i="1" s="1"/>
  <c r="L1789" i="1"/>
  <c r="K1789" i="1"/>
  <c r="G1789" i="1"/>
  <c r="V1788" i="1"/>
  <c r="W1788" i="1" s="1"/>
  <c r="U1788" i="1"/>
  <c r="P1788" i="1"/>
  <c r="N1788" i="1"/>
  <c r="L1788" i="1"/>
  <c r="K1788" i="1"/>
  <c r="G1788" i="1"/>
  <c r="M1788" i="1" s="1"/>
  <c r="V1787" i="1"/>
  <c r="W1787" i="1" s="1"/>
  <c r="U1787" i="1"/>
  <c r="P1787" i="1"/>
  <c r="M1787" i="1"/>
  <c r="N1787" i="1" s="1"/>
  <c r="L1787" i="1"/>
  <c r="G1787" i="1"/>
  <c r="K1787" i="1" s="1"/>
  <c r="W1786" i="1"/>
  <c r="V1786" i="1"/>
  <c r="U1786" i="1"/>
  <c r="P1786" i="1"/>
  <c r="L1786" i="1"/>
  <c r="G1786" i="1"/>
  <c r="M1786" i="1" s="1"/>
  <c r="N1786" i="1" s="1"/>
  <c r="V1785" i="1"/>
  <c r="W1785" i="1" s="1"/>
  <c r="U1785" i="1"/>
  <c r="P1785" i="1"/>
  <c r="L1785" i="1"/>
  <c r="K1785" i="1"/>
  <c r="G1785" i="1"/>
  <c r="M1785" i="1" s="1"/>
  <c r="N1785" i="1" s="1"/>
  <c r="W1784" i="1"/>
  <c r="V1784" i="1"/>
  <c r="U1784" i="1"/>
  <c r="P1784" i="1"/>
  <c r="L1784" i="1"/>
  <c r="G1784" i="1"/>
  <c r="V1783" i="1"/>
  <c r="W1783" i="1" s="1"/>
  <c r="U1783" i="1"/>
  <c r="P1783" i="1"/>
  <c r="M1783" i="1"/>
  <c r="N1783" i="1" s="1"/>
  <c r="L1783" i="1"/>
  <c r="K1783" i="1"/>
  <c r="G1783" i="1"/>
  <c r="W1782" i="1"/>
  <c r="V1782" i="1"/>
  <c r="U1782" i="1"/>
  <c r="P1782" i="1"/>
  <c r="L1782" i="1"/>
  <c r="G1782" i="1"/>
  <c r="K1782" i="1" s="1"/>
  <c r="W1781" i="1"/>
  <c r="V1781" i="1"/>
  <c r="U1781" i="1"/>
  <c r="P1781" i="1"/>
  <c r="M1781" i="1"/>
  <c r="N1781" i="1" s="1"/>
  <c r="L1781" i="1"/>
  <c r="K1781" i="1"/>
  <c r="G1781" i="1"/>
  <c r="V1780" i="1"/>
  <c r="W1780" i="1" s="1"/>
  <c r="U1780" i="1"/>
  <c r="P1780" i="1"/>
  <c r="N1780" i="1"/>
  <c r="L1780" i="1"/>
  <c r="K1780" i="1"/>
  <c r="G1780" i="1"/>
  <c r="M1780" i="1" s="1"/>
  <c r="V1779" i="1"/>
  <c r="W1779" i="1" s="1"/>
  <c r="U1779" i="1"/>
  <c r="P1779" i="1"/>
  <c r="M1779" i="1"/>
  <c r="N1779" i="1" s="1"/>
  <c r="L1779" i="1"/>
  <c r="G1779" i="1"/>
  <c r="K1779" i="1" s="1"/>
  <c r="W1778" i="1"/>
  <c r="V1778" i="1"/>
  <c r="U1778" i="1"/>
  <c r="P1778" i="1"/>
  <c r="L1778" i="1"/>
  <c r="G1778" i="1"/>
  <c r="M1778" i="1" s="1"/>
  <c r="N1778" i="1" s="1"/>
  <c r="V1777" i="1"/>
  <c r="W1777" i="1" s="1"/>
  <c r="U1777" i="1"/>
  <c r="P1777" i="1"/>
  <c r="L1777" i="1"/>
  <c r="K1777" i="1"/>
  <c r="G1777" i="1"/>
  <c r="M1777" i="1" s="1"/>
  <c r="N1777" i="1" s="1"/>
  <c r="W1776" i="1"/>
  <c r="V1776" i="1"/>
  <c r="U1776" i="1"/>
  <c r="P1776" i="1"/>
  <c r="L1776" i="1"/>
  <c r="G1776" i="1"/>
  <c r="V1775" i="1"/>
  <c r="W1775" i="1" s="1"/>
  <c r="U1775" i="1"/>
  <c r="P1775" i="1"/>
  <c r="M1775" i="1"/>
  <c r="N1775" i="1" s="1"/>
  <c r="L1775" i="1"/>
  <c r="K1775" i="1"/>
  <c r="G1775" i="1"/>
  <c r="W1774" i="1"/>
  <c r="V1774" i="1"/>
  <c r="U1774" i="1"/>
  <c r="P1774" i="1"/>
  <c r="L1774" i="1"/>
  <c r="G1774" i="1"/>
  <c r="K1774" i="1" s="1"/>
  <c r="W1773" i="1"/>
  <c r="V1773" i="1"/>
  <c r="U1773" i="1"/>
  <c r="P1773" i="1"/>
  <c r="M1773" i="1"/>
  <c r="N1773" i="1" s="1"/>
  <c r="L1773" i="1"/>
  <c r="K1773" i="1"/>
  <c r="G1773" i="1"/>
  <c r="V1772" i="1"/>
  <c r="W1772" i="1" s="1"/>
  <c r="U1772" i="1"/>
  <c r="P1772" i="1"/>
  <c r="N1772" i="1"/>
  <c r="L1772" i="1"/>
  <c r="K1772" i="1"/>
  <c r="G1772" i="1"/>
  <c r="M1772" i="1" s="1"/>
  <c r="V1771" i="1"/>
  <c r="W1771" i="1" s="1"/>
  <c r="U1771" i="1"/>
  <c r="P1771" i="1"/>
  <c r="M1771" i="1"/>
  <c r="N1771" i="1" s="1"/>
  <c r="L1771" i="1"/>
  <c r="G1771" i="1"/>
  <c r="K1771" i="1" s="1"/>
  <c r="W1770" i="1"/>
  <c r="V1770" i="1"/>
  <c r="U1770" i="1"/>
  <c r="P1770" i="1"/>
  <c r="L1770" i="1"/>
  <c r="G1770" i="1"/>
  <c r="M1770" i="1" s="1"/>
  <c r="N1770" i="1" s="1"/>
  <c r="V1769" i="1"/>
  <c r="W1769" i="1" s="1"/>
  <c r="U1769" i="1"/>
  <c r="P1769" i="1"/>
  <c r="L1769" i="1"/>
  <c r="K1769" i="1"/>
  <c r="G1769" i="1"/>
  <c r="M1769" i="1" s="1"/>
  <c r="N1769" i="1" s="1"/>
  <c r="W1768" i="1"/>
  <c r="V1768" i="1"/>
  <c r="U1768" i="1"/>
  <c r="P1768" i="1"/>
  <c r="L1768" i="1"/>
  <c r="G1768" i="1"/>
  <c r="V1767" i="1"/>
  <c r="W1767" i="1" s="1"/>
  <c r="U1767" i="1"/>
  <c r="P1767" i="1"/>
  <c r="M1767" i="1"/>
  <c r="N1767" i="1" s="1"/>
  <c r="L1767" i="1"/>
  <c r="K1767" i="1"/>
  <c r="G1767" i="1"/>
  <c r="W1766" i="1"/>
  <c r="V1766" i="1"/>
  <c r="U1766" i="1"/>
  <c r="P1766" i="1"/>
  <c r="L1766" i="1"/>
  <c r="G1766" i="1"/>
  <c r="K1766" i="1" s="1"/>
  <c r="W1765" i="1"/>
  <c r="V1765" i="1"/>
  <c r="U1765" i="1"/>
  <c r="P1765" i="1"/>
  <c r="M1765" i="1"/>
  <c r="N1765" i="1" s="1"/>
  <c r="L1765" i="1"/>
  <c r="K1765" i="1"/>
  <c r="G1765" i="1"/>
  <c r="V1764" i="1"/>
  <c r="W1764" i="1" s="1"/>
  <c r="U1764" i="1"/>
  <c r="P1764" i="1"/>
  <c r="N1764" i="1"/>
  <c r="L1764" i="1"/>
  <c r="K1764" i="1"/>
  <c r="G1764" i="1"/>
  <c r="M1764" i="1" s="1"/>
  <c r="V1763" i="1"/>
  <c r="W1763" i="1" s="1"/>
  <c r="U1763" i="1"/>
  <c r="P1763" i="1"/>
  <c r="M1763" i="1"/>
  <c r="N1763" i="1" s="1"/>
  <c r="L1763" i="1"/>
  <c r="G1763" i="1"/>
  <c r="K1763" i="1" s="1"/>
  <c r="W1762" i="1"/>
  <c r="V1762" i="1"/>
  <c r="U1762" i="1"/>
  <c r="P1762" i="1"/>
  <c r="L1762" i="1"/>
  <c r="G1762" i="1"/>
  <c r="M1762" i="1" s="1"/>
  <c r="N1762" i="1" s="1"/>
  <c r="V1761" i="1"/>
  <c r="W1761" i="1" s="1"/>
  <c r="U1761" i="1"/>
  <c r="P1761" i="1"/>
  <c r="L1761" i="1"/>
  <c r="K1761" i="1"/>
  <c r="G1761" i="1"/>
  <c r="M1761" i="1" s="1"/>
  <c r="N1761" i="1" s="1"/>
  <c r="W1760" i="1"/>
  <c r="V1760" i="1"/>
  <c r="U1760" i="1"/>
  <c r="P1760" i="1"/>
  <c r="L1760" i="1"/>
  <c r="G1760" i="1"/>
  <c r="V1759" i="1"/>
  <c r="W1759" i="1" s="1"/>
  <c r="U1759" i="1"/>
  <c r="P1759" i="1"/>
  <c r="M1759" i="1"/>
  <c r="N1759" i="1" s="1"/>
  <c r="L1759" i="1"/>
  <c r="K1759" i="1"/>
  <c r="G1759" i="1"/>
  <c r="W1758" i="1"/>
  <c r="V1758" i="1"/>
  <c r="U1758" i="1"/>
  <c r="P1758" i="1"/>
  <c r="L1758" i="1"/>
  <c r="G1758" i="1"/>
  <c r="K1758" i="1" s="1"/>
  <c r="W1757" i="1"/>
  <c r="V1757" i="1"/>
  <c r="U1757" i="1"/>
  <c r="P1757" i="1"/>
  <c r="M1757" i="1"/>
  <c r="N1757" i="1" s="1"/>
  <c r="L1757" i="1"/>
  <c r="K1757" i="1"/>
  <c r="G1757" i="1"/>
  <c r="V1756" i="1"/>
  <c r="W1756" i="1" s="1"/>
  <c r="U1756" i="1"/>
  <c r="P1756" i="1"/>
  <c r="N1756" i="1"/>
  <c r="L1756" i="1"/>
  <c r="K1756" i="1"/>
  <c r="G1756" i="1"/>
  <c r="M1756" i="1" s="1"/>
  <c r="V1755" i="1"/>
  <c r="W1755" i="1" s="1"/>
  <c r="U1755" i="1"/>
  <c r="P1755" i="1"/>
  <c r="M1755" i="1"/>
  <c r="N1755" i="1" s="1"/>
  <c r="L1755" i="1"/>
  <c r="G1755" i="1"/>
  <c r="K1755" i="1" s="1"/>
  <c r="W1754" i="1"/>
  <c r="V1754" i="1"/>
  <c r="U1754" i="1"/>
  <c r="P1754" i="1"/>
  <c r="L1754" i="1"/>
  <c r="G1754" i="1"/>
  <c r="M1754" i="1" s="1"/>
  <c r="N1754" i="1" s="1"/>
  <c r="V1753" i="1"/>
  <c r="W1753" i="1" s="1"/>
  <c r="U1753" i="1"/>
  <c r="P1753" i="1"/>
  <c r="L1753" i="1"/>
  <c r="K1753" i="1"/>
  <c r="G1753" i="1"/>
  <c r="M1753" i="1" s="1"/>
  <c r="N1753" i="1" s="1"/>
  <c r="W1752" i="1"/>
  <c r="V1752" i="1"/>
  <c r="U1752" i="1"/>
  <c r="P1752" i="1"/>
  <c r="L1752" i="1"/>
  <c r="G1752" i="1"/>
  <c r="V1751" i="1"/>
  <c r="W1751" i="1" s="1"/>
  <c r="U1751" i="1"/>
  <c r="P1751" i="1"/>
  <c r="M1751" i="1"/>
  <c r="N1751" i="1" s="1"/>
  <c r="L1751" i="1"/>
  <c r="K1751" i="1"/>
  <c r="G1751" i="1"/>
  <c r="W1750" i="1"/>
  <c r="V1750" i="1"/>
  <c r="U1750" i="1"/>
  <c r="P1750" i="1"/>
  <c r="L1750" i="1"/>
  <c r="G1750" i="1"/>
  <c r="K1750" i="1" s="1"/>
  <c r="W1749" i="1"/>
  <c r="V1749" i="1"/>
  <c r="U1749" i="1"/>
  <c r="P1749" i="1"/>
  <c r="M1749" i="1"/>
  <c r="N1749" i="1" s="1"/>
  <c r="L1749" i="1"/>
  <c r="K1749" i="1"/>
  <c r="G1749" i="1"/>
  <c r="V1748" i="1"/>
  <c r="W1748" i="1" s="1"/>
  <c r="U1748" i="1"/>
  <c r="P1748" i="1"/>
  <c r="N1748" i="1"/>
  <c r="L1748" i="1"/>
  <c r="K1748" i="1"/>
  <c r="G1748" i="1"/>
  <c r="M1748" i="1" s="1"/>
  <c r="V1747" i="1"/>
  <c r="W1747" i="1" s="1"/>
  <c r="U1747" i="1"/>
  <c r="P1747" i="1"/>
  <c r="M1747" i="1"/>
  <c r="N1747" i="1" s="1"/>
  <c r="L1747" i="1"/>
  <c r="G1747" i="1"/>
  <c r="K1747" i="1" s="1"/>
  <c r="W1746" i="1"/>
  <c r="V1746" i="1"/>
  <c r="U1746" i="1"/>
  <c r="P1746" i="1"/>
  <c r="L1746" i="1"/>
  <c r="G1746" i="1"/>
  <c r="M1746" i="1" s="1"/>
  <c r="N1746" i="1" s="1"/>
  <c r="V1745" i="1"/>
  <c r="W1745" i="1" s="1"/>
  <c r="U1745" i="1"/>
  <c r="P1745" i="1"/>
  <c r="L1745" i="1"/>
  <c r="K1745" i="1"/>
  <c r="G1745" i="1"/>
  <c r="M1745" i="1" s="1"/>
  <c r="N1745" i="1" s="1"/>
  <c r="W1744" i="1"/>
  <c r="V1744" i="1"/>
  <c r="U1744" i="1"/>
  <c r="P1744" i="1"/>
  <c r="L1744" i="1"/>
  <c r="G1744" i="1"/>
  <c r="V1743" i="1"/>
  <c r="W1743" i="1" s="1"/>
  <c r="U1743" i="1"/>
  <c r="P1743" i="1"/>
  <c r="M1743" i="1"/>
  <c r="N1743" i="1" s="1"/>
  <c r="L1743" i="1"/>
  <c r="K1743" i="1"/>
  <c r="G1743" i="1"/>
  <c r="W1742" i="1"/>
  <c r="V1742" i="1"/>
  <c r="U1742" i="1"/>
  <c r="P1742" i="1"/>
  <c r="L1742" i="1"/>
  <c r="G1742" i="1"/>
  <c r="K1742" i="1" s="1"/>
  <c r="W1741" i="1"/>
  <c r="V1741" i="1"/>
  <c r="U1741" i="1"/>
  <c r="P1741" i="1"/>
  <c r="M1741" i="1"/>
  <c r="N1741" i="1" s="1"/>
  <c r="L1741" i="1"/>
  <c r="K1741" i="1"/>
  <c r="G1741" i="1"/>
  <c r="V1740" i="1"/>
  <c r="W1740" i="1" s="1"/>
  <c r="U1740" i="1"/>
  <c r="P1740" i="1"/>
  <c r="N1740" i="1"/>
  <c r="L1740" i="1"/>
  <c r="K1740" i="1"/>
  <c r="G1740" i="1"/>
  <c r="M1740" i="1" s="1"/>
  <c r="V1739" i="1"/>
  <c r="W1739" i="1" s="1"/>
  <c r="U1739" i="1"/>
  <c r="P1739" i="1"/>
  <c r="M1739" i="1"/>
  <c r="N1739" i="1" s="1"/>
  <c r="L1739" i="1"/>
  <c r="G1739" i="1"/>
  <c r="K1739" i="1" s="1"/>
  <c r="W1738" i="1"/>
  <c r="V1738" i="1"/>
  <c r="U1738" i="1"/>
  <c r="P1738" i="1"/>
  <c r="L1738" i="1"/>
  <c r="G1738" i="1"/>
  <c r="M1738" i="1" s="1"/>
  <c r="N1738" i="1" s="1"/>
  <c r="V1737" i="1"/>
  <c r="W1737" i="1" s="1"/>
  <c r="U1737" i="1"/>
  <c r="P1737" i="1"/>
  <c r="L1737" i="1"/>
  <c r="K1737" i="1"/>
  <c r="G1737" i="1"/>
  <c r="M1737" i="1" s="1"/>
  <c r="N1737" i="1" s="1"/>
  <c r="W1736" i="1"/>
  <c r="V1736" i="1"/>
  <c r="U1736" i="1"/>
  <c r="P1736" i="1"/>
  <c r="L1736" i="1"/>
  <c r="G1736" i="1"/>
  <c r="V1735" i="1"/>
  <c r="W1735" i="1" s="1"/>
  <c r="U1735" i="1"/>
  <c r="P1735" i="1"/>
  <c r="M1735" i="1"/>
  <c r="N1735" i="1" s="1"/>
  <c r="L1735" i="1"/>
  <c r="K1735" i="1"/>
  <c r="G1735" i="1"/>
  <c r="W1734" i="1"/>
  <c r="V1734" i="1"/>
  <c r="U1734" i="1"/>
  <c r="P1734" i="1"/>
  <c r="L1734" i="1"/>
  <c r="G1734" i="1"/>
  <c r="K1734" i="1" s="1"/>
  <c r="W1733" i="1"/>
  <c r="V1733" i="1"/>
  <c r="U1733" i="1"/>
  <c r="P1733" i="1"/>
  <c r="M1733" i="1"/>
  <c r="N1733" i="1" s="1"/>
  <c r="L1733" i="1"/>
  <c r="K1733" i="1"/>
  <c r="G1733" i="1"/>
  <c r="V1732" i="1"/>
  <c r="W1732" i="1" s="1"/>
  <c r="U1732" i="1"/>
  <c r="P1732" i="1"/>
  <c r="N1732" i="1"/>
  <c r="L1732" i="1"/>
  <c r="K1732" i="1"/>
  <c r="G1732" i="1"/>
  <c r="M1732" i="1" s="1"/>
  <c r="V1731" i="1"/>
  <c r="W1731" i="1" s="1"/>
  <c r="U1731" i="1"/>
  <c r="P1731" i="1"/>
  <c r="M1731" i="1"/>
  <c r="N1731" i="1" s="1"/>
  <c r="L1731" i="1"/>
  <c r="G1731" i="1"/>
  <c r="K1731" i="1" s="1"/>
  <c r="W1730" i="1"/>
  <c r="V1730" i="1"/>
  <c r="U1730" i="1"/>
  <c r="P1730" i="1"/>
  <c r="L1730" i="1"/>
  <c r="G1730" i="1"/>
  <c r="V1729" i="1"/>
  <c r="W1729" i="1" s="1"/>
  <c r="U1729" i="1"/>
  <c r="P1729" i="1"/>
  <c r="L1729" i="1"/>
  <c r="K1729" i="1"/>
  <c r="G1729" i="1"/>
  <c r="M1729" i="1" s="1"/>
  <c r="N1729" i="1" s="1"/>
  <c r="W1728" i="1"/>
  <c r="V1728" i="1"/>
  <c r="U1728" i="1"/>
  <c r="P1728" i="1"/>
  <c r="L1728" i="1"/>
  <c r="G1728" i="1"/>
  <c r="V1727" i="1"/>
  <c r="W1727" i="1" s="1"/>
  <c r="U1727" i="1"/>
  <c r="P1727" i="1"/>
  <c r="M1727" i="1"/>
  <c r="N1727" i="1" s="1"/>
  <c r="L1727" i="1"/>
  <c r="K1727" i="1"/>
  <c r="G1727" i="1"/>
  <c r="W1726" i="1"/>
  <c r="V1726" i="1"/>
  <c r="U1726" i="1"/>
  <c r="P1726" i="1"/>
  <c r="L1726" i="1"/>
  <c r="G1726" i="1"/>
  <c r="K1726" i="1" s="1"/>
  <c r="W1725" i="1"/>
  <c r="V1725" i="1"/>
  <c r="U1725" i="1"/>
  <c r="P1725" i="1"/>
  <c r="M1725" i="1"/>
  <c r="N1725" i="1" s="1"/>
  <c r="L1725" i="1"/>
  <c r="K1725" i="1"/>
  <c r="G1725" i="1"/>
  <c r="V1724" i="1"/>
  <c r="W1724" i="1" s="1"/>
  <c r="U1724" i="1"/>
  <c r="P1724" i="1"/>
  <c r="L1724" i="1"/>
  <c r="K1724" i="1"/>
  <c r="G1724" i="1"/>
  <c r="M1724" i="1" s="1"/>
  <c r="N1724" i="1" s="1"/>
  <c r="V1723" i="1"/>
  <c r="W1723" i="1" s="1"/>
  <c r="U1723" i="1"/>
  <c r="P1723" i="1"/>
  <c r="M1723" i="1"/>
  <c r="N1723" i="1" s="1"/>
  <c r="L1723" i="1"/>
  <c r="G1723" i="1"/>
  <c r="K1723" i="1" s="1"/>
  <c r="W1722" i="1"/>
  <c r="V1722" i="1"/>
  <c r="U1722" i="1"/>
  <c r="P1722" i="1"/>
  <c r="L1722" i="1"/>
  <c r="G1722" i="1"/>
  <c r="V1721" i="1"/>
  <c r="W1721" i="1" s="1"/>
  <c r="U1721" i="1"/>
  <c r="P1721" i="1"/>
  <c r="L1721" i="1"/>
  <c r="K1721" i="1"/>
  <c r="G1721" i="1"/>
  <c r="M1721" i="1" s="1"/>
  <c r="N1721" i="1" s="1"/>
  <c r="W1720" i="1"/>
  <c r="V1720" i="1"/>
  <c r="U1720" i="1"/>
  <c r="P1720" i="1"/>
  <c r="L1720" i="1"/>
  <c r="G1720" i="1"/>
  <c r="V1719" i="1"/>
  <c r="W1719" i="1" s="1"/>
  <c r="U1719" i="1"/>
  <c r="P1719" i="1"/>
  <c r="M1719" i="1"/>
  <c r="N1719" i="1" s="1"/>
  <c r="L1719" i="1"/>
  <c r="K1719" i="1"/>
  <c r="G1719" i="1"/>
  <c r="W1718" i="1"/>
  <c r="V1718" i="1"/>
  <c r="U1718" i="1"/>
  <c r="P1718" i="1"/>
  <c r="L1718" i="1"/>
  <c r="G1718" i="1"/>
  <c r="K1718" i="1" s="1"/>
  <c r="W1717" i="1"/>
  <c r="V1717" i="1"/>
  <c r="U1717" i="1"/>
  <c r="P1717" i="1"/>
  <c r="M1717" i="1"/>
  <c r="N1717" i="1" s="1"/>
  <c r="L1717" i="1"/>
  <c r="K1717" i="1"/>
  <c r="G1717" i="1"/>
  <c r="V1716" i="1"/>
  <c r="W1716" i="1" s="1"/>
  <c r="U1716" i="1"/>
  <c r="P1716" i="1"/>
  <c r="L1716" i="1"/>
  <c r="K1716" i="1"/>
  <c r="G1716" i="1"/>
  <c r="M1716" i="1" s="1"/>
  <c r="N1716" i="1" s="1"/>
  <c r="V1715" i="1"/>
  <c r="W1715" i="1" s="1"/>
  <c r="U1715" i="1"/>
  <c r="P1715" i="1"/>
  <c r="M1715" i="1"/>
  <c r="N1715" i="1" s="1"/>
  <c r="L1715" i="1"/>
  <c r="G1715" i="1"/>
  <c r="K1715" i="1" s="1"/>
  <c r="W1714" i="1"/>
  <c r="V1714" i="1"/>
  <c r="U1714" i="1"/>
  <c r="P1714" i="1"/>
  <c r="L1714" i="1"/>
  <c r="G1714" i="1"/>
  <c r="V1713" i="1"/>
  <c r="W1713" i="1" s="1"/>
  <c r="U1713" i="1"/>
  <c r="P1713" i="1"/>
  <c r="L1713" i="1"/>
  <c r="K1713" i="1"/>
  <c r="G1713" i="1"/>
  <c r="M1713" i="1" s="1"/>
  <c r="N1713" i="1" s="1"/>
  <c r="W1712" i="1"/>
  <c r="V1712" i="1"/>
  <c r="U1712" i="1"/>
  <c r="P1712" i="1"/>
  <c r="L1712" i="1"/>
  <c r="G1712" i="1"/>
  <c r="V1711" i="1"/>
  <c r="W1711" i="1" s="1"/>
  <c r="U1711" i="1"/>
  <c r="P1711" i="1"/>
  <c r="M1711" i="1"/>
  <c r="N1711" i="1" s="1"/>
  <c r="L1711" i="1"/>
  <c r="K1711" i="1"/>
  <c r="G1711" i="1"/>
  <c r="W1710" i="1"/>
  <c r="V1710" i="1"/>
  <c r="U1710" i="1"/>
  <c r="P1710" i="1"/>
  <c r="L1710" i="1"/>
  <c r="G1710" i="1"/>
  <c r="W1709" i="1"/>
  <c r="V1709" i="1"/>
  <c r="U1709" i="1"/>
  <c r="P1709" i="1"/>
  <c r="M1709" i="1"/>
  <c r="N1709" i="1" s="1"/>
  <c r="L1709" i="1"/>
  <c r="K1709" i="1"/>
  <c r="G1709" i="1"/>
  <c r="V1708" i="1"/>
  <c r="W1708" i="1" s="1"/>
  <c r="U1708" i="1"/>
  <c r="P1708" i="1"/>
  <c r="L1708" i="1"/>
  <c r="K1708" i="1"/>
  <c r="G1708" i="1"/>
  <c r="V1707" i="1"/>
  <c r="W1707" i="1" s="1"/>
  <c r="U1707" i="1"/>
  <c r="P1707" i="1"/>
  <c r="M1707" i="1"/>
  <c r="N1707" i="1" s="1"/>
  <c r="L1707" i="1"/>
  <c r="G1707" i="1"/>
  <c r="K1707" i="1" s="1"/>
  <c r="W1706" i="1"/>
  <c r="V1706" i="1"/>
  <c r="U1706" i="1"/>
  <c r="P1706" i="1"/>
  <c r="L1706" i="1"/>
  <c r="G1706" i="1"/>
  <c r="V1705" i="1"/>
  <c r="W1705" i="1" s="1"/>
  <c r="U1705" i="1"/>
  <c r="P1705" i="1"/>
  <c r="L1705" i="1"/>
  <c r="K1705" i="1"/>
  <c r="G1705" i="1"/>
  <c r="M1705" i="1" s="1"/>
  <c r="N1705" i="1" s="1"/>
  <c r="W1704" i="1"/>
  <c r="V1704" i="1"/>
  <c r="U1704" i="1"/>
  <c r="P1704" i="1"/>
  <c r="L1704" i="1"/>
  <c r="G1704" i="1"/>
  <c r="V1703" i="1"/>
  <c r="W1703" i="1" s="1"/>
  <c r="U1703" i="1"/>
  <c r="P1703" i="1"/>
  <c r="M1703" i="1"/>
  <c r="N1703" i="1" s="1"/>
  <c r="L1703" i="1"/>
  <c r="K1703" i="1"/>
  <c r="G1703" i="1"/>
  <c r="W1702" i="1"/>
  <c r="V1702" i="1"/>
  <c r="U1702" i="1"/>
  <c r="P1702" i="1"/>
  <c r="L1702" i="1"/>
  <c r="G1702" i="1"/>
  <c r="W1701" i="1"/>
  <c r="V1701" i="1"/>
  <c r="U1701" i="1"/>
  <c r="P1701" i="1"/>
  <c r="M1701" i="1"/>
  <c r="N1701" i="1" s="1"/>
  <c r="L1701" i="1"/>
  <c r="K1701" i="1"/>
  <c r="G1701" i="1"/>
  <c r="V1700" i="1"/>
  <c r="W1700" i="1" s="1"/>
  <c r="U1700" i="1"/>
  <c r="P1700" i="1"/>
  <c r="L1700" i="1"/>
  <c r="K1700" i="1"/>
  <c r="G1700" i="1"/>
  <c r="V1699" i="1"/>
  <c r="W1699" i="1" s="1"/>
  <c r="U1699" i="1"/>
  <c r="P1699" i="1"/>
  <c r="M1699" i="1"/>
  <c r="N1699" i="1" s="1"/>
  <c r="L1699" i="1"/>
  <c r="G1699" i="1"/>
  <c r="K1699" i="1" s="1"/>
  <c r="W1698" i="1"/>
  <c r="V1698" i="1"/>
  <c r="U1698" i="1"/>
  <c r="P1698" i="1"/>
  <c r="L1698" i="1"/>
  <c r="G1698" i="1"/>
  <c r="V1697" i="1"/>
  <c r="W1697" i="1" s="1"/>
  <c r="U1697" i="1"/>
  <c r="P1697" i="1"/>
  <c r="L1697" i="1"/>
  <c r="K1697" i="1"/>
  <c r="G1697" i="1"/>
  <c r="M1697" i="1" s="1"/>
  <c r="N1697" i="1" s="1"/>
  <c r="W1696" i="1"/>
  <c r="V1696" i="1"/>
  <c r="U1696" i="1"/>
  <c r="P1696" i="1"/>
  <c r="L1696" i="1"/>
  <c r="G1696" i="1"/>
  <c r="V1695" i="1"/>
  <c r="W1695" i="1" s="1"/>
  <c r="U1695" i="1"/>
  <c r="P1695" i="1"/>
  <c r="M1695" i="1"/>
  <c r="N1695" i="1" s="1"/>
  <c r="L1695" i="1"/>
  <c r="K1695" i="1"/>
  <c r="G1695" i="1"/>
  <c r="W1694" i="1"/>
  <c r="V1694" i="1"/>
  <c r="U1694" i="1"/>
  <c r="P1694" i="1"/>
  <c r="L1694" i="1"/>
  <c r="G1694" i="1"/>
  <c r="W1693" i="1"/>
  <c r="V1693" i="1"/>
  <c r="U1693" i="1"/>
  <c r="P1693" i="1"/>
  <c r="M1693" i="1"/>
  <c r="N1693" i="1" s="1"/>
  <c r="L1693" i="1"/>
  <c r="K1693" i="1"/>
  <c r="G1693" i="1"/>
  <c r="V1692" i="1"/>
  <c r="W1692" i="1" s="1"/>
  <c r="U1692" i="1"/>
  <c r="P1692" i="1"/>
  <c r="L1692" i="1"/>
  <c r="K1692" i="1"/>
  <c r="G1692" i="1"/>
  <c r="M1692" i="1" s="1"/>
  <c r="N1692" i="1" s="1"/>
  <c r="V1691" i="1"/>
  <c r="W1691" i="1" s="1"/>
  <c r="U1691" i="1"/>
  <c r="P1691" i="1"/>
  <c r="M1691" i="1"/>
  <c r="N1691" i="1" s="1"/>
  <c r="L1691" i="1"/>
  <c r="G1691" i="1"/>
  <c r="K1691" i="1" s="1"/>
  <c r="W1690" i="1"/>
  <c r="V1690" i="1"/>
  <c r="U1690" i="1"/>
  <c r="P1690" i="1"/>
  <c r="L1690" i="1"/>
  <c r="G1690" i="1"/>
  <c r="V1689" i="1"/>
  <c r="W1689" i="1" s="1"/>
  <c r="U1689" i="1"/>
  <c r="P1689" i="1"/>
  <c r="L1689" i="1"/>
  <c r="K1689" i="1"/>
  <c r="G1689" i="1"/>
  <c r="M1689" i="1" s="1"/>
  <c r="N1689" i="1" s="1"/>
  <c r="W1688" i="1"/>
  <c r="V1688" i="1"/>
  <c r="U1688" i="1"/>
  <c r="P1688" i="1"/>
  <c r="L1688" i="1"/>
  <c r="G1688" i="1"/>
  <c r="V1687" i="1"/>
  <c r="W1687" i="1" s="1"/>
  <c r="U1687" i="1"/>
  <c r="P1687" i="1"/>
  <c r="M1687" i="1"/>
  <c r="N1687" i="1" s="1"/>
  <c r="L1687" i="1"/>
  <c r="K1687" i="1"/>
  <c r="G1687" i="1"/>
  <c r="W1686" i="1"/>
  <c r="V1686" i="1"/>
  <c r="U1686" i="1"/>
  <c r="P1686" i="1"/>
  <c r="L1686" i="1"/>
  <c r="G1686" i="1"/>
  <c r="W1685" i="1"/>
  <c r="V1685" i="1"/>
  <c r="U1685" i="1"/>
  <c r="P1685" i="1"/>
  <c r="M1685" i="1"/>
  <c r="N1685" i="1" s="1"/>
  <c r="L1685" i="1"/>
  <c r="K1685" i="1"/>
  <c r="G1685" i="1"/>
  <c r="V1684" i="1"/>
  <c r="W1684" i="1" s="1"/>
  <c r="U1684" i="1"/>
  <c r="P1684" i="1"/>
  <c r="L1684" i="1"/>
  <c r="K1684" i="1"/>
  <c r="G1684" i="1"/>
  <c r="M1684" i="1" s="1"/>
  <c r="N1684" i="1" s="1"/>
  <c r="V1683" i="1"/>
  <c r="W1683" i="1" s="1"/>
  <c r="U1683" i="1"/>
  <c r="P1683" i="1"/>
  <c r="M1683" i="1"/>
  <c r="N1683" i="1" s="1"/>
  <c r="L1683" i="1"/>
  <c r="G1683" i="1"/>
  <c r="K1683" i="1" s="1"/>
  <c r="W1682" i="1"/>
  <c r="V1682" i="1"/>
  <c r="U1682" i="1"/>
  <c r="P1682" i="1"/>
  <c r="L1682" i="1"/>
  <c r="G1682" i="1"/>
  <c r="V1681" i="1"/>
  <c r="W1681" i="1" s="1"/>
  <c r="U1681" i="1"/>
  <c r="P1681" i="1"/>
  <c r="L1681" i="1"/>
  <c r="K1681" i="1"/>
  <c r="G1681" i="1"/>
  <c r="M1681" i="1" s="1"/>
  <c r="N1681" i="1" s="1"/>
  <c r="W1680" i="1"/>
  <c r="V1680" i="1"/>
  <c r="U1680" i="1"/>
  <c r="P1680" i="1"/>
  <c r="L1680" i="1"/>
  <c r="G1680" i="1"/>
  <c r="V1679" i="1"/>
  <c r="W1679" i="1" s="1"/>
  <c r="U1679" i="1"/>
  <c r="P1679" i="1"/>
  <c r="M1679" i="1"/>
  <c r="N1679" i="1" s="1"/>
  <c r="L1679" i="1"/>
  <c r="K1679" i="1"/>
  <c r="G1679" i="1"/>
  <c r="W1678" i="1"/>
  <c r="V1678" i="1"/>
  <c r="U1678" i="1"/>
  <c r="P1678" i="1"/>
  <c r="L1678" i="1"/>
  <c r="G1678" i="1"/>
  <c r="W1677" i="1"/>
  <c r="V1677" i="1"/>
  <c r="U1677" i="1"/>
  <c r="P1677" i="1"/>
  <c r="M1677" i="1"/>
  <c r="N1677" i="1" s="1"/>
  <c r="L1677" i="1"/>
  <c r="G1677" i="1"/>
  <c r="K1677" i="1" s="1"/>
  <c r="V1676" i="1"/>
  <c r="W1676" i="1" s="1"/>
  <c r="U1676" i="1"/>
  <c r="P1676" i="1"/>
  <c r="L1676" i="1"/>
  <c r="K1676" i="1"/>
  <c r="G1676" i="1"/>
  <c r="V1675" i="1"/>
  <c r="W1675" i="1" s="1"/>
  <c r="U1675" i="1"/>
  <c r="P1675" i="1"/>
  <c r="M1675" i="1"/>
  <c r="N1675" i="1" s="1"/>
  <c r="L1675" i="1"/>
  <c r="G1675" i="1"/>
  <c r="K1675" i="1" s="1"/>
  <c r="W1674" i="1"/>
  <c r="V1674" i="1"/>
  <c r="U1674" i="1"/>
  <c r="P1674" i="1"/>
  <c r="M1674" i="1"/>
  <c r="N1674" i="1" s="1"/>
  <c r="L1674" i="1"/>
  <c r="G1674" i="1"/>
  <c r="K1674" i="1" s="1"/>
  <c r="V1673" i="1"/>
  <c r="W1673" i="1" s="1"/>
  <c r="U1673" i="1"/>
  <c r="P1673" i="1"/>
  <c r="N1673" i="1"/>
  <c r="L1673" i="1"/>
  <c r="K1673" i="1"/>
  <c r="G1673" i="1"/>
  <c r="M1673" i="1" s="1"/>
  <c r="W1672" i="1"/>
  <c r="V1672" i="1"/>
  <c r="U1672" i="1"/>
  <c r="P1672" i="1"/>
  <c r="L1672" i="1"/>
  <c r="G1672" i="1"/>
  <c r="V1671" i="1"/>
  <c r="W1671" i="1" s="1"/>
  <c r="U1671" i="1"/>
  <c r="P1671" i="1"/>
  <c r="M1671" i="1"/>
  <c r="N1671" i="1" s="1"/>
  <c r="L1671" i="1"/>
  <c r="K1671" i="1"/>
  <c r="G1671" i="1"/>
  <c r="V1670" i="1"/>
  <c r="W1670" i="1" s="1"/>
  <c r="U1670" i="1"/>
  <c r="P1670" i="1"/>
  <c r="L1670" i="1"/>
  <c r="G1670" i="1"/>
  <c r="W1669" i="1"/>
  <c r="V1669" i="1"/>
  <c r="U1669" i="1"/>
  <c r="P1669" i="1"/>
  <c r="M1669" i="1"/>
  <c r="N1669" i="1" s="1"/>
  <c r="L1669" i="1"/>
  <c r="G1669" i="1"/>
  <c r="K1669" i="1" s="1"/>
  <c r="V1668" i="1"/>
  <c r="W1668" i="1" s="1"/>
  <c r="U1668" i="1"/>
  <c r="P1668" i="1"/>
  <c r="L1668" i="1"/>
  <c r="K1668" i="1"/>
  <c r="G1668" i="1"/>
  <c r="V1667" i="1"/>
  <c r="W1667" i="1" s="1"/>
  <c r="U1667" i="1"/>
  <c r="P1667" i="1"/>
  <c r="M1667" i="1"/>
  <c r="N1667" i="1" s="1"/>
  <c r="L1667" i="1"/>
  <c r="G1667" i="1"/>
  <c r="K1667" i="1" s="1"/>
  <c r="W1666" i="1"/>
  <c r="V1666" i="1"/>
  <c r="U1666" i="1"/>
  <c r="P1666" i="1"/>
  <c r="M1666" i="1"/>
  <c r="N1666" i="1" s="1"/>
  <c r="L1666" i="1"/>
  <c r="G1666" i="1"/>
  <c r="K1666" i="1" s="1"/>
  <c r="V1665" i="1"/>
  <c r="W1665" i="1" s="1"/>
  <c r="U1665" i="1"/>
  <c r="P1665" i="1"/>
  <c r="N1665" i="1"/>
  <c r="L1665" i="1"/>
  <c r="K1665" i="1"/>
  <c r="G1665" i="1"/>
  <c r="M1665" i="1" s="1"/>
  <c r="W1664" i="1"/>
  <c r="V1664" i="1"/>
  <c r="U1664" i="1"/>
  <c r="P1664" i="1"/>
  <c r="L1664" i="1"/>
  <c r="G1664" i="1"/>
  <c r="V1663" i="1"/>
  <c r="W1663" i="1" s="1"/>
  <c r="U1663" i="1"/>
  <c r="P1663" i="1"/>
  <c r="M1663" i="1"/>
  <c r="N1663" i="1" s="1"/>
  <c r="L1663" i="1"/>
  <c r="K1663" i="1"/>
  <c r="G1663" i="1"/>
  <c r="V1662" i="1"/>
  <c r="W1662" i="1" s="1"/>
  <c r="U1662" i="1"/>
  <c r="P1662" i="1"/>
  <c r="L1662" i="1"/>
  <c r="G1662" i="1"/>
  <c r="W1661" i="1"/>
  <c r="V1661" i="1"/>
  <c r="U1661" i="1"/>
  <c r="P1661" i="1"/>
  <c r="M1661" i="1"/>
  <c r="N1661" i="1" s="1"/>
  <c r="L1661" i="1"/>
  <c r="G1661" i="1"/>
  <c r="K1661" i="1" s="1"/>
  <c r="V1660" i="1"/>
  <c r="W1660" i="1" s="1"/>
  <c r="U1660" i="1"/>
  <c r="P1660" i="1"/>
  <c r="L1660" i="1"/>
  <c r="K1660" i="1"/>
  <c r="G1660" i="1"/>
  <c r="V1659" i="1"/>
  <c r="W1659" i="1" s="1"/>
  <c r="U1659" i="1"/>
  <c r="P1659" i="1"/>
  <c r="M1659" i="1"/>
  <c r="N1659" i="1" s="1"/>
  <c r="L1659" i="1"/>
  <c r="G1659" i="1"/>
  <c r="K1659" i="1" s="1"/>
  <c r="W1658" i="1"/>
  <c r="V1658" i="1"/>
  <c r="U1658" i="1"/>
  <c r="P1658" i="1"/>
  <c r="M1658" i="1"/>
  <c r="N1658" i="1" s="1"/>
  <c r="L1658" i="1"/>
  <c r="K1658" i="1"/>
  <c r="G1658" i="1"/>
  <c r="V1657" i="1"/>
  <c r="W1657" i="1" s="1"/>
  <c r="U1657" i="1"/>
  <c r="P1657" i="1"/>
  <c r="L1657" i="1"/>
  <c r="K1657" i="1"/>
  <c r="G1657" i="1"/>
  <c r="W1656" i="1"/>
  <c r="V1656" i="1"/>
  <c r="U1656" i="1"/>
  <c r="P1656" i="1"/>
  <c r="L1656" i="1"/>
  <c r="G1656" i="1"/>
  <c r="K1656" i="1" s="1"/>
  <c r="V1655" i="1"/>
  <c r="W1655" i="1" s="1"/>
  <c r="U1655" i="1"/>
  <c r="P1655" i="1"/>
  <c r="M1655" i="1"/>
  <c r="N1655" i="1" s="1"/>
  <c r="L1655" i="1"/>
  <c r="K1655" i="1"/>
  <c r="G1655" i="1"/>
  <c r="W1654" i="1"/>
  <c r="V1654" i="1"/>
  <c r="U1654" i="1"/>
  <c r="P1654" i="1"/>
  <c r="L1654" i="1"/>
  <c r="G1654" i="1"/>
  <c r="K1654" i="1" s="1"/>
  <c r="W1653" i="1"/>
  <c r="V1653" i="1"/>
  <c r="U1653" i="1"/>
  <c r="P1653" i="1"/>
  <c r="L1653" i="1"/>
  <c r="G1653" i="1"/>
  <c r="K1653" i="1" s="1"/>
  <c r="V1652" i="1"/>
  <c r="W1652" i="1" s="1"/>
  <c r="U1652" i="1"/>
  <c r="P1652" i="1"/>
  <c r="N1652" i="1"/>
  <c r="L1652" i="1"/>
  <c r="K1652" i="1"/>
  <c r="G1652" i="1"/>
  <c r="M1652" i="1" s="1"/>
  <c r="W1651" i="1"/>
  <c r="V1651" i="1"/>
  <c r="U1651" i="1"/>
  <c r="P1651" i="1"/>
  <c r="M1651" i="1"/>
  <c r="N1651" i="1" s="1"/>
  <c r="L1651" i="1"/>
  <c r="K1651" i="1"/>
  <c r="G1651" i="1"/>
  <c r="W1650" i="1"/>
  <c r="V1650" i="1"/>
  <c r="U1650" i="1"/>
  <c r="P1650" i="1"/>
  <c r="L1650" i="1"/>
  <c r="G1650" i="1"/>
  <c r="K1650" i="1" s="1"/>
  <c r="W1649" i="1"/>
  <c r="V1649" i="1"/>
  <c r="U1649" i="1"/>
  <c r="P1649" i="1"/>
  <c r="M1649" i="1"/>
  <c r="N1649" i="1" s="1"/>
  <c r="L1649" i="1"/>
  <c r="K1649" i="1"/>
  <c r="G1649" i="1"/>
  <c r="W1648" i="1"/>
  <c r="V1648" i="1"/>
  <c r="U1648" i="1"/>
  <c r="P1648" i="1"/>
  <c r="L1648" i="1"/>
  <c r="M1648" i="1" s="1"/>
  <c r="N1648" i="1" s="1"/>
  <c r="K1648" i="1"/>
  <c r="G1648" i="1"/>
  <c r="V1647" i="1"/>
  <c r="W1647" i="1" s="1"/>
  <c r="U1647" i="1"/>
  <c r="P1647" i="1"/>
  <c r="L1647" i="1"/>
  <c r="M1647" i="1" s="1"/>
  <c r="N1647" i="1" s="1"/>
  <c r="K1647" i="1"/>
  <c r="G1647" i="1"/>
  <c r="V1646" i="1"/>
  <c r="W1646" i="1" s="1"/>
  <c r="U1646" i="1"/>
  <c r="P1646" i="1"/>
  <c r="M1646" i="1"/>
  <c r="N1646" i="1" s="1"/>
  <c r="L1646" i="1"/>
  <c r="G1646" i="1"/>
  <c r="K1646" i="1" s="1"/>
  <c r="W1645" i="1"/>
  <c r="V1645" i="1"/>
  <c r="U1645" i="1"/>
  <c r="P1645" i="1"/>
  <c r="L1645" i="1"/>
  <c r="G1645" i="1"/>
  <c r="M1645" i="1" s="1"/>
  <c r="N1645" i="1" s="1"/>
  <c r="V1644" i="1"/>
  <c r="W1644" i="1" s="1"/>
  <c r="U1644" i="1"/>
  <c r="P1644" i="1"/>
  <c r="L1644" i="1"/>
  <c r="K1644" i="1"/>
  <c r="G1644" i="1"/>
  <c r="M1644" i="1" s="1"/>
  <c r="N1644" i="1" s="1"/>
  <c r="W1643" i="1"/>
  <c r="V1643" i="1"/>
  <c r="U1643" i="1"/>
  <c r="P1643" i="1"/>
  <c r="L1643" i="1"/>
  <c r="G1643" i="1"/>
  <c r="V1642" i="1"/>
  <c r="W1642" i="1" s="1"/>
  <c r="U1642" i="1"/>
  <c r="P1642" i="1"/>
  <c r="M1642" i="1"/>
  <c r="N1642" i="1" s="1"/>
  <c r="L1642" i="1"/>
  <c r="K1642" i="1"/>
  <c r="G1642" i="1"/>
  <c r="W1641" i="1"/>
  <c r="V1641" i="1"/>
  <c r="U1641" i="1"/>
  <c r="P1641" i="1"/>
  <c r="L1641" i="1"/>
  <c r="G1641" i="1"/>
  <c r="K1641" i="1" s="1"/>
  <c r="W1640" i="1"/>
  <c r="V1640" i="1"/>
  <c r="U1640" i="1"/>
  <c r="P1640" i="1"/>
  <c r="M1640" i="1"/>
  <c r="N1640" i="1" s="1"/>
  <c r="L1640" i="1"/>
  <c r="K1640" i="1"/>
  <c r="G1640" i="1"/>
  <c r="V1639" i="1"/>
  <c r="W1639" i="1" s="1"/>
  <c r="U1639" i="1"/>
  <c r="P1639" i="1"/>
  <c r="N1639" i="1"/>
  <c r="L1639" i="1"/>
  <c r="M1639" i="1" s="1"/>
  <c r="K1639" i="1"/>
  <c r="G1639" i="1"/>
  <c r="V1638" i="1"/>
  <c r="W1638" i="1" s="1"/>
  <c r="U1638" i="1"/>
  <c r="P1638" i="1"/>
  <c r="M1638" i="1"/>
  <c r="N1638" i="1" s="1"/>
  <c r="L1638" i="1"/>
  <c r="G1638" i="1"/>
  <c r="K1638" i="1" s="1"/>
  <c r="W1637" i="1"/>
  <c r="V1637" i="1"/>
  <c r="U1637" i="1"/>
  <c r="P1637" i="1"/>
  <c r="L1637" i="1"/>
  <c r="G1637" i="1"/>
  <c r="M1637" i="1" s="1"/>
  <c r="N1637" i="1" s="1"/>
  <c r="V1636" i="1"/>
  <c r="W1636" i="1" s="1"/>
  <c r="U1636" i="1"/>
  <c r="P1636" i="1"/>
  <c r="L1636" i="1"/>
  <c r="K1636" i="1"/>
  <c r="G1636" i="1"/>
  <c r="M1636" i="1" s="1"/>
  <c r="N1636" i="1" s="1"/>
  <c r="W1635" i="1"/>
  <c r="V1635" i="1"/>
  <c r="U1635" i="1"/>
  <c r="P1635" i="1"/>
  <c r="L1635" i="1"/>
  <c r="G1635" i="1"/>
  <c r="V1634" i="1"/>
  <c r="W1634" i="1" s="1"/>
  <c r="U1634" i="1"/>
  <c r="P1634" i="1"/>
  <c r="M1634" i="1"/>
  <c r="N1634" i="1" s="1"/>
  <c r="L1634" i="1"/>
  <c r="K1634" i="1"/>
  <c r="G1634" i="1"/>
  <c r="W1633" i="1"/>
  <c r="V1633" i="1"/>
  <c r="U1633" i="1"/>
  <c r="P1633" i="1"/>
  <c r="L1633" i="1"/>
  <c r="G1633" i="1"/>
  <c r="K1633" i="1" s="1"/>
  <c r="W1632" i="1"/>
  <c r="V1632" i="1"/>
  <c r="U1632" i="1"/>
  <c r="P1632" i="1"/>
  <c r="M1632" i="1"/>
  <c r="N1632" i="1" s="1"/>
  <c r="L1632" i="1"/>
  <c r="K1632" i="1"/>
  <c r="G1632" i="1"/>
  <c r="V1631" i="1"/>
  <c r="W1631" i="1" s="1"/>
  <c r="U1631" i="1"/>
  <c r="P1631" i="1"/>
  <c r="L1631" i="1"/>
  <c r="M1631" i="1" s="1"/>
  <c r="N1631" i="1" s="1"/>
  <c r="K1631" i="1"/>
  <c r="G1631" i="1"/>
  <c r="V1630" i="1"/>
  <c r="W1630" i="1" s="1"/>
  <c r="U1630" i="1"/>
  <c r="P1630" i="1"/>
  <c r="M1630" i="1"/>
  <c r="N1630" i="1" s="1"/>
  <c r="L1630" i="1"/>
  <c r="G1630" i="1"/>
  <c r="K1630" i="1" s="1"/>
  <c r="W1629" i="1"/>
  <c r="V1629" i="1"/>
  <c r="U1629" i="1"/>
  <c r="P1629" i="1"/>
  <c r="L1629" i="1"/>
  <c r="G1629" i="1"/>
  <c r="M1629" i="1" s="1"/>
  <c r="N1629" i="1" s="1"/>
  <c r="V1628" i="1"/>
  <c r="W1628" i="1" s="1"/>
  <c r="U1628" i="1"/>
  <c r="P1628" i="1"/>
  <c r="L1628" i="1"/>
  <c r="K1628" i="1"/>
  <c r="G1628" i="1"/>
  <c r="M1628" i="1" s="1"/>
  <c r="N1628" i="1" s="1"/>
  <c r="W1627" i="1"/>
  <c r="V1627" i="1"/>
  <c r="U1627" i="1"/>
  <c r="P1627" i="1"/>
  <c r="L1627" i="1"/>
  <c r="G1627" i="1"/>
  <c r="V1626" i="1"/>
  <c r="W1626" i="1" s="1"/>
  <c r="U1626" i="1"/>
  <c r="P1626" i="1"/>
  <c r="M1626" i="1"/>
  <c r="N1626" i="1" s="1"/>
  <c r="L1626" i="1"/>
  <c r="K1626" i="1"/>
  <c r="G1626" i="1"/>
  <c r="W1625" i="1"/>
  <c r="V1625" i="1"/>
  <c r="U1625" i="1"/>
  <c r="P1625" i="1"/>
  <c r="L1625" i="1"/>
  <c r="G1625" i="1"/>
  <c r="K1625" i="1" s="1"/>
  <c r="W1624" i="1"/>
  <c r="V1624" i="1"/>
  <c r="U1624" i="1"/>
  <c r="P1624" i="1"/>
  <c r="M1624" i="1"/>
  <c r="N1624" i="1" s="1"/>
  <c r="L1624" i="1"/>
  <c r="K1624" i="1"/>
  <c r="G1624" i="1"/>
  <c r="V1623" i="1"/>
  <c r="W1623" i="1" s="1"/>
  <c r="U1623" i="1"/>
  <c r="P1623" i="1"/>
  <c r="N1623" i="1"/>
  <c r="L1623" i="1"/>
  <c r="M1623" i="1" s="1"/>
  <c r="K1623" i="1"/>
  <c r="G1623" i="1"/>
  <c r="V1622" i="1"/>
  <c r="W1622" i="1" s="1"/>
  <c r="U1622" i="1"/>
  <c r="P1622" i="1"/>
  <c r="M1622" i="1"/>
  <c r="N1622" i="1" s="1"/>
  <c r="L1622" i="1"/>
  <c r="G1622" i="1"/>
  <c r="K1622" i="1" s="1"/>
  <c r="W1621" i="1"/>
  <c r="V1621" i="1"/>
  <c r="U1621" i="1"/>
  <c r="P1621" i="1"/>
  <c r="L1621" i="1"/>
  <c r="G1621" i="1"/>
  <c r="M1621" i="1" s="1"/>
  <c r="N1621" i="1" s="1"/>
  <c r="V1620" i="1"/>
  <c r="W1620" i="1" s="1"/>
  <c r="U1620" i="1"/>
  <c r="P1620" i="1"/>
  <c r="L1620" i="1"/>
  <c r="K1620" i="1"/>
  <c r="G1620" i="1"/>
  <c r="M1620" i="1" s="1"/>
  <c r="N1620" i="1" s="1"/>
  <c r="W1619" i="1"/>
  <c r="V1619" i="1"/>
  <c r="U1619" i="1"/>
  <c r="P1619" i="1"/>
  <c r="L1619" i="1"/>
  <c r="G1619" i="1"/>
  <c r="V1618" i="1"/>
  <c r="W1618" i="1" s="1"/>
  <c r="U1618" i="1"/>
  <c r="P1618" i="1"/>
  <c r="M1618" i="1"/>
  <c r="N1618" i="1" s="1"/>
  <c r="L1618" i="1"/>
  <c r="K1618" i="1"/>
  <c r="G1618" i="1"/>
  <c r="W1617" i="1"/>
  <c r="V1617" i="1"/>
  <c r="U1617" i="1"/>
  <c r="P1617" i="1"/>
  <c r="L1617" i="1"/>
  <c r="G1617" i="1"/>
  <c r="K1617" i="1" s="1"/>
  <c r="W1616" i="1"/>
  <c r="V1616" i="1"/>
  <c r="U1616" i="1"/>
  <c r="P1616" i="1"/>
  <c r="M1616" i="1"/>
  <c r="N1616" i="1" s="1"/>
  <c r="L1616" i="1"/>
  <c r="K1616" i="1"/>
  <c r="G1616" i="1"/>
  <c r="V1615" i="1"/>
  <c r="W1615" i="1" s="1"/>
  <c r="U1615" i="1"/>
  <c r="P1615" i="1"/>
  <c r="N1615" i="1"/>
  <c r="L1615" i="1"/>
  <c r="M1615" i="1" s="1"/>
  <c r="K1615" i="1"/>
  <c r="G1615" i="1"/>
  <c r="V1614" i="1"/>
  <c r="W1614" i="1" s="1"/>
  <c r="U1614" i="1"/>
  <c r="P1614" i="1"/>
  <c r="M1614" i="1"/>
  <c r="N1614" i="1" s="1"/>
  <c r="L1614" i="1"/>
  <c r="G1614" i="1"/>
  <c r="K1614" i="1" s="1"/>
  <c r="W1613" i="1"/>
  <c r="V1613" i="1"/>
  <c r="U1613" i="1"/>
  <c r="P1613" i="1"/>
  <c r="L1613" i="1"/>
  <c r="G1613" i="1"/>
  <c r="M1613" i="1" s="1"/>
  <c r="N1613" i="1" s="1"/>
  <c r="V1612" i="1"/>
  <c r="W1612" i="1" s="1"/>
  <c r="U1612" i="1"/>
  <c r="P1612" i="1"/>
  <c r="L1612" i="1"/>
  <c r="K1612" i="1"/>
  <c r="G1612" i="1"/>
  <c r="M1612" i="1" s="1"/>
  <c r="N1612" i="1" s="1"/>
  <c r="W1611" i="1"/>
  <c r="V1611" i="1"/>
  <c r="U1611" i="1"/>
  <c r="P1611" i="1"/>
  <c r="L1611" i="1"/>
  <c r="G1611" i="1"/>
  <c r="V1610" i="1"/>
  <c r="W1610" i="1" s="1"/>
  <c r="U1610" i="1"/>
  <c r="P1610" i="1"/>
  <c r="M1610" i="1"/>
  <c r="N1610" i="1" s="1"/>
  <c r="L1610" i="1"/>
  <c r="K1610" i="1"/>
  <c r="G1610" i="1"/>
  <c r="W1609" i="1"/>
  <c r="V1609" i="1"/>
  <c r="U1609" i="1"/>
  <c r="P1609" i="1"/>
  <c r="L1609" i="1"/>
  <c r="G1609" i="1"/>
  <c r="K1609" i="1" s="1"/>
  <c r="W1608" i="1"/>
  <c r="V1608" i="1"/>
  <c r="U1608" i="1"/>
  <c r="P1608" i="1"/>
  <c r="M1608" i="1"/>
  <c r="N1608" i="1" s="1"/>
  <c r="L1608" i="1"/>
  <c r="K1608" i="1"/>
  <c r="G1608" i="1"/>
  <c r="V1607" i="1"/>
  <c r="W1607" i="1" s="1"/>
  <c r="U1607" i="1"/>
  <c r="P1607" i="1"/>
  <c r="N1607" i="1"/>
  <c r="L1607" i="1"/>
  <c r="M1607" i="1" s="1"/>
  <c r="K1607" i="1"/>
  <c r="G1607" i="1"/>
  <c r="V1606" i="1"/>
  <c r="W1606" i="1" s="1"/>
  <c r="U1606" i="1"/>
  <c r="P1606" i="1"/>
  <c r="M1606" i="1"/>
  <c r="N1606" i="1" s="1"/>
  <c r="L1606" i="1"/>
  <c r="G1606" i="1"/>
  <c r="K1606" i="1" s="1"/>
  <c r="W1605" i="1"/>
  <c r="V1605" i="1"/>
  <c r="U1605" i="1"/>
  <c r="P1605" i="1"/>
  <c r="L1605" i="1"/>
  <c r="G1605" i="1"/>
  <c r="M1605" i="1" s="1"/>
  <c r="N1605" i="1" s="1"/>
  <c r="V1604" i="1"/>
  <c r="W1604" i="1" s="1"/>
  <c r="U1604" i="1"/>
  <c r="P1604" i="1"/>
  <c r="L1604" i="1"/>
  <c r="K1604" i="1"/>
  <c r="G1604" i="1"/>
  <c r="M1604" i="1" s="1"/>
  <c r="N1604" i="1" s="1"/>
  <c r="W1603" i="1"/>
  <c r="V1603" i="1"/>
  <c r="U1603" i="1"/>
  <c r="P1603" i="1"/>
  <c r="L1603" i="1"/>
  <c r="G1603" i="1"/>
  <c r="V1602" i="1"/>
  <c r="W1602" i="1" s="1"/>
  <c r="U1602" i="1"/>
  <c r="P1602" i="1"/>
  <c r="M1602" i="1"/>
  <c r="N1602" i="1" s="1"/>
  <c r="L1602" i="1"/>
  <c r="K1602" i="1"/>
  <c r="G1602" i="1"/>
  <c r="W1601" i="1"/>
  <c r="V1601" i="1"/>
  <c r="U1601" i="1"/>
  <c r="P1601" i="1"/>
  <c r="L1601" i="1"/>
  <c r="G1601" i="1"/>
  <c r="K1601" i="1" s="1"/>
  <c r="W1600" i="1"/>
  <c r="V1600" i="1"/>
  <c r="U1600" i="1"/>
  <c r="P1600" i="1"/>
  <c r="M1600" i="1"/>
  <c r="N1600" i="1" s="1"/>
  <c r="L1600" i="1"/>
  <c r="K1600" i="1"/>
  <c r="G1600" i="1"/>
  <c r="V1599" i="1"/>
  <c r="W1599" i="1" s="1"/>
  <c r="U1599" i="1"/>
  <c r="P1599" i="1"/>
  <c r="N1599" i="1"/>
  <c r="L1599" i="1"/>
  <c r="M1599" i="1" s="1"/>
  <c r="K1599" i="1"/>
  <c r="G1599" i="1"/>
  <c r="V1598" i="1"/>
  <c r="W1598" i="1" s="1"/>
  <c r="U1598" i="1"/>
  <c r="P1598" i="1"/>
  <c r="M1598" i="1"/>
  <c r="N1598" i="1" s="1"/>
  <c r="L1598" i="1"/>
  <c r="G1598" i="1"/>
  <c r="K1598" i="1" s="1"/>
  <c r="W1597" i="1"/>
  <c r="V1597" i="1"/>
  <c r="U1597" i="1"/>
  <c r="P1597" i="1"/>
  <c r="L1597" i="1"/>
  <c r="G1597" i="1"/>
  <c r="M1597" i="1" s="1"/>
  <c r="N1597" i="1" s="1"/>
  <c r="V1596" i="1"/>
  <c r="W1596" i="1" s="1"/>
  <c r="U1596" i="1"/>
  <c r="P1596" i="1"/>
  <c r="L1596" i="1"/>
  <c r="K1596" i="1"/>
  <c r="G1596" i="1"/>
  <c r="M1596" i="1" s="1"/>
  <c r="N1596" i="1" s="1"/>
  <c r="W1595" i="1"/>
  <c r="V1595" i="1"/>
  <c r="U1595" i="1"/>
  <c r="P1595" i="1"/>
  <c r="L1595" i="1"/>
  <c r="G1595" i="1"/>
  <c r="V1594" i="1"/>
  <c r="W1594" i="1" s="1"/>
  <c r="U1594" i="1"/>
  <c r="P1594" i="1"/>
  <c r="M1594" i="1"/>
  <c r="N1594" i="1" s="1"/>
  <c r="L1594" i="1"/>
  <c r="K1594" i="1"/>
  <c r="G1594" i="1"/>
  <c r="W1593" i="1"/>
  <c r="V1593" i="1"/>
  <c r="U1593" i="1"/>
  <c r="P1593" i="1"/>
  <c r="L1593" i="1"/>
  <c r="G1593" i="1"/>
  <c r="K1593" i="1" s="1"/>
  <c r="W1592" i="1"/>
  <c r="V1592" i="1"/>
  <c r="U1592" i="1"/>
  <c r="P1592" i="1"/>
  <c r="M1592" i="1"/>
  <c r="N1592" i="1" s="1"/>
  <c r="L1592" i="1"/>
  <c r="K1592" i="1"/>
  <c r="G1592" i="1"/>
  <c r="V1591" i="1"/>
  <c r="W1591" i="1" s="1"/>
  <c r="U1591" i="1"/>
  <c r="P1591" i="1"/>
  <c r="N1591" i="1"/>
  <c r="L1591" i="1"/>
  <c r="M1591" i="1" s="1"/>
  <c r="K1591" i="1"/>
  <c r="G1591" i="1"/>
  <c r="V1590" i="1"/>
  <c r="W1590" i="1" s="1"/>
  <c r="U1590" i="1"/>
  <c r="P1590" i="1"/>
  <c r="M1590" i="1"/>
  <c r="N1590" i="1" s="1"/>
  <c r="L1590" i="1"/>
  <c r="G1590" i="1"/>
  <c r="K1590" i="1" s="1"/>
  <c r="W1589" i="1"/>
  <c r="V1589" i="1"/>
  <c r="U1589" i="1"/>
  <c r="P1589" i="1"/>
  <c r="L1589" i="1"/>
  <c r="G1589" i="1"/>
  <c r="M1589" i="1" s="1"/>
  <c r="N1589" i="1" s="1"/>
  <c r="V1588" i="1"/>
  <c r="W1588" i="1" s="1"/>
  <c r="U1588" i="1"/>
  <c r="P1588" i="1"/>
  <c r="L1588" i="1"/>
  <c r="K1588" i="1"/>
  <c r="G1588" i="1"/>
  <c r="M1588" i="1" s="1"/>
  <c r="N1588" i="1" s="1"/>
  <c r="W1587" i="1"/>
  <c r="V1587" i="1"/>
  <c r="U1587" i="1"/>
  <c r="P1587" i="1"/>
  <c r="L1587" i="1"/>
  <c r="G1587" i="1"/>
  <c r="V1586" i="1"/>
  <c r="W1586" i="1" s="1"/>
  <c r="U1586" i="1"/>
  <c r="P1586" i="1"/>
  <c r="M1586" i="1"/>
  <c r="N1586" i="1" s="1"/>
  <c r="L1586" i="1"/>
  <c r="K1586" i="1"/>
  <c r="G1586" i="1"/>
  <c r="W1585" i="1"/>
  <c r="V1585" i="1"/>
  <c r="U1585" i="1"/>
  <c r="P1585" i="1"/>
  <c r="L1585" i="1"/>
  <c r="G1585" i="1"/>
  <c r="K1585" i="1" s="1"/>
  <c r="W1584" i="1"/>
  <c r="V1584" i="1"/>
  <c r="U1584" i="1"/>
  <c r="P1584" i="1"/>
  <c r="M1584" i="1"/>
  <c r="N1584" i="1" s="1"/>
  <c r="L1584" i="1"/>
  <c r="K1584" i="1"/>
  <c r="G1584" i="1"/>
  <c r="V1583" i="1"/>
  <c r="W1583" i="1" s="1"/>
  <c r="U1583" i="1"/>
  <c r="P1583" i="1"/>
  <c r="N1583" i="1"/>
  <c r="L1583" i="1"/>
  <c r="M1583" i="1" s="1"/>
  <c r="K1583" i="1"/>
  <c r="G1583" i="1"/>
  <c r="V1582" i="1"/>
  <c r="W1582" i="1" s="1"/>
  <c r="U1582" i="1"/>
  <c r="P1582" i="1"/>
  <c r="M1582" i="1"/>
  <c r="N1582" i="1" s="1"/>
  <c r="L1582" i="1"/>
  <c r="G1582" i="1"/>
  <c r="K1582" i="1" s="1"/>
  <c r="W1581" i="1"/>
  <c r="V1581" i="1"/>
  <c r="U1581" i="1"/>
  <c r="P1581" i="1"/>
  <c r="L1581" i="1"/>
  <c r="G1581" i="1"/>
  <c r="M1581" i="1" s="1"/>
  <c r="N1581" i="1" s="1"/>
  <c r="V1580" i="1"/>
  <c r="W1580" i="1" s="1"/>
  <c r="U1580" i="1"/>
  <c r="P1580" i="1"/>
  <c r="L1580" i="1"/>
  <c r="K1580" i="1"/>
  <c r="G1580" i="1"/>
  <c r="M1580" i="1" s="1"/>
  <c r="N1580" i="1" s="1"/>
  <c r="W1579" i="1"/>
  <c r="V1579" i="1"/>
  <c r="U1579" i="1"/>
  <c r="P1579" i="1"/>
  <c r="L1579" i="1"/>
  <c r="G1579" i="1"/>
  <c r="V1578" i="1"/>
  <c r="W1578" i="1" s="1"/>
  <c r="U1578" i="1"/>
  <c r="P1578" i="1"/>
  <c r="M1578" i="1"/>
  <c r="N1578" i="1" s="1"/>
  <c r="L1578" i="1"/>
  <c r="K1578" i="1"/>
  <c r="G1578" i="1"/>
  <c r="W1577" i="1"/>
  <c r="V1577" i="1"/>
  <c r="U1577" i="1"/>
  <c r="P1577" i="1"/>
  <c r="L1577" i="1"/>
  <c r="G1577" i="1"/>
  <c r="K1577" i="1" s="1"/>
  <c r="W1576" i="1"/>
  <c r="V1576" i="1"/>
  <c r="U1576" i="1"/>
  <c r="P1576" i="1"/>
  <c r="M1576" i="1"/>
  <c r="N1576" i="1" s="1"/>
  <c r="L1576" i="1"/>
  <c r="K1576" i="1"/>
  <c r="G1576" i="1"/>
  <c r="V1575" i="1"/>
  <c r="W1575" i="1" s="1"/>
  <c r="U1575" i="1"/>
  <c r="P1575" i="1"/>
  <c r="N1575" i="1"/>
  <c r="L1575" i="1"/>
  <c r="M1575" i="1" s="1"/>
  <c r="K1575" i="1"/>
  <c r="G1575" i="1"/>
  <c r="V1574" i="1"/>
  <c r="W1574" i="1" s="1"/>
  <c r="U1574" i="1"/>
  <c r="P1574" i="1"/>
  <c r="M1574" i="1"/>
  <c r="N1574" i="1" s="1"/>
  <c r="L1574" i="1"/>
  <c r="G1574" i="1"/>
  <c r="K1574" i="1" s="1"/>
  <c r="W1573" i="1"/>
  <c r="V1573" i="1"/>
  <c r="U1573" i="1"/>
  <c r="P1573" i="1"/>
  <c r="L1573" i="1"/>
  <c r="G1573" i="1"/>
  <c r="M1573" i="1" s="1"/>
  <c r="N1573" i="1" s="1"/>
  <c r="V1572" i="1"/>
  <c r="W1572" i="1" s="1"/>
  <c r="U1572" i="1"/>
  <c r="P1572" i="1"/>
  <c r="L1572" i="1"/>
  <c r="K1572" i="1"/>
  <c r="G1572" i="1"/>
  <c r="M1572" i="1" s="1"/>
  <c r="N1572" i="1" s="1"/>
  <c r="W1571" i="1"/>
  <c r="V1571" i="1"/>
  <c r="U1571" i="1"/>
  <c r="P1571" i="1"/>
  <c r="L1571" i="1"/>
  <c r="G1571" i="1"/>
  <c r="V1570" i="1"/>
  <c r="W1570" i="1" s="1"/>
  <c r="U1570" i="1"/>
  <c r="P1570" i="1"/>
  <c r="M1570" i="1"/>
  <c r="N1570" i="1" s="1"/>
  <c r="L1570" i="1"/>
  <c r="K1570" i="1"/>
  <c r="G1570" i="1"/>
  <c r="W1569" i="1"/>
  <c r="V1569" i="1"/>
  <c r="U1569" i="1"/>
  <c r="P1569" i="1"/>
  <c r="L1569" i="1"/>
  <c r="G1569" i="1"/>
  <c r="K1569" i="1" s="1"/>
  <c r="W1568" i="1"/>
  <c r="V1568" i="1"/>
  <c r="U1568" i="1"/>
  <c r="P1568" i="1"/>
  <c r="M1568" i="1"/>
  <c r="N1568" i="1" s="1"/>
  <c r="L1568" i="1"/>
  <c r="K1568" i="1"/>
  <c r="G1568" i="1"/>
  <c r="V1567" i="1"/>
  <c r="W1567" i="1" s="1"/>
  <c r="U1567" i="1"/>
  <c r="P1567" i="1"/>
  <c r="N1567" i="1"/>
  <c r="L1567" i="1"/>
  <c r="M1567" i="1" s="1"/>
  <c r="K1567" i="1"/>
  <c r="G1567" i="1"/>
  <c r="V1566" i="1"/>
  <c r="W1566" i="1" s="1"/>
  <c r="U1566" i="1"/>
  <c r="P1566" i="1"/>
  <c r="M1566" i="1"/>
  <c r="N1566" i="1" s="1"/>
  <c r="L1566" i="1"/>
  <c r="G1566" i="1"/>
  <c r="K1566" i="1" s="1"/>
  <c r="W1565" i="1"/>
  <c r="V1565" i="1"/>
  <c r="U1565" i="1"/>
  <c r="P1565" i="1"/>
  <c r="L1565" i="1"/>
  <c r="G1565" i="1"/>
  <c r="M1565" i="1" s="1"/>
  <c r="N1565" i="1" s="1"/>
  <c r="V1564" i="1"/>
  <c r="W1564" i="1" s="1"/>
  <c r="U1564" i="1"/>
  <c r="P1564" i="1"/>
  <c r="L1564" i="1"/>
  <c r="K1564" i="1"/>
  <c r="G1564" i="1"/>
  <c r="M1564" i="1" s="1"/>
  <c r="N1564" i="1" s="1"/>
  <c r="W1563" i="1"/>
  <c r="V1563" i="1"/>
  <c r="U1563" i="1"/>
  <c r="P1563" i="1"/>
  <c r="L1563" i="1"/>
  <c r="G1563" i="1"/>
  <c r="V1562" i="1"/>
  <c r="W1562" i="1" s="1"/>
  <c r="U1562" i="1"/>
  <c r="P1562" i="1"/>
  <c r="M1562" i="1"/>
  <c r="N1562" i="1" s="1"/>
  <c r="L1562" i="1"/>
  <c r="K1562" i="1"/>
  <c r="G1562" i="1"/>
  <c r="W1561" i="1"/>
  <c r="V1561" i="1"/>
  <c r="U1561" i="1"/>
  <c r="P1561" i="1"/>
  <c r="L1561" i="1"/>
  <c r="G1561" i="1"/>
  <c r="K1561" i="1" s="1"/>
  <c r="W1560" i="1"/>
  <c r="V1560" i="1"/>
  <c r="U1560" i="1"/>
  <c r="P1560" i="1"/>
  <c r="M1560" i="1"/>
  <c r="N1560" i="1" s="1"/>
  <c r="L1560" i="1"/>
  <c r="K1560" i="1"/>
  <c r="G1560" i="1"/>
  <c r="V1559" i="1"/>
  <c r="W1559" i="1" s="1"/>
  <c r="U1559" i="1"/>
  <c r="P1559" i="1"/>
  <c r="N1559" i="1"/>
  <c r="L1559" i="1"/>
  <c r="M1559" i="1" s="1"/>
  <c r="K1559" i="1"/>
  <c r="G1559" i="1"/>
  <c r="V1558" i="1"/>
  <c r="W1558" i="1" s="1"/>
  <c r="U1558" i="1"/>
  <c r="P1558" i="1"/>
  <c r="M1558" i="1"/>
  <c r="N1558" i="1" s="1"/>
  <c r="L1558" i="1"/>
  <c r="G1558" i="1"/>
  <c r="K1558" i="1" s="1"/>
  <c r="W1557" i="1"/>
  <c r="V1557" i="1"/>
  <c r="U1557" i="1"/>
  <c r="P1557" i="1"/>
  <c r="L1557" i="1"/>
  <c r="G1557" i="1"/>
  <c r="M1557" i="1" s="1"/>
  <c r="N1557" i="1" s="1"/>
  <c r="V1556" i="1"/>
  <c r="W1556" i="1" s="1"/>
  <c r="U1556" i="1"/>
  <c r="P1556" i="1"/>
  <c r="L1556" i="1"/>
  <c r="K1556" i="1"/>
  <c r="G1556" i="1"/>
  <c r="M1556" i="1" s="1"/>
  <c r="N1556" i="1" s="1"/>
  <c r="W1555" i="1"/>
  <c r="V1555" i="1"/>
  <c r="U1555" i="1"/>
  <c r="P1555" i="1"/>
  <c r="L1555" i="1"/>
  <c r="G1555" i="1"/>
  <c r="V1554" i="1"/>
  <c r="W1554" i="1" s="1"/>
  <c r="U1554" i="1"/>
  <c r="P1554" i="1"/>
  <c r="M1554" i="1"/>
  <c r="N1554" i="1" s="1"/>
  <c r="L1554" i="1"/>
  <c r="K1554" i="1"/>
  <c r="G1554" i="1"/>
  <c r="W1553" i="1"/>
  <c r="V1553" i="1"/>
  <c r="U1553" i="1"/>
  <c r="P1553" i="1"/>
  <c r="L1553" i="1"/>
  <c r="G1553" i="1"/>
  <c r="K1553" i="1" s="1"/>
  <c r="W1552" i="1"/>
  <c r="V1552" i="1"/>
  <c r="U1552" i="1"/>
  <c r="P1552" i="1"/>
  <c r="M1552" i="1"/>
  <c r="N1552" i="1" s="1"/>
  <c r="L1552" i="1"/>
  <c r="K1552" i="1"/>
  <c r="G1552" i="1"/>
  <c r="V1551" i="1"/>
  <c r="W1551" i="1" s="1"/>
  <c r="U1551" i="1"/>
  <c r="P1551" i="1"/>
  <c r="N1551" i="1"/>
  <c r="L1551" i="1"/>
  <c r="M1551" i="1" s="1"/>
  <c r="K1551" i="1"/>
  <c r="G1551" i="1"/>
  <c r="V1550" i="1"/>
  <c r="W1550" i="1" s="1"/>
  <c r="U1550" i="1"/>
  <c r="P1550" i="1"/>
  <c r="M1550" i="1"/>
  <c r="N1550" i="1" s="1"/>
  <c r="L1550" i="1"/>
  <c r="G1550" i="1"/>
  <c r="K1550" i="1" s="1"/>
  <c r="W1549" i="1"/>
  <c r="V1549" i="1"/>
  <c r="U1549" i="1"/>
  <c r="P1549" i="1"/>
  <c r="L1549" i="1"/>
  <c r="G1549" i="1"/>
  <c r="M1549" i="1" s="1"/>
  <c r="N1549" i="1" s="1"/>
  <c r="V1548" i="1"/>
  <c r="W1548" i="1" s="1"/>
  <c r="U1548" i="1"/>
  <c r="P1548" i="1"/>
  <c r="L1548" i="1"/>
  <c r="K1548" i="1"/>
  <c r="G1548" i="1"/>
  <c r="M1548" i="1" s="1"/>
  <c r="N1548" i="1" s="1"/>
  <c r="W1547" i="1"/>
  <c r="V1547" i="1"/>
  <c r="U1547" i="1"/>
  <c r="P1547" i="1"/>
  <c r="L1547" i="1"/>
  <c r="G1547" i="1"/>
  <c r="V1546" i="1"/>
  <c r="W1546" i="1" s="1"/>
  <c r="U1546" i="1"/>
  <c r="P1546" i="1"/>
  <c r="M1546" i="1"/>
  <c r="N1546" i="1" s="1"/>
  <c r="L1546" i="1"/>
  <c r="K1546" i="1"/>
  <c r="G1546" i="1"/>
  <c r="W1545" i="1"/>
  <c r="V1545" i="1"/>
  <c r="U1545" i="1"/>
  <c r="P1545" i="1"/>
  <c r="L1545" i="1"/>
  <c r="G1545" i="1"/>
  <c r="K1545" i="1" s="1"/>
  <c r="W1544" i="1"/>
  <c r="V1544" i="1"/>
  <c r="U1544" i="1"/>
  <c r="P1544" i="1"/>
  <c r="M1544" i="1"/>
  <c r="N1544" i="1" s="1"/>
  <c r="L1544" i="1"/>
  <c r="K1544" i="1"/>
  <c r="G1544" i="1"/>
  <c r="V1543" i="1"/>
  <c r="W1543" i="1" s="1"/>
  <c r="U1543" i="1"/>
  <c r="P1543" i="1"/>
  <c r="N1543" i="1"/>
  <c r="L1543" i="1"/>
  <c r="M1543" i="1" s="1"/>
  <c r="K1543" i="1"/>
  <c r="G1543" i="1"/>
  <c r="V1542" i="1"/>
  <c r="W1542" i="1" s="1"/>
  <c r="U1542" i="1"/>
  <c r="P1542" i="1"/>
  <c r="M1542" i="1"/>
  <c r="N1542" i="1" s="1"/>
  <c r="L1542" i="1"/>
  <c r="G1542" i="1"/>
  <c r="K1542" i="1" s="1"/>
  <c r="W1541" i="1"/>
  <c r="V1541" i="1"/>
  <c r="U1541" i="1"/>
  <c r="P1541" i="1"/>
  <c r="L1541" i="1"/>
  <c r="G1541" i="1"/>
  <c r="M1541" i="1" s="1"/>
  <c r="N1541" i="1" s="1"/>
  <c r="V1540" i="1"/>
  <c r="W1540" i="1" s="1"/>
  <c r="U1540" i="1"/>
  <c r="P1540" i="1"/>
  <c r="L1540" i="1"/>
  <c r="K1540" i="1"/>
  <c r="G1540" i="1"/>
  <c r="M1540" i="1" s="1"/>
  <c r="N1540" i="1" s="1"/>
  <c r="W1539" i="1"/>
  <c r="V1539" i="1"/>
  <c r="U1539" i="1"/>
  <c r="P1539" i="1"/>
  <c r="L1539" i="1"/>
  <c r="G1539" i="1"/>
  <c r="V1538" i="1"/>
  <c r="W1538" i="1" s="1"/>
  <c r="U1538" i="1"/>
  <c r="P1538" i="1"/>
  <c r="M1538" i="1"/>
  <c r="N1538" i="1" s="1"/>
  <c r="L1538" i="1"/>
  <c r="K1538" i="1"/>
  <c r="G1538" i="1"/>
  <c r="W1537" i="1"/>
  <c r="V1537" i="1"/>
  <c r="U1537" i="1"/>
  <c r="P1537" i="1"/>
  <c r="L1537" i="1"/>
  <c r="G1537" i="1"/>
  <c r="K1537" i="1" s="1"/>
  <c r="W1536" i="1"/>
  <c r="V1536" i="1"/>
  <c r="U1536" i="1"/>
  <c r="P1536" i="1"/>
  <c r="M1536" i="1"/>
  <c r="N1536" i="1" s="1"/>
  <c r="L1536" i="1"/>
  <c r="K1536" i="1"/>
  <c r="G1536" i="1"/>
  <c r="V1535" i="1"/>
  <c r="W1535" i="1" s="1"/>
  <c r="U1535" i="1"/>
  <c r="P1535" i="1"/>
  <c r="N1535" i="1"/>
  <c r="L1535" i="1"/>
  <c r="M1535" i="1" s="1"/>
  <c r="K1535" i="1"/>
  <c r="G1535" i="1"/>
  <c r="V1534" i="1"/>
  <c r="W1534" i="1" s="1"/>
  <c r="U1534" i="1"/>
  <c r="P1534" i="1"/>
  <c r="M1534" i="1"/>
  <c r="N1534" i="1" s="1"/>
  <c r="L1534" i="1"/>
  <c r="G1534" i="1"/>
  <c r="K1534" i="1" s="1"/>
  <c r="W1533" i="1"/>
  <c r="V1533" i="1"/>
  <c r="U1533" i="1"/>
  <c r="P1533" i="1"/>
  <c r="L1533" i="1"/>
  <c r="G1533" i="1"/>
  <c r="M1533" i="1" s="1"/>
  <c r="N1533" i="1" s="1"/>
  <c r="V1532" i="1"/>
  <c r="W1532" i="1" s="1"/>
  <c r="U1532" i="1"/>
  <c r="P1532" i="1"/>
  <c r="L1532" i="1"/>
  <c r="K1532" i="1"/>
  <c r="G1532" i="1"/>
  <c r="M1532" i="1" s="1"/>
  <c r="N1532" i="1" s="1"/>
  <c r="W1531" i="1"/>
  <c r="V1531" i="1"/>
  <c r="U1531" i="1"/>
  <c r="P1531" i="1"/>
  <c r="L1531" i="1"/>
  <c r="G1531" i="1"/>
  <c r="V1530" i="1"/>
  <c r="W1530" i="1" s="1"/>
  <c r="U1530" i="1"/>
  <c r="P1530" i="1"/>
  <c r="M1530" i="1"/>
  <c r="N1530" i="1" s="1"/>
  <c r="L1530" i="1"/>
  <c r="K1530" i="1"/>
  <c r="G1530" i="1"/>
  <c r="W1529" i="1"/>
  <c r="V1529" i="1"/>
  <c r="U1529" i="1"/>
  <c r="P1529" i="1"/>
  <c r="L1529" i="1"/>
  <c r="G1529" i="1"/>
  <c r="K1529" i="1" s="1"/>
  <c r="W1528" i="1"/>
  <c r="V1528" i="1"/>
  <c r="U1528" i="1"/>
  <c r="P1528" i="1"/>
  <c r="M1528" i="1"/>
  <c r="N1528" i="1" s="1"/>
  <c r="L1528" i="1"/>
  <c r="K1528" i="1"/>
  <c r="G1528" i="1"/>
  <c r="V1527" i="1"/>
  <c r="W1527" i="1" s="1"/>
  <c r="U1527" i="1"/>
  <c r="P1527" i="1"/>
  <c r="N1527" i="1"/>
  <c r="L1527" i="1"/>
  <c r="M1527" i="1" s="1"/>
  <c r="K1527" i="1"/>
  <c r="G1527" i="1"/>
  <c r="V1526" i="1"/>
  <c r="W1526" i="1" s="1"/>
  <c r="U1526" i="1"/>
  <c r="P1526" i="1"/>
  <c r="M1526" i="1"/>
  <c r="N1526" i="1" s="1"/>
  <c r="L1526" i="1"/>
  <c r="G1526" i="1"/>
  <c r="K1526" i="1" s="1"/>
  <c r="W1525" i="1"/>
  <c r="V1525" i="1"/>
  <c r="U1525" i="1"/>
  <c r="P1525" i="1"/>
  <c r="L1525" i="1"/>
  <c r="G1525" i="1"/>
  <c r="M1525" i="1" s="1"/>
  <c r="N1525" i="1" s="1"/>
  <c r="V1524" i="1"/>
  <c r="W1524" i="1" s="1"/>
  <c r="U1524" i="1"/>
  <c r="P1524" i="1"/>
  <c r="L1524" i="1"/>
  <c r="K1524" i="1"/>
  <c r="G1524" i="1"/>
  <c r="M1524" i="1" s="1"/>
  <c r="N1524" i="1" s="1"/>
  <c r="W1523" i="1"/>
  <c r="V1523" i="1"/>
  <c r="U1523" i="1"/>
  <c r="P1523" i="1"/>
  <c r="L1523" i="1"/>
  <c r="G1523" i="1"/>
  <c r="V1522" i="1"/>
  <c r="W1522" i="1" s="1"/>
  <c r="U1522" i="1"/>
  <c r="P1522" i="1"/>
  <c r="M1522" i="1"/>
  <c r="N1522" i="1" s="1"/>
  <c r="L1522" i="1"/>
  <c r="K1522" i="1"/>
  <c r="G1522" i="1"/>
  <c r="W1521" i="1"/>
  <c r="V1521" i="1"/>
  <c r="U1521" i="1"/>
  <c r="P1521" i="1"/>
  <c r="L1521" i="1"/>
  <c r="G1521" i="1"/>
  <c r="K1521" i="1" s="1"/>
  <c r="W1520" i="1"/>
  <c r="V1520" i="1"/>
  <c r="U1520" i="1"/>
  <c r="P1520" i="1"/>
  <c r="M1520" i="1"/>
  <c r="N1520" i="1" s="1"/>
  <c r="L1520" i="1"/>
  <c r="K1520" i="1"/>
  <c r="G1520" i="1"/>
  <c r="V1519" i="1"/>
  <c r="W1519" i="1" s="1"/>
  <c r="U1519" i="1"/>
  <c r="P1519" i="1"/>
  <c r="N1519" i="1"/>
  <c r="L1519" i="1"/>
  <c r="M1519" i="1" s="1"/>
  <c r="K1519" i="1"/>
  <c r="G1519" i="1"/>
  <c r="V1518" i="1"/>
  <c r="W1518" i="1" s="1"/>
  <c r="U1518" i="1"/>
  <c r="P1518" i="1"/>
  <c r="M1518" i="1"/>
  <c r="N1518" i="1" s="1"/>
  <c r="L1518" i="1"/>
  <c r="G1518" i="1"/>
  <c r="K1518" i="1" s="1"/>
  <c r="W1517" i="1"/>
  <c r="V1517" i="1"/>
  <c r="U1517" i="1"/>
  <c r="P1517" i="1"/>
  <c r="L1517" i="1"/>
  <c r="G1517" i="1"/>
  <c r="M1517" i="1" s="1"/>
  <c r="N1517" i="1" s="1"/>
  <c r="V1516" i="1"/>
  <c r="W1516" i="1" s="1"/>
  <c r="U1516" i="1"/>
  <c r="P1516" i="1"/>
  <c r="L1516" i="1"/>
  <c r="K1516" i="1"/>
  <c r="G1516" i="1"/>
  <c r="M1516" i="1" s="1"/>
  <c r="N1516" i="1" s="1"/>
  <c r="W1515" i="1"/>
  <c r="V1515" i="1"/>
  <c r="U1515" i="1"/>
  <c r="P1515" i="1"/>
  <c r="L1515" i="1"/>
  <c r="G1515" i="1"/>
  <c r="V1514" i="1"/>
  <c r="W1514" i="1" s="1"/>
  <c r="U1514" i="1"/>
  <c r="P1514" i="1"/>
  <c r="M1514" i="1"/>
  <c r="N1514" i="1" s="1"/>
  <c r="L1514" i="1"/>
  <c r="K1514" i="1"/>
  <c r="G1514" i="1"/>
  <c r="W1513" i="1"/>
  <c r="V1513" i="1"/>
  <c r="U1513" i="1"/>
  <c r="P1513" i="1"/>
  <c r="L1513" i="1"/>
  <c r="G1513" i="1"/>
  <c r="K1513" i="1" s="1"/>
  <c r="W1512" i="1"/>
  <c r="V1512" i="1"/>
  <c r="U1512" i="1"/>
  <c r="P1512" i="1"/>
  <c r="M1512" i="1"/>
  <c r="N1512" i="1" s="1"/>
  <c r="L1512" i="1"/>
  <c r="K1512" i="1"/>
  <c r="G1512" i="1"/>
  <c r="V1511" i="1"/>
  <c r="W1511" i="1" s="1"/>
  <c r="U1511" i="1"/>
  <c r="P1511" i="1"/>
  <c r="N1511" i="1"/>
  <c r="L1511" i="1"/>
  <c r="M1511" i="1" s="1"/>
  <c r="K1511" i="1"/>
  <c r="G1511" i="1"/>
  <c r="V1510" i="1"/>
  <c r="W1510" i="1" s="1"/>
  <c r="U1510" i="1"/>
  <c r="P1510" i="1"/>
  <c r="M1510" i="1"/>
  <c r="N1510" i="1" s="1"/>
  <c r="L1510" i="1"/>
  <c r="G1510" i="1"/>
  <c r="K1510" i="1" s="1"/>
  <c r="W1509" i="1"/>
  <c r="V1509" i="1"/>
  <c r="U1509" i="1"/>
  <c r="P1509" i="1"/>
  <c r="L1509" i="1"/>
  <c r="G1509" i="1"/>
  <c r="M1509" i="1" s="1"/>
  <c r="N1509" i="1" s="1"/>
  <c r="V1508" i="1"/>
  <c r="W1508" i="1" s="1"/>
  <c r="U1508" i="1"/>
  <c r="P1508" i="1"/>
  <c r="L1508" i="1"/>
  <c r="K1508" i="1"/>
  <c r="G1508" i="1"/>
  <c r="M1508" i="1" s="1"/>
  <c r="N1508" i="1" s="1"/>
  <c r="W1507" i="1"/>
  <c r="V1507" i="1"/>
  <c r="U1507" i="1"/>
  <c r="P1507" i="1"/>
  <c r="L1507" i="1"/>
  <c r="G1507" i="1"/>
  <c r="V1506" i="1"/>
  <c r="W1506" i="1" s="1"/>
  <c r="U1506" i="1"/>
  <c r="P1506" i="1"/>
  <c r="M1506" i="1"/>
  <c r="N1506" i="1" s="1"/>
  <c r="L1506" i="1"/>
  <c r="K1506" i="1"/>
  <c r="G1506" i="1"/>
  <c r="W1505" i="1"/>
  <c r="V1505" i="1"/>
  <c r="U1505" i="1"/>
  <c r="P1505" i="1"/>
  <c r="L1505" i="1"/>
  <c r="G1505" i="1"/>
  <c r="K1505" i="1" s="1"/>
  <c r="W1504" i="1"/>
  <c r="V1504" i="1"/>
  <c r="U1504" i="1"/>
  <c r="P1504" i="1"/>
  <c r="M1504" i="1"/>
  <c r="N1504" i="1" s="1"/>
  <c r="L1504" i="1"/>
  <c r="K1504" i="1"/>
  <c r="G1504" i="1"/>
  <c r="V1503" i="1"/>
  <c r="W1503" i="1" s="1"/>
  <c r="U1503" i="1"/>
  <c r="P1503" i="1"/>
  <c r="N1503" i="1"/>
  <c r="L1503" i="1"/>
  <c r="M1503" i="1" s="1"/>
  <c r="K1503" i="1"/>
  <c r="G1503" i="1"/>
  <c r="V1502" i="1"/>
  <c r="W1502" i="1" s="1"/>
  <c r="U1502" i="1"/>
  <c r="P1502" i="1"/>
  <c r="M1502" i="1"/>
  <c r="N1502" i="1" s="1"/>
  <c r="L1502" i="1"/>
  <c r="G1502" i="1"/>
  <c r="K1502" i="1" s="1"/>
  <c r="W1501" i="1"/>
  <c r="V1501" i="1"/>
  <c r="U1501" i="1"/>
  <c r="P1501" i="1"/>
  <c r="L1501" i="1"/>
  <c r="G1501" i="1"/>
  <c r="M1501" i="1" s="1"/>
  <c r="N1501" i="1" s="1"/>
  <c r="V1500" i="1"/>
  <c r="W1500" i="1" s="1"/>
  <c r="U1500" i="1"/>
  <c r="P1500" i="1"/>
  <c r="L1500" i="1"/>
  <c r="K1500" i="1"/>
  <c r="G1500" i="1"/>
  <c r="M1500" i="1" s="1"/>
  <c r="N1500" i="1" s="1"/>
  <c r="W1499" i="1"/>
  <c r="V1499" i="1"/>
  <c r="U1499" i="1"/>
  <c r="P1499" i="1"/>
  <c r="L1499" i="1"/>
  <c r="G1499" i="1"/>
  <c r="V1498" i="1"/>
  <c r="W1498" i="1" s="1"/>
  <c r="U1498" i="1"/>
  <c r="P1498" i="1"/>
  <c r="M1498" i="1"/>
  <c r="N1498" i="1" s="1"/>
  <c r="L1498" i="1"/>
  <c r="K1498" i="1"/>
  <c r="G1498" i="1"/>
  <c r="W1497" i="1"/>
  <c r="V1497" i="1"/>
  <c r="U1497" i="1"/>
  <c r="P1497" i="1"/>
  <c r="L1497" i="1"/>
  <c r="G1497" i="1"/>
  <c r="K1497" i="1" s="1"/>
  <c r="W1496" i="1"/>
  <c r="V1496" i="1"/>
  <c r="U1496" i="1"/>
  <c r="P1496" i="1"/>
  <c r="M1496" i="1"/>
  <c r="N1496" i="1" s="1"/>
  <c r="L1496" i="1"/>
  <c r="K1496" i="1"/>
  <c r="G1496" i="1"/>
  <c r="V1495" i="1"/>
  <c r="W1495" i="1" s="1"/>
  <c r="U1495" i="1"/>
  <c r="P1495" i="1"/>
  <c r="N1495" i="1"/>
  <c r="L1495" i="1"/>
  <c r="M1495" i="1" s="1"/>
  <c r="K1495" i="1"/>
  <c r="G1495" i="1"/>
  <c r="V1494" i="1"/>
  <c r="W1494" i="1" s="1"/>
  <c r="U1494" i="1"/>
  <c r="P1494" i="1"/>
  <c r="M1494" i="1"/>
  <c r="N1494" i="1" s="1"/>
  <c r="L1494" i="1"/>
  <c r="G1494" i="1"/>
  <c r="K1494" i="1" s="1"/>
  <c r="W1493" i="1"/>
  <c r="V1493" i="1"/>
  <c r="U1493" i="1"/>
  <c r="P1493" i="1"/>
  <c r="L1493" i="1"/>
  <c r="G1493" i="1"/>
  <c r="M1493" i="1" s="1"/>
  <c r="N1493" i="1" s="1"/>
  <c r="V1492" i="1"/>
  <c r="W1492" i="1" s="1"/>
  <c r="U1492" i="1"/>
  <c r="P1492" i="1"/>
  <c r="L1492" i="1"/>
  <c r="K1492" i="1"/>
  <c r="G1492" i="1"/>
  <c r="M1492" i="1" s="1"/>
  <c r="N1492" i="1" s="1"/>
  <c r="W1491" i="1"/>
  <c r="V1491" i="1"/>
  <c r="U1491" i="1"/>
  <c r="P1491" i="1"/>
  <c r="L1491" i="1"/>
  <c r="G1491" i="1"/>
  <c r="V1490" i="1"/>
  <c r="W1490" i="1" s="1"/>
  <c r="U1490" i="1"/>
  <c r="P1490" i="1"/>
  <c r="M1490" i="1"/>
  <c r="N1490" i="1" s="1"/>
  <c r="L1490" i="1"/>
  <c r="K1490" i="1"/>
  <c r="G1490" i="1"/>
  <c r="W1489" i="1"/>
  <c r="V1489" i="1"/>
  <c r="U1489" i="1"/>
  <c r="P1489" i="1"/>
  <c r="L1489" i="1"/>
  <c r="G1489" i="1"/>
  <c r="K1489" i="1" s="1"/>
  <c r="W1488" i="1"/>
  <c r="V1488" i="1"/>
  <c r="U1488" i="1"/>
  <c r="P1488" i="1"/>
  <c r="M1488" i="1"/>
  <c r="N1488" i="1" s="1"/>
  <c r="L1488" i="1"/>
  <c r="K1488" i="1"/>
  <c r="G1488" i="1"/>
  <c r="V1487" i="1"/>
  <c r="W1487" i="1" s="1"/>
  <c r="U1487" i="1"/>
  <c r="P1487" i="1"/>
  <c r="N1487" i="1"/>
  <c r="L1487" i="1"/>
  <c r="M1487" i="1" s="1"/>
  <c r="K1487" i="1"/>
  <c r="G1487" i="1"/>
  <c r="V1486" i="1"/>
  <c r="W1486" i="1" s="1"/>
  <c r="U1486" i="1"/>
  <c r="P1486" i="1"/>
  <c r="M1486" i="1"/>
  <c r="N1486" i="1" s="1"/>
  <c r="L1486" i="1"/>
  <c r="G1486" i="1"/>
  <c r="K1486" i="1" s="1"/>
  <c r="W1485" i="1"/>
  <c r="V1485" i="1"/>
  <c r="U1485" i="1"/>
  <c r="P1485" i="1"/>
  <c r="L1485" i="1"/>
  <c r="G1485" i="1"/>
  <c r="M1485" i="1" s="1"/>
  <c r="N1485" i="1" s="1"/>
  <c r="V1484" i="1"/>
  <c r="W1484" i="1" s="1"/>
  <c r="U1484" i="1"/>
  <c r="P1484" i="1"/>
  <c r="L1484" i="1"/>
  <c r="K1484" i="1"/>
  <c r="G1484" i="1"/>
  <c r="M1484" i="1" s="1"/>
  <c r="N1484" i="1" s="1"/>
  <c r="W1483" i="1"/>
  <c r="V1483" i="1"/>
  <c r="U1483" i="1"/>
  <c r="P1483" i="1"/>
  <c r="L1483" i="1"/>
  <c r="G1483" i="1"/>
  <c r="V1482" i="1"/>
  <c r="W1482" i="1" s="1"/>
  <c r="U1482" i="1"/>
  <c r="P1482" i="1"/>
  <c r="M1482" i="1"/>
  <c r="N1482" i="1" s="1"/>
  <c r="L1482" i="1"/>
  <c r="K1482" i="1"/>
  <c r="G1482" i="1"/>
  <c r="W1481" i="1"/>
  <c r="V1481" i="1"/>
  <c r="U1481" i="1"/>
  <c r="P1481" i="1"/>
  <c r="L1481" i="1"/>
  <c r="G1481" i="1"/>
  <c r="K1481" i="1" s="1"/>
  <c r="W1480" i="1"/>
  <c r="V1480" i="1"/>
  <c r="U1480" i="1"/>
  <c r="P1480" i="1"/>
  <c r="M1480" i="1"/>
  <c r="N1480" i="1" s="1"/>
  <c r="L1480" i="1"/>
  <c r="K1480" i="1"/>
  <c r="G1480" i="1"/>
  <c r="V1479" i="1"/>
  <c r="W1479" i="1" s="1"/>
  <c r="U1479" i="1"/>
  <c r="P1479" i="1"/>
  <c r="N1479" i="1"/>
  <c r="L1479" i="1"/>
  <c r="M1479" i="1" s="1"/>
  <c r="K1479" i="1"/>
  <c r="G1479" i="1"/>
  <c r="V1478" i="1"/>
  <c r="W1478" i="1" s="1"/>
  <c r="U1478" i="1"/>
  <c r="P1478" i="1"/>
  <c r="M1478" i="1"/>
  <c r="N1478" i="1" s="1"/>
  <c r="L1478" i="1"/>
  <c r="G1478" i="1"/>
  <c r="K1478" i="1" s="1"/>
  <c r="W1477" i="1"/>
  <c r="V1477" i="1"/>
  <c r="U1477" i="1"/>
  <c r="P1477" i="1"/>
  <c r="L1477" i="1"/>
  <c r="G1477" i="1"/>
  <c r="M1477" i="1" s="1"/>
  <c r="N1477" i="1" s="1"/>
  <c r="V1476" i="1"/>
  <c r="W1476" i="1" s="1"/>
  <c r="U1476" i="1"/>
  <c r="P1476" i="1"/>
  <c r="L1476" i="1"/>
  <c r="K1476" i="1"/>
  <c r="G1476" i="1"/>
  <c r="M1476" i="1" s="1"/>
  <c r="N1476" i="1" s="1"/>
  <c r="W1475" i="1"/>
  <c r="V1475" i="1"/>
  <c r="U1475" i="1"/>
  <c r="P1475" i="1"/>
  <c r="L1475" i="1"/>
  <c r="G1475" i="1"/>
  <c r="V1474" i="1"/>
  <c r="W1474" i="1" s="1"/>
  <c r="U1474" i="1"/>
  <c r="P1474" i="1"/>
  <c r="M1474" i="1"/>
  <c r="N1474" i="1" s="1"/>
  <c r="L1474" i="1"/>
  <c r="K1474" i="1"/>
  <c r="G1474" i="1"/>
  <c r="W1473" i="1"/>
  <c r="V1473" i="1"/>
  <c r="U1473" i="1"/>
  <c r="P1473" i="1"/>
  <c r="L1473" i="1"/>
  <c r="G1473" i="1"/>
  <c r="K1473" i="1" s="1"/>
  <c r="W1472" i="1"/>
  <c r="V1472" i="1"/>
  <c r="U1472" i="1"/>
  <c r="P1472" i="1"/>
  <c r="M1472" i="1"/>
  <c r="N1472" i="1" s="1"/>
  <c r="L1472" i="1"/>
  <c r="K1472" i="1"/>
  <c r="G1472" i="1"/>
  <c r="V1471" i="1"/>
  <c r="W1471" i="1" s="1"/>
  <c r="U1471" i="1"/>
  <c r="P1471" i="1"/>
  <c r="N1471" i="1"/>
  <c r="L1471" i="1"/>
  <c r="M1471" i="1" s="1"/>
  <c r="K1471" i="1"/>
  <c r="G1471" i="1"/>
  <c r="V1470" i="1"/>
  <c r="W1470" i="1" s="1"/>
  <c r="U1470" i="1"/>
  <c r="P1470" i="1"/>
  <c r="M1470" i="1"/>
  <c r="N1470" i="1" s="1"/>
  <c r="L1470" i="1"/>
  <c r="G1470" i="1"/>
  <c r="K1470" i="1" s="1"/>
  <c r="W1469" i="1"/>
  <c r="V1469" i="1"/>
  <c r="U1469" i="1"/>
  <c r="P1469" i="1"/>
  <c r="L1469" i="1"/>
  <c r="G1469" i="1"/>
  <c r="M1469" i="1" s="1"/>
  <c r="N1469" i="1" s="1"/>
  <c r="V1468" i="1"/>
  <c r="W1468" i="1" s="1"/>
  <c r="U1468" i="1"/>
  <c r="P1468" i="1"/>
  <c r="L1468" i="1"/>
  <c r="K1468" i="1"/>
  <c r="G1468" i="1"/>
  <c r="M1468" i="1" s="1"/>
  <c r="N1468" i="1" s="1"/>
  <c r="W1467" i="1"/>
  <c r="V1467" i="1"/>
  <c r="U1467" i="1"/>
  <c r="P1467" i="1"/>
  <c r="L1467" i="1"/>
  <c r="G1467" i="1"/>
  <c r="V1466" i="1"/>
  <c r="W1466" i="1" s="1"/>
  <c r="U1466" i="1"/>
  <c r="P1466" i="1"/>
  <c r="M1466" i="1"/>
  <c r="N1466" i="1" s="1"/>
  <c r="L1466" i="1"/>
  <c r="K1466" i="1"/>
  <c r="G1466" i="1"/>
  <c r="W1465" i="1"/>
  <c r="V1465" i="1"/>
  <c r="U1465" i="1"/>
  <c r="P1465" i="1"/>
  <c r="L1465" i="1"/>
  <c r="G1465" i="1"/>
  <c r="K1465" i="1" s="1"/>
  <c r="W1464" i="1"/>
  <c r="V1464" i="1"/>
  <c r="U1464" i="1"/>
  <c r="P1464" i="1"/>
  <c r="M1464" i="1"/>
  <c r="N1464" i="1" s="1"/>
  <c r="L1464" i="1"/>
  <c r="K1464" i="1"/>
  <c r="G1464" i="1"/>
  <c r="V1463" i="1"/>
  <c r="W1463" i="1" s="1"/>
  <c r="U1463" i="1"/>
  <c r="P1463" i="1"/>
  <c r="N1463" i="1"/>
  <c r="L1463" i="1"/>
  <c r="M1463" i="1" s="1"/>
  <c r="K1463" i="1"/>
  <c r="G1463" i="1"/>
  <c r="V1462" i="1"/>
  <c r="W1462" i="1" s="1"/>
  <c r="U1462" i="1"/>
  <c r="P1462" i="1"/>
  <c r="M1462" i="1"/>
  <c r="N1462" i="1" s="1"/>
  <c r="L1462" i="1"/>
  <c r="G1462" i="1"/>
  <c r="K1462" i="1" s="1"/>
  <c r="W1461" i="1"/>
  <c r="V1461" i="1"/>
  <c r="U1461" i="1"/>
  <c r="P1461" i="1"/>
  <c r="L1461" i="1"/>
  <c r="G1461" i="1"/>
  <c r="M1461" i="1" s="1"/>
  <c r="N1461" i="1" s="1"/>
  <c r="V1460" i="1"/>
  <c r="W1460" i="1" s="1"/>
  <c r="U1460" i="1"/>
  <c r="P1460" i="1"/>
  <c r="L1460" i="1"/>
  <c r="K1460" i="1"/>
  <c r="G1460" i="1"/>
  <c r="M1460" i="1" s="1"/>
  <c r="N1460" i="1" s="1"/>
  <c r="W1459" i="1"/>
  <c r="V1459" i="1"/>
  <c r="U1459" i="1"/>
  <c r="P1459" i="1"/>
  <c r="L1459" i="1"/>
  <c r="G1459" i="1"/>
  <c r="V1458" i="1"/>
  <c r="W1458" i="1" s="1"/>
  <c r="U1458" i="1"/>
  <c r="P1458" i="1"/>
  <c r="M1458" i="1"/>
  <c r="N1458" i="1" s="1"/>
  <c r="L1458" i="1"/>
  <c r="K1458" i="1"/>
  <c r="G1458" i="1"/>
  <c r="W1457" i="1"/>
  <c r="V1457" i="1"/>
  <c r="U1457" i="1"/>
  <c r="P1457" i="1"/>
  <c r="L1457" i="1"/>
  <c r="G1457" i="1"/>
  <c r="K1457" i="1" s="1"/>
  <c r="W1456" i="1"/>
  <c r="V1456" i="1"/>
  <c r="U1456" i="1"/>
  <c r="P1456" i="1"/>
  <c r="M1456" i="1"/>
  <c r="N1456" i="1" s="1"/>
  <c r="L1456" i="1"/>
  <c r="K1456" i="1"/>
  <c r="G1456" i="1"/>
  <c r="V1455" i="1"/>
  <c r="W1455" i="1" s="1"/>
  <c r="U1455" i="1"/>
  <c r="P1455" i="1"/>
  <c r="N1455" i="1"/>
  <c r="L1455" i="1"/>
  <c r="M1455" i="1" s="1"/>
  <c r="K1455" i="1"/>
  <c r="G1455" i="1"/>
  <c r="V1454" i="1"/>
  <c r="W1454" i="1" s="1"/>
  <c r="U1454" i="1"/>
  <c r="P1454" i="1"/>
  <c r="M1454" i="1"/>
  <c r="N1454" i="1" s="1"/>
  <c r="L1454" i="1"/>
  <c r="G1454" i="1"/>
  <c r="K1454" i="1" s="1"/>
  <c r="W1453" i="1"/>
  <c r="V1453" i="1"/>
  <c r="U1453" i="1"/>
  <c r="P1453" i="1"/>
  <c r="L1453" i="1"/>
  <c r="G1453" i="1"/>
  <c r="M1453" i="1" s="1"/>
  <c r="N1453" i="1" s="1"/>
  <c r="V1452" i="1"/>
  <c r="W1452" i="1" s="1"/>
  <c r="U1452" i="1"/>
  <c r="P1452" i="1"/>
  <c r="L1452" i="1"/>
  <c r="K1452" i="1"/>
  <c r="G1452" i="1"/>
  <c r="M1452" i="1" s="1"/>
  <c r="N1452" i="1" s="1"/>
  <c r="W1451" i="1"/>
  <c r="V1451" i="1"/>
  <c r="U1451" i="1"/>
  <c r="P1451" i="1"/>
  <c r="L1451" i="1"/>
  <c r="G1451" i="1"/>
  <c r="V1450" i="1"/>
  <c r="W1450" i="1" s="1"/>
  <c r="U1450" i="1"/>
  <c r="P1450" i="1"/>
  <c r="M1450" i="1"/>
  <c r="N1450" i="1" s="1"/>
  <c r="L1450" i="1"/>
  <c r="K1450" i="1"/>
  <c r="G1450" i="1"/>
  <c r="W1449" i="1"/>
  <c r="V1449" i="1"/>
  <c r="U1449" i="1"/>
  <c r="P1449" i="1"/>
  <c r="L1449" i="1"/>
  <c r="G1449" i="1"/>
  <c r="W1448" i="1"/>
  <c r="V1448" i="1"/>
  <c r="U1448" i="1"/>
  <c r="P1448" i="1"/>
  <c r="M1448" i="1"/>
  <c r="N1448" i="1" s="1"/>
  <c r="L1448" i="1"/>
  <c r="K1448" i="1"/>
  <c r="G1448" i="1"/>
  <c r="V1447" i="1"/>
  <c r="W1447" i="1" s="1"/>
  <c r="U1447" i="1"/>
  <c r="P1447" i="1"/>
  <c r="N1447" i="1"/>
  <c r="L1447" i="1"/>
  <c r="M1447" i="1" s="1"/>
  <c r="K1447" i="1"/>
  <c r="G1447" i="1"/>
  <c r="V1446" i="1"/>
  <c r="W1446" i="1" s="1"/>
  <c r="U1446" i="1"/>
  <c r="P1446" i="1"/>
  <c r="M1446" i="1"/>
  <c r="N1446" i="1" s="1"/>
  <c r="L1446" i="1"/>
  <c r="G1446" i="1"/>
  <c r="K1446" i="1" s="1"/>
  <c r="W1445" i="1"/>
  <c r="V1445" i="1"/>
  <c r="U1445" i="1"/>
  <c r="P1445" i="1"/>
  <c r="L1445" i="1"/>
  <c r="G1445" i="1"/>
  <c r="M1445" i="1" s="1"/>
  <c r="N1445" i="1" s="1"/>
  <c r="V1444" i="1"/>
  <c r="W1444" i="1" s="1"/>
  <c r="U1444" i="1"/>
  <c r="P1444" i="1"/>
  <c r="L1444" i="1"/>
  <c r="K1444" i="1"/>
  <c r="G1444" i="1"/>
  <c r="M1444" i="1" s="1"/>
  <c r="N1444" i="1" s="1"/>
  <c r="W1443" i="1"/>
  <c r="V1443" i="1"/>
  <c r="U1443" i="1"/>
  <c r="P1443" i="1"/>
  <c r="L1443" i="1"/>
  <c r="G1443" i="1"/>
  <c r="V1442" i="1"/>
  <c r="W1442" i="1" s="1"/>
  <c r="U1442" i="1"/>
  <c r="P1442" i="1"/>
  <c r="M1442" i="1"/>
  <c r="N1442" i="1" s="1"/>
  <c r="L1442" i="1"/>
  <c r="K1442" i="1"/>
  <c r="G1442" i="1"/>
  <c r="W1441" i="1"/>
  <c r="V1441" i="1"/>
  <c r="U1441" i="1"/>
  <c r="P1441" i="1"/>
  <c r="L1441" i="1"/>
  <c r="G1441" i="1"/>
  <c r="W1440" i="1"/>
  <c r="V1440" i="1"/>
  <c r="U1440" i="1"/>
  <c r="P1440" i="1"/>
  <c r="M1440" i="1"/>
  <c r="N1440" i="1" s="1"/>
  <c r="L1440" i="1"/>
  <c r="K1440" i="1"/>
  <c r="G1440" i="1"/>
  <c r="V1439" i="1"/>
  <c r="W1439" i="1" s="1"/>
  <c r="U1439" i="1"/>
  <c r="P1439" i="1"/>
  <c r="L1439" i="1"/>
  <c r="M1439" i="1" s="1"/>
  <c r="N1439" i="1" s="1"/>
  <c r="K1439" i="1"/>
  <c r="G1439" i="1"/>
  <c r="V1438" i="1"/>
  <c r="W1438" i="1" s="1"/>
  <c r="U1438" i="1"/>
  <c r="P1438" i="1"/>
  <c r="M1438" i="1"/>
  <c r="N1438" i="1" s="1"/>
  <c r="L1438" i="1"/>
  <c r="G1438" i="1"/>
  <c r="K1438" i="1" s="1"/>
  <c r="W1437" i="1"/>
  <c r="V1437" i="1"/>
  <c r="U1437" i="1"/>
  <c r="P1437" i="1"/>
  <c r="N1437" i="1"/>
  <c r="L1437" i="1"/>
  <c r="G1437" i="1"/>
  <c r="M1437" i="1" s="1"/>
  <c r="V1436" i="1"/>
  <c r="W1436" i="1" s="1"/>
  <c r="U1436" i="1"/>
  <c r="P1436" i="1"/>
  <c r="L1436" i="1"/>
  <c r="K1436" i="1"/>
  <c r="G1436" i="1"/>
  <c r="M1436" i="1" s="1"/>
  <c r="N1436" i="1" s="1"/>
  <c r="W1435" i="1"/>
  <c r="V1435" i="1"/>
  <c r="U1435" i="1"/>
  <c r="P1435" i="1"/>
  <c r="L1435" i="1"/>
  <c r="G1435" i="1"/>
  <c r="V1434" i="1"/>
  <c r="W1434" i="1" s="1"/>
  <c r="U1434" i="1"/>
  <c r="P1434" i="1"/>
  <c r="M1434" i="1"/>
  <c r="N1434" i="1" s="1"/>
  <c r="L1434" i="1"/>
  <c r="K1434" i="1"/>
  <c r="G1434" i="1"/>
  <c r="W1433" i="1"/>
  <c r="V1433" i="1"/>
  <c r="U1433" i="1"/>
  <c r="P1433" i="1"/>
  <c r="L1433" i="1"/>
  <c r="G1433" i="1"/>
  <c r="W1432" i="1"/>
  <c r="V1432" i="1"/>
  <c r="U1432" i="1"/>
  <c r="P1432" i="1"/>
  <c r="M1432" i="1"/>
  <c r="N1432" i="1" s="1"/>
  <c r="L1432" i="1"/>
  <c r="K1432" i="1"/>
  <c r="G1432" i="1"/>
  <c r="V1431" i="1"/>
  <c r="W1431" i="1" s="1"/>
  <c r="U1431" i="1"/>
  <c r="P1431" i="1"/>
  <c r="L1431" i="1"/>
  <c r="M1431" i="1" s="1"/>
  <c r="N1431" i="1" s="1"/>
  <c r="K1431" i="1"/>
  <c r="G1431" i="1"/>
  <c r="V1430" i="1"/>
  <c r="W1430" i="1" s="1"/>
  <c r="U1430" i="1"/>
  <c r="P1430" i="1"/>
  <c r="L1430" i="1"/>
  <c r="M1430" i="1" s="1"/>
  <c r="N1430" i="1" s="1"/>
  <c r="G1430" i="1"/>
  <c r="K1430" i="1" s="1"/>
  <c r="W1429" i="1"/>
  <c r="V1429" i="1"/>
  <c r="U1429" i="1"/>
  <c r="P1429" i="1"/>
  <c r="L1429" i="1"/>
  <c r="G1429" i="1"/>
  <c r="K1429" i="1" s="1"/>
  <c r="V1428" i="1"/>
  <c r="W1428" i="1" s="1"/>
  <c r="U1428" i="1"/>
  <c r="P1428" i="1"/>
  <c r="N1428" i="1"/>
  <c r="L1428" i="1"/>
  <c r="K1428" i="1"/>
  <c r="G1428" i="1"/>
  <c r="M1428" i="1" s="1"/>
  <c r="W1427" i="1"/>
  <c r="V1427" i="1"/>
  <c r="U1427" i="1"/>
  <c r="P1427" i="1"/>
  <c r="L1427" i="1"/>
  <c r="G1427" i="1"/>
  <c r="V1426" i="1"/>
  <c r="W1426" i="1" s="1"/>
  <c r="U1426" i="1"/>
  <c r="P1426" i="1"/>
  <c r="M1426" i="1"/>
  <c r="N1426" i="1" s="1"/>
  <c r="L1426" i="1"/>
  <c r="K1426" i="1"/>
  <c r="G1426" i="1"/>
  <c r="W1425" i="1"/>
  <c r="V1425" i="1"/>
  <c r="U1425" i="1"/>
  <c r="P1425" i="1"/>
  <c r="L1425" i="1"/>
  <c r="G1425" i="1"/>
  <c r="W1424" i="1"/>
  <c r="V1424" i="1"/>
  <c r="U1424" i="1"/>
  <c r="P1424" i="1"/>
  <c r="M1424" i="1"/>
  <c r="N1424" i="1" s="1"/>
  <c r="L1424" i="1"/>
  <c r="G1424" i="1"/>
  <c r="K1424" i="1" s="1"/>
  <c r="V1423" i="1"/>
  <c r="W1423" i="1" s="1"/>
  <c r="U1423" i="1"/>
  <c r="P1423" i="1"/>
  <c r="L1423" i="1"/>
  <c r="M1423" i="1" s="1"/>
  <c r="N1423" i="1" s="1"/>
  <c r="K1423" i="1"/>
  <c r="G1423" i="1"/>
  <c r="V1422" i="1"/>
  <c r="W1422" i="1" s="1"/>
  <c r="U1422" i="1"/>
  <c r="P1422" i="1"/>
  <c r="L1422" i="1"/>
  <c r="M1422" i="1" s="1"/>
  <c r="N1422" i="1" s="1"/>
  <c r="G1422" i="1"/>
  <c r="K1422" i="1" s="1"/>
  <c r="W1421" i="1"/>
  <c r="V1421" i="1"/>
  <c r="U1421" i="1"/>
  <c r="P1421" i="1"/>
  <c r="L1421" i="1"/>
  <c r="G1421" i="1"/>
  <c r="K1421" i="1" s="1"/>
  <c r="V1420" i="1"/>
  <c r="W1420" i="1" s="1"/>
  <c r="U1420" i="1"/>
  <c r="P1420" i="1"/>
  <c r="N1420" i="1"/>
  <c r="L1420" i="1"/>
  <c r="K1420" i="1"/>
  <c r="G1420" i="1"/>
  <c r="M1420" i="1" s="1"/>
  <c r="W1419" i="1"/>
  <c r="V1419" i="1"/>
  <c r="U1419" i="1"/>
  <c r="P1419" i="1"/>
  <c r="L1419" i="1"/>
  <c r="G1419" i="1"/>
  <c r="V1418" i="1"/>
  <c r="W1418" i="1" s="1"/>
  <c r="U1418" i="1"/>
  <c r="P1418" i="1"/>
  <c r="M1418" i="1"/>
  <c r="N1418" i="1" s="1"/>
  <c r="L1418" i="1"/>
  <c r="K1418" i="1"/>
  <c r="G1418" i="1"/>
  <c r="W1417" i="1"/>
  <c r="V1417" i="1"/>
  <c r="U1417" i="1"/>
  <c r="P1417" i="1"/>
  <c r="L1417" i="1"/>
  <c r="G1417" i="1"/>
  <c r="W1416" i="1"/>
  <c r="V1416" i="1"/>
  <c r="U1416" i="1"/>
  <c r="P1416" i="1"/>
  <c r="M1416" i="1"/>
  <c r="N1416" i="1" s="1"/>
  <c r="L1416" i="1"/>
  <c r="G1416" i="1"/>
  <c r="K1416" i="1" s="1"/>
  <c r="V1415" i="1"/>
  <c r="W1415" i="1" s="1"/>
  <c r="U1415" i="1"/>
  <c r="P1415" i="1"/>
  <c r="L1415" i="1"/>
  <c r="M1415" i="1" s="1"/>
  <c r="N1415" i="1" s="1"/>
  <c r="K1415" i="1"/>
  <c r="G1415" i="1"/>
  <c r="V1414" i="1"/>
  <c r="W1414" i="1" s="1"/>
  <c r="U1414" i="1"/>
  <c r="P1414" i="1"/>
  <c r="L1414" i="1"/>
  <c r="M1414" i="1" s="1"/>
  <c r="N1414" i="1" s="1"/>
  <c r="G1414" i="1"/>
  <c r="K1414" i="1" s="1"/>
  <c r="W1413" i="1"/>
  <c r="V1413" i="1"/>
  <c r="U1413" i="1"/>
  <c r="P1413" i="1"/>
  <c r="L1413" i="1"/>
  <c r="G1413" i="1"/>
  <c r="K1413" i="1" s="1"/>
  <c r="V1412" i="1"/>
  <c r="W1412" i="1" s="1"/>
  <c r="U1412" i="1"/>
  <c r="P1412" i="1"/>
  <c r="N1412" i="1"/>
  <c r="L1412" i="1"/>
  <c r="K1412" i="1"/>
  <c r="G1412" i="1"/>
  <c r="M1412" i="1" s="1"/>
  <c r="W1411" i="1"/>
  <c r="V1411" i="1"/>
  <c r="U1411" i="1"/>
  <c r="P1411" i="1"/>
  <c r="L1411" i="1"/>
  <c r="G1411" i="1"/>
  <c r="V1410" i="1"/>
  <c r="W1410" i="1" s="1"/>
  <c r="U1410" i="1"/>
  <c r="P1410" i="1"/>
  <c r="M1410" i="1"/>
  <c r="N1410" i="1" s="1"/>
  <c r="L1410" i="1"/>
  <c r="K1410" i="1"/>
  <c r="G1410" i="1"/>
  <c r="W1409" i="1"/>
  <c r="V1409" i="1"/>
  <c r="U1409" i="1"/>
  <c r="P1409" i="1"/>
  <c r="L1409" i="1"/>
  <c r="G1409" i="1"/>
  <c r="W1408" i="1"/>
  <c r="V1408" i="1"/>
  <c r="U1408" i="1"/>
  <c r="P1408" i="1"/>
  <c r="M1408" i="1"/>
  <c r="N1408" i="1" s="1"/>
  <c r="L1408" i="1"/>
  <c r="G1408" i="1"/>
  <c r="K1408" i="1" s="1"/>
  <c r="V1407" i="1"/>
  <c r="W1407" i="1" s="1"/>
  <c r="U1407" i="1"/>
  <c r="P1407" i="1"/>
  <c r="L1407" i="1"/>
  <c r="M1407" i="1" s="1"/>
  <c r="N1407" i="1" s="1"/>
  <c r="K1407" i="1"/>
  <c r="G1407" i="1"/>
  <c r="V1406" i="1"/>
  <c r="W1406" i="1" s="1"/>
  <c r="U1406" i="1"/>
  <c r="P1406" i="1"/>
  <c r="L1406" i="1"/>
  <c r="M1406" i="1" s="1"/>
  <c r="N1406" i="1" s="1"/>
  <c r="G1406" i="1"/>
  <c r="K1406" i="1" s="1"/>
  <c r="W1405" i="1"/>
  <c r="V1405" i="1"/>
  <c r="U1405" i="1"/>
  <c r="P1405" i="1"/>
  <c r="L1405" i="1"/>
  <c r="G1405" i="1"/>
  <c r="K1405" i="1" s="1"/>
  <c r="V1404" i="1"/>
  <c r="W1404" i="1" s="1"/>
  <c r="U1404" i="1"/>
  <c r="P1404" i="1"/>
  <c r="N1404" i="1"/>
  <c r="L1404" i="1"/>
  <c r="K1404" i="1"/>
  <c r="G1404" i="1"/>
  <c r="M1404" i="1" s="1"/>
  <c r="W1403" i="1"/>
  <c r="V1403" i="1"/>
  <c r="U1403" i="1"/>
  <c r="P1403" i="1"/>
  <c r="L1403" i="1"/>
  <c r="G1403" i="1"/>
  <c r="V1402" i="1"/>
  <c r="W1402" i="1" s="1"/>
  <c r="U1402" i="1"/>
  <c r="P1402" i="1"/>
  <c r="M1402" i="1"/>
  <c r="N1402" i="1" s="1"/>
  <c r="L1402" i="1"/>
  <c r="K1402" i="1"/>
  <c r="G1402" i="1"/>
  <c r="W1401" i="1"/>
  <c r="V1401" i="1"/>
  <c r="U1401" i="1"/>
  <c r="P1401" i="1"/>
  <c r="L1401" i="1"/>
  <c r="G1401" i="1"/>
  <c r="W1400" i="1"/>
  <c r="V1400" i="1"/>
  <c r="U1400" i="1"/>
  <c r="P1400" i="1"/>
  <c r="M1400" i="1"/>
  <c r="N1400" i="1" s="1"/>
  <c r="L1400" i="1"/>
  <c r="G1400" i="1"/>
  <c r="K1400" i="1" s="1"/>
  <c r="V1399" i="1"/>
  <c r="W1399" i="1" s="1"/>
  <c r="U1399" i="1"/>
  <c r="P1399" i="1"/>
  <c r="L1399" i="1"/>
  <c r="M1399" i="1" s="1"/>
  <c r="N1399" i="1" s="1"/>
  <c r="K1399" i="1"/>
  <c r="G1399" i="1"/>
  <c r="V1398" i="1"/>
  <c r="W1398" i="1" s="1"/>
  <c r="U1398" i="1"/>
  <c r="P1398" i="1"/>
  <c r="L1398" i="1"/>
  <c r="M1398" i="1" s="1"/>
  <c r="N1398" i="1" s="1"/>
  <c r="G1398" i="1"/>
  <c r="K1398" i="1" s="1"/>
  <c r="W1397" i="1"/>
  <c r="V1397" i="1"/>
  <c r="U1397" i="1"/>
  <c r="P1397" i="1"/>
  <c r="L1397" i="1"/>
  <c r="G1397" i="1"/>
  <c r="K1397" i="1" s="1"/>
  <c r="V1396" i="1"/>
  <c r="W1396" i="1" s="1"/>
  <c r="U1396" i="1"/>
  <c r="P1396" i="1"/>
  <c r="N1396" i="1"/>
  <c r="L1396" i="1"/>
  <c r="K1396" i="1"/>
  <c r="G1396" i="1"/>
  <c r="M1396" i="1" s="1"/>
  <c r="W1395" i="1"/>
  <c r="V1395" i="1"/>
  <c r="U1395" i="1"/>
  <c r="P1395" i="1"/>
  <c r="L1395" i="1"/>
  <c r="G1395" i="1"/>
  <c r="V1394" i="1"/>
  <c r="W1394" i="1" s="1"/>
  <c r="U1394" i="1"/>
  <c r="P1394" i="1"/>
  <c r="M1394" i="1"/>
  <c r="N1394" i="1" s="1"/>
  <c r="L1394" i="1"/>
  <c r="K1394" i="1"/>
  <c r="G1394" i="1"/>
  <c r="W1393" i="1"/>
  <c r="V1393" i="1"/>
  <c r="U1393" i="1"/>
  <c r="P1393" i="1"/>
  <c r="L1393" i="1"/>
  <c r="G1393" i="1"/>
  <c r="W1392" i="1"/>
  <c r="V1392" i="1"/>
  <c r="U1392" i="1"/>
  <c r="P1392" i="1"/>
  <c r="M1392" i="1"/>
  <c r="N1392" i="1" s="1"/>
  <c r="L1392" i="1"/>
  <c r="G1392" i="1"/>
  <c r="K1392" i="1" s="1"/>
  <c r="V1391" i="1"/>
  <c r="W1391" i="1" s="1"/>
  <c r="U1391" i="1"/>
  <c r="P1391" i="1"/>
  <c r="L1391" i="1"/>
  <c r="M1391" i="1" s="1"/>
  <c r="N1391" i="1" s="1"/>
  <c r="K1391" i="1"/>
  <c r="G1391" i="1"/>
  <c r="V1390" i="1"/>
  <c r="W1390" i="1" s="1"/>
  <c r="U1390" i="1"/>
  <c r="P1390" i="1"/>
  <c r="L1390" i="1"/>
  <c r="M1390" i="1" s="1"/>
  <c r="N1390" i="1" s="1"/>
  <c r="G1390" i="1"/>
  <c r="K1390" i="1" s="1"/>
  <c r="W1389" i="1"/>
  <c r="V1389" i="1"/>
  <c r="U1389" i="1"/>
  <c r="P1389" i="1"/>
  <c r="L1389" i="1"/>
  <c r="G1389" i="1"/>
  <c r="K1389" i="1" s="1"/>
  <c r="V1388" i="1"/>
  <c r="W1388" i="1" s="1"/>
  <c r="U1388" i="1"/>
  <c r="P1388" i="1"/>
  <c r="N1388" i="1"/>
  <c r="L1388" i="1"/>
  <c r="K1388" i="1"/>
  <c r="G1388" i="1"/>
  <c r="M1388" i="1" s="1"/>
  <c r="W1387" i="1"/>
  <c r="V1387" i="1"/>
  <c r="U1387" i="1"/>
  <c r="P1387" i="1"/>
  <c r="L1387" i="1"/>
  <c r="G1387" i="1"/>
  <c r="V1386" i="1"/>
  <c r="W1386" i="1" s="1"/>
  <c r="U1386" i="1"/>
  <c r="P1386" i="1"/>
  <c r="M1386" i="1"/>
  <c r="N1386" i="1" s="1"/>
  <c r="L1386" i="1"/>
  <c r="K1386" i="1"/>
  <c r="G1386" i="1"/>
  <c r="W1385" i="1"/>
  <c r="V1385" i="1"/>
  <c r="U1385" i="1"/>
  <c r="P1385" i="1"/>
  <c r="L1385" i="1"/>
  <c r="G1385" i="1"/>
  <c r="W1384" i="1"/>
  <c r="V1384" i="1"/>
  <c r="U1384" i="1"/>
  <c r="P1384" i="1"/>
  <c r="M1384" i="1"/>
  <c r="N1384" i="1" s="1"/>
  <c r="L1384" i="1"/>
  <c r="G1384" i="1"/>
  <c r="K1384" i="1" s="1"/>
  <c r="V1383" i="1"/>
  <c r="W1383" i="1" s="1"/>
  <c r="U1383" i="1"/>
  <c r="P1383" i="1"/>
  <c r="L1383" i="1"/>
  <c r="M1383" i="1" s="1"/>
  <c r="N1383" i="1" s="1"/>
  <c r="K1383" i="1"/>
  <c r="G1383" i="1"/>
  <c r="V1382" i="1"/>
  <c r="W1382" i="1" s="1"/>
  <c r="U1382" i="1"/>
  <c r="P1382" i="1"/>
  <c r="L1382" i="1"/>
  <c r="G1382" i="1"/>
  <c r="K1382" i="1" s="1"/>
  <c r="W1381" i="1"/>
  <c r="V1381" i="1"/>
  <c r="U1381" i="1"/>
  <c r="P1381" i="1"/>
  <c r="M1381" i="1"/>
  <c r="N1381" i="1" s="1"/>
  <c r="L1381" i="1"/>
  <c r="K1381" i="1"/>
  <c r="G1381" i="1"/>
  <c r="V1380" i="1"/>
  <c r="W1380" i="1" s="1"/>
  <c r="U1380" i="1"/>
  <c r="P1380" i="1"/>
  <c r="L1380" i="1"/>
  <c r="K1380" i="1"/>
  <c r="G1380" i="1"/>
  <c r="M1380" i="1" s="1"/>
  <c r="N1380" i="1" s="1"/>
  <c r="W1379" i="1"/>
  <c r="V1379" i="1"/>
  <c r="U1379" i="1"/>
  <c r="P1379" i="1"/>
  <c r="L1379" i="1"/>
  <c r="G1379" i="1"/>
  <c r="K1379" i="1" s="1"/>
  <c r="V1378" i="1"/>
  <c r="W1378" i="1" s="1"/>
  <c r="U1378" i="1"/>
  <c r="P1378" i="1"/>
  <c r="N1378" i="1"/>
  <c r="M1378" i="1"/>
  <c r="L1378" i="1"/>
  <c r="K1378" i="1"/>
  <c r="G1378" i="1"/>
  <c r="W1377" i="1"/>
  <c r="V1377" i="1"/>
  <c r="U1377" i="1"/>
  <c r="P1377" i="1"/>
  <c r="L1377" i="1"/>
  <c r="G1377" i="1"/>
  <c r="W1376" i="1"/>
  <c r="V1376" i="1"/>
  <c r="U1376" i="1"/>
  <c r="P1376" i="1"/>
  <c r="M1376" i="1"/>
  <c r="N1376" i="1" s="1"/>
  <c r="L1376" i="1"/>
  <c r="G1376" i="1"/>
  <c r="K1376" i="1" s="1"/>
  <c r="V1375" i="1"/>
  <c r="W1375" i="1" s="1"/>
  <c r="U1375" i="1"/>
  <c r="P1375" i="1"/>
  <c r="L1375" i="1"/>
  <c r="M1375" i="1" s="1"/>
  <c r="N1375" i="1" s="1"/>
  <c r="K1375" i="1"/>
  <c r="G1375" i="1"/>
  <c r="V1374" i="1"/>
  <c r="W1374" i="1" s="1"/>
  <c r="U1374" i="1"/>
  <c r="P1374" i="1"/>
  <c r="L1374" i="1"/>
  <c r="M1374" i="1" s="1"/>
  <c r="N1374" i="1" s="1"/>
  <c r="G1374" i="1"/>
  <c r="K1374" i="1" s="1"/>
  <c r="W1373" i="1"/>
  <c r="V1373" i="1"/>
  <c r="U1373" i="1"/>
  <c r="P1373" i="1"/>
  <c r="M1373" i="1"/>
  <c r="N1373" i="1" s="1"/>
  <c r="L1373" i="1"/>
  <c r="K1373" i="1"/>
  <c r="G1373" i="1"/>
  <c r="V1372" i="1"/>
  <c r="W1372" i="1" s="1"/>
  <c r="U1372" i="1"/>
  <c r="P1372" i="1"/>
  <c r="L1372" i="1"/>
  <c r="K1372" i="1"/>
  <c r="G1372" i="1"/>
  <c r="W1371" i="1"/>
  <c r="V1371" i="1"/>
  <c r="U1371" i="1"/>
  <c r="P1371" i="1"/>
  <c r="L1371" i="1"/>
  <c r="G1371" i="1"/>
  <c r="V1370" i="1"/>
  <c r="W1370" i="1" s="1"/>
  <c r="U1370" i="1"/>
  <c r="P1370" i="1"/>
  <c r="N1370" i="1"/>
  <c r="M1370" i="1"/>
  <c r="L1370" i="1"/>
  <c r="K1370" i="1"/>
  <c r="G1370" i="1"/>
  <c r="W1369" i="1"/>
  <c r="V1369" i="1"/>
  <c r="U1369" i="1"/>
  <c r="P1369" i="1"/>
  <c r="L1369" i="1"/>
  <c r="G1369" i="1"/>
  <c r="W1368" i="1"/>
  <c r="V1368" i="1"/>
  <c r="U1368" i="1"/>
  <c r="P1368" i="1"/>
  <c r="M1368" i="1"/>
  <c r="N1368" i="1" s="1"/>
  <c r="L1368" i="1"/>
  <c r="G1368" i="1"/>
  <c r="K1368" i="1" s="1"/>
  <c r="V1367" i="1"/>
  <c r="W1367" i="1" s="1"/>
  <c r="U1367" i="1"/>
  <c r="P1367" i="1"/>
  <c r="L1367" i="1"/>
  <c r="M1367" i="1" s="1"/>
  <c r="N1367" i="1" s="1"/>
  <c r="K1367" i="1"/>
  <c r="G1367" i="1"/>
  <c r="V1366" i="1"/>
  <c r="W1366" i="1" s="1"/>
  <c r="U1366" i="1"/>
  <c r="P1366" i="1"/>
  <c r="L1366" i="1"/>
  <c r="G1366" i="1"/>
  <c r="K1366" i="1" s="1"/>
  <c r="W1365" i="1"/>
  <c r="V1365" i="1"/>
  <c r="U1365" i="1"/>
  <c r="P1365" i="1"/>
  <c r="M1365" i="1"/>
  <c r="N1365" i="1" s="1"/>
  <c r="L1365" i="1"/>
  <c r="K1365" i="1"/>
  <c r="G1365" i="1"/>
  <c r="V1364" i="1"/>
  <c r="W1364" i="1" s="1"/>
  <c r="U1364" i="1"/>
  <c r="P1364" i="1"/>
  <c r="L1364" i="1"/>
  <c r="K1364" i="1"/>
  <c r="G1364" i="1"/>
  <c r="M1364" i="1" s="1"/>
  <c r="N1364" i="1" s="1"/>
  <c r="V1363" i="1"/>
  <c r="W1363" i="1" s="1"/>
  <c r="U1363" i="1"/>
  <c r="P1363" i="1"/>
  <c r="L1363" i="1"/>
  <c r="G1363" i="1"/>
  <c r="W1362" i="1"/>
  <c r="V1362" i="1"/>
  <c r="U1362" i="1"/>
  <c r="P1362" i="1"/>
  <c r="L1362" i="1"/>
  <c r="K1362" i="1"/>
  <c r="G1362" i="1"/>
  <c r="M1362" i="1" s="1"/>
  <c r="N1362" i="1" s="1"/>
  <c r="V1361" i="1"/>
  <c r="W1361" i="1" s="1"/>
  <c r="U1361" i="1"/>
  <c r="P1361" i="1"/>
  <c r="L1361" i="1"/>
  <c r="K1361" i="1"/>
  <c r="G1361" i="1"/>
  <c r="M1361" i="1" s="1"/>
  <c r="N1361" i="1" s="1"/>
  <c r="W1360" i="1"/>
  <c r="V1360" i="1"/>
  <c r="U1360" i="1"/>
  <c r="P1360" i="1"/>
  <c r="L1360" i="1"/>
  <c r="K1360" i="1"/>
  <c r="G1360" i="1"/>
  <c r="M1360" i="1" s="1"/>
  <c r="N1360" i="1" s="1"/>
  <c r="V1359" i="1"/>
  <c r="W1359" i="1" s="1"/>
  <c r="U1359" i="1"/>
  <c r="P1359" i="1"/>
  <c r="L1359" i="1"/>
  <c r="M1359" i="1" s="1"/>
  <c r="N1359" i="1" s="1"/>
  <c r="K1359" i="1"/>
  <c r="G1359" i="1"/>
  <c r="V1358" i="1"/>
  <c r="W1358" i="1" s="1"/>
  <c r="U1358" i="1"/>
  <c r="P1358" i="1"/>
  <c r="L1358" i="1"/>
  <c r="G1358" i="1"/>
  <c r="K1358" i="1" s="1"/>
  <c r="W1357" i="1"/>
  <c r="V1357" i="1"/>
  <c r="U1357" i="1"/>
  <c r="P1357" i="1"/>
  <c r="M1357" i="1"/>
  <c r="N1357" i="1" s="1"/>
  <c r="L1357" i="1"/>
  <c r="K1357" i="1"/>
  <c r="G1357" i="1"/>
  <c r="V1356" i="1"/>
  <c r="W1356" i="1" s="1"/>
  <c r="U1356" i="1"/>
  <c r="P1356" i="1"/>
  <c r="L1356" i="1"/>
  <c r="K1356" i="1"/>
  <c r="G1356" i="1"/>
  <c r="M1356" i="1" s="1"/>
  <c r="N1356" i="1" s="1"/>
  <c r="V1355" i="1"/>
  <c r="W1355" i="1" s="1"/>
  <c r="U1355" i="1"/>
  <c r="P1355" i="1"/>
  <c r="L1355" i="1"/>
  <c r="G1355" i="1"/>
  <c r="W1354" i="1"/>
  <c r="V1354" i="1"/>
  <c r="U1354" i="1"/>
  <c r="P1354" i="1"/>
  <c r="L1354" i="1"/>
  <c r="K1354" i="1"/>
  <c r="G1354" i="1"/>
  <c r="M1354" i="1" s="1"/>
  <c r="N1354" i="1" s="1"/>
  <c r="V1353" i="1"/>
  <c r="W1353" i="1" s="1"/>
  <c r="U1353" i="1"/>
  <c r="P1353" i="1"/>
  <c r="L1353" i="1"/>
  <c r="K1353" i="1"/>
  <c r="G1353" i="1"/>
  <c r="M1353" i="1" s="1"/>
  <c r="N1353" i="1" s="1"/>
  <c r="W1352" i="1"/>
  <c r="V1352" i="1"/>
  <c r="U1352" i="1"/>
  <c r="P1352" i="1"/>
  <c r="L1352" i="1"/>
  <c r="K1352" i="1"/>
  <c r="G1352" i="1"/>
  <c r="M1352" i="1" s="1"/>
  <c r="N1352" i="1" s="1"/>
  <c r="V1351" i="1"/>
  <c r="W1351" i="1" s="1"/>
  <c r="U1351" i="1"/>
  <c r="P1351" i="1"/>
  <c r="L1351" i="1"/>
  <c r="M1351" i="1" s="1"/>
  <c r="N1351" i="1" s="1"/>
  <c r="K1351" i="1"/>
  <c r="G1351" i="1"/>
  <c r="V1350" i="1"/>
  <c r="W1350" i="1" s="1"/>
  <c r="U1350" i="1"/>
  <c r="P1350" i="1"/>
  <c r="L1350" i="1"/>
  <c r="G1350" i="1"/>
  <c r="K1350" i="1" s="1"/>
  <c r="W1349" i="1"/>
  <c r="V1349" i="1"/>
  <c r="U1349" i="1"/>
  <c r="P1349" i="1"/>
  <c r="M1349" i="1"/>
  <c r="N1349" i="1" s="1"/>
  <c r="L1349" i="1"/>
  <c r="K1349" i="1"/>
  <c r="G1349" i="1"/>
  <c r="V1348" i="1"/>
  <c r="W1348" i="1" s="1"/>
  <c r="U1348" i="1"/>
  <c r="P1348" i="1"/>
  <c r="L1348" i="1"/>
  <c r="K1348" i="1"/>
  <c r="G1348" i="1"/>
  <c r="M1348" i="1" s="1"/>
  <c r="N1348" i="1" s="1"/>
  <c r="V1347" i="1"/>
  <c r="W1347" i="1" s="1"/>
  <c r="U1347" i="1"/>
  <c r="P1347" i="1"/>
  <c r="L1347" i="1"/>
  <c r="G1347" i="1"/>
  <c r="W1346" i="1"/>
  <c r="V1346" i="1"/>
  <c r="U1346" i="1"/>
  <c r="P1346" i="1"/>
  <c r="L1346" i="1"/>
  <c r="K1346" i="1"/>
  <c r="G1346" i="1"/>
  <c r="M1346" i="1" s="1"/>
  <c r="N1346" i="1" s="1"/>
  <c r="V1345" i="1"/>
  <c r="W1345" i="1" s="1"/>
  <c r="U1345" i="1"/>
  <c r="P1345" i="1"/>
  <c r="L1345" i="1"/>
  <c r="K1345" i="1"/>
  <c r="G1345" i="1"/>
  <c r="M1345" i="1" s="1"/>
  <c r="N1345" i="1" s="1"/>
  <c r="W1344" i="1"/>
  <c r="V1344" i="1"/>
  <c r="U1344" i="1"/>
  <c r="P1344" i="1"/>
  <c r="L1344" i="1"/>
  <c r="K1344" i="1"/>
  <c r="G1344" i="1"/>
  <c r="M1344" i="1" s="1"/>
  <c r="N1344" i="1" s="1"/>
  <c r="V1343" i="1"/>
  <c r="W1343" i="1" s="1"/>
  <c r="U1343" i="1"/>
  <c r="P1343" i="1"/>
  <c r="L1343" i="1"/>
  <c r="M1343" i="1" s="1"/>
  <c r="N1343" i="1" s="1"/>
  <c r="K1343" i="1"/>
  <c r="G1343" i="1"/>
  <c r="V1342" i="1"/>
  <c r="W1342" i="1" s="1"/>
  <c r="U1342" i="1"/>
  <c r="P1342" i="1"/>
  <c r="L1342" i="1"/>
  <c r="G1342" i="1"/>
  <c r="K1342" i="1" s="1"/>
  <c r="V1341" i="1"/>
  <c r="W1341" i="1" s="1"/>
  <c r="U1341" i="1"/>
  <c r="P1341" i="1"/>
  <c r="M1341" i="1"/>
  <c r="N1341" i="1" s="1"/>
  <c r="L1341" i="1"/>
  <c r="K1341" i="1"/>
  <c r="G1341" i="1"/>
  <c r="V1340" i="1"/>
  <c r="W1340" i="1" s="1"/>
  <c r="U1340" i="1"/>
  <c r="P1340" i="1"/>
  <c r="M1340" i="1"/>
  <c r="N1340" i="1" s="1"/>
  <c r="L1340" i="1"/>
  <c r="G1340" i="1"/>
  <c r="K1340" i="1" s="1"/>
  <c r="W1339" i="1"/>
  <c r="V1339" i="1"/>
  <c r="U1339" i="1"/>
  <c r="P1339" i="1"/>
  <c r="L1339" i="1"/>
  <c r="G1339" i="1"/>
  <c r="W1338" i="1"/>
  <c r="V1338" i="1"/>
  <c r="U1338" i="1"/>
  <c r="P1338" i="1"/>
  <c r="L1338" i="1"/>
  <c r="K1338" i="1"/>
  <c r="G1338" i="1"/>
  <c r="M1338" i="1" s="1"/>
  <c r="N1338" i="1" s="1"/>
  <c r="V1337" i="1"/>
  <c r="W1337" i="1" s="1"/>
  <c r="U1337" i="1"/>
  <c r="P1337" i="1"/>
  <c r="L1337" i="1"/>
  <c r="M1337" i="1" s="1"/>
  <c r="N1337" i="1" s="1"/>
  <c r="K1337" i="1"/>
  <c r="G1337" i="1"/>
  <c r="V1336" i="1"/>
  <c r="W1336" i="1" s="1"/>
  <c r="U1336" i="1"/>
  <c r="P1336" i="1"/>
  <c r="M1336" i="1"/>
  <c r="N1336" i="1" s="1"/>
  <c r="L1336" i="1"/>
  <c r="G1336" i="1"/>
  <c r="K1336" i="1" s="1"/>
  <c r="W1335" i="1"/>
  <c r="V1335" i="1"/>
  <c r="U1335" i="1"/>
  <c r="P1335" i="1"/>
  <c r="L1335" i="1"/>
  <c r="G1335" i="1"/>
  <c r="W1334" i="1"/>
  <c r="V1334" i="1"/>
  <c r="U1334" i="1"/>
  <c r="P1334" i="1"/>
  <c r="L1334" i="1"/>
  <c r="K1334" i="1"/>
  <c r="G1334" i="1"/>
  <c r="M1334" i="1" s="1"/>
  <c r="N1334" i="1" s="1"/>
  <c r="V1333" i="1"/>
  <c r="W1333" i="1" s="1"/>
  <c r="U1333" i="1"/>
  <c r="P1333" i="1"/>
  <c r="L1333" i="1"/>
  <c r="M1333" i="1" s="1"/>
  <c r="N1333" i="1" s="1"/>
  <c r="K1333" i="1"/>
  <c r="G1333" i="1"/>
  <c r="V1332" i="1"/>
  <c r="W1332" i="1" s="1"/>
  <c r="U1332" i="1"/>
  <c r="P1332" i="1"/>
  <c r="M1332" i="1"/>
  <c r="N1332" i="1" s="1"/>
  <c r="L1332" i="1"/>
  <c r="G1332" i="1"/>
  <c r="K1332" i="1" s="1"/>
  <c r="W1331" i="1"/>
  <c r="V1331" i="1"/>
  <c r="U1331" i="1"/>
  <c r="P1331" i="1"/>
  <c r="L1331" i="1"/>
  <c r="G1331" i="1"/>
  <c r="W1330" i="1"/>
  <c r="V1330" i="1"/>
  <c r="U1330" i="1"/>
  <c r="P1330" i="1"/>
  <c r="L1330" i="1"/>
  <c r="K1330" i="1"/>
  <c r="G1330" i="1"/>
  <c r="M1330" i="1" s="1"/>
  <c r="N1330" i="1" s="1"/>
  <c r="V1329" i="1"/>
  <c r="W1329" i="1" s="1"/>
  <c r="U1329" i="1"/>
  <c r="P1329" i="1"/>
  <c r="L1329" i="1"/>
  <c r="M1329" i="1" s="1"/>
  <c r="N1329" i="1" s="1"/>
  <c r="K1329" i="1"/>
  <c r="G1329" i="1"/>
  <c r="V1328" i="1"/>
  <c r="W1328" i="1" s="1"/>
  <c r="U1328" i="1"/>
  <c r="P1328" i="1"/>
  <c r="M1328" i="1"/>
  <c r="N1328" i="1" s="1"/>
  <c r="L1328" i="1"/>
  <c r="G1328" i="1"/>
  <c r="K1328" i="1" s="1"/>
  <c r="V1327" i="1"/>
  <c r="W1327" i="1" s="1"/>
  <c r="U1327" i="1"/>
  <c r="P1327" i="1"/>
  <c r="L1327" i="1"/>
  <c r="G1327" i="1"/>
  <c r="W1326" i="1"/>
  <c r="V1326" i="1"/>
  <c r="U1326" i="1"/>
  <c r="P1326" i="1"/>
  <c r="L1326" i="1"/>
  <c r="K1326" i="1"/>
  <c r="G1326" i="1"/>
  <c r="M1326" i="1" s="1"/>
  <c r="N1326" i="1" s="1"/>
  <c r="V1325" i="1"/>
  <c r="W1325" i="1" s="1"/>
  <c r="U1325" i="1"/>
  <c r="P1325" i="1"/>
  <c r="L1325" i="1"/>
  <c r="M1325" i="1" s="1"/>
  <c r="N1325" i="1" s="1"/>
  <c r="K1325" i="1"/>
  <c r="G1325" i="1"/>
  <c r="W1324" i="1"/>
  <c r="V1324" i="1"/>
  <c r="U1324" i="1"/>
  <c r="P1324" i="1"/>
  <c r="L1324" i="1"/>
  <c r="G1324" i="1"/>
  <c r="K1324" i="1" s="1"/>
  <c r="W1323" i="1"/>
  <c r="V1323" i="1"/>
  <c r="U1323" i="1"/>
  <c r="P1323" i="1"/>
  <c r="L1323" i="1"/>
  <c r="G1323" i="1"/>
  <c r="M1323" i="1" s="1"/>
  <c r="N1323" i="1" s="1"/>
  <c r="W1322" i="1"/>
  <c r="V1322" i="1"/>
  <c r="U1322" i="1"/>
  <c r="P1322" i="1"/>
  <c r="L1322" i="1"/>
  <c r="K1322" i="1"/>
  <c r="G1322" i="1"/>
  <c r="M1322" i="1" s="1"/>
  <c r="N1322" i="1" s="1"/>
  <c r="V1321" i="1"/>
  <c r="W1321" i="1" s="1"/>
  <c r="U1321" i="1"/>
  <c r="P1321" i="1"/>
  <c r="M1321" i="1"/>
  <c r="N1321" i="1" s="1"/>
  <c r="L1321" i="1"/>
  <c r="K1321" i="1"/>
  <c r="G1321" i="1"/>
  <c r="V1320" i="1"/>
  <c r="W1320" i="1" s="1"/>
  <c r="U1320" i="1"/>
  <c r="P1320" i="1"/>
  <c r="N1320" i="1"/>
  <c r="M1320" i="1"/>
  <c r="L1320" i="1"/>
  <c r="G1320" i="1"/>
  <c r="K1320" i="1" s="1"/>
  <c r="V1319" i="1"/>
  <c r="W1319" i="1" s="1"/>
  <c r="U1319" i="1"/>
  <c r="P1319" i="1"/>
  <c r="L1319" i="1"/>
  <c r="G1319" i="1"/>
  <c r="W1318" i="1"/>
  <c r="V1318" i="1"/>
  <c r="U1318" i="1"/>
  <c r="P1318" i="1"/>
  <c r="L1318" i="1"/>
  <c r="K1318" i="1"/>
  <c r="G1318" i="1"/>
  <c r="M1318" i="1" s="1"/>
  <c r="N1318" i="1" s="1"/>
  <c r="V1317" i="1"/>
  <c r="W1317" i="1" s="1"/>
  <c r="U1317" i="1"/>
  <c r="P1317" i="1"/>
  <c r="L1317" i="1"/>
  <c r="M1317" i="1" s="1"/>
  <c r="N1317" i="1" s="1"/>
  <c r="K1317" i="1"/>
  <c r="G1317" i="1"/>
  <c r="W1316" i="1"/>
  <c r="V1316" i="1"/>
  <c r="U1316" i="1"/>
  <c r="P1316" i="1"/>
  <c r="L1316" i="1"/>
  <c r="G1316" i="1"/>
  <c r="K1316" i="1" s="1"/>
  <c r="W1315" i="1"/>
  <c r="V1315" i="1"/>
  <c r="U1315" i="1"/>
  <c r="P1315" i="1"/>
  <c r="L1315" i="1"/>
  <c r="K1315" i="1"/>
  <c r="G1315" i="1"/>
  <c r="M1315" i="1" s="1"/>
  <c r="N1315" i="1" s="1"/>
  <c r="W1314" i="1"/>
  <c r="V1314" i="1"/>
  <c r="U1314" i="1"/>
  <c r="P1314" i="1"/>
  <c r="L1314" i="1"/>
  <c r="K1314" i="1"/>
  <c r="G1314" i="1"/>
  <c r="V1313" i="1"/>
  <c r="W1313" i="1" s="1"/>
  <c r="U1313" i="1"/>
  <c r="P1313" i="1"/>
  <c r="M1313" i="1"/>
  <c r="N1313" i="1" s="1"/>
  <c r="L1313" i="1"/>
  <c r="K1313" i="1"/>
  <c r="G1313" i="1"/>
  <c r="V1312" i="1"/>
  <c r="W1312" i="1" s="1"/>
  <c r="U1312" i="1"/>
  <c r="P1312" i="1"/>
  <c r="M1312" i="1"/>
  <c r="N1312" i="1" s="1"/>
  <c r="L1312" i="1"/>
  <c r="G1312" i="1"/>
  <c r="K1312" i="1" s="1"/>
  <c r="W1311" i="1"/>
  <c r="V1311" i="1"/>
  <c r="U1311" i="1"/>
  <c r="P1311" i="1"/>
  <c r="L1311" i="1"/>
  <c r="G1311" i="1"/>
  <c r="K1311" i="1" s="1"/>
  <c r="W1310" i="1"/>
  <c r="V1310" i="1"/>
  <c r="U1310" i="1"/>
  <c r="P1310" i="1"/>
  <c r="L1310" i="1"/>
  <c r="G1310" i="1"/>
  <c r="M1310" i="1" s="1"/>
  <c r="N1310" i="1" s="1"/>
  <c r="V1309" i="1"/>
  <c r="W1309" i="1" s="1"/>
  <c r="U1309" i="1"/>
  <c r="P1309" i="1"/>
  <c r="L1309" i="1"/>
  <c r="M1309" i="1" s="1"/>
  <c r="N1309" i="1" s="1"/>
  <c r="K1309" i="1"/>
  <c r="G1309" i="1"/>
  <c r="V1308" i="1"/>
  <c r="W1308" i="1" s="1"/>
  <c r="U1308" i="1"/>
  <c r="P1308" i="1"/>
  <c r="M1308" i="1"/>
  <c r="N1308" i="1" s="1"/>
  <c r="L1308" i="1"/>
  <c r="G1308" i="1"/>
  <c r="K1308" i="1" s="1"/>
  <c r="W1307" i="1"/>
  <c r="V1307" i="1"/>
  <c r="U1307" i="1"/>
  <c r="P1307" i="1"/>
  <c r="M1307" i="1"/>
  <c r="N1307" i="1" s="1"/>
  <c r="L1307" i="1"/>
  <c r="G1307" i="1"/>
  <c r="K1307" i="1" s="1"/>
  <c r="W1306" i="1"/>
  <c r="V1306" i="1"/>
  <c r="U1306" i="1"/>
  <c r="P1306" i="1"/>
  <c r="N1306" i="1"/>
  <c r="L1306" i="1"/>
  <c r="G1306" i="1"/>
  <c r="M1306" i="1" s="1"/>
  <c r="V1305" i="1"/>
  <c r="W1305" i="1" s="1"/>
  <c r="U1305" i="1"/>
  <c r="P1305" i="1"/>
  <c r="L1305" i="1"/>
  <c r="M1305" i="1" s="1"/>
  <c r="N1305" i="1" s="1"/>
  <c r="K1305" i="1"/>
  <c r="G1305" i="1"/>
  <c r="V1304" i="1"/>
  <c r="W1304" i="1" s="1"/>
  <c r="U1304" i="1"/>
  <c r="P1304" i="1"/>
  <c r="L1304" i="1"/>
  <c r="M1304" i="1" s="1"/>
  <c r="N1304" i="1" s="1"/>
  <c r="G1304" i="1"/>
  <c r="K1304" i="1" s="1"/>
  <c r="V1303" i="1"/>
  <c r="W1303" i="1" s="1"/>
  <c r="U1303" i="1"/>
  <c r="P1303" i="1"/>
  <c r="L1303" i="1"/>
  <c r="G1303" i="1"/>
  <c r="K1303" i="1" s="1"/>
  <c r="W1302" i="1"/>
  <c r="V1302" i="1"/>
  <c r="U1302" i="1"/>
  <c r="P1302" i="1"/>
  <c r="N1302" i="1"/>
  <c r="L1302" i="1"/>
  <c r="K1302" i="1"/>
  <c r="G1302" i="1"/>
  <c r="M1302" i="1" s="1"/>
  <c r="V1301" i="1"/>
  <c r="W1301" i="1" s="1"/>
  <c r="U1301" i="1"/>
  <c r="P1301" i="1"/>
  <c r="L1301" i="1"/>
  <c r="M1301" i="1" s="1"/>
  <c r="N1301" i="1" s="1"/>
  <c r="K1301" i="1"/>
  <c r="G1301" i="1"/>
  <c r="W1300" i="1"/>
  <c r="V1300" i="1"/>
  <c r="U1300" i="1"/>
  <c r="P1300" i="1"/>
  <c r="L1300" i="1"/>
  <c r="G1300" i="1"/>
  <c r="K1300" i="1" s="1"/>
  <c r="V1299" i="1"/>
  <c r="W1299" i="1" s="1"/>
  <c r="U1299" i="1"/>
  <c r="P1299" i="1"/>
  <c r="N1299" i="1"/>
  <c r="M1299" i="1"/>
  <c r="L1299" i="1"/>
  <c r="K1299" i="1"/>
  <c r="G1299" i="1"/>
  <c r="W1298" i="1"/>
  <c r="V1298" i="1"/>
  <c r="U1298" i="1"/>
  <c r="P1298" i="1"/>
  <c r="L1298" i="1"/>
  <c r="K1298" i="1"/>
  <c r="G1298" i="1"/>
  <c r="V1297" i="1"/>
  <c r="W1297" i="1" s="1"/>
  <c r="U1297" i="1"/>
  <c r="P1297" i="1"/>
  <c r="M1297" i="1"/>
  <c r="N1297" i="1" s="1"/>
  <c r="L1297" i="1"/>
  <c r="K1297" i="1"/>
  <c r="G1297" i="1"/>
  <c r="V1296" i="1"/>
  <c r="W1296" i="1" s="1"/>
  <c r="U1296" i="1"/>
  <c r="P1296" i="1"/>
  <c r="M1296" i="1"/>
  <c r="N1296" i="1" s="1"/>
  <c r="L1296" i="1"/>
  <c r="G1296" i="1"/>
  <c r="K1296" i="1" s="1"/>
  <c r="W1295" i="1"/>
  <c r="V1295" i="1"/>
  <c r="U1295" i="1"/>
  <c r="P1295" i="1"/>
  <c r="L1295" i="1"/>
  <c r="G1295" i="1"/>
  <c r="K1295" i="1" s="1"/>
  <c r="W1294" i="1"/>
  <c r="V1294" i="1"/>
  <c r="U1294" i="1"/>
  <c r="P1294" i="1"/>
  <c r="L1294" i="1"/>
  <c r="G1294" i="1"/>
  <c r="M1294" i="1" s="1"/>
  <c r="N1294" i="1" s="1"/>
  <c r="V1293" i="1"/>
  <c r="W1293" i="1" s="1"/>
  <c r="U1293" i="1"/>
  <c r="P1293" i="1"/>
  <c r="L1293" i="1"/>
  <c r="M1293" i="1" s="1"/>
  <c r="N1293" i="1" s="1"/>
  <c r="K1293" i="1"/>
  <c r="G1293" i="1"/>
  <c r="V1292" i="1"/>
  <c r="W1292" i="1" s="1"/>
  <c r="U1292" i="1"/>
  <c r="P1292" i="1"/>
  <c r="M1292" i="1"/>
  <c r="N1292" i="1" s="1"/>
  <c r="L1292" i="1"/>
  <c r="G1292" i="1"/>
  <c r="K1292" i="1" s="1"/>
  <c r="V1291" i="1"/>
  <c r="W1291" i="1" s="1"/>
  <c r="U1291" i="1"/>
  <c r="P1291" i="1"/>
  <c r="M1291" i="1"/>
  <c r="N1291" i="1" s="1"/>
  <c r="L1291" i="1"/>
  <c r="G1291" i="1"/>
  <c r="K1291" i="1" s="1"/>
  <c r="W1290" i="1"/>
  <c r="V1290" i="1"/>
  <c r="U1290" i="1"/>
  <c r="P1290" i="1"/>
  <c r="N1290" i="1"/>
  <c r="L1290" i="1"/>
  <c r="G1290" i="1"/>
  <c r="M1290" i="1" s="1"/>
  <c r="V1289" i="1"/>
  <c r="W1289" i="1" s="1"/>
  <c r="U1289" i="1"/>
  <c r="P1289" i="1"/>
  <c r="L1289" i="1"/>
  <c r="M1289" i="1" s="1"/>
  <c r="N1289" i="1" s="1"/>
  <c r="K1289" i="1"/>
  <c r="G1289" i="1"/>
  <c r="W1288" i="1"/>
  <c r="V1288" i="1"/>
  <c r="U1288" i="1"/>
  <c r="P1288" i="1"/>
  <c r="M1288" i="1"/>
  <c r="N1288" i="1" s="1"/>
  <c r="L1288" i="1"/>
  <c r="G1288" i="1"/>
  <c r="K1288" i="1" s="1"/>
  <c r="W1287" i="1"/>
  <c r="V1287" i="1"/>
  <c r="U1287" i="1"/>
  <c r="P1287" i="1"/>
  <c r="M1287" i="1"/>
  <c r="N1287" i="1" s="1"/>
  <c r="L1287" i="1"/>
  <c r="G1287" i="1"/>
  <c r="K1287" i="1" s="1"/>
  <c r="W1286" i="1"/>
  <c r="V1286" i="1"/>
  <c r="U1286" i="1"/>
  <c r="P1286" i="1"/>
  <c r="N1286" i="1"/>
  <c r="L1286" i="1"/>
  <c r="G1286" i="1"/>
  <c r="M1286" i="1" s="1"/>
  <c r="V1285" i="1"/>
  <c r="W1285" i="1" s="1"/>
  <c r="U1285" i="1"/>
  <c r="P1285" i="1"/>
  <c r="L1285" i="1"/>
  <c r="M1285" i="1" s="1"/>
  <c r="N1285" i="1" s="1"/>
  <c r="K1285" i="1"/>
  <c r="G1285" i="1"/>
  <c r="W1284" i="1"/>
  <c r="V1284" i="1"/>
  <c r="U1284" i="1"/>
  <c r="P1284" i="1"/>
  <c r="M1284" i="1"/>
  <c r="N1284" i="1" s="1"/>
  <c r="L1284" i="1"/>
  <c r="G1284" i="1"/>
  <c r="K1284" i="1" s="1"/>
  <c r="W1283" i="1"/>
  <c r="V1283" i="1"/>
  <c r="U1283" i="1"/>
  <c r="P1283" i="1"/>
  <c r="M1283" i="1"/>
  <c r="N1283" i="1" s="1"/>
  <c r="L1283" i="1"/>
  <c r="G1283" i="1"/>
  <c r="K1283" i="1" s="1"/>
  <c r="W1282" i="1"/>
  <c r="V1282" i="1"/>
  <c r="U1282" i="1"/>
  <c r="P1282" i="1"/>
  <c r="N1282" i="1"/>
  <c r="L1282" i="1"/>
  <c r="G1282" i="1"/>
  <c r="M1282" i="1" s="1"/>
  <c r="V1281" i="1"/>
  <c r="W1281" i="1" s="1"/>
  <c r="U1281" i="1"/>
  <c r="P1281" i="1"/>
  <c r="L1281" i="1"/>
  <c r="M1281" i="1" s="1"/>
  <c r="N1281" i="1" s="1"/>
  <c r="K1281" i="1"/>
  <c r="G1281" i="1"/>
  <c r="W1280" i="1"/>
  <c r="V1280" i="1"/>
  <c r="U1280" i="1"/>
  <c r="P1280" i="1"/>
  <c r="M1280" i="1"/>
  <c r="N1280" i="1" s="1"/>
  <c r="L1280" i="1"/>
  <c r="G1280" i="1"/>
  <c r="K1280" i="1" s="1"/>
  <c r="W1279" i="1"/>
  <c r="V1279" i="1"/>
  <c r="U1279" i="1"/>
  <c r="P1279" i="1"/>
  <c r="M1279" i="1"/>
  <c r="N1279" i="1" s="1"/>
  <c r="L1279" i="1"/>
  <c r="G1279" i="1"/>
  <c r="K1279" i="1" s="1"/>
  <c r="W1278" i="1"/>
  <c r="V1278" i="1"/>
  <c r="U1278" i="1"/>
  <c r="P1278" i="1"/>
  <c r="N1278" i="1"/>
  <c r="L1278" i="1"/>
  <c r="G1278" i="1"/>
  <c r="M1278" i="1" s="1"/>
  <c r="V1277" i="1"/>
  <c r="W1277" i="1" s="1"/>
  <c r="U1277" i="1"/>
  <c r="P1277" i="1"/>
  <c r="L1277" i="1"/>
  <c r="M1277" i="1" s="1"/>
  <c r="N1277" i="1" s="1"/>
  <c r="K1277" i="1"/>
  <c r="G1277" i="1"/>
  <c r="W1276" i="1"/>
  <c r="V1276" i="1"/>
  <c r="U1276" i="1"/>
  <c r="P1276" i="1"/>
  <c r="M1276" i="1"/>
  <c r="N1276" i="1" s="1"/>
  <c r="L1276" i="1"/>
  <c r="G1276" i="1"/>
  <c r="K1276" i="1" s="1"/>
  <c r="W1275" i="1"/>
  <c r="V1275" i="1"/>
  <c r="U1275" i="1"/>
  <c r="P1275" i="1"/>
  <c r="M1275" i="1"/>
  <c r="N1275" i="1" s="1"/>
  <c r="L1275" i="1"/>
  <c r="G1275" i="1"/>
  <c r="K1275" i="1" s="1"/>
  <c r="W1274" i="1"/>
  <c r="V1274" i="1"/>
  <c r="U1274" i="1"/>
  <c r="P1274" i="1"/>
  <c r="N1274" i="1"/>
  <c r="L1274" i="1"/>
  <c r="G1274" i="1"/>
  <c r="M1274" i="1" s="1"/>
  <c r="V1273" i="1"/>
  <c r="W1273" i="1" s="1"/>
  <c r="U1273" i="1"/>
  <c r="P1273" i="1"/>
  <c r="L1273" i="1"/>
  <c r="M1273" i="1" s="1"/>
  <c r="N1273" i="1" s="1"/>
  <c r="K1273" i="1"/>
  <c r="G1273" i="1"/>
  <c r="W1272" i="1"/>
  <c r="V1272" i="1"/>
  <c r="U1272" i="1"/>
  <c r="P1272" i="1"/>
  <c r="M1272" i="1"/>
  <c r="N1272" i="1" s="1"/>
  <c r="L1272" i="1"/>
  <c r="G1272" i="1"/>
  <c r="K1272" i="1" s="1"/>
  <c r="W1271" i="1"/>
  <c r="V1271" i="1"/>
  <c r="U1271" i="1"/>
  <c r="P1271" i="1"/>
  <c r="M1271" i="1"/>
  <c r="N1271" i="1" s="1"/>
  <c r="L1271" i="1"/>
  <c r="G1271" i="1"/>
  <c r="K1271" i="1" s="1"/>
  <c r="W1270" i="1"/>
  <c r="V1270" i="1"/>
  <c r="U1270" i="1"/>
  <c r="P1270" i="1"/>
  <c r="N1270" i="1"/>
  <c r="L1270" i="1"/>
  <c r="G1270" i="1"/>
  <c r="M1270" i="1" s="1"/>
  <c r="V1269" i="1"/>
  <c r="W1269" i="1" s="1"/>
  <c r="U1269" i="1"/>
  <c r="P1269" i="1"/>
  <c r="L1269" i="1"/>
  <c r="M1269" i="1" s="1"/>
  <c r="N1269" i="1" s="1"/>
  <c r="K1269" i="1"/>
  <c r="G1269" i="1"/>
  <c r="W1268" i="1"/>
  <c r="V1268" i="1"/>
  <c r="U1268" i="1"/>
  <c r="P1268" i="1"/>
  <c r="M1268" i="1"/>
  <c r="N1268" i="1" s="1"/>
  <c r="L1268" i="1"/>
  <c r="G1268" i="1"/>
  <c r="K1268" i="1" s="1"/>
  <c r="W1267" i="1"/>
  <c r="V1267" i="1"/>
  <c r="U1267" i="1"/>
  <c r="P1267" i="1"/>
  <c r="M1267" i="1"/>
  <c r="N1267" i="1" s="1"/>
  <c r="L1267" i="1"/>
  <c r="G1267" i="1"/>
  <c r="K1267" i="1" s="1"/>
  <c r="W1266" i="1"/>
  <c r="V1266" i="1"/>
  <c r="U1266" i="1"/>
  <c r="P1266" i="1"/>
  <c r="N1266" i="1"/>
  <c r="L1266" i="1"/>
  <c r="G1266" i="1"/>
  <c r="M1266" i="1" s="1"/>
  <c r="V1265" i="1"/>
  <c r="W1265" i="1" s="1"/>
  <c r="U1265" i="1"/>
  <c r="P1265" i="1"/>
  <c r="L1265" i="1"/>
  <c r="M1265" i="1" s="1"/>
  <c r="N1265" i="1" s="1"/>
  <c r="K1265" i="1"/>
  <c r="G1265" i="1"/>
  <c r="W1264" i="1"/>
  <c r="V1264" i="1"/>
  <c r="U1264" i="1"/>
  <c r="P1264" i="1"/>
  <c r="M1264" i="1"/>
  <c r="N1264" i="1" s="1"/>
  <c r="L1264" i="1"/>
  <c r="G1264" i="1"/>
  <c r="K1264" i="1" s="1"/>
  <c r="W1263" i="1"/>
  <c r="V1263" i="1"/>
  <c r="U1263" i="1"/>
  <c r="P1263" i="1"/>
  <c r="M1263" i="1"/>
  <c r="N1263" i="1" s="1"/>
  <c r="L1263" i="1"/>
  <c r="G1263" i="1"/>
  <c r="K1263" i="1" s="1"/>
  <c r="V1262" i="1"/>
  <c r="W1262" i="1" s="1"/>
  <c r="U1262" i="1"/>
  <c r="P1262" i="1"/>
  <c r="N1262" i="1"/>
  <c r="L1262" i="1"/>
  <c r="G1262" i="1"/>
  <c r="M1262" i="1" s="1"/>
  <c r="V1261" i="1"/>
  <c r="W1261" i="1" s="1"/>
  <c r="U1261" i="1"/>
  <c r="P1261" i="1"/>
  <c r="M1261" i="1"/>
  <c r="N1261" i="1" s="1"/>
  <c r="L1261" i="1"/>
  <c r="G1261" i="1"/>
  <c r="K1261" i="1" s="1"/>
  <c r="V1260" i="1"/>
  <c r="W1260" i="1" s="1"/>
  <c r="U1260" i="1"/>
  <c r="P1260" i="1"/>
  <c r="N1260" i="1"/>
  <c r="M1260" i="1"/>
  <c r="L1260" i="1"/>
  <c r="K1260" i="1"/>
  <c r="G1260" i="1"/>
  <c r="W1259" i="1"/>
  <c r="V1259" i="1"/>
  <c r="U1259" i="1"/>
  <c r="P1259" i="1"/>
  <c r="L1259" i="1"/>
  <c r="G1259" i="1"/>
  <c r="M1259" i="1" s="1"/>
  <c r="N1259" i="1" s="1"/>
  <c r="W1258" i="1"/>
  <c r="V1258" i="1"/>
  <c r="U1258" i="1"/>
  <c r="P1258" i="1"/>
  <c r="L1258" i="1"/>
  <c r="K1258" i="1"/>
  <c r="G1258" i="1"/>
  <c r="M1258" i="1" s="1"/>
  <c r="N1258" i="1" s="1"/>
  <c r="V1257" i="1"/>
  <c r="W1257" i="1" s="1"/>
  <c r="U1257" i="1"/>
  <c r="P1257" i="1"/>
  <c r="M1257" i="1"/>
  <c r="N1257" i="1" s="1"/>
  <c r="L1257" i="1"/>
  <c r="K1257" i="1"/>
  <c r="G1257" i="1"/>
  <c r="V1256" i="1"/>
  <c r="W1256" i="1" s="1"/>
  <c r="U1256" i="1"/>
  <c r="P1256" i="1"/>
  <c r="L1256" i="1"/>
  <c r="G1256" i="1"/>
  <c r="K1256" i="1" s="1"/>
  <c r="V1255" i="1"/>
  <c r="W1255" i="1" s="1"/>
  <c r="U1255" i="1"/>
  <c r="P1255" i="1"/>
  <c r="L1255" i="1"/>
  <c r="M1255" i="1" s="1"/>
  <c r="N1255" i="1" s="1"/>
  <c r="K1255" i="1"/>
  <c r="G1255" i="1"/>
  <c r="W1254" i="1"/>
  <c r="V1254" i="1"/>
  <c r="U1254" i="1"/>
  <c r="P1254" i="1"/>
  <c r="L1254" i="1"/>
  <c r="G1254" i="1"/>
  <c r="W1253" i="1"/>
  <c r="V1253" i="1"/>
  <c r="U1253" i="1"/>
  <c r="P1253" i="1"/>
  <c r="N1253" i="1"/>
  <c r="M1253" i="1"/>
  <c r="L1253" i="1"/>
  <c r="K1253" i="1"/>
  <c r="G1253" i="1"/>
  <c r="V1252" i="1"/>
  <c r="W1252" i="1" s="1"/>
  <c r="U1252" i="1"/>
  <c r="P1252" i="1"/>
  <c r="L1252" i="1"/>
  <c r="M1252" i="1" s="1"/>
  <c r="N1252" i="1" s="1"/>
  <c r="K1252" i="1"/>
  <c r="G1252" i="1"/>
  <c r="W1251" i="1"/>
  <c r="V1251" i="1"/>
  <c r="U1251" i="1"/>
  <c r="P1251" i="1"/>
  <c r="M1251" i="1"/>
  <c r="N1251" i="1" s="1"/>
  <c r="L1251" i="1"/>
  <c r="G1251" i="1"/>
  <c r="K1251" i="1" s="1"/>
  <c r="V1250" i="1"/>
  <c r="W1250" i="1" s="1"/>
  <c r="U1250" i="1"/>
  <c r="P1250" i="1"/>
  <c r="N1250" i="1"/>
  <c r="M1250" i="1"/>
  <c r="L1250" i="1"/>
  <c r="K1250" i="1"/>
  <c r="G1250" i="1"/>
  <c r="W1249" i="1"/>
  <c r="V1249" i="1"/>
  <c r="U1249" i="1"/>
  <c r="P1249" i="1"/>
  <c r="L1249" i="1"/>
  <c r="G1249" i="1"/>
  <c r="M1249" i="1" s="1"/>
  <c r="N1249" i="1" s="1"/>
  <c r="W1248" i="1"/>
  <c r="V1248" i="1"/>
  <c r="U1248" i="1"/>
  <c r="P1248" i="1"/>
  <c r="L1248" i="1"/>
  <c r="K1248" i="1"/>
  <c r="G1248" i="1"/>
  <c r="M1248" i="1" s="1"/>
  <c r="N1248" i="1" s="1"/>
  <c r="V1247" i="1"/>
  <c r="W1247" i="1" s="1"/>
  <c r="U1247" i="1"/>
  <c r="P1247" i="1"/>
  <c r="L1247" i="1"/>
  <c r="M1247" i="1" s="1"/>
  <c r="N1247" i="1" s="1"/>
  <c r="K1247" i="1"/>
  <c r="G1247" i="1"/>
  <c r="W1246" i="1"/>
  <c r="V1246" i="1"/>
  <c r="U1246" i="1"/>
  <c r="P1246" i="1"/>
  <c r="L1246" i="1"/>
  <c r="G1246" i="1"/>
  <c r="W1245" i="1"/>
  <c r="V1245" i="1"/>
  <c r="U1245" i="1"/>
  <c r="P1245" i="1"/>
  <c r="N1245" i="1"/>
  <c r="M1245" i="1"/>
  <c r="L1245" i="1"/>
  <c r="K1245" i="1"/>
  <c r="G1245" i="1"/>
  <c r="V1244" i="1"/>
  <c r="W1244" i="1" s="1"/>
  <c r="U1244" i="1"/>
  <c r="P1244" i="1"/>
  <c r="L1244" i="1"/>
  <c r="M1244" i="1" s="1"/>
  <c r="N1244" i="1" s="1"/>
  <c r="K1244" i="1"/>
  <c r="G1244" i="1"/>
  <c r="W1243" i="1"/>
  <c r="V1243" i="1"/>
  <c r="U1243" i="1"/>
  <c r="P1243" i="1"/>
  <c r="M1243" i="1"/>
  <c r="N1243" i="1" s="1"/>
  <c r="L1243" i="1"/>
  <c r="G1243" i="1"/>
  <c r="K1243" i="1" s="1"/>
  <c r="V1242" i="1"/>
  <c r="W1242" i="1" s="1"/>
  <c r="U1242" i="1"/>
  <c r="P1242" i="1"/>
  <c r="N1242" i="1"/>
  <c r="M1242" i="1"/>
  <c r="L1242" i="1"/>
  <c r="K1242" i="1"/>
  <c r="G1242" i="1"/>
  <c r="W1241" i="1"/>
  <c r="V1241" i="1"/>
  <c r="U1241" i="1"/>
  <c r="P1241" i="1"/>
  <c r="L1241" i="1"/>
  <c r="G1241" i="1"/>
  <c r="M1241" i="1" s="1"/>
  <c r="N1241" i="1" s="1"/>
  <c r="W1240" i="1"/>
  <c r="V1240" i="1"/>
  <c r="U1240" i="1"/>
  <c r="P1240" i="1"/>
  <c r="L1240" i="1"/>
  <c r="K1240" i="1"/>
  <c r="G1240" i="1"/>
  <c r="M1240" i="1" s="1"/>
  <c r="N1240" i="1" s="1"/>
  <c r="V1239" i="1"/>
  <c r="W1239" i="1" s="1"/>
  <c r="U1239" i="1"/>
  <c r="P1239" i="1"/>
  <c r="L1239" i="1"/>
  <c r="M1239" i="1" s="1"/>
  <c r="N1239" i="1" s="1"/>
  <c r="K1239" i="1"/>
  <c r="G1239" i="1"/>
  <c r="W1238" i="1"/>
  <c r="V1238" i="1"/>
  <c r="U1238" i="1"/>
  <c r="P1238" i="1"/>
  <c r="L1238" i="1"/>
  <c r="G1238" i="1"/>
  <c r="W1237" i="1"/>
  <c r="V1237" i="1"/>
  <c r="U1237" i="1"/>
  <c r="P1237" i="1"/>
  <c r="N1237" i="1"/>
  <c r="M1237" i="1"/>
  <c r="L1237" i="1"/>
  <c r="K1237" i="1"/>
  <c r="G1237" i="1"/>
  <c r="V1236" i="1"/>
  <c r="W1236" i="1" s="1"/>
  <c r="U1236" i="1"/>
  <c r="P1236" i="1"/>
  <c r="L1236" i="1"/>
  <c r="M1236" i="1" s="1"/>
  <c r="N1236" i="1" s="1"/>
  <c r="K1236" i="1"/>
  <c r="G1236" i="1"/>
  <c r="W1235" i="1"/>
  <c r="V1235" i="1"/>
  <c r="U1235" i="1"/>
  <c r="P1235" i="1"/>
  <c r="M1235" i="1"/>
  <c r="N1235" i="1" s="1"/>
  <c r="L1235" i="1"/>
  <c r="G1235" i="1"/>
  <c r="K1235" i="1" s="1"/>
  <c r="V1234" i="1"/>
  <c r="W1234" i="1" s="1"/>
  <c r="U1234" i="1"/>
  <c r="P1234" i="1"/>
  <c r="N1234" i="1"/>
  <c r="M1234" i="1"/>
  <c r="L1234" i="1"/>
  <c r="K1234" i="1"/>
  <c r="G1234" i="1"/>
  <c r="W1233" i="1"/>
  <c r="V1233" i="1"/>
  <c r="U1233" i="1"/>
  <c r="P1233" i="1"/>
  <c r="L1233" i="1"/>
  <c r="G1233" i="1"/>
  <c r="M1233" i="1" s="1"/>
  <c r="N1233" i="1" s="1"/>
  <c r="W1232" i="1"/>
  <c r="V1232" i="1"/>
  <c r="U1232" i="1"/>
  <c r="P1232" i="1"/>
  <c r="L1232" i="1"/>
  <c r="K1232" i="1"/>
  <c r="G1232" i="1"/>
  <c r="M1232" i="1" s="1"/>
  <c r="N1232" i="1" s="1"/>
  <c r="V1231" i="1"/>
  <c r="W1231" i="1" s="1"/>
  <c r="U1231" i="1"/>
  <c r="P1231" i="1"/>
  <c r="L1231" i="1"/>
  <c r="M1231" i="1" s="1"/>
  <c r="N1231" i="1" s="1"/>
  <c r="K1231" i="1"/>
  <c r="G1231" i="1"/>
  <c r="W1230" i="1"/>
  <c r="V1230" i="1"/>
  <c r="U1230" i="1"/>
  <c r="P1230" i="1"/>
  <c r="L1230" i="1"/>
  <c r="G1230" i="1"/>
  <c r="W1229" i="1"/>
  <c r="V1229" i="1"/>
  <c r="U1229" i="1"/>
  <c r="P1229" i="1"/>
  <c r="N1229" i="1"/>
  <c r="M1229" i="1"/>
  <c r="L1229" i="1"/>
  <c r="K1229" i="1"/>
  <c r="G1229" i="1"/>
  <c r="V1228" i="1"/>
  <c r="W1228" i="1" s="1"/>
  <c r="U1228" i="1"/>
  <c r="P1228" i="1"/>
  <c r="L1228" i="1"/>
  <c r="M1228" i="1" s="1"/>
  <c r="N1228" i="1" s="1"/>
  <c r="K1228" i="1"/>
  <c r="G1228" i="1"/>
  <c r="W1227" i="1"/>
  <c r="V1227" i="1"/>
  <c r="U1227" i="1"/>
  <c r="P1227" i="1"/>
  <c r="M1227" i="1"/>
  <c r="N1227" i="1" s="1"/>
  <c r="L1227" i="1"/>
  <c r="G1227" i="1"/>
  <c r="K1227" i="1" s="1"/>
  <c r="V1226" i="1"/>
  <c r="W1226" i="1" s="1"/>
  <c r="U1226" i="1"/>
  <c r="P1226" i="1"/>
  <c r="N1226" i="1"/>
  <c r="M1226" i="1"/>
  <c r="L1226" i="1"/>
  <c r="K1226" i="1"/>
  <c r="G1226" i="1"/>
  <c r="W1225" i="1"/>
  <c r="V1225" i="1"/>
  <c r="U1225" i="1"/>
  <c r="P1225" i="1"/>
  <c r="L1225" i="1"/>
  <c r="G1225" i="1"/>
  <c r="M1225" i="1" s="1"/>
  <c r="N1225" i="1" s="1"/>
  <c r="W1224" i="1"/>
  <c r="V1224" i="1"/>
  <c r="U1224" i="1"/>
  <c r="P1224" i="1"/>
  <c r="L1224" i="1"/>
  <c r="K1224" i="1"/>
  <c r="G1224" i="1"/>
  <c r="M1224" i="1" s="1"/>
  <c r="N1224" i="1" s="1"/>
  <c r="V1223" i="1"/>
  <c r="W1223" i="1" s="1"/>
  <c r="U1223" i="1"/>
  <c r="P1223" i="1"/>
  <c r="L1223" i="1"/>
  <c r="M1223" i="1" s="1"/>
  <c r="N1223" i="1" s="1"/>
  <c r="K1223" i="1"/>
  <c r="G1223" i="1"/>
  <c r="W1222" i="1"/>
  <c r="V1222" i="1"/>
  <c r="U1222" i="1"/>
  <c r="P1222" i="1"/>
  <c r="L1222" i="1"/>
  <c r="G1222" i="1"/>
  <c r="W1221" i="1"/>
  <c r="V1221" i="1"/>
  <c r="U1221" i="1"/>
  <c r="P1221" i="1"/>
  <c r="N1221" i="1"/>
  <c r="M1221" i="1"/>
  <c r="L1221" i="1"/>
  <c r="K1221" i="1"/>
  <c r="G1221" i="1"/>
  <c r="V1220" i="1"/>
  <c r="W1220" i="1" s="1"/>
  <c r="U1220" i="1"/>
  <c r="P1220" i="1"/>
  <c r="L1220" i="1"/>
  <c r="M1220" i="1" s="1"/>
  <c r="N1220" i="1" s="1"/>
  <c r="K1220" i="1"/>
  <c r="G1220" i="1"/>
  <c r="W1219" i="1"/>
  <c r="V1219" i="1"/>
  <c r="U1219" i="1"/>
  <c r="P1219" i="1"/>
  <c r="M1219" i="1"/>
  <c r="N1219" i="1" s="1"/>
  <c r="L1219" i="1"/>
  <c r="G1219" i="1"/>
  <c r="K1219" i="1" s="1"/>
  <c r="V1218" i="1"/>
  <c r="W1218" i="1" s="1"/>
  <c r="U1218" i="1"/>
  <c r="P1218" i="1"/>
  <c r="N1218" i="1"/>
  <c r="M1218" i="1"/>
  <c r="L1218" i="1"/>
  <c r="K1218" i="1"/>
  <c r="G1218" i="1"/>
  <c r="W1217" i="1"/>
  <c r="V1217" i="1"/>
  <c r="U1217" i="1"/>
  <c r="P1217" i="1"/>
  <c r="L1217" i="1"/>
  <c r="G1217" i="1"/>
  <c r="M1217" i="1" s="1"/>
  <c r="N1217" i="1" s="1"/>
  <c r="W1216" i="1"/>
  <c r="V1216" i="1"/>
  <c r="U1216" i="1"/>
  <c r="P1216" i="1"/>
  <c r="L1216" i="1"/>
  <c r="K1216" i="1"/>
  <c r="G1216" i="1"/>
  <c r="M1216" i="1" s="1"/>
  <c r="N1216" i="1" s="1"/>
  <c r="V1215" i="1"/>
  <c r="W1215" i="1" s="1"/>
  <c r="U1215" i="1"/>
  <c r="P1215" i="1"/>
  <c r="L1215" i="1"/>
  <c r="M1215" i="1" s="1"/>
  <c r="N1215" i="1" s="1"/>
  <c r="K1215" i="1"/>
  <c r="G1215" i="1"/>
  <c r="W1214" i="1"/>
  <c r="V1214" i="1"/>
  <c r="U1214" i="1"/>
  <c r="P1214" i="1"/>
  <c r="L1214" i="1"/>
  <c r="G1214" i="1"/>
  <c r="W1213" i="1"/>
  <c r="V1213" i="1"/>
  <c r="U1213" i="1"/>
  <c r="P1213" i="1"/>
  <c r="N1213" i="1"/>
  <c r="M1213" i="1"/>
  <c r="L1213" i="1"/>
  <c r="K1213" i="1"/>
  <c r="G1213" i="1"/>
  <c r="V1212" i="1"/>
  <c r="W1212" i="1" s="1"/>
  <c r="U1212" i="1"/>
  <c r="P1212" i="1"/>
  <c r="L1212" i="1"/>
  <c r="M1212" i="1" s="1"/>
  <c r="N1212" i="1" s="1"/>
  <c r="K1212" i="1"/>
  <c r="G1212" i="1"/>
  <c r="W1211" i="1"/>
  <c r="V1211" i="1"/>
  <c r="U1211" i="1"/>
  <c r="P1211" i="1"/>
  <c r="M1211" i="1"/>
  <c r="N1211" i="1" s="1"/>
  <c r="L1211" i="1"/>
  <c r="G1211" i="1"/>
  <c r="K1211" i="1" s="1"/>
  <c r="V1210" i="1"/>
  <c r="W1210" i="1" s="1"/>
  <c r="U1210" i="1"/>
  <c r="P1210" i="1"/>
  <c r="N1210" i="1"/>
  <c r="M1210" i="1"/>
  <c r="L1210" i="1"/>
  <c r="K1210" i="1"/>
  <c r="G1210" i="1"/>
  <c r="W1209" i="1"/>
  <c r="V1209" i="1"/>
  <c r="U1209" i="1"/>
  <c r="P1209" i="1"/>
  <c r="L1209" i="1"/>
  <c r="G1209" i="1"/>
  <c r="M1209" i="1" s="1"/>
  <c r="N1209" i="1" s="1"/>
  <c r="W1208" i="1"/>
  <c r="V1208" i="1"/>
  <c r="U1208" i="1"/>
  <c r="P1208" i="1"/>
  <c r="L1208" i="1"/>
  <c r="K1208" i="1"/>
  <c r="G1208" i="1"/>
  <c r="M1208" i="1" s="1"/>
  <c r="N1208" i="1" s="1"/>
  <c r="V1207" i="1"/>
  <c r="W1207" i="1" s="1"/>
  <c r="U1207" i="1"/>
  <c r="P1207" i="1"/>
  <c r="L1207" i="1"/>
  <c r="M1207" i="1" s="1"/>
  <c r="N1207" i="1" s="1"/>
  <c r="K1207" i="1"/>
  <c r="G1207" i="1"/>
  <c r="W1206" i="1"/>
  <c r="V1206" i="1"/>
  <c r="U1206" i="1"/>
  <c r="P1206" i="1"/>
  <c r="L1206" i="1"/>
  <c r="G1206" i="1"/>
  <c r="W1205" i="1"/>
  <c r="V1205" i="1"/>
  <c r="U1205" i="1"/>
  <c r="P1205" i="1"/>
  <c r="N1205" i="1"/>
  <c r="M1205" i="1"/>
  <c r="L1205" i="1"/>
  <c r="K1205" i="1"/>
  <c r="G1205" i="1"/>
  <c r="V1204" i="1"/>
  <c r="W1204" i="1" s="1"/>
  <c r="U1204" i="1"/>
  <c r="P1204" i="1"/>
  <c r="L1204" i="1"/>
  <c r="M1204" i="1" s="1"/>
  <c r="N1204" i="1" s="1"/>
  <c r="K1204" i="1"/>
  <c r="G1204" i="1"/>
  <c r="W1203" i="1"/>
  <c r="V1203" i="1"/>
  <c r="U1203" i="1"/>
  <c r="P1203" i="1"/>
  <c r="M1203" i="1"/>
  <c r="N1203" i="1" s="1"/>
  <c r="L1203" i="1"/>
  <c r="G1203" i="1"/>
  <c r="K1203" i="1" s="1"/>
  <c r="V1202" i="1"/>
  <c r="W1202" i="1" s="1"/>
  <c r="U1202" i="1"/>
  <c r="P1202" i="1"/>
  <c r="N1202" i="1"/>
  <c r="M1202" i="1"/>
  <c r="L1202" i="1"/>
  <c r="K1202" i="1"/>
  <c r="G1202" i="1"/>
  <c r="W1201" i="1"/>
  <c r="V1201" i="1"/>
  <c r="U1201" i="1"/>
  <c r="P1201" i="1"/>
  <c r="L1201" i="1"/>
  <c r="G1201" i="1"/>
  <c r="M1201" i="1" s="1"/>
  <c r="N1201" i="1" s="1"/>
  <c r="W1200" i="1"/>
  <c r="V1200" i="1"/>
  <c r="U1200" i="1"/>
  <c r="P1200" i="1"/>
  <c r="L1200" i="1"/>
  <c r="K1200" i="1"/>
  <c r="G1200" i="1"/>
  <c r="M1200" i="1" s="1"/>
  <c r="N1200" i="1" s="1"/>
  <c r="V1199" i="1"/>
  <c r="W1199" i="1" s="1"/>
  <c r="U1199" i="1"/>
  <c r="P1199" i="1"/>
  <c r="L1199" i="1"/>
  <c r="M1199" i="1" s="1"/>
  <c r="N1199" i="1" s="1"/>
  <c r="K1199" i="1"/>
  <c r="G1199" i="1"/>
  <c r="W1198" i="1"/>
  <c r="V1198" i="1"/>
  <c r="U1198" i="1"/>
  <c r="P1198" i="1"/>
  <c r="L1198" i="1"/>
  <c r="G1198" i="1"/>
  <c r="W1197" i="1"/>
  <c r="V1197" i="1"/>
  <c r="U1197" i="1"/>
  <c r="P1197" i="1"/>
  <c r="N1197" i="1"/>
  <c r="M1197" i="1"/>
  <c r="L1197" i="1"/>
  <c r="K1197" i="1"/>
  <c r="G1197" i="1"/>
  <c r="V1196" i="1"/>
  <c r="W1196" i="1" s="1"/>
  <c r="U1196" i="1"/>
  <c r="P1196" i="1"/>
  <c r="L1196" i="1"/>
  <c r="M1196" i="1" s="1"/>
  <c r="N1196" i="1" s="1"/>
  <c r="K1196" i="1"/>
  <c r="G1196" i="1"/>
  <c r="W1195" i="1"/>
  <c r="V1195" i="1"/>
  <c r="U1195" i="1"/>
  <c r="P1195" i="1"/>
  <c r="M1195" i="1"/>
  <c r="N1195" i="1" s="1"/>
  <c r="L1195" i="1"/>
  <c r="G1195" i="1"/>
  <c r="K1195" i="1" s="1"/>
  <c r="V1194" i="1"/>
  <c r="W1194" i="1" s="1"/>
  <c r="U1194" i="1"/>
  <c r="P1194" i="1"/>
  <c r="N1194" i="1"/>
  <c r="M1194" i="1"/>
  <c r="L1194" i="1"/>
  <c r="K1194" i="1"/>
  <c r="G1194" i="1"/>
  <c r="W1193" i="1"/>
  <c r="V1193" i="1"/>
  <c r="U1193" i="1"/>
  <c r="P1193" i="1"/>
  <c r="L1193" i="1"/>
  <c r="G1193" i="1"/>
  <c r="M1193" i="1" s="1"/>
  <c r="N1193" i="1" s="1"/>
  <c r="W1192" i="1"/>
  <c r="V1192" i="1"/>
  <c r="U1192" i="1"/>
  <c r="P1192" i="1"/>
  <c r="L1192" i="1"/>
  <c r="K1192" i="1"/>
  <c r="G1192" i="1"/>
  <c r="M1192" i="1" s="1"/>
  <c r="N1192" i="1" s="1"/>
  <c r="V1191" i="1"/>
  <c r="W1191" i="1" s="1"/>
  <c r="U1191" i="1"/>
  <c r="P1191" i="1"/>
  <c r="L1191" i="1"/>
  <c r="M1191" i="1" s="1"/>
  <c r="N1191" i="1" s="1"/>
  <c r="K1191" i="1"/>
  <c r="G1191" i="1"/>
  <c r="W1190" i="1"/>
  <c r="V1190" i="1"/>
  <c r="U1190" i="1"/>
  <c r="P1190" i="1"/>
  <c r="L1190" i="1"/>
  <c r="G1190" i="1"/>
  <c r="W1189" i="1"/>
  <c r="V1189" i="1"/>
  <c r="U1189" i="1"/>
  <c r="P1189" i="1"/>
  <c r="N1189" i="1"/>
  <c r="M1189" i="1"/>
  <c r="L1189" i="1"/>
  <c r="K1189" i="1"/>
  <c r="G1189" i="1"/>
  <c r="V1188" i="1"/>
  <c r="W1188" i="1" s="1"/>
  <c r="U1188" i="1"/>
  <c r="P1188" i="1"/>
  <c r="L1188" i="1"/>
  <c r="M1188" i="1" s="1"/>
  <c r="N1188" i="1" s="1"/>
  <c r="K1188" i="1"/>
  <c r="G1188" i="1"/>
  <c r="W1187" i="1"/>
  <c r="V1187" i="1"/>
  <c r="U1187" i="1"/>
  <c r="P1187" i="1"/>
  <c r="M1187" i="1"/>
  <c r="N1187" i="1" s="1"/>
  <c r="L1187" i="1"/>
  <c r="G1187" i="1"/>
  <c r="K1187" i="1" s="1"/>
  <c r="V1186" i="1"/>
  <c r="W1186" i="1" s="1"/>
  <c r="U1186" i="1"/>
  <c r="P1186" i="1"/>
  <c r="N1186" i="1"/>
  <c r="M1186" i="1"/>
  <c r="L1186" i="1"/>
  <c r="K1186" i="1"/>
  <c r="G1186" i="1"/>
  <c r="W1185" i="1"/>
  <c r="V1185" i="1"/>
  <c r="U1185" i="1"/>
  <c r="P1185" i="1"/>
  <c r="L1185" i="1"/>
  <c r="G1185" i="1"/>
  <c r="M1185" i="1" s="1"/>
  <c r="N1185" i="1" s="1"/>
  <c r="W1184" i="1"/>
  <c r="V1184" i="1"/>
  <c r="U1184" i="1"/>
  <c r="P1184" i="1"/>
  <c r="L1184" i="1"/>
  <c r="K1184" i="1"/>
  <c r="G1184" i="1"/>
  <c r="M1184" i="1" s="1"/>
  <c r="N1184" i="1" s="1"/>
  <c r="V1183" i="1"/>
  <c r="W1183" i="1" s="1"/>
  <c r="U1183" i="1"/>
  <c r="P1183" i="1"/>
  <c r="L1183" i="1"/>
  <c r="M1183" i="1" s="1"/>
  <c r="N1183" i="1" s="1"/>
  <c r="K1183" i="1"/>
  <c r="G1183" i="1"/>
  <c r="W1182" i="1"/>
  <c r="V1182" i="1"/>
  <c r="U1182" i="1"/>
  <c r="P1182" i="1"/>
  <c r="L1182" i="1"/>
  <c r="G1182" i="1"/>
  <c r="W1181" i="1"/>
  <c r="V1181" i="1"/>
  <c r="U1181" i="1"/>
  <c r="P1181" i="1"/>
  <c r="N1181" i="1"/>
  <c r="M1181" i="1"/>
  <c r="L1181" i="1"/>
  <c r="K1181" i="1"/>
  <c r="G1181" i="1"/>
  <c r="V1180" i="1"/>
  <c r="W1180" i="1" s="1"/>
  <c r="U1180" i="1"/>
  <c r="P1180" i="1"/>
  <c r="L1180" i="1"/>
  <c r="M1180" i="1" s="1"/>
  <c r="N1180" i="1" s="1"/>
  <c r="K1180" i="1"/>
  <c r="G1180" i="1"/>
  <c r="W1179" i="1"/>
  <c r="V1179" i="1"/>
  <c r="U1179" i="1"/>
  <c r="P1179" i="1"/>
  <c r="M1179" i="1"/>
  <c r="N1179" i="1" s="1"/>
  <c r="L1179" i="1"/>
  <c r="G1179" i="1"/>
  <c r="K1179" i="1" s="1"/>
  <c r="V1178" i="1"/>
  <c r="W1178" i="1" s="1"/>
  <c r="U1178" i="1"/>
  <c r="P1178" i="1"/>
  <c r="N1178" i="1"/>
  <c r="M1178" i="1"/>
  <c r="L1178" i="1"/>
  <c r="K1178" i="1"/>
  <c r="G1178" i="1"/>
  <c r="W1177" i="1"/>
  <c r="V1177" i="1"/>
  <c r="U1177" i="1"/>
  <c r="P1177" i="1"/>
  <c r="L1177" i="1"/>
  <c r="G1177" i="1"/>
  <c r="M1177" i="1" s="1"/>
  <c r="N1177" i="1" s="1"/>
  <c r="W1176" i="1"/>
  <c r="V1176" i="1"/>
  <c r="U1176" i="1"/>
  <c r="P1176" i="1"/>
  <c r="L1176" i="1"/>
  <c r="K1176" i="1"/>
  <c r="G1176" i="1"/>
  <c r="M1176" i="1" s="1"/>
  <c r="N1176" i="1" s="1"/>
  <c r="V1175" i="1"/>
  <c r="W1175" i="1" s="1"/>
  <c r="U1175" i="1"/>
  <c r="P1175" i="1"/>
  <c r="L1175" i="1"/>
  <c r="M1175" i="1" s="1"/>
  <c r="N1175" i="1" s="1"/>
  <c r="K1175" i="1"/>
  <c r="G1175" i="1"/>
  <c r="W1174" i="1"/>
  <c r="V1174" i="1"/>
  <c r="U1174" i="1"/>
  <c r="P1174" i="1"/>
  <c r="L1174" i="1"/>
  <c r="G1174" i="1"/>
  <c r="W1173" i="1"/>
  <c r="V1173" i="1"/>
  <c r="U1173" i="1"/>
  <c r="P1173" i="1"/>
  <c r="N1173" i="1"/>
  <c r="M1173" i="1"/>
  <c r="L1173" i="1"/>
  <c r="K1173" i="1"/>
  <c r="G1173" i="1"/>
  <c r="V1172" i="1"/>
  <c r="W1172" i="1" s="1"/>
  <c r="U1172" i="1"/>
  <c r="P1172" i="1"/>
  <c r="L1172" i="1"/>
  <c r="M1172" i="1" s="1"/>
  <c r="N1172" i="1" s="1"/>
  <c r="K1172" i="1"/>
  <c r="G1172" i="1"/>
  <c r="W1171" i="1"/>
  <c r="V1171" i="1"/>
  <c r="U1171" i="1"/>
  <c r="P1171" i="1"/>
  <c r="M1171" i="1"/>
  <c r="N1171" i="1" s="1"/>
  <c r="L1171" i="1"/>
  <c r="G1171" i="1"/>
  <c r="K1171" i="1" s="1"/>
  <c r="V1170" i="1"/>
  <c r="W1170" i="1" s="1"/>
  <c r="U1170" i="1"/>
  <c r="P1170" i="1"/>
  <c r="N1170" i="1"/>
  <c r="M1170" i="1"/>
  <c r="L1170" i="1"/>
  <c r="K1170" i="1"/>
  <c r="G1170" i="1"/>
  <c r="W1169" i="1"/>
  <c r="V1169" i="1"/>
  <c r="U1169" i="1"/>
  <c r="P1169" i="1"/>
  <c r="L1169" i="1"/>
  <c r="G1169" i="1"/>
  <c r="M1169" i="1" s="1"/>
  <c r="N1169" i="1" s="1"/>
  <c r="W1168" i="1"/>
  <c r="V1168" i="1"/>
  <c r="U1168" i="1"/>
  <c r="P1168" i="1"/>
  <c r="L1168" i="1"/>
  <c r="K1168" i="1"/>
  <c r="G1168" i="1"/>
  <c r="M1168" i="1" s="1"/>
  <c r="N1168" i="1" s="1"/>
  <c r="V1167" i="1"/>
  <c r="W1167" i="1" s="1"/>
  <c r="U1167" i="1"/>
  <c r="P1167" i="1"/>
  <c r="L1167" i="1"/>
  <c r="M1167" i="1" s="1"/>
  <c r="N1167" i="1" s="1"/>
  <c r="K1167" i="1"/>
  <c r="G1167" i="1"/>
  <c r="W1166" i="1"/>
  <c r="V1166" i="1"/>
  <c r="U1166" i="1"/>
  <c r="P1166" i="1"/>
  <c r="L1166" i="1"/>
  <c r="G1166" i="1"/>
  <c r="W1165" i="1"/>
  <c r="V1165" i="1"/>
  <c r="U1165" i="1"/>
  <c r="P1165" i="1"/>
  <c r="N1165" i="1"/>
  <c r="M1165" i="1"/>
  <c r="L1165" i="1"/>
  <c r="K1165" i="1"/>
  <c r="G1165" i="1"/>
  <c r="V1164" i="1"/>
  <c r="W1164" i="1" s="1"/>
  <c r="U1164" i="1"/>
  <c r="P1164" i="1"/>
  <c r="L1164" i="1"/>
  <c r="M1164" i="1" s="1"/>
  <c r="N1164" i="1" s="1"/>
  <c r="K1164" i="1"/>
  <c r="G1164" i="1"/>
  <c r="W1163" i="1"/>
  <c r="V1163" i="1"/>
  <c r="U1163" i="1"/>
  <c r="P1163" i="1"/>
  <c r="M1163" i="1"/>
  <c r="N1163" i="1" s="1"/>
  <c r="L1163" i="1"/>
  <c r="G1163" i="1"/>
  <c r="K1163" i="1" s="1"/>
  <c r="V1162" i="1"/>
  <c r="W1162" i="1" s="1"/>
  <c r="U1162" i="1"/>
  <c r="P1162" i="1"/>
  <c r="N1162" i="1"/>
  <c r="M1162" i="1"/>
  <c r="L1162" i="1"/>
  <c r="K1162" i="1"/>
  <c r="G1162" i="1"/>
  <c r="W1161" i="1"/>
  <c r="V1161" i="1"/>
  <c r="U1161" i="1"/>
  <c r="P1161" i="1"/>
  <c r="L1161" i="1"/>
  <c r="G1161" i="1"/>
  <c r="M1161" i="1" s="1"/>
  <c r="N1161" i="1" s="1"/>
  <c r="W1160" i="1"/>
  <c r="V1160" i="1"/>
  <c r="U1160" i="1"/>
  <c r="P1160" i="1"/>
  <c r="L1160" i="1"/>
  <c r="K1160" i="1"/>
  <c r="G1160" i="1"/>
  <c r="M1160" i="1" s="1"/>
  <c r="N1160" i="1" s="1"/>
  <c r="V1159" i="1"/>
  <c r="W1159" i="1" s="1"/>
  <c r="U1159" i="1"/>
  <c r="P1159" i="1"/>
  <c r="L1159" i="1"/>
  <c r="M1159" i="1" s="1"/>
  <c r="N1159" i="1" s="1"/>
  <c r="K1159" i="1"/>
  <c r="G1159" i="1"/>
  <c r="W1158" i="1"/>
  <c r="V1158" i="1"/>
  <c r="U1158" i="1"/>
  <c r="P1158" i="1"/>
  <c r="L1158" i="1"/>
  <c r="G1158" i="1"/>
  <c r="W1157" i="1"/>
  <c r="V1157" i="1"/>
  <c r="U1157" i="1"/>
  <c r="P1157" i="1"/>
  <c r="N1157" i="1"/>
  <c r="M1157" i="1"/>
  <c r="L1157" i="1"/>
  <c r="K1157" i="1"/>
  <c r="G1157" i="1"/>
  <c r="V1156" i="1"/>
  <c r="W1156" i="1" s="1"/>
  <c r="U1156" i="1"/>
  <c r="P1156" i="1"/>
  <c r="L1156" i="1"/>
  <c r="M1156" i="1" s="1"/>
  <c r="N1156" i="1" s="1"/>
  <c r="K1156" i="1"/>
  <c r="G1156" i="1"/>
  <c r="W1155" i="1"/>
  <c r="V1155" i="1"/>
  <c r="U1155" i="1"/>
  <c r="P1155" i="1"/>
  <c r="M1155" i="1"/>
  <c r="N1155" i="1" s="1"/>
  <c r="L1155" i="1"/>
  <c r="G1155" i="1"/>
  <c r="K1155" i="1" s="1"/>
  <c r="V1154" i="1"/>
  <c r="W1154" i="1" s="1"/>
  <c r="U1154" i="1"/>
  <c r="P1154" i="1"/>
  <c r="N1154" i="1"/>
  <c r="M1154" i="1"/>
  <c r="L1154" i="1"/>
  <c r="K1154" i="1"/>
  <c r="G1154" i="1"/>
  <c r="W1153" i="1"/>
  <c r="V1153" i="1"/>
  <c r="U1153" i="1"/>
  <c r="P1153" i="1"/>
  <c r="L1153" i="1"/>
  <c r="G1153" i="1"/>
  <c r="M1153" i="1" s="1"/>
  <c r="N1153" i="1" s="1"/>
  <c r="W1152" i="1"/>
  <c r="V1152" i="1"/>
  <c r="U1152" i="1"/>
  <c r="P1152" i="1"/>
  <c r="L1152" i="1"/>
  <c r="K1152" i="1"/>
  <c r="G1152" i="1"/>
  <c r="M1152" i="1" s="1"/>
  <c r="N1152" i="1" s="1"/>
  <c r="V1151" i="1"/>
  <c r="W1151" i="1" s="1"/>
  <c r="U1151" i="1"/>
  <c r="P1151" i="1"/>
  <c r="L1151" i="1"/>
  <c r="M1151" i="1" s="1"/>
  <c r="N1151" i="1" s="1"/>
  <c r="K1151" i="1"/>
  <c r="G1151" i="1"/>
  <c r="W1150" i="1"/>
  <c r="V1150" i="1"/>
  <c r="U1150" i="1"/>
  <c r="P1150" i="1"/>
  <c r="L1150" i="1"/>
  <c r="G1150" i="1"/>
  <c r="W1149" i="1"/>
  <c r="V1149" i="1"/>
  <c r="U1149" i="1"/>
  <c r="P1149" i="1"/>
  <c r="N1149" i="1"/>
  <c r="M1149" i="1"/>
  <c r="L1149" i="1"/>
  <c r="K1149" i="1"/>
  <c r="G1149" i="1"/>
  <c r="V1148" i="1"/>
  <c r="W1148" i="1" s="1"/>
  <c r="U1148" i="1"/>
  <c r="P1148" i="1"/>
  <c r="L1148" i="1"/>
  <c r="M1148" i="1" s="1"/>
  <c r="N1148" i="1" s="1"/>
  <c r="K1148" i="1"/>
  <c r="G1148" i="1"/>
  <c r="W1147" i="1"/>
  <c r="V1147" i="1"/>
  <c r="U1147" i="1"/>
  <c r="P1147" i="1"/>
  <c r="M1147" i="1"/>
  <c r="N1147" i="1" s="1"/>
  <c r="L1147" i="1"/>
  <c r="G1147" i="1"/>
  <c r="K1147" i="1" s="1"/>
  <c r="V1146" i="1"/>
  <c r="W1146" i="1" s="1"/>
  <c r="U1146" i="1"/>
  <c r="P1146" i="1"/>
  <c r="N1146" i="1"/>
  <c r="M1146" i="1"/>
  <c r="L1146" i="1"/>
  <c r="K1146" i="1"/>
  <c r="G1146" i="1"/>
  <c r="W1145" i="1"/>
  <c r="V1145" i="1"/>
  <c r="U1145" i="1"/>
  <c r="P1145" i="1"/>
  <c r="L1145" i="1"/>
  <c r="G1145" i="1"/>
  <c r="W1144" i="1"/>
  <c r="V1144" i="1"/>
  <c r="U1144" i="1"/>
  <c r="P1144" i="1"/>
  <c r="L1144" i="1"/>
  <c r="K1144" i="1"/>
  <c r="G1144" i="1"/>
  <c r="M1144" i="1" s="1"/>
  <c r="N1144" i="1" s="1"/>
  <c r="V1143" i="1"/>
  <c r="W1143" i="1" s="1"/>
  <c r="U1143" i="1"/>
  <c r="P1143" i="1"/>
  <c r="L1143" i="1"/>
  <c r="M1143" i="1" s="1"/>
  <c r="N1143" i="1" s="1"/>
  <c r="K1143" i="1"/>
  <c r="G1143" i="1"/>
  <c r="W1142" i="1"/>
  <c r="V1142" i="1"/>
  <c r="U1142" i="1"/>
  <c r="P1142" i="1"/>
  <c r="L1142" i="1"/>
  <c r="G1142" i="1"/>
  <c r="K1142" i="1" s="1"/>
  <c r="W1141" i="1"/>
  <c r="V1141" i="1"/>
  <c r="U1141" i="1"/>
  <c r="P1141" i="1"/>
  <c r="N1141" i="1"/>
  <c r="M1141" i="1"/>
  <c r="L1141" i="1"/>
  <c r="K1141" i="1"/>
  <c r="G1141" i="1"/>
  <c r="V1140" i="1"/>
  <c r="W1140" i="1" s="1"/>
  <c r="U1140" i="1"/>
  <c r="P1140" i="1"/>
  <c r="L1140" i="1"/>
  <c r="M1140" i="1" s="1"/>
  <c r="N1140" i="1" s="1"/>
  <c r="K1140" i="1"/>
  <c r="G1140" i="1"/>
  <c r="W1139" i="1"/>
  <c r="V1139" i="1"/>
  <c r="U1139" i="1"/>
  <c r="P1139" i="1"/>
  <c r="M1139" i="1"/>
  <c r="N1139" i="1" s="1"/>
  <c r="L1139" i="1"/>
  <c r="G1139" i="1"/>
  <c r="K1139" i="1" s="1"/>
  <c r="V1138" i="1"/>
  <c r="W1138" i="1" s="1"/>
  <c r="U1138" i="1"/>
  <c r="P1138" i="1"/>
  <c r="N1138" i="1"/>
  <c r="M1138" i="1"/>
  <c r="L1138" i="1"/>
  <c r="K1138" i="1"/>
  <c r="G1138" i="1"/>
  <c r="W1137" i="1"/>
  <c r="V1137" i="1"/>
  <c r="U1137" i="1"/>
  <c r="P1137" i="1"/>
  <c r="L1137" i="1"/>
  <c r="G1137" i="1"/>
  <c r="W1136" i="1"/>
  <c r="V1136" i="1"/>
  <c r="U1136" i="1"/>
  <c r="P1136" i="1"/>
  <c r="L1136" i="1"/>
  <c r="K1136" i="1"/>
  <c r="G1136" i="1"/>
  <c r="M1136" i="1" s="1"/>
  <c r="N1136" i="1" s="1"/>
  <c r="V1135" i="1"/>
  <c r="W1135" i="1" s="1"/>
  <c r="U1135" i="1"/>
  <c r="P1135" i="1"/>
  <c r="L1135" i="1"/>
  <c r="M1135" i="1" s="1"/>
  <c r="N1135" i="1" s="1"/>
  <c r="K1135" i="1"/>
  <c r="G1135" i="1"/>
  <c r="W1134" i="1"/>
  <c r="V1134" i="1"/>
  <c r="U1134" i="1"/>
  <c r="P1134" i="1"/>
  <c r="L1134" i="1"/>
  <c r="G1134" i="1"/>
  <c r="K1134" i="1" s="1"/>
  <c r="W1133" i="1"/>
  <c r="V1133" i="1"/>
  <c r="U1133" i="1"/>
  <c r="P1133" i="1"/>
  <c r="N1133" i="1"/>
  <c r="M1133" i="1"/>
  <c r="L1133" i="1"/>
  <c r="K1133" i="1"/>
  <c r="G1133" i="1"/>
  <c r="V1132" i="1"/>
  <c r="W1132" i="1" s="1"/>
  <c r="U1132" i="1"/>
  <c r="P1132" i="1"/>
  <c r="L1132" i="1"/>
  <c r="M1132" i="1" s="1"/>
  <c r="N1132" i="1" s="1"/>
  <c r="K1132" i="1"/>
  <c r="G1132" i="1"/>
  <c r="W1131" i="1"/>
  <c r="V1131" i="1"/>
  <c r="U1131" i="1"/>
  <c r="P1131" i="1"/>
  <c r="M1131" i="1"/>
  <c r="N1131" i="1" s="1"/>
  <c r="L1131" i="1"/>
  <c r="G1131" i="1"/>
  <c r="K1131" i="1" s="1"/>
  <c r="V1130" i="1"/>
  <c r="W1130" i="1" s="1"/>
  <c r="U1130" i="1"/>
  <c r="P1130" i="1"/>
  <c r="N1130" i="1"/>
  <c r="M1130" i="1"/>
  <c r="L1130" i="1"/>
  <c r="K1130" i="1"/>
  <c r="G1130" i="1"/>
  <c r="W1129" i="1"/>
  <c r="V1129" i="1"/>
  <c r="U1129" i="1"/>
  <c r="P1129" i="1"/>
  <c r="L1129" i="1"/>
  <c r="G1129" i="1"/>
  <c r="W1128" i="1"/>
  <c r="V1128" i="1"/>
  <c r="U1128" i="1"/>
  <c r="P1128" i="1"/>
  <c r="L1128" i="1"/>
  <c r="K1128" i="1"/>
  <c r="G1128" i="1"/>
  <c r="M1128" i="1" s="1"/>
  <c r="N1128" i="1" s="1"/>
  <c r="V1127" i="1"/>
  <c r="W1127" i="1" s="1"/>
  <c r="U1127" i="1"/>
  <c r="P1127" i="1"/>
  <c r="L1127" i="1"/>
  <c r="M1127" i="1" s="1"/>
  <c r="N1127" i="1" s="1"/>
  <c r="K1127" i="1"/>
  <c r="G1127" i="1"/>
  <c r="W1126" i="1"/>
  <c r="V1126" i="1"/>
  <c r="U1126" i="1"/>
  <c r="P1126" i="1"/>
  <c r="L1126" i="1"/>
  <c r="G1126" i="1"/>
  <c r="K1126" i="1" s="1"/>
  <c r="W1125" i="1"/>
  <c r="V1125" i="1"/>
  <c r="U1125" i="1"/>
  <c r="P1125" i="1"/>
  <c r="N1125" i="1"/>
  <c r="M1125" i="1"/>
  <c r="L1125" i="1"/>
  <c r="K1125" i="1"/>
  <c r="G1125" i="1"/>
  <c r="V1124" i="1"/>
  <c r="W1124" i="1" s="1"/>
  <c r="U1124" i="1"/>
  <c r="P1124" i="1"/>
  <c r="L1124" i="1"/>
  <c r="M1124" i="1" s="1"/>
  <c r="N1124" i="1" s="1"/>
  <c r="K1124" i="1"/>
  <c r="G1124" i="1"/>
  <c r="W1123" i="1"/>
  <c r="V1123" i="1"/>
  <c r="U1123" i="1"/>
  <c r="P1123" i="1"/>
  <c r="M1123" i="1"/>
  <c r="N1123" i="1" s="1"/>
  <c r="L1123" i="1"/>
  <c r="G1123" i="1"/>
  <c r="K1123" i="1" s="1"/>
  <c r="V1122" i="1"/>
  <c r="W1122" i="1" s="1"/>
  <c r="U1122" i="1"/>
  <c r="P1122" i="1"/>
  <c r="N1122" i="1"/>
  <c r="M1122" i="1"/>
  <c r="L1122" i="1"/>
  <c r="K1122" i="1"/>
  <c r="G1122" i="1"/>
  <c r="W1121" i="1"/>
  <c r="V1121" i="1"/>
  <c r="U1121" i="1"/>
  <c r="P1121" i="1"/>
  <c r="L1121" i="1"/>
  <c r="G1121" i="1"/>
  <c r="W1120" i="1"/>
  <c r="V1120" i="1"/>
  <c r="U1120" i="1"/>
  <c r="P1120" i="1"/>
  <c r="L1120" i="1"/>
  <c r="K1120" i="1"/>
  <c r="G1120" i="1"/>
  <c r="M1120" i="1" s="1"/>
  <c r="N1120" i="1" s="1"/>
  <c r="V1119" i="1"/>
  <c r="W1119" i="1" s="1"/>
  <c r="U1119" i="1"/>
  <c r="P1119" i="1"/>
  <c r="L1119" i="1"/>
  <c r="M1119" i="1" s="1"/>
  <c r="N1119" i="1" s="1"/>
  <c r="K1119" i="1"/>
  <c r="G1119" i="1"/>
  <c r="W1118" i="1"/>
  <c r="V1118" i="1"/>
  <c r="U1118" i="1"/>
  <c r="P1118" i="1"/>
  <c r="L1118" i="1"/>
  <c r="G1118" i="1"/>
  <c r="K1118" i="1" s="1"/>
  <c r="W1117" i="1"/>
  <c r="V1117" i="1"/>
  <c r="U1117" i="1"/>
  <c r="P1117" i="1"/>
  <c r="N1117" i="1"/>
  <c r="M1117" i="1"/>
  <c r="L1117" i="1"/>
  <c r="K1117" i="1"/>
  <c r="G1117" i="1"/>
  <c r="V1116" i="1"/>
  <c r="W1116" i="1" s="1"/>
  <c r="U1116" i="1"/>
  <c r="P1116" i="1"/>
  <c r="L1116" i="1"/>
  <c r="M1116" i="1" s="1"/>
  <c r="N1116" i="1" s="1"/>
  <c r="K1116" i="1"/>
  <c r="G1116" i="1"/>
  <c r="W1115" i="1"/>
  <c r="V1115" i="1"/>
  <c r="U1115" i="1"/>
  <c r="P1115" i="1"/>
  <c r="M1115" i="1"/>
  <c r="N1115" i="1" s="1"/>
  <c r="L1115" i="1"/>
  <c r="G1115" i="1"/>
  <c r="K1115" i="1" s="1"/>
  <c r="V1114" i="1"/>
  <c r="W1114" i="1" s="1"/>
  <c r="U1114" i="1"/>
  <c r="P1114" i="1"/>
  <c r="N1114" i="1"/>
  <c r="M1114" i="1"/>
  <c r="L1114" i="1"/>
  <c r="K1114" i="1"/>
  <c r="G1114" i="1"/>
  <c r="W1113" i="1"/>
  <c r="V1113" i="1"/>
  <c r="U1113" i="1"/>
  <c r="P1113" i="1"/>
  <c r="L1113" i="1"/>
  <c r="G1113" i="1"/>
  <c r="W1112" i="1"/>
  <c r="V1112" i="1"/>
  <c r="U1112" i="1"/>
  <c r="P1112" i="1"/>
  <c r="L1112" i="1"/>
  <c r="K1112" i="1"/>
  <c r="G1112" i="1"/>
  <c r="M1112" i="1" s="1"/>
  <c r="N1112" i="1" s="1"/>
  <c r="V1111" i="1"/>
  <c r="W1111" i="1" s="1"/>
  <c r="U1111" i="1"/>
  <c r="P1111" i="1"/>
  <c r="L1111" i="1"/>
  <c r="M1111" i="1" s="1"/>
  <c r="N1111" i="1" s="1"/>
  <c r="K1111" i="1"/>
  <c r="G1111" i="1"/>
  <c r="W1110" i="1"/>
  <c r="V1110" i="1"/>
  <c r="U1110" i="1"/>
  <c r="P1110" i="1"/>
  <c r="L1110" i="1"/>
  <c r="G1110" i="1"/>
  <c r="K1110" i="1" s="1"/>
  <c r="W1109" i="1"/>
  <c r="V1109" i="1"/>
  <c r="U1109" i="1"/>
  <c r="P1109" i="1"/>
  <c r="N1109" i="1"/>
  <c r="M1109" i="1"/>
  <c r="L1109" i="1"/>
  <c r="K1109" i="1"/>
  <c r="G1109" i="1"/>
  <c r="V1108" i="1"/>
  <c r="W1108" i="1" s="1"/>
  <c r="U1108" i="1"/>
  <c r="P1108" i="1"/>
  <c r="L1108" i="1"/>
  <c r="M1108" i="1" s="1"/>
  <c r="N1108" i="1" s="1"/>
  <c r="K1108" i="1"/>
  <c r="G1108" i="1"/>
  <c r="W1107" i="1"/>
  <c r="V1107" i="1"/>
  <c r="U1107" i="1"/>
  <c r="P1107" i="1"/>
  <c r="M1107" i="1"/>
  <c r="N1107" i="1" s="1"/>
  <c r="L1107" i="1"/>
  <c r="G1107" i="1"/>
  <c r="K1107" i="1" s="1"/>
  <c r="V1106" i="1"/>
  <c r="W1106" i="1" s="1"/>
  <c r="U1106" i="1"/>
  <c r="P1106" i="1"/>
  <c r="N1106" i="1"/>
  <c r="M1106" i="1"/>
  <c r="L1106" i="1"/>
  <c r="K1106" i="1"/>
  <c r="G1106" i="1"/>
  <c r="W1105" i="1"/>
  <c r="V1105" i="1"/>
  <c r="U1105" i="1"/>
  <c r="P1105" i="1"/>
  <c r="L1105" i="1"/>
  <c r="G1105" i="1"/>
  <c r="W1104" i="1"/>
  <c r="V1104" i="1"/>
  <c r="U1104" i="1"/>
  <c r="P1104" i="1"/>
  <c r="L1104" i="1"/>
  <c r="K1104" i="1"/>
  <c r="G1104" i="1"/>
  <c r="M1104" i="1" s="1"/>
  <c r="N1104" i="1" s="1"/>
  <c r="V1103" i="1"/>
  <c r="W1103" i="1" s="1"/>
  <c r="U1103" i="1"/>
  <c r="P1103" i="1"/>
  <c r="L1103" i="1"/>
  <c r="M1103" i="1" s="1"/>
  <c r="N1103" i="1" s="1"/>
  <c r="K1103" i="1"/>
  <c r="G1103" i="1"/>
  <c r="W1102" i="1"/>
  <c r="V1102" i="1"/>
  <c r="U1102" i="1"/>
  <c r="P1102" i="1"/>
  <c r="L1102" i="1"/>
  <c r="G1102" i="1"/>
  <c r="K1102" i="1" s="1"/>
  <c r="W1101" i="1"/>
  <c r="V1101" i="1"/>
  <c r="U1101" i="1"/>
  <c r="P1101" i="1"/>
  <c r="N1101" i="1"/>
  <c r="M1101" i="1"/>
  <c r="L1101" i="1"/>
  <c r="K1101" i="1"/>
  <c r="G1101" i="1"/>
  <c r="V1100" i="1"/>
  <c r="W1100" i="1" s="1"/>
  <c r="U1100" i="1"/>
  <c r="P1100" i="1"/>
  <c r="L1100" i="1"/>
  <c r="M1100" i="1" s="1"/>
  <c r="N1100" i="1" s="1"/>
  <c r="K1100" i="1"/>
  <c r="G1100" i="1"/>
  <c r="W1099" i="1"/>
  <c r="V1099" i="1"/>
  <c r="U1099" i="1"/>
  <c r="P1099" i="1"/>
  <c r="M1099" i="1"/>
  <c r="N1099" i="1" s="1"/>
  <c r="L1099" i="1"/>
  <c r="G1099" i="1"/>
  <c r="K1099" i="1" s="1"/>
  <c r="V1098" i="1"/>
  <c r="W1098" i="1" s="1"/>
  <c r="U1098" i="1"/>
  <c r="P1098" i="1"/>
  <c r="N1098" i="1"/>
  <c r="M1098" i="1"/>
  <c r="L1098" i="1"/>
  <c r="K1098" i="1"/>
  <c r="G1098" i="1"/>
  <c r="W1097" i="1"/>
  <c r="V1097" i="1"/>
  <c r="U1097" i="1"/>
  <c r="P1097" i="1"/>
  <c r="L1097" i="1"/>
  <c r="G1097" i="1"/>
  <c r="W1096" i="1"/>
  <c r="V1096" i="1"/>
  <c r="U1096" i="1"/>
  <c r="P1096" i="1"/>
  <c r="L1096" i="1"/>
  <c r="K1096" i="1"/>
  <c r="G1096" i="1"/>
  <c r="M1096" i="1" s="1"/>
  <c r="N1096" i="1" s="1"/>
  <c r="V1095" i="1"/>
  <c r="W1095" i="1" s="1"/>
  <c r="U1095" i="1"/>
  <c r="P1095" i="1"/>
  <c r="L1095" i="1"/>
  <c r="M1095" i="1" s="1"/>
  <c r="N1095" i="1" s="1"/>
  <c r="K1095" i="1"/>
  <c r="G1095" i="1"/>
  <c r="W1094" i="1"/>
  <c r="V1094" i="1"/>
  <c r="U1094" i="1"/>
  <c r="P1094" i="1"/>
  <c r="L1094" i="1"/>
  <c r="G1094" i="1"/>
  <c r="K1094" i="1" s="1"/>
  <c r="W1093" i="1"/>
  <c r="V1093" i="1"/>
  <c r="U1093" i="1"/>
  <c r="P1093" i="1"/>
  <c r="N1093" i="1"/>
  <c r="M1093" i="1"/>
  <c r="L1093" i="1"/>
  <c r="K1093" i="1"/>
  <c r="G1093" i="1"/>
  <c r="V1092" i="1"/>
  <c r="W1092" i="1" s="1"/>
  <c r="U1092" i="1"/>
  <c r="P1092" i="1"/>
  <c r="N1092" i="1"/>
  <c r="L1092" i="1"/>
  <c r="M1092" i="1" s="1"/>
  <c r="K1092" i="1"/>
  <c r="G1092" i="1"/>
  <c r="W1091" i="1"/>
  <c r="V1091" i="1"/>
  <c r="U1091" i="1"/>
  <c r="P1091" i="1"/>
  <c r="M1091" i="1"/>
  <c r="N1091" i="1" s="1"/>
  <c r="L1091" i="1"/>
  <c r="G1091" i="1"/>
  <c r="K1091" i="1" s="1"/>
  <c r="V1090" i="1"/>
  <c r="W1090" i="1" s="1"/>
  <c r="U1090" i="1"/>
  <c r="P1090" i="1"/>
  <c r="N1090" i="1"/>
  <c r="M1090" i="1"/>
  <c r="L1090" i="1"/>
  <c r="K1090" i="1"/>
  <c r="G1090" i="1"/>
  <c r="W1089" i="1"/>
  <c r="V1089" i="1"/>
  <c r="U1089" i="1"/>
  <c r="P1089" i="1"/>
  <c r="L1089" i="1"/>
  <c r="G1089" i="1"/>
  <c r="W1088" i="1"/>
  <c r="V1088" i="1"/>
  <c r="U1088" i="1"/>
  <c r="P1088" i="1"/>
  <c r="L1088" i="1"/>
  <c r="K1088" i="1"/>
  <c r="G1088" i="1"/>
  <c r="M1088" i="1" s="1"/>
  <c r="N1088" i="1" s="1"/>
  <c r="V1087" i="1"/>
  <c r="W1087" i="1" s="1"/>
  <c r="U1087" i="1"/>
  <c r="P1087" i="1"/>
  <c r="L1087" i="1"/>
  <c r="M1087" i="1" s="1"/>
  <c r="N1087" i="1" s="1"/>
  <c r="K1087" i="1"/>
  <c r="G1087" i="1"/>
  <c r="W1086" i="1"/>
  <c r="V1086" i="1"/>
  <c r="U1086" i="1"/>
  <c r="P1086" i="1"/>
  <c r="M1086" i="1"/>
  <c r="N1086" i="1" s="1"/>
  <c r="L1086" i="1"/>
  <c r="G1086" i="1"/>
  <c r="K1086" i="1" s="1"/>
  <c r="W1085" i="1"/>
  <c r="V1085" i="1"/>
  <c r="U1085" i="1"/>
  <c r="P1085" i="1"/>
  <c r="M1085" i="1"/>
  <c r="N1085" i="1" s="1"/>
  <c r="L1085" i="1"/>
  <c r="K1085" i="1"/>
  <c r="G1085" i="1"/>
  <c r="V1084" i="1"/>
  <c r="W1084" i="1" s="1"/>
  <c r="U1084" i="1"/>
  <c r="P1084" i="1"/>
  <c r="L1084" i="1"/>
  <c r="M1084" i="1" s="1"/>
  <c r="N1084" i="1" s="1"/>
  <c r="K1084" i="1"/>
  <c r="G1084" i="1"/>
  <c r="W1083" i="1"/>
  <c r="V1083" i="1"/>
  <c r="U1083" i="1"/>
  <c r="P1083" i="1"/>
  <c r="M1083" i="1"/>
  <c r="N1083" i="1" s="1"/>
  <c r="L1083" i="1"/>
  <c r="G1083" i="1"/>
  <c r="K1083" i="1" s="1"/>
  <c r="V1082" i="1"/>
  <c r="W1082" i="1" s="1"/>
  <c r="U1082" i="1"/>
  <c r="P1082" i="1"/>
  <c r="N1082" i="1"/>
  <c r="M1082" i="1"/>
  <c r="L1082" i="1"/>
  <c r="K1082" i="1"/>
  <c r="G1082" i="1"/>
  <c r="V1081" i="1"/>
  <c r="W1081" i="1" s="1"/>
  <c r="U1081" i="1"/>
  <c r="P1081" i="1"/>
  <c r="L1081" i="1"/>
  <c r="G1081" i="1"/>
  <c r="W1080" i="1"/>
  <c r="V1080" i="1"/>
  <c r="U1080" i="1"/>
  <c r="P1080" i="1"/>
  <c r="L1080" i="1"/>
  <c r="G1080" i="1"/>
  <c r="V1079" i="1"/>
  <c r="W1079" i="1" s="1"/>
  <c r="U1079" i="1"/>
  <c r="P1079" i="1"/>
  <c r="L1079" i="1"/>
  <c r="M1079" i="1" s="1"/>
  <c r="N1079" i="1" s="1"/>
  <c r="K1079" i="1"/>
  <c r="G1079" i="1"/>
  <c r="W1078" i="1"/>
  <c r="V1078" i="1"/>
  <c r="U1078" i="1"/>
  <c r="P1078" i="1"/>
  <c r="L1078" i="1"/>
  <c r="G1078" i="1"/>
  <c r="K1078" i="1" s="1"/>
  <c r="W1077" i="1"/>
  <c r="V1077" i="1"/>
  <c r="U1077" i="1"/>
  <c r="P1077" i="1"/>
  <c r="N1077" i="1"/>
  <c r="M1077" i="1"/>
  <c r="L1077" i="1"/>
  <c r="K1077" i="1"/>
  <c r="G1077" i="1"/>
  <c r="V1076" i="1"/>
  <c r="W1076" i="1" s="1"/>
  <c r="U1076" i="1"/>
  <c r="P1076" i="1"/>
  <c r="N1076" i="1"/>
  <c r="L1076" i="1"/>
  <c r="M1076" i="1" s="1"/>
  <c r="K1076" i="1"/>
  <c r="G1076" i="1"/>
  <c r="W1075" i="1"/>
  <c r="V1075" i="1"/>
  <c r="U1075" i="1"/>
  <c r="P1075" i="1"/>
  <c r="M1075" i="1"/>
  <c r="N1075" i="1" s="1"/>
  <c r="L1075" i="1"/>
  <c r="G1075" i="1"/>
  <c r="K1075" i="1" s="1"/>
  <c r="V1074" i="1"/>
  <c r="W1074" i="1" s="1"/>
  <c r="U1074" i="1"/>
  <c r="P1074" i="1"/>
  <c r="N1074" i="1"/>
  <c r="M1074" i="1"/>
  <c r="L1074" i="1"/>
  <c r="K1074" i="1"/>
  <c r="G1074" i="1"/>
  <c r="W1073" i="1"/>
  <c r="V1073" i="1"/>
  <c r="U1073" i="1"/>
  <c r="P1073" i="1"/>
  <c r="L1073" i="1"/>
  <c r="G1073" i="1"/>
  <c r="W1072" i="1"/>
  <c r="V1072" i="1"/>
  <c r="U1072" i="1"/>
  <c r="P1072" i="1"/>
  <c r="L1072" i="1"/>
  <c r="K1072" i="1"/>
  <c r="G1072" i="1"/>
  <c r="M1072" i="1" s="1"/>
  <c r="N1072" i="1" s="1"/>
  <c r="V1071" i="1"/>
  <c r="W1071" i="1" s="1"/>
  <c r="U1071" i="1"/>
  <c r="P1071" i="1"/>
  <c r="L1071" i="1"/>
  <c r="M1071" i="1" s="1"/>
  <c r="N1071" i="1" s="1"/>
  <c r="K1071" i="1"/>
  <c r="G1071" i="1"/>
  <c r="W1070" i="1"/>
  <c r="V1070" i="1"/>
  <c r="U1070" i="1"/>
  <c r="P1070" i="1"/>
  <c r="L1070" i="1"/>
  <c r="G1070" i="1"/>
  <c r="K1070" i="1" s="1"/>
  <c r="W1069" i="1"/>
  <c r="V1069" i="1"/>
  <c r="U1069" i="1"/>
  <c r="P1069" i="1"/>
  <c r="N1069" i="1"/>
  <c r="M1069" i="1"/>
  <c r="L1069" i="1"/>
  <c r="K1069" i="1"/>
  <c r="G1069" i="1"/>
  <c r="V1068" i="1"/>
  <c r="W1068" i="1" s="1"/>
  <c r="U1068" i="1"/>
  <c r="P1068" i="1"/>
  <c r="N1068" i="1"/>
  <c r="L1068" i="1"/>
  <c r="M1068" i="1" s="1"/>
  <c r="K1068" i="1"/>
  <c r="G1068" i="1"/>
  <c r="W1067" i="1"/>
  <c r="V1067" i="1"/>
  <c r="U1067" i="1"/>
  <c r="P1067" i="1"/>
  <c r="M1067" i="1"/>
  <c r="N1067" i="1" s="1"/>
  <c r="L1067" i="1"/>
  <c r="G1067" i="1"/>
  <c r="K1067" i="1" s="1"/>
  <c r="V1066" i="1"/>
  <c r="W1066" i="1" s="1"/>
  <c r="U1066" i="1"/>
  <c r="P1066" i="1"/>
  <c r="N1066" i="1"/>
  <c r="M1066" i="1"/>
  <c r="L1066" i="1"/>
  <c r="K1066" i="1"/>
  <c r="G1066" i="1"/>
  <c r="W1065" i="1"/>
  <c r="V1065" i="1"/>
  <c r="U1065" i="1"/>
  <c r="P1065" i="1"/>
  <c r="L1065" i="1"/>
  <c r="G1065" i="1"/>
  <c r="W1064" i="1"/>
  <c r="V1064" i="1"/>
  <c r="U1064" i="1"/>
  <c r="P1064" i="1"/>
  <c r="L1064" i="1"/>
  <c r="K1064" i="1"/>
  <c r="G1064" i="1"/>
  <c r="M1064" i="1" s="1"/>
  <c r="N1064" i="1" s="1"/>
  <c r="V1063" i="1"/>
  <c r="W1063" i="1" s="1"/>
  <c r="U1063" i="1"/>
  <c r="P1063" i="1"/>
  <c r="L1063" i="1"/>
  <c r="M1063" i="1" s="1"/>
  <c r="N1063" i="1" s="1"/>
  <c r="K1063" i="1"/>
  <c r="G1063" i="1"/>
  <c r="W1062" i="1"/>
  <c r="V1062" i="1"/>
  <c r="U1062" i="1"/>
  <c r="P1062" i="1"/>
  <c r="L1062" i="1"/>
  <c r="G1062" i="1"/>
  <c r="W1061" i="1"/>
  <c r="V1061" i="1"/>
  <c r="U1061" i="1"/>
  <c r="P1061" i="1"/>
  <c r="N1061" i="1"/>
  <c r="M1061" i="1"/>
  <c r="L1061" i="1"/>
  <c r="K1061" i="1"/>
  <c r="G1061" i="1"/>
  <c r="V1060" i="1"/>
  <c r="W1060" i="1" s="1"/>
  <c r="U1060" i="1"/>
  <c r="P1060" i="1"/>
  <c r="N1060" i="1"/>
  <c r="L1060" i="1"/>
  <c r="M1060" i="1" s="1"/>
  <c r="K1060" i="1"/>
  <c r="G1060" i="1"/>
  <c r="W1059" i="1"/>
  <c r="V1059" i="1"/>
  <c r="U1059" i="1"/>
  <c r="P1059" i="1"/>
  <c r="M1059" i="1"/>
  <c r="N1059" i="1" s="1"/>
  <c r="L1059" i="1"/>
  <c r="G1059" i="1"/>
  <c r="K1059" i="1" s="1"/>
  <c r="V1058" i="1"/>
  <c r="W1058" i="1" s="1"/>
  <c r="U1058" i="1"/>
  <c r="P1058" i="1"/>
  <c r="N1058" i="1"/>
  <c r="M1058" i="1"/>
  <c r="L1058" i="1"/>
  <c r="K1058" i="1"/>
  <c r="G1058" i="1"/>
  <c r="W1057" i="1"/>
  <c r="V1057" i="1"/>
  <c r="U1057" i="1"/>
  <c r="P1057" i="1"/>
  <c r="L1057" i="1"/>
  <c r="G1057" i="1"/>
  <c r="W1056" i="1"/>
  <c r="V1056" i="1"/>
  <c r="U1056" i="1"/>
  <c r="P1056" i="1"/>
  <c r="L1056" i="1"/>
  <c r="G1056" i="1"/>
  <c r="M1056" i="1" s="1"/>
  <c r="N1056" i="1" s="1"/>
  <c r="V1055" i="1"/>
  <c r="W1055" i="1" s="1"/>
  <c r="U1055" i="1"/>
  <c r="P1055" i="1"/>
  <c r="L1055" i="1"/>
  <c r="M1055" i="1" s="1"/>
  <c r="N1055" i="1" s="1"/>
  <c r="K1055" i="1"/>
  <c r="G1055" i="1"/>
  <c r="V1054" i="1"/>
  <c r="W1054" i="1" s="1"/>
  <c r="U1054" i="1"/>
  <c r="P1054" i="1"/>
  <c r="M1054" i="1"/>
  <c r="N1054" i="1" s="1"/>
  <c r="L1054" i="1"/>
  <c r="G1054" i="1"/>
  <c r="K1054" i="1" s="1"/>
  <c r="W1053" i="1"/>
  <c r="V1053" i="1"/>
  <c r="U1053" i="1"/>
  <c r="P1053" i="1"/>
  <c r="M1053" i="1"/>
  <c r="N1053" i="1" s="1"/>
  <c r="L1053" i="1"/>
  <c r="K1053" i="1"/>
  <c r="G1053" i="1"/>
  <c r="V1052" i="1"/>
  <c r="W1052" i="1" s="1"/>
  <c r="U1052" i="1"/>
  <c r="P1052" i="1"/>
  <c r="L1052" i="1"/>
  <c r="M1052" i="1" s="1"/>
  <c r="N1052" i="1" s="1"/>
  <c r="K1052" i="1"/>
  <c r="G1052" i="1"/>
  <c r="W1051" i="1"/>
  <c r="V1051" i="1"/>
  <c r="U1051" i="1"/>
  <c r="P1051" i="1"/>
  <c r="L1051" i="1"/>
  <c r="M1051" i="1" s="1"/>
  <c r="N1051" i="1" s="1"/>
  <c r="G1051" i="1"/>
  <c r="K1051" i="1" s="1"/>
  <c r="V1050" i="1"/>
  <c r="W1050" i="1" s="1"/>
  <c r="U1050" i="1"/>
  <c r="P1050" i="1"/>
  <c r="N1050" i="1"/>
  <c r="M1050" i="1"/>
  <c r="L1050" i="1"/>
  <c r="K1050" i="1"/>
  <c r="G1050" i="1"/>
  <c r="W1049" i="1"/>
  <c r="V1049" i="1"/>
  <c r="U1049" i="1"/>
  <c r="P1049" i="1"/>
  <c r="L1049" i="1"/>
  <c r="G1049" i="1"/>
  <c r="W1048" i="1"/>
  <c r="V1048" i="1"/>
  <c r="U1048" i="1"/>
  <c r="P1048" i="1"/>
  <c r="L1048" i="1"/>
  <c r="G1048" i="1"/>
  <c r="V1047" i="1"/>
  <c r="W1047" i="1" s="1"/>
  <c r="U1047" i="1"/>
  <c r="P1047" i="1"/>
  <c r="L1047" i="1"/>
  <c r="M1047" i="1" s="1"/>
  <c r="N1047" i="1" s="1"/>
  <c r="K1047" i="1"/>
  <c r="G1047" i="1"/>
  <c r="W1046" i="1"/>
  <c r="V1046" i="1"/>
  <c r="U1046" i="1"/>
  <c r="P1046" i="1"/>
  <c r="L1046" i="1"/>
  <c r="G1046" i="1"/>
  <c r="K1046" i="1" s="1"/>
  <c r="W1045" i="1"/>
  <c r="V1045" i="1"/>
  <c r="U1045" i="1"/>
  <c r="P1045" i="1"/>
  <c r="L1045" i="1"/>
  <c r="G1045" i="1"/>
  <c r="M1045" i="1" s="1"/>
  <c r="N1045" i="1" s="1"/>
  <c r="V1044" i="1"/>
  <c r="W1044" i="1" s="1"/>
  <c r="U1044" i="1"/>
  <c r="P1044" i="1"/>
  <c r="N1044" i="1"/>
  <c r="L1044" i="1"/>
  <c r="M1044" i="1" s="1"/>
  <c r="K1044" i="1"/>
  <c r="G1044" i="1"/>
  <c r="W1043" i="1"/>
  <c r="V1043" i="1"/>
  <c r="U1043" i="1"/>
  <c r="P1043" i="1"/>
  <c r="L1043" i="1"/>
  <c r="G1043" i="1"/>
  <c r="K1043" i="1" s="1"/>
  <c r="V1042" i="1"/>
  <c r="W1042" i="1" s="1"/>
  <c r="U1042" i="1"/>
  <c r="P1042" i="1"/>
  <c r="M1042" i="1"/>
  <c r="N1042" i="1" s="1"/>
  <c r="L1042" i="1"/>
  <c r="K1042" i="1"/>
  <c r="G1042" i="1"/>
  <c r="V1041" i="1"/>
  <c r="W1041" i="1" s="1"/>
  <c r="U1041" i="1"/>
  <c r="P1041" i="1"/>
  <c r="L1041" i="1"/>
  <c r="G1041" i="1"/>
  <c r="W1040" i="1"/>
  <c r="V1040" i="1"/>
  <c r="U1040" i="1"/>
  <c r="P1040" i="1"/>
  <c r="M1040" i="1"/>
  <c r="N1040" i="1" s="1"/>
  <c r="L1040" i="1"/>
  <c r="K1040" i="1"/>
  <c r="G1040" i="1"/>
  <c r="V1039" i="1"/>
  <c r="W1039" i="1" s="1"/>
  <c r="U1039" i="1"/>
  <c r="P1039" i="1"/>
  <c r="N1039" i="1"/>
  <c r="L1039" i="1"/>
  <c r="M1039" i="1" s="1"/>
  <c r="K1039" i="1"/>
  <c r="G1039" i="1"/>
  <c r="V1038" i="1"/>
  <c r="W1038" i="1" s="1"/>
  <c r="U1038" i="1"/>
  <c r="P1038" i="1"/>
  <c r="M1038" i="1"/>
  <c r="N1038" i="1" s="1"/>
  <c r="L1038" i="1"/>
  <c r="G1038" i="1"/>
  <c r="K1038" i="1" s="1"/>
  <c r="W1037" i="1"/>
  <c r="V1037" i="1"/>
  <c r="U1037" i="1"/>
  <c r="P1037" i="1"/>
  <c r="M1037" i="1"/>
  <c r="N1037" i="1" s="1"/>
  <c r="L1037" i="1"/>
  <c r="K1037" i="1"/>
  <c r="G1037" i="1"/>
  <c r="V1036" i="1"/>
  <c r="W1036" i="1" s="1"/>
  <c r="U1036" i="1"/>
  <c r="P1036" i="1"/>
  <c r="L1036" i="1"/>
  <c r="M1036" i="1" s="1"/>
  <c r="N1036" i="1" s="1"/>
  <c r="K1036" i="1"/>
  <c r="G1036" i="1"/>
  <c r="W1035" i="1"/>
  <c r="V1035" i="1"/>
  <c r="U1035" i="1"/>
  <c r="P1035" i="1"/>
  <c r="L1035" i="1"/>
  <c r="G1035" i="1"/>
  <c r="K1035" i="1" s="1"/>
  <c r="V1034" i="1"/>
  <c r="W1034" i="1" s="1"/>
  <c r="U1034" i="1"/>
  <c r="P1034" i="1"/>
  <c r="N1034" i="1"/>
  <c r="M1034" i="1"/>
  <c r="L1034" i="1"/>
  <c r="K1034" i="1"/>
  <c r="G1034" i="1"/>
  <c r="W1033" i="1"/>
  <c r="V1033" i="1"/>
  <c r="U1033" i="1"/>
  <c r="P1033" i="1"/>
  <c r="L1033" i="1"/>
  <c r="K1033" i="1"/>
  <c r="G1033" i="1"/>
  <c r="M1033" i="1" s="1"/>
  <c r="N1033" i="1" s="1"/>
  <c r="W1032" i="1"/>
  <c r="V1032" i="1"/>
  <c r="U1032" i="1"/>
  <c r="P1032" i="1"/>
  <c r="L1032" i="1"/>
  <c r="K1032" i="1"/>
  <c r="G1032" i="1"/>
  <c r="M1032" i="1" s="1"/>
  <c r="N1032" i="1" s="1"/>
  <c r="V1031" i="1"/>
  <c r="W1031" i="1" s="1"/>
  <c r="U1031" i="1"/>
  <c r="P1031" i="1"/>
  <c r="L1031" i="1"/>
  <c r="M1031" i="1" s="1"/>
  <c r="N1031" i="1" s="1"/>
  <c r="K1031" i="1"/>
  <c r="G1031" i="1"/>
  <c r="W1030" i="1"/>
  <c r="V1030" i="1"/>
  <c r="U1030" i="1"/>
  <c r="P1030" i="1"/>
  <c r="L1030" i="1"/>
  <c r="G1030" i="1"/>
  <c r="K1030" i="1" s="1"/>
  <c r="W1029" i="1"/>
  <c r="V1029" i="1"/>
  <c r="U1029" i="1"/>
  <c r="P1029" i="1"/>
  <c r="L1029" i="1"/>
  <c r="G1029" i="1"/>
  <c r="K1029" i="1" s="1"/>
  <c r="V1028" i="1"/>
  <c r="W1028" i="1" s="1"/>
  <c r="U1028" i="1"/>
  <c r="P1028" i="1"/>
  <c r="L1028" i="1"/>
  <c r="M1028" i="1" s="1"/>
  <c r="N1028" i="1" s="1"/>
  <c r="K1028" i="1"/>
  <c r="G1028" i="1"/>
  <c r="W1027" i="1"/>
  <c r="V1027" i="1"/>
  <c r="U1027" i="1"/>
  <c r="P1027" i="1"/>
  <c r="L1027" i="1"/>
  <c r="G1027" i="1"/>
  <c r="V1026" i="1"/>
  <c r="W1026" i="1" s="1"/>
  <c r="U1026" i="1"/>
  <c r="P1026" i="1"/>
  <c r="L1026" i="1"/>
  <c r="K1026" i="1"/>
  <c r="G1026" i="1"/>
  <c r="M1026" i="1" s="1"/>
  <c r="N1026" i="1" s="1"/>
  <c r="W1025" i="1"/>
  <c r="V1025" i="1"/>
  <c r="U1025" i="1"/>
  <c r="P1025" i="1"/>
  <c r="L1025" i="1"/>
  <c r="K1025" i="1"/>
  <c r="G1025" i="1"/>
  <c r="M1025" i="1" s="1"/>
  <c r="N1025" i="1" s="1"/>
  <c r="W1024" i="1"/>
  <c r="V1024" i="1"/>
  <c r="U1024" i="1"/>
  <c r="P1024" i="1"/>
  <c r="L1024" i="1"/>
  <c r="K1024" i="1"/>
  <c r="G1024" i="1"/>
  <c r="M1024" i="1" s="1"/>
  <c r="N1024" i="1" s="1"/>
  <c r="V1023" i="1"/>
  <c r="W1023" i="1" s="1"/>
  <c r="U1023" i="1"/>
  <c r="P1023" i="1"/>
  <c r="L1023" i="1"/>
  <c r="M1023" i="1" s="1"/>
  <c r="N1023" i="1" s="1"/>
  <c r="K1023" i="1"/>
  <c r="G1023" i="1"/>
  <c r="V1022" i="1"/>
  <c r="W1022" i="1" s="1"/>
  <c r="U1022" i="1"/>
  <c r="P1022" i="1"/>
  <c r="L1022" i="1"/>
  <c r="G1022" i="1"/>
  <c r="K1022" i="1" s="1"/>
  <c r="W1021" i="1"/>
  <c r="V1021" i="1"/>
  <c r="U1021" i="1"/>
  <c r="P1021" i="1"/>
  <c r="L1021" i="1"/>
  <c r="G1021" i="1"/>
  <c r="K1021" i="1" s="1"/>
  <c r="V1020" i="1"/>
  <c r="W1020" i="1" s="1"/>
  <c r="U1020" i="1"/>
  <c r="P1020" i="1"/>
  <c r="L1020" i="1"/>
  <c r="M1020" i="1" s="1"/>
  <c r="N1020" i="1" s="1"/>
  <c r="K1020" i="1"/>
  <c r="G1020" i="1"/>
  <c r="V1019" i="1"/>
  <c r="W1019" i="1" s="1"/>
  <c r="U1019" i="1"/>
  <c r="P1019" i="1"/>
  <c r="L1019" i="1"/>
  <c r="G1019" i="1"/>
  <c r="V1018" i="1"/>
  <c r="W1018" i="1" s="1"/>
  <c r="U1018" i="1"/>
  <c r="P1018" i="1"/>
  <c r="L1018" i="1"/>
  <c r="K1018" i="1"/>
  <c r="G1018" i="1"/>
  <c r="M1018" i="1" s="1"/>
  <c r="N1018" i="1" s="1"/>
  <c r="V1017" i="1"/>
  <c r="W1017" i="1" s="1"/>
  <c r="U1017" i="1"/>
  <c r="P1017" i="1"/>
  <c r="L1017" i="1"/>
  <c r="K1017" i="1"/>
  <c r="G1017" i="1"/>
  <c r="M1017" i="1" s="1"/>
  <c r="N1017" i="1" s="1"/>
  <c r="W1016" i="1"/>
  <c r="V1016" i="1"/>
  <c r="U1016" i="1"/>
  <c r="P1016" i="1"/>
  <c r="L1016" i="1"/>
  <c r="K1016" i="1"/>
  <c r="G1016" i="1"/>
  <c r="M1016" i="1" s="1"/>
  <c r="N1016" i="1" s="1"/>
  <c r="V1015" i="1"/>
  <c r="W1015" i="1" s="1"/>
  <c r="U1015" i="1"/>
  <c r="P1015" i="1"/>
  <c r="L1015" i="1"/>
  <c r="M1015" i="1" s="1"/>
  <c r="N1015" i="1" s="1"/>
  <c r="K1015" i="1"/>
  <c r="G1015" i="1"/>
  <c r="V1014" i="1"/>
  <c r="W1014" i="1" s="1"/>
  <c r="U1014" i="1"/>
  <c r="P1014" i="1"/>
  <c r="L1014" i="1"/>
  <c r="G1014" i="1"/>
  <c r="K1014" i="1" s="1"/>
  <c r="W1013" i="1"/>
  <c r="V1013" i="1"/>
  <c r="U1013" i="1"/>
  <c r="P1013" i="1"/>
  <c r="L1013" i="1"/>
  <c r="G1013" i="1"/>
  <c r="K1013" i="1" s="1"/>
  <c r="V1012" i="1"/>
  <c r="W1012" i="1" s="1"/>
  <c r="U1012" i="1"/>
  <c r="P1012" i="1"/>
  <c r="L1012" i="1"/>
  <c r="M1012" i="1" s="1"/>
  <c r="N1012" i="1" s="1"/>
  <c r="K1012" i="1"/>
  <c r="G1012" i="1"/>
  <c r="V1011" i="1"/>
  <c r="W1011" i="1" s="1"/>
  <c r="U1011" i="1"/>
  <c r="P1011" i="1"/>
  <c r="L1011" i="1"/>
  <c r="G1011" i="1"/>
  <c r="V1010" i="1"/>
  <c r="W1010" i="1" s="1"/>
  <c r="U1010" i="1"/>
  <c r="P1010" i="1"/>
  <c r="L1010" i="1"/>
  <c r="K1010" i="1"/>
  <c r="G1010" i="1"/>
  <c r="M1010" i="1" s="1"/>
  <c r="N1010" i="1" s="1"/>
  <c r="V1009" i="1"/>
  <c r="W1009" i="1" s="1"/>
  <c r="U1009" i="1"/>
  <c r="P1009" i="1"/>
  <c r="L1009" i="1"/>
  <c r="K1009" i="1"/>
  <c r="G1009" i="1"/>
  <c r="M1009" i="1" s="1"/>
  <c r="N1009" i="1" s="1"/>
  <c r="W1008" i="1"/>
  <c r="V1008" i="1"/>
  <c r="U1008" i="1"/>
  <c r="P1008" i="1"/>
  <c r="L1008" i="1"/>
  <c r="K1008" i="1"/>
  <c r="G1008" i="1"/>
  <c r="M1008" i="1" s="1"/>
  <c r="N1008" i="1" s="1"/>
  <c r="V1007" i="1"/>
  <c r="W1007" i="1" s="1"/>
  <c r="U1007" i="1"/>
  <c r="P1007" i="1"/>
  <c r="L1007" i="1"/>
  <c r="M1007" i="1" s="1"/>
  <c r="N1007" i="1" s="1"/>
  <c r="K1007" i="1"/>
  <c r="G1007" i="1"/>
  <c r="V1006" i="1"/>
  <c r="W1006" i="1" s="1"/>
  <c r="U1006" i="1"/>
  <c r="P1006" i="1"/>
  <c r="L1006" i="1"/>
  <c r="G1006" i="1"/>
  <c r="K1006" i="1" s="1"/>
  <c r="W1005" i="1"/>
  <c r="V1005" i="1"/>
  <c r="U1005" i="1"/>
  <c r="P1005" i="1"/>
  <c r="L1005" i="1"/>
  <c r="G1005" i="1"/>
  <c r="K1005" i="1" s="1"/>
  <c r="V1004" i="1"/>
  <c r="W1004" i="1" s="1"/>
  <c r="U1004" i="1"/>
  <c r="P1004" i="1"/>
  <c r="L1004" i="1"/>
  <c r="M1004" i="1" s="1"/>
  <c r="N1004" i="1" s="1"/>
  <c r="K1004" i="1"/>
  <c r="G1004" i="1"/>
  <c r="V1003" i="1"/>
  <c r="W1003" i="1" s="1"/>
  <c r="U1003" i="1"/>
  <c r="P1003" i="1"/>
  <c r="L1003" i="1"/>
  <c r="G1003" i="1"/>
  <c r="V1002" i="1"/>
  <c r="W1002" i="1" s="1"/>
  <c r="U1002" i="1"/>
  <c r="P1002" i="1"/>
  <c r="L1002" i="1"/>
  <c r="K1002" i="1"/>
  <c r="G1002" i="1"/>
  <c r="M1002" i="1" s="1"/>
  <c r="N1002" i="1" s="1"/>
  <c r="V1001" i="1"/>
  <c r="W1001" i="1" s="1"/>
  <c r="U1001" i="1"/>
  <c r="P1001" i="1"/>
  <c r="L1001" i="1"/>
  <c r="K1001" i="1"/>
  <c r="G1001" i="1"/>
  <c r="M1001" i="1" s="1"/>
  <c r="N1001" i="1" s="1"/>
  <c r="W1000" i="1"/>
  <c r="V1000" i="1"/>
  <c r="U1000" i="1"/>
  <c r="P1000" i="1"/>
  <c r="L1000" i="1"/>
  <c r="K1000" i="1"/>
  <c r="G1000" i="1"/>
  <c r="M1000" i="1" s="1"/>
  <c r="N1000" i="1" s="1"/>
  <c r="V999" i="1"/>
  <c r="W999" i="1" s="1"/>
  <c r="U999" i="1"/>
  <c r="P999" i="1"/>
  <c r="L999" i="1"/>
  <c r="M999" i="1" s="1"/>
  <c r="N999" i="1" s="1"/>
  <c r="K999" i="1"/>
  <c r="G999" i="1"/>
  <c r="V998" i="1"/>
  <c r="W998" i="1" s="1"/>
  <c r="U998" i="1"/>
  <c r="P998" i="1"/>
  <c r="L998" i="1"/>
  <c r="G998" i="1"/>
  <c r="K998" i="1" s="1"/>
  <c r="W997" i="1"/>
  <c r="V997" i="1"/>
  <c r="U997" i="1"/>
  <c r="P997" i="1"/>
  <c r="L997" i="1"/>
  <c r="G997" i="1"/>
  <c r="K997" i="1" s="1"/>
  <c r="V996" i="1"/>
  <c r="W996" i="1" s="1"/>
  <c r="U996" i="1"/>
  <c r="P996" i="1"/>
  <c r="L996" i="1"/>
  <c r="M996" i="1" s="1"/>
  <c r="N996" i="1" s="1"/>
  <c r="K996" i="1"/>
  <c r="G996" i="1"/>
  <c r="V995" i="1"/>
  <c r="W995" i="1" s="1"/>
  <c r="U995" i="1"/>
  <c r="P995" i="1"/>
  <c r="L995" i="1"/>
  <c r="G995" i="1"/>
  <c r="V994" i="1"/>
  <c r="W994" i="1" s="1"/>
  <c r="U994" i="1"/>
  <c r="P994" i="1"/>
  <c r="L994" i="1"/>
  <c r="K994" i="1"/>
  <c r="G994" i="1"/>
  <c r="M994" i="1" s="1"/>
  <c r="N994" i="1" s="1"/>
  <c r="V993" i="1"/>
  <c r="W993" i="1" s="1"/>
  <c r="U993" i="1"/>
  <c r="P993" i="1"/>
  <c r="L993" i="1"/>
  <c r="K993" i="1"/>
  <c r="G993" i="1"/>
  <c r="M993" i="1" s="1"/>
  <c r="N993" i="1" s="1"/>
  <c r="W992" i="1"/>
  <c r="V992" i="1"/>
  <c r="U992" i="1"/>
  <c r="P992" i="1"/>
  <c r="L992" i="1"/>
  <c r="K992" i="1"/>
  <c r="G992" i="1"/>
  <c r="M992" i="1" s="1"/>
  <c r="N992" i="1" s="1"/>
  <c r="V991" i="1"/>
  <c r="W991" i="1" s="1"/>
  <c r="U991" i="1"/>
  <c r="P991" i="1"/>
  <c r="L991" i="1"/>
  <c r="M991" i="1" s="1"/>
  <c r="N991" i="1" s="1"/>
  <c r="K991" i="1"/>
  <c r="G991" i="1"/>
  <c r="V990" i="1"/>
  <c r="W990" i="1" s="1"/>
  <c r="U990" i="1"/>
  <c r="P990" i="1"/>
  <c r="L990" i="1"/>
  <c r="G990" i="1"/>
  <c r="K990" i="1" s="1"/>
  <c r="W989" i="1"/>
  <c r="V989" i="1"/>
  <c r="U989" i="1"/>
  <c r="P989" i="1"/>
  <c r="L989" i="1"/>
  <c r="G989" i="1"/>
  <c r="K989" i="1" s="1"/>
  <c r="V988" i="1"/>
  <c r="W988" i="1" s="1"/>
  <c r="U988" i="1"/>
  <c r="P988" i="1"/>
  <c r="L988" i="1"/>
  <c r="M988" i="1" s="1"/>
  <c r="N988" i="1" s="1"/>
  <c r="K988" i="1"/>
  <c r="G988" i="1"/>
  <c r="V987" i="1"/>
  <c r="W987" i="1" s="1"/>
  <c r="U987" i="1"/>
  <c r="P987" i="1"/>
  <c r="L987" i="1"/>
  <c r="G987" i="1"/>
  <c r="V986" i="1"/>
  <c r="W986" i="1" s="1"/>
  <c r="U986" i="1"/>
  <c r="P986" i="1"/>
  <c r="L986" i="1"/>
  <c r="K986" i="1"/>
  <c r="G986" i="1"/>
  <c r="M986" i="1" s="1"/>
  <c r="N986" i="1" s="1"/>
  <c r="V985" i="1"/>
  <c r="W985" i="1" s="1"/>
  <c r="U985" i="1"/>
  <c r="P985" i="1"/>
  <c r="L985" i="1"/>
  <c r="K985" i="1"/>
  <c r="G985" i="1"/>
  <c r="M985" i="1" s="1"/>
  <c r="N985" i="1" s="1"/>
  <c r="V984" i="1"/>
  <c r="W984" i="1" s="1"/>
  <c r="U984" i="1"/>
  <c r="P984" i="1"/>
  <c r="L984" i="1"/>
  <c r="K984" i="1"/>
  <c r="G984" i="1"/>
  <c r="M984" i="1" s="1"/>
  <c r="N984" i="1" s="1"/>
  <c r="V983" i="1"/>
  <c r="W983" i="1" s="1"/>
  <c r="U983" i="1"/>
  <c r="P983" i="1"/>
  <c r="L983" i="1"/>
  <c r="G983" i="1"/>
  <c r="K983" i="1" s="1"/>
  <c r="V982" i="1"/>
  <c r="W982" i="1" s="1"/>
  <c r="U982" i="1"/>
  <c r="P982" i="1"/>
  <c r="M982" i="1"/>
  <c r="N982" i="1" s="1"/>
  <c r="L982" i="1"/>
  <c r="G982" i="1"/>
  <c r="K982" i="1" s="1"/>
  <c r="W981" i="1"/>
  <c r="V981" i="1"/>
  <c r="U981" i="1"/>
  <c r="P981" i="1"/>
  <c r="L981" i="1"/>
  <c r="G981" i="1"/>
  <c r="M981" i="1" s="1"/>
  <c r="N981" i="1" s="1"/>
  <c r="W980" i="1"/>
  <c r="V980" i="1"/>
  <c r="U980" i="1"/>
  <c r="P980" i="1"/>
  <c r="L980" i="1"/>
  <c r="K980" i="1"/>
  <c r="G980" i="1"/>
  <c r="M980" i="1" s="1"/>
  <c r="N980" i="1" s="1"/>
  <c r="V979" i="1"/>
  <c r="W979" i="1" s="1"/>
  <c r="U979" i="1"/>
  <c r="P979" i="1"/>
  <c r="L979" i="1"/>
  <c r="M979" i="1" s="1"/>
  <c r="N979" i="1" s="1"/>
  <c r="K979" i="1"/>
  <c r="G979" i="1"/>
  <c r="V978" i="1"/>
  <c r="W978" i="1" s="1"/>
  <c r="U978" i="1"/>
  <c r="P978" i="1"/>
  <c r="M978" i="1"/>
  <c r="N978" i="1" s="1"/>
  <c r="L978" i="1"/>
  <c r="G978" i="1"/>
  <c r="K978" i="1" s="1"/>
  <c r="W977" i="1"/>
  <c r="V977" i="1"/>
  <c r="U977" i="1"/>
  <c r="P977" i="1"/>
  <c r="L977" i="1"/>
  <c r="G977" i="1"/>
  <c r="V976" i="1"/>
  <c r="W976" i="1" s="1"/>
  <c r="U976" i="1"/>
  <c r="P976" i="1"/>
  <c r="L976" i="1"/>
  <c r="K976" i="1"/>
  <c r="G976" i="1"/>
  <c r="M976" i="1" s="1"/>
  <c r="N976" i="1" s="1"/>
  <c r="V975" i="1"/>
  <c r="W975" i="1" s="1"/>
  <c r="U975" i="1"/>
  <c r="P975" i="1"/>
  <c r="L975" i="1"/>
  <c r="G975" i="1"/>
  <c r="K975" i="1" s="1"/>
  <c r="V974" i="1"/>
  <c r="W974" i="1" s="1"/>
  <c r="U974" i="1"/>
  <c r="P974" i="1"/>
  <c r="M974" i="1"/>
  <c r="N974" i="1" s="1"/>
  <c r="L974" i="1"/>
  <c r="G974" i="1"/>
  <c r="K974" i="1" s="1"/>
  <c r="W973" i="1"/>
  <c r="V973" i="1"/>
  <c r="U973" i="1"/>
  <c r="P973" i="1"/>
  <c r="L973" i="1"/>
  <c r="G973" i="1"/>
  <c r="M973" i="1" s="1"/>
  <c r="N973" i="1" s="1"/>
  <c r="W972" i="1"/>
  <c r="V972" i="1"/>
  <c r="U972" i="1"/>
  <c r="P972" i="1"/>
  <c r="L972" i="1"/>
  <c r="K972" i="1"/>
  <c r="G972" i="1"/>
  <c r="M972" i="1" s="1"/>
  <c r="N972" i="1" s="1"/>
  <c r="V971" i="1"/>
  <c r="W971" i="1" s="1"/>
  <c r="U971" i="1"/>
  <c r="P971" i="1"/>
  <c r="L971" i="1"/>
  <c r="M971" i="1" s="1"/>
  <c r="N971" i="1" s="1"/>
  <c r="K971" i="1"/>
  <c r="G971" i="1"/>
  <c r="V970" i="1"/>
  <c r="W970" i="1" s="1"/>
  <c r="U970" i="1"/>
  <c r="P970" i="1"/>
  <c r="M970" i="1"/>
  <c r="N970" i="1" s="1"/>
  <c r="L970" i="1"/>
  <c r="G970" i="1"/>
  <c r="K970" i="1" s="1"/>
  <c r="W969" i="1"/>
  <c r="V969" i="1"/>
  <c r="U969" i="1"/>
  <c r="P969" i="1"/>
  <c r="L969" i="1"/>
  <c r="G969" i="1"/>
  <c r="V968" i="1"/>
  <c r="W968" i="1" s="1"/>
  <c r="U968" i="1"/>
  <c r="P968" i="1"/>
  <c r="L968" i="1"/>
  <c r="K968" i="1"/>
  <c r="G968" i="1"/>
  <c r="M968" i="1" s="1"/>
  <c r="N968" i="1" s="1"/>
  <c r="V967" i="1"/>
  <c r="W967" i="1" s="1"/>
  <c r="U967" i="1"/>
  <c r="P967" i="1"/>
  <c r="L967" i="1"/>
  <c r="G967" i="1"/>
  <c r="K967" i="1" s="1"/>
  <c r="V966" i="1"/>
  <c r="W966" i="1" s="1"/>
  <c r="U966" i="1"/>
  <c r="P966" i="1"/>
  <c r="M966" i="1"/>
  <c r="N966" i="1" s="1"/>
  <c r="L966" i="1"/>
  <c r="G966" i="1"/>
  <c r="K966" i="1" s="1"/>
  <c r="W965" i="1"/>
  <c r="V965" i="1"/>
  <c r="U965" i="1"/>
  <c r="P965" i="1"/>
  <c r="N965" i="1"/>
  <c r="L965" i="1"/>
  <c r="G965" i="1"/>
  <c r="M965" i="1" s="1"/>
  <c r="W964" i="1"/>
  <c r="V964" i="1"/>
  <c r="U964" i="1"/>
  <c r="P964" i="1"/>
  <c r="L964" i="1"/>
  <c r="K964" i="1"/>
  <c r="G964" i="1"/>
  <c r="M964" i="1" s="1"/>
  <c r="N964" i="1" s="1"/>
  <c r="V963" i="1"/>
  <c r="W963" i="1" s="1"/>
  <c r="U963" i="1"/>
  <c r="P963" i="1"/>
  <c r="L963" i="1"/>
  <c r="M963" i="1" s="1"/>
  <c r="N963" i="1" s="1"/>
  <c r="K963" i="1"/>
  <c r="G963" i="1"/>
  <c r="V962" i="1"/>
  <c r="W962" i="1" s="1"/>
  <c r="U962" i="1"/>
  <c r="P962" i="1"/>
  <c r="M962" i="1"/>
  <c r="N962" i="1" s="1"/>
  <c r="L962" i="1"/>
  <c r="G962" i="1"/>
  <c r="K962" i="1" s="1"/>
  <c r="W961" i="1"/>
  <c r="V961" i="1"/>
  <c r="U961" i="1"/>
  <c r="P961" i="1"/>
  <c r="L961" i="1"/>
  <c r="G961" i="1"/>
  <c r="V960" i="1"/>
  <c r="W960" i="1" s="1"/>
  <c r="U960" i="1"/>
  <c r="P960" i="1"/>
  <c r="L960" i="1"/>
  <c r="K960" i="1"/>
  <c r="G960" i="1"/>
  <c r="M960" i="1" s="1"/>
  <c r="N960" i="1" s="1"/>
  <c r="V959" i="1"/>
  <c r="W959" i="1" s="1"/>
  <c r="U959" i="1"/>
  <c r="P959" i="1"/>
  <c r="L959" i="1"/>
  <c r="G959" i="1"/>
  <c r="K959" i="1" s="1"/>
  <c r="V958" i="1"/>
  <c r="W958" i="1" s="1"/>
  <c r="U958" i="1"/>
  <c r="P958" i="1"/>
  <c r="M958" i="1"/>
  <c r="N958" i="1" s="1"/>
  <c r="L958" i="1"/>
  <c r="G958" i="1"/>
  <c r="K958" i="1" s="1"/>
  <c r="W957" i="1"/>
  <c r="V957" i="1"/>
  <c r="U957" i="1"/>
  <c r="P957" i="1"/>
  <c r="N957" i="1"/>
  <c r="L957" i="1"/>
  <c r="G957" i="1"/>
  <c r="M957" i="1" s="1"/>
  <c r="W956" i="1"/>
  <c r="V956" i="1"/>
  <c r="U956" i="1"/>
  <c r="P956" i="1"/>
  <c r="L956" i="1"/>
  <c r="K956" i="1"/>
  <c r="G956" i="1"/>
  <c r="M956" i="1" s="1"/>
  <c r="N956" i="1" s="1"/>
  <c r="V955" i="1"/>
  <c r="W955" i="1" s="1"/>
  <c r="U955" i="1"/>
  <c r="P955" i="1"/>
  <c r="L955" i="1"/>
  <c r="M955" i="1" s="1"/>
  <c r="N955" i="1" s="1"/>
  <c r="K955" i="1"/>
  <c r="G955" i="1"/>
  <c r="V954" i="1"/>
  <c r="W954" i="1" s="1"/>
  <c r="U954" i="1"/>
  <c r="P954" i="1"/>
  <c r="M954" i="1"/>
  <c r="N954" i="1" s="1"/>
  <c r="L954" i="1"/>
  <c r="G954" i="1"/>
  <c r="K954" i="1" s="1"/>
  <c r="W953" i="1"/>
  <c r="V953" i="1"/>
  <c r="U953" i="1"/>
  <c r="P953" i="1"/>
  <c r="L953" i="1"/>
  <c r="G953" i="1"/>
  <c r="V952" i="1"/>
  <c r="W952" i="1" s="1"/>
  <c r="U952" i="1"/>
  <c r="P952" i="1"/>
  <c r="L952" i="1"/>
  <c r="K952" i="1"/>
  <c r="G952" i="1"/>
  <c r="M952" i="1" s="1"/>
  <c r="N952" i="1" s="1"/>
  <c r="V951" i="1"/>
  <c r="W951" i="1" s="1"/>
  <c r="U951" i="1"/>
  <c r="P951" i="1"/>
  <c r="L951" i="1"/>
  <c r="G951" i="1"/>
  <c r="K951" i="1" s="1"/>
  <c r="V950" i="1"/>
  <c r="W950" i="1" s="1"/>
  <c r="U950" i="1"/>
  <c r="P950" i="1"/>
  <c r="M950" i="1"/>
  <c r="N950" i="1" s="1"/>
  <c r="L950" i="1"/>
  <c r="G950" i="1"/>
  <c r="K950" i="1" s="1"/>
  <c r="W949" i="1"/>
  <c r="V949" i="1"/>
  <c r="U949" i="1"/>
  <c r="P949" i="1"/>
  <c r="L949" i="1"/>
  <c r="G949" i="1"/>
  <c r="M949" i="1" s="1"/>
  <c r="N949" i="1" s="1"/>
  <c r="W948" i="1"/>
  <c r="V948" i="1"/>
  <c r="U948" i="1"/>
  <c r="P948" i="1"/>
  <c r="L948" i="1"/>
  <c r="K948" i="1"/>
  <c r="G948" i="1"/>
  <c r="M948" i="1" s="1"/>
  <c r="N948" i="1" s="1"/>
  <c r="V947" i="1"/>
  <c r="W947" i="1" s="1"/>
  <c r="U947" i="1"/>
  <c r="P947" i="1"/>
  <c r="L947" i="1"/>
  <c r="M947" i="1" s="1"/>
  <c r="N947" i="1" s="1"/>
  <c r="K947" i="1"/>
  <c r="G947" i="1"/>
  <c r="V946" i="1"/>
  <c r="W946" i="1" s="1"/>
  <c r="U946" i="1"/>
  <c r="P946" i="1"/>
  <c r="M946" i="1"/>
  <c r="N946" i="1" s="1"/>
  <c r="L946" i="1"/>
  <c r="G946" i="1"/>
  <c r="K946" i="1" s="1"/>
  <c r="W945" i="1"/>
  <c r="V945" i="1"/>
  <c r="U945" i="1"/>
  <c r="P945" i="1"/>
  <c r="L945" i="1"/>
  <c r="G945" i="1"/>
  <c r="V944" i="1"/>
  <c r="W944" i="1" s="1"/>
  <c r="U944" i="1"/>
  <c r="P944" i="1"/>
  <c r="L944" i="1"/>
  <c r="K944" i="1"/>
  <c r="G944" i="1"/>
  <c r="M944" i="1" s="1"/>
  <c r="N944" i="1" s="1"/>
  <c r="V943" i="1"/>
  <c r="W943" i="1" s="1"/>
  <c r="U943" i="1"/>
  <c r="P943" i="1"/>
  <c r="L943" i="1"/>
  <c r="G943" i="1"/>
  <c r="K943" i="1" s="1"/>
  <c r="V942" i="1"/>
  <c r="W942" i="1" s="1"/>
  <c r="U942" i="1"/>
  <c r="P942" i="1"/>
  <c r="M942" i="1"/>
  <c r="N942" i="1" s="1"/>
  <c r="L942" i="1"/>
  <c r="G942" i="1"/>
  <c r="K942" i="1" s="1"/>
  <c r="W941" i="1"/>
  <c r="V941" i="1"/>
  <c r="U941" i="1"/>
  <c r="P941" i="1"/>
  <c r="N941" i="1"/>
  <c r="L941" i="1"/>
  <c r="G941" i="1"/>
  <c r="M941" i="1" s="1"/>
  <c r="W940" i="1"/>
  <c r="V940" i="1"/>
  <c r="U940" i="1"/>
  <c r="P940" i="1"/>
  <c r="L940" i="1"/>
  <c r="K940" i="1"/>
  <c r="G940" i="1"/>
  <c r="M940" i="1" s="1"/>
  <c r="N940" i="1" s="1"/>
  <c r="V939" i="1"/>
  <c r="W939" i="1" s="1"/>
  <c r="U939" i="1"/>
  <c r="P939" i="1"/>
  <c r="L939" i="1"/>
  <c r="M939" i="1" s="1"/>
  <c r="N939" i="1" s="1"/>
  <c r="K939" i="1"/>
  <c r="G939" i="1"/>
  <c r="V938" i="1"/>
  <c r="W938" i="1" s="1"/>
  <c r="U938" i="1"/>
  <c r="P938" i="1"/>
  <c r="M938" i="1"/>
  <c r="N938" i="1" s="1"/>
  <c r="L938" i="1"/>
  <c r="G938" i="1"/>
  <c r="K938" i="1" s="1"/>
  <c r="W937" i="1"/>
  <c r="V937" i="1"/>
  <c r="U937" i="1"/>
  <c r="P937" i="1"/>
  <c r="L937" i="1"/>
  <c r="G937" i="1"/>
  <c r="V936" i="1"/>
  <c r="W936" i="1" s="1"/>
  <c r="U936" i="1"/>
  <c r="P936" i="1"/>
  <c r="L936" i="1"/>
  <c r="K936" i="1"/>
  <c r="G936" i="1"/>
  <c r="M936" i="1" s="1"/>
  <c r="N936" i="1" s="1"/>
  <c r="V935" i="1"/>
  <c r="W935" i="1" s="1"/>
  <c r="U935" i="1"/>
  <c r="P935" i="1"/>
  <c r="L935" i="1"/>
  <c r="G935" i="1"/>
  <c r="K935" i="1" s="1"/>
  <c r="V934" i="1"/>
  <c r="W934" i="1" s="1"/>
  <c r="U934" i="1"/>
  <c r="P934" i="1"/>
  <c r="M934" i="1"/>
  <c r="N934" i="1" s="1"/>
  <c r="L934" i="1"/>
  <c r="G934" i="1"/>
  <c r="K934" i="1" s="1"/>
  <c r="W933" i="1"/>
  <c r="V933" i="1"/>
  <c r="U933" i="1"/>
  <c r="P933" i="1"/>
  <c r="N933" i="1"/>
  <c r="L933" i="1"/>
  <c r="G933" i="1"/>
  <c r="M933" i="1" s="1"/>
  <c r="W932" i="1"/>
  <c r="V932" i="1"/>
  <c r="U932" i="1"/>
  <c r="P932" i="1"/>
  <c r="L932" i="1"/>
  <c r="K932" i="1"/>
  <c r="G932" i="1"/>
  <c r="M932" i="1" s="1"/>
  <c r="N932" i="1" s="1"/>
  <c r="V931" i="1"/>
  <c r="W931" i="1" s="1"/>
  <c r="U931" i="1"/>
  <c r="P931" i="1"/>
  <c r="L931" i="1"/>
  <c r="M931" i="1" s="1"/>
  <c r="N931" i="1" s="1"/>
  <c r="K931" i="1"/>
  <c r="G931" i="1"/>
  <c r="V930" i="1"/>
  <c r="W930" i="1" s="1"/>
  <c r="U930" i="1"/>
  <c r="P930" i="1"/>
  <c r="M930" i="1"/>
  <c r="N930" i="1" s="1"/>
  <c r="L930" i="1"/>
  <c r="G930" i="1"/>
  <c r="K930" i="1" s="1"/>
  <c r="W929" i="1"/>
  <c r="V929" i="1"/>
  <c r="U929" i="1"/>
  <c r="P929" i="1"/>
  <c r="L929" i="1"/>
  <c r="G929" i="1"/>
  <c r="V928" i="1"/>
  <c r="W928" i="1" s="1"/>
  <c r="U928" i="1"/>
  <c r="P928" i="1"/>
  <c r="L928" i="1"/>
  <c r="K928" i="1"/>
  <c r="G928" i="1"/>
  <c r="M928" i="1" s="1"/>
  <c r="N928" i="1" s="1"/>
  <c r="V927" i="1"/>
  <c r="W927" i="1" s="1"/>
  <c r="U927" i="1"/>
  <c r="P927" i="1"/>
  <c r="L927" i="1"/>
  <c r="G927" i="1"/>
  <c r="K927" i="1" s="1"/>
  <c r="V926" i="1"/>
  <c r="W926" i="1" s="1"/>
  <c r="U926" i="1"/>
  <c r="P926" i="1"/>
  <c r="M926" i="1"/>
  <c r="N926" i="1" s="1"/>
  <c r="L926" i="1"/>
  <c r="G926" i="1"/>
  <c r="K926" i="1" s="1"/>
  <c r="W925" i="1"/>
  <c r="V925" i="1"/>
  <c r="U925" i="1"/>
  <c r="P925" i="1"/>
  <c r="N925" i="1"/>
  <c r="L925" i="1"/>
  <c r="G925" i="1"/>
  <c r="M925" i="1" s="1"/>
  <c r="W924" i="1"/>
  <c r="V924" i="1"/>
  <c r="U924" i="1"/>
  <c r="P924" i="1"/>
  <c r="L924" i="1"/>
  <c r="K924" i="1"/>
  <c r="G924" i="1"/>
  <c r="M924" i="1" s="1"/>
  <c r="N924" i="1" s="1"/>
  <c r="V923" i="1"/>
  <c r="W923" i="1" s="1"/>
  <c r="U923" i="1"/>
  <c r="P923" i="1"/>
  <c r="L923" i="1"/>
  <c r="M923" i="1" s="1"/>
  <c r="N923" i="1" s="1"/>
  <c r="K923" i="1"/>
  <c r="G923" i="1"/>
  <c r="V922" i="1"/>
  <c r="W922" i="1" s="1"/>
  <c r="U922" i="1"/>
  <c r="P922" i="1"/>
  <c r="M922" i="1"/>
  <c r="N922" i="1" s="1"/>
  <c r="L922" i="1"/>
  <c r="G922" i="1"/>
  <c r="K922" i="1" s="1"/>
  <c r="W921" i="1"/>
  <c r="V921" i="1"/>
  <c r="U921" i="1"/>
  <c r="P921" i="1"/>
  <c r="L921" i="1"/>
  <c r="G921" i="1"/>
  <c r="V920" i="1"/>
  <c r="W920" i="1" s="1"/>
  <c r="U920" i="1"/>
  <c r="P920" i="1"/>
  <c r="L920" i="1"/>
  <c r="K920" i="1"/>
  <c r="G920" i="1"/>
  <c r="M920" i="1" s="1"/>
  <c r="N920" i="1" s="1"/>
  <c r="V919" i="1"/>
  <c r="W919" i="1" s="1"/>
  <c r="U919" i="1"/>
  <c r="P919" i="1"/>
  <c r="L919" i="1"/>
  <c r="G919" i="1"/>
  <c r="K919" i="1" s="1"/>
  <c r="V918" i="1"/>
  <c r="W918" i="1" s="1"/>
  <c r="U918" i="1"/>
  <c r="P918" i="1"/>
  <c r="M918" i="1"/>
  <c r="N918" i="1" s="1"/>
  <c r="L918" i="1"/>
  <c r="G918" i="1"/>
  <c r="K918" i="1" s="1"/>
  <c r="W917" i="1"/>
  <c r="V917" i="1"/>
  <c r="U917" i="1"/>
  <c r="P917" i="1"/>
  <c r="L917" i="1"/>
  <c r="G917" i="1"/>
  <c r="M917" i="1" s="1"/>
  <c r="N917" i="1" s="1"/>
  <c r="W916" i="1"/>
  <c r="V916" i="1"/>
  <c r="U916" i="1"/>
  <c r="P916" i="1"/>
  <c r="L916" i="1"/>
  <c r="K916" i="1"/>
  <c r="G916" i="1"/>
  <c r="M916" i="1" s="1"/>
  <c r="N916" i="1" s="1"/>
  <c r="V915" i="1"/>
  <c r="W915" i="1" s="1"/>
  <c r="U915" i="1"/>
  <c r="P915" i="1"/>
  <c r="L915" i="1"/>
  <c r="M915" i="1" s="1"/>
  <c r="N915" i="1" s="1"/>
  <c r="K915" i="1"/>
  <c r="G915" i="1"/>
  <c r="V914" i="1"/>
  <c r="W914" i="1" s="1"/>
  <c r="U914" i="1"/>
  <c r="P914" i="1"/>
  <c r="M914" i="1"/>
  <c r="N914" i="1" s="1"/>
  <c r="L914" i="1"/>
  <c r="G914" i="1"/>
  <c r="K914" i="1" s="1"/>
  <c r="W913" i="1"/>
  <c r="V913" i="1"/>
  <c r="U913" i="1"/>
  <c r="P913" i="1"/>
  <c r="L913" i="1"/>
  <c r="G913" i="1"/>
  <c r="V912" i="1"/>
  <c r="W912" i="1" s="1"/>
  <c r="U912" i="1"/>
  <c r="P912" i="1"/>
  <c r="L912" i="1"/>
  <c r="K912" i="1"/>
  <c r="G912" i="1"/>
  <c r="M912" i="1" s="1"/>
  <c r="N912" i="1" s="1"/>
  <c r="V911" i="1"/>
  <c r="W911" i="1" s="1"/>
  <c r="U911" i="1"/>
  <c r="P911" i="1"/>
  <c r="L911" i="1"/>
  <c r="G911" i="1"/>
  <c r="K911" i="1" s="1"/>
  <c r="V910" i="1"/>
  <c r="W910" i="1" s="1"/>
  <c r="U910" i="1"/>
  <c r="P910" i="1"/>
  <c r="M910" i="1"/>
  <c r="N910" i="1" s="1"/>
  <c r="L910" i="1"/>
  <c r="G910" i="1"/>
  <c r="K910" i="1" s="1"/>
  <c r="W909" i="1"/>
  <c r="V909" i="1"/>
  <c r="U909" i="1"/>
  <c r="P909" i="1"/>
  <c r="L909" i="1"/>
  <c r="G909" i="1"/>
  <c r="M909" i="1" s="1"/>
  <c r="N909" i="1" s="1"/>
  <c r="W908" i="1"/>
  <c r="V908" i="1"/>
  <c r="U908" i="1"/>
  <c r="P908" i="1"/>
  <c r="L908" i="1"/>
  <c r="K908" i="1"/>
  <c r="G908" i="1"/>
  <c r="M908" i="1" s="1"/>
  <c r="N908" i="1" s="1"/>
  <c r="V907" i="1"/>
  <c r="W907" i="1" s="1"/>
  <c r="U907" i="1"/>
  <c r="P907" i="1"/>
  <c r="L907" i="1"/>
  <c r="M907" i="1" s="1"/>
  <c r="N907" i="1" s="1"/>
  <c r="K907" i="1"/>
  <c r="G907" i="1"/>
  <c r="V906" i="1"/>
  <c r="W906" i="1" s="1"/>
  <c r="U906" i="1"/>
  <c r="P906" i="1"/>
  <c r="M906" i="1"/>
  <c r="N906" i="1" s="1"/>
  <c r="L906" i="1"/>
  <c r="G906" i="1"/>
  <c r="K906" i="1" s="1"/>
  <c r="W905" i="1"/>
  <c r="V905" i="1"/>
  <c r="U905" i="1"/>
  <c r="P905" i="1"/>
  <c r="L905" i="1"/>
  <c r="G905" i="1"/>
  <c r="V904" i="1"/>
  <c r="W904" i="1" s="1"/>
  <c r="U904" i="1"/>
  <c r="P904" i="1"/>
  <c r="L904" i="1"/>
  <c r="K904" i="1"/>
  <c r="G904" i="1"/>
  <c r="M904" i="1" s="1"/>
  <c r="N904" i="1" s="1"/>
  <c r="V903" i="1"/>
  <c r="W903" i="1" s="1"/>
  <c r="U903" i="1"/>
  <c r="P903" i="1"/>
  <c r="L903" i="1"/>
  <c r="G903" i="1"/>
  <c r="K903" i="1" s="1"/>
  <c r="V902" i="1"/>
  <c r="W902" i="1" s="1"/>
  <c r="U902" i="1"/>
  <c r="P902" i="1"/>
  <c r="M902" i="1"/>
  <c r="N902" i="1" s="1"/>
  <c r="L902" i="1"/>
  <c r="G902" i="1"/>
  <c r="K902" i="1" s="1"/>
  <c r="W901" i="1"/>
  <c r="V901" i="1"/>
  <c r="U901" i="1"/>
  <c r="P901" i="1"/>
  <c r="N901" i="1"/>
  <c r="L901" i="1"/>
  <c r="G901" i="1"/>
  <c r="M901" i="1" s="1"/>
  <c r="W900" i="1"/>
  <c r="V900" i="1"/>
  <c r="U900" i="1"/>
  <c r="P900" i="1"/>
  <c r="L900" i="1"/>
  <c r="K900" i="1"/>
  <c r="G900" i="1"/>
  <c r="M900" i="1" s="1"/>
  <c r="N900" i="1" s="1"/>
  <c r="V899" i="1"/>
  <c r="W899" i="1" s="1"/>
  <c r="U899" i="1"/>
  <c r="P899" i="1"/>
  <c r="L899" i="1"/>
  <c r="M899" i="1" s="1"/>
  <c r="N899" i="1" s="1"/>
  <c r="K899" i="1"/>
  <c r="G899" i="1"/>
  <c r="V898" i="1"/>
  <c r="W898" i="1" s="1"/>
  <c r="U898" i="1"/>
  <c r="P898" i="1"/>
  <c r="M898" i="1"/>
  <c r="N898" i="1" s="1"/>
  <c r="L898" i="1"/>
  <c r="G898" i="1"/>
  <c r="K898" i="1" s="1"/>
  <c r="W897" i="1"/>
  <c r="V897" i="1"/>
  <c r="U897" i="1"/>
  <c r="P897" i="1"/>
  <c r="L897" i="1"/>
  <c r="G897" i="1"/>
  <c r="V896" i="1"/>
  <c r="W896" i="1" s="1"/>
  <c r="U896" i="1"/>
  <c r="P896" i="1"/>
  <c r="L896" i="1"/>
  <c r="K896" i="1"/>
  <c r="G896" i="1"/>
  <c r="M896" i="1" s="1"/>
  <c r="N896" i="1" s="1"/>
  <c r="V895" i="1"/>
  <c r="W895" i="1" s="1"/>
  <c r="U895" i="1"/>
  <c r="P895" i="1"/>
  <c r="L895" i="1"/>
  <c r="G895" i="1"/>
  <c r="K895" i="1" s="1"/>
  <c r="V894" i="1"/>
  <c r="W894" i="1" s="1"/>
  <c r="U894" i="1"/>
  <c r="P894" i="1"/>
  <c r="M894" i="1"/>
  <c r="N894" i="1" s="1"/>
  <c r="L894" i="1"/>
  <c r="G894" i="1"/>
  <c r="K894" i="1" s="1"/>
  <c r="W893" i="1"/>
  <c r="V893" i="1"/>
  <c r="U893" i="1"/>
  <c r="P893" i="1"/>
  <c r="N893" i="1"/>
  <c r="L893" i="1"/>
  <c r="G893" i="1"/>
  <c r="M893" i="1" s="1"/>
  <c r="W892" i="1"/>
  <c r="V892" i="1"/>
  <c r="U892" i="1"/>
  <c r="P892" i="1"/>
  <c r="L892" i="1"/>
  <c r="K892" i="1"/>
  <c r="G892" i="1"/>
  <c r="M892" i="1" s="1"/>
  <c r="N892" i="1" s="1"/>
  <c r="V891" i="1"/>
  <c r="W891" i="1" s="1"/>
  <c r="U891" i="1"/>
  <c r="P891" i="1"/>
  <c r="L891" i="1"/>
  <c r="M891" i="1" s="1"/>
  <c r="N891" i="1" s="1"/>
  <c r="K891" i="1"/>
  <c r="G891" i="1"/>
  <c r="V890" i="1"/>
  <c r="W890" i="1" s="1"/>
  <c r="U890" i="1"/>
  <c r="P890" i="1"/>
  <c r="M890" i="1"/>
  <c r="N890" i="1" s="1"/>
  <c r="L890" i="1"/>
  <c r="G890" i="1"/>
  <c r="K890" i="1" s="1"/>
  <c r="W889" i="1"/>
  <c r="V889" i="1"/>
  <c r="U889" i="1"/>
  <c r="P889" i="1"/>
  <c r="L889" i="1"/>
  <c r="G889" i="1"/>
  <c r="V888" i="1"/>
  <c r="W888" i="1" s="1"/>
  <c r="U888" i="1"/>
  <c r="P888" i="1"/>
  <c r="L888" i="1"/>
  <c r="K888" i="1"/>
  <c r="G888" i="1"/>
  <c r="M888" i="1" s="1"/>
  <c r="N888" i="1" s="1"/>
  <c r="W887" i="1"/>
  <c r="V887" i="1"/>
  <c r="U887" i="1"/>
  <c r="P887" i="1"/>
  <c r="L887" i="1"/>
  <c r="G887" i="1"/>
  <c r="V886" i="1"/>
  <c r="W886" i="1" s="1"/>
  <c r="U886" i="1"/>
  <c r="P886" i="1"/>
  <c r="M886" i="1"/>
  <c r="N886" i="1" s="1"/>
  <c r="L886" i="1"/>
  <c r="K886" i="1"/>
  <c r="G886" i="1"/>
  <c r="W885" i="1"/>
  <c r="V885" i="1"/>
  <c r="U885" i="1"/>
  <c r="P885" i="1"/>
  <c r="N885" i="1"/>
  <c r="L885" i="1"/>
  <c r="G885" i="1"/>
  <c r="M885" i="1" s="1"/>
  <c r="W884" i="1"/>
  <c r="V884" i="1"/>
  <c r="U884" i="1"/>
  <c r="P884" i="1"/>
  <c r="M884" i="1"/>
  <c r="N884" i="1" s="1"/>
  <c r="L884" i="1"/>
  <c r="K884" i="1"/>
  <c r="G884" i="1"/>
  <c r="V883" i="1"/>
  <c r="W883" i="1" s="1"/>
  <c r="U883" i="1"/>
  <c r="P883" i="1"/>
  <c r="N883" i="1"/>
  <c r="L883" i="1"/>
  <c r="M883" i="1" s="1"/>
  <c r="K883" i="1"/>
  <c r="G883" i="1"/>
  <c r="V882" i="1"/>
  <c r="W882" i="1" s="1"/>
  <c r="U882" i="1"/>
  <c r="P882" i="1"/>
  <c r="M882" i="1"/>
  <c r="N882" i="1" s="1"/>
  <c r="L882" i="1"/>
  <c r="G882" i="1"/>
  <c r="K882" i="1" s="1"/>
  <c r="W881" i="1"/>
  <c r="V881" i="1"/>
  <c r="U881" i="1"/>
  <c r="P881" i="1"/>
  <c r="L881" i="1"/>
  <c r="G881" i="1"/>
  <c r="V880" i="1"/>
  <c r="W880" i="1" s="1"/>
  <c r="U880" i="1"/>
  <c r="P880" i="1"/>
  <c r="L880" i="1"/>
  <c r="K880" i="1"/>
  <c r="G880" i="1"/>
  <c r="M880" i="1" s="1"/>
  <c r="N880" i="1" s="1"/>
  <c r="W879" i="1"/>
  <c r="V879" i="1"/>
  <c r="U879" i="1"/>
  <c r="P879" i="1"/>
  <c r="L879" i="1"/>
  <c r="G879" i="1"/>
  <c r="V878" i="1"/>
  <c r="W878" i="1" s="1"/>
  <c r="U878" i="1"/>
  <c r="P878" i="1"/>
  <c r="M878" i="1"/>
  <c r="N878" i="1" s="1"/>
  <c r="L878" i="1"/>
  <c r="K878" i="1"/>
  <c r="G878" i="1"/>
  <c r="W877" i="1"/>
  <c r="V877" i="1"/>
  <c r="U877" i="1"/>
  <c r="P877" i="1"/>
  <c r="N877" i="1"/>
  <c r="L877" i="1"/>
  <c r="G877" i="1"/>
  <c r="M877" i="1" s="1"/>
  <c r="W876" i="1"/>
  <c r="V876" i="1"/>
  <c r="U876" i="1"/>
  <c r="P876" i="1"/>
  <c r="M876" i="1"/>
  <c r="N876" i="1" s="1"/>
  <c r="L876" i="1"/>
  <c r="K876" i="1"/>
  <c r="G876" i="1"/>
  <c r="V875" i="1"/>
  <c r="W875" i="1" s="1"/>
  <c r="U875" i="1"/>
  <c r="P875" i="1"/>
  <c r="L875" i="1"/>
  <c r="M875" i="1" s="1"/>
  <c r="N875" i="1" s="1"/>
  <c r="K875" i="1"/>
  <c r="G875" i="1"/>
  <c r="V874" i="1"/>
  <c r="W874" i="1" s="1"/>
  <c r="U874" i="1"/>
  <c r="P874" i="1"/>
  <c r="M874" i="1"/>
  <c r="N874" i="1" s="1"/>
  <c r="L874" i="1"/>
  <c r="G874" i="1"/>
  <c r="K874" i="1" s="1"/>
  <c r="W873" i="1"/>
  <c r="V873" i="1"/>
  <c r="U873" i="1"/>
  <c r="P873" i="1"/>
  <c r="L873" i="1"/>
  <c r="G873" i="1"/>
  <c r="V872" i="1"/>
  <c r="W872" i="1" s="1"/>
  <c r="U872" i="1"/>
  <c r="P872" i="1"/>
  <c r="L872" i="1"/>
  <c r="K872" i="1"/>
  <c r="G872" i="1"/>
  <c r="M872" i="1" s="1"/>
  <c r="N872" i="1" s="1"/>
  <c r="W871" i="1"/>
  <c r="V871" i="1"/>
  <c r="U871" i="1"/>
  <c r="P871" i="1"/>
  <c r="L871" i="1"/>
  <c r="G871" i="1"/>
  <c r="V870" i="1"/>
  <c r="W870" i="1" s="1"/>
  <c r="U870" i="1"/>
  <c r="P870" i="1"/>
  <c r="M870" i="1"/>
  <c r="N870" i="1" s="1"/>
  <c r="L870" i="1"/>
  <c r="K870" i="1"/>
  <c r="G870" i="1"/>
  <c r="W869" i="1"/>
  <c r="V869" i="1"/>
  <c r="U869" i="1"/>
  <c r="P869" i="1"/>
  <c r="L869" i="1"/>
  <c r="G869" i="1"/>
  <c r="W868" i="1"/>
  <c r="V868" i="1"/>
  <c r="U868" i="1"/>
  <c r="P868" i="1"/>
  <c r="M868" i="1"/>
  <c r="N868" i="1" s="1"/>
  <c r="L868" i="1"/>
  <c r="K868" i="1"/>
  <c r="G868" i="1"/>
  <c r="V867" i="1"/>
  <c r="W867" i="1" s="1"/>
  <c r="U867" i="1"/>
  <c r="P867" i="1"/>
  <c r="N867" i="1"/>
  <c r="L867" i="1"/>
  <c r="M867" i="1" s="1"/>
  <c r="K867" i="1"/>
  <c r="G867" i="1"/>
  <c r="V866" i="1"/>
  <c r="W866" i="1" s="1"/>
  <c r="U866" i="1"/>
  <c r="P866" i="1"/>
  <c r="M866" i="1"/>
  <c r="N866" i="1" s="1"/>
  <c r="L866" i="1"/>
  <c r="G866" i="1"/>
  <c r="K866" i="1" s="1"/>
  <c r="W865" i="1"/>
  <c r="V865" i="1"/>
  <c r="U865" i="1"/>
  <c r="P865" i="1"/>
  <c r="L865" i="1"/>
  <c r="G865" i="1"/>
  <c r="V864" i="1"/>
  <c r="W864" i="1" s="1"/>
  <c r="U864" i="1"/>
  <c r="P864" i="1"/>
  <c r="L864" i="1"/>
  <c r="K864" i="1"/>
  <c r="G864" i="1"/>
  <c r="M864" i="1" s="1"/>
  <c r="N864" i="1" s="1"/>
  <c r="W863" i="1"/>
  <c r="V863" i="1"/>
  <c r="U863" i="1"/>
  <c r="P863" i="1"/>
  <c r="L863" i="1"/>
  <c r="G863" i="1"/>
  <c r="V862" i="1"/>
  <c r="W862" i="1" s="1"/>
  <c r="U862" i="1"/>
  <c r="P862" i="1"/>
  <c r="M862" i="1"/>
  <c r="N862" i="1" s="1"/>
  <c r="L862" i="1"/>
  <c r="K862" i="1"/>
  <c r="G862" i="1"/>
  <c r="W861" i="1"/>
  <c r="V861" i="1"/>
  <c r="U861" i="1"/>
  <c r="P861" i="1"/>
  <c r="L861" i="1"/>
  <c r="G861" i="1"/>
  <c r="W860" i="1"/>
  <c r="V860" i="1"/>
  <c r="U860" i="1"/>
  <c r="P860" i="1"/>
  <c r="M860" i="1"/>
  <c r="N860" i="1" s="1"/>
  <c r="L860" i="1"/>
  <c r="K860" i="1"/>
  <c r="G860" i="1"/>
  <c r="V859" i="1"/>
  <c r="W859" i="1" s="1"/>
  <c r="U859" i="1"/>
  <c r="P859" i="1"/>
  <c r="L859" i="1"/>
  <c r="M859" i="1" s="1"/>
  <c r="N859" i="1" s="1"/>
  <c r="K859" i="1"/>
  <c r="G859" i="1"/>
  <c r="V858" i="1"/>
  <c r="W858" i="1" s="1"/>
  <c r="U858" i="1"/>
  <c r="P858" i="1"/>
  <c r="M858" i="1"/>
  <c r="N858" i="1" s="1"/>
  <c r="L858" i="1"/>
  <c r="G858" i="1"/>
  <c r="K858" i="1" s="1"/>
  <c r="W857" i="1"/>
  <c r="V857" i="1"/>
  <c r="U857" i="1"/>
  <c r="P857" i="1"/>
  <c r="L857" i="1"/>
  <c r="G857" i="1"/>
  <c r="V856" i="1"/>
  <c r="W856" i="1" s="1"/>
  <c r="U856" i="1"/>
  <c r="P856" i="1"/>
  <c r="L856" i="1"/>
  <c r="K856" i="1"/>
  <c r="G856" i="1"/>
  <c r="M856" i="1" s="1"/>
  <c r="N856" i="1" s="1"/>
  <c r="W855" i="1"/>
  <c r="V855" i="1"/>
  <c r="U855" i="1"/>
  <c r="P855" i="1"/>
  <c r="L855" i="1"/>
  <c r="G855" i="1"/>
  <c r="V854" i="1"/>
  <c r="W854" i="1" s="1"/>
  <c r="U854" i="1"/>
  <c r="P854" i="1"/>
  <c r="M854" i="1"/>
  <c r="N854" i="1" s="1"/>
  <c r="L854" i="1"/>
  <c r="K854" i="1"/>
  <c r="G854" i="1"/>
  <c r="W853" i="1"/>
  <c r="V853" i="1"/>
  <c r="U853" i="1"/>
  <c r="P853" i="1"/>
  <c r="L853" i="1"/>
  <c r="G853" i="1"/>
  <c r="W852" i="1"/>
  <c r="V852" i="1"/>
  <c r="U852" i="1"/>
  <c r="P852" i="1"/>
  <c r="M852" i="1"/>
  <c r="N852" i="1" s="1"/>
  <c r="L852" i="1"/>
  <c r="K852" i="1"/>
  <c r="G852" i="1"/>
  <c r="V851" i="1"/>
  <c r="W851" i="1" s="1"/>
  <c r="U851" i="1"/>
  <c r="P851" i="1"/>
  <c r="L851" i="1"/>
  <c r="M851" i="1" s="1"/>
  <c r="N851" i="1" s="1"/>
  <c r="K851" i="1"/>
  <c r="G851" i="1"/>
  <c r="V850" i="1"/>
  <c r="W850" i="1" s="1"/>
  <c r="U850" i="1"/>
  <c r="P850" i="1"/>
  <c r="M850" i="1"/>
  <c r="N850" i="1" s="1"/>
  <c r="L850" i="1"/>
  <c r="G850" i="1"/>
  <c r="K850" i="1" s="1"/>
  <c r="W849" i="1"/>
  <c r="V849" i="1"/>
  <c r="U849" i="1"/>
  <c r="P849" i="1"/>
  <c r="L849" i="1"/>
  <c r="G849" i="1"/>
  <c r="V848" i="1"/>
  <c r="W848" i="1" s="1"/>
  <c r="U848" i="1"/>
  <c r="P848" i="1"/>
  <c r="L848" i="1"/>
  <c r="K848" i="1"/>
  <c r="G848" i="1"/>
  <c r="M848" i="1" s="1"/>
  <c r="N848" i="1" s="1"/>
  <c r="W847" i="1"/>
  <c r="V847" i="1"/>
  <c r="U847" i="1"/>
  <c r="P847" i="1"/>
  <c r="L847" i="1"/>
  <c r="G847" i="1"/>
  <c r="V846" i="1"/>
  <c r="W846" i="1" s="1"/>
  <c r="U846" i="1"/>
  <c r="P846" i="1"/>
  <c r="M846" i="1"/>
  <c r="N846" i="1" s="1"/>
  <c r="L846" i="1"/>
  <c r="K846" i="1"/>
  <c r="G846" i="1"/>
  <c r="W845" i="1"/>
  <c r="V845" i="1"/>
  <c r="U845" i="1"/>
  <c r="P845" i="1"/>
  <c r="L845" i="1"/>
  <c r="G845" i="1"/>
  <c r="W844" i="1"/>
  <c r="V844" i="1"/>
  <c r="U844" i="1"/>
  <c r="P844" i="1"/>
  <c r="L844" i="1"/>
  <c r="K844" i="1"/>
  <c r="G844" i="1"/>
  <c r="M844" i="1" s="1"/>
  <c r="N844" i="1" s="1"/>
  <c r="V843" i="1"/>
  <c r="W843" i="1" s="1"/>
  <c r="U843" i="1"/>
  <c r="P843" i="1"/>
  <c r="N843" i="1"/>
  <c r="L843" i="1"/>
  <c r="M843" i="1" s="1"/>
  <c r="K843" i="1"/>
  <c r="G843" i="1"/>
  <c r="V842" i="1"/>
  <c r="W842" i="1" s="1"/>
  <c r="U842" i="1"/>
  <c r="P842" i="1"/>
  <c r="L842" i="1"/>
  <c r="M842" i="1" s="1"/>
  <c r="N842" i="1" s="1"/>
  <c r="G842" i="1"/>
  <c r="K842" i="1" s="1"/>
  <c r="W841" i="1"/>
  <c r="V841" i="1"/>
  <c r="U841" i="1"/>
  <c r="P841" i="1"/>
  <c r="N841" i="1"/>
  <c r="M841" i="1"/>
  <c r="L841" i="1"/>
  <c r="G841" i="1"/>
  <c r="K841" i="1" s="1"/>
  <c r="V840" i="1"/>
  <c r="W840" i="1" s="1"/>
  <c r="U840" i="1"/>
  <c r="P840" i="1"/>
  <c r="N840" i="1"/>
  <c r="L840" i="1"/>
  <c r="K840" i="1"/>
  <c r="G840" i="1"/>
  <c r="M840" i="1" s="1"/>
  <c r="W839" i="1"/>
  <c r="V839" i="1"/>
  <c r="U839" i="1"/>
  <c r="P839" i="1"/>
  <c r="L839" i="1"/>
  <c r="G839" i="1"/>
  <c r="V838" i="1"/>
  <c r="W838" i="1" s="1"/>
  <c r="U838" i="1"/>
  <c r="P838" i="1"/>
  <c r="M838" i="1"/>
  <c r="N838" i="1" s="1"/>
  <c r="L838" i="1"/>
  <c r="K838" i="1"/>
  <c r="G838" i="1"/>
  <c r="W837" i="1"/>
  <c r="V837" i="1"/>
  <c r="U837" i="1"/>
  <c r="P837" i="1"/>
  <c r="L837" i="1"/>
  <c r="G837" i="1"/>
  <c r="W836" i="1"/>
  <c r="V836" i="1"/>
  <c r="U836" i="1"/>
  <c r="P836" i="1"/>
  <c r="L836" i="1"/>
  <c r="K836" i="1"/>
  <c r="G836" i="1"/>
  <c r="M836" i="1" s="1"/>
  <c r="N836" i="1" s="1"/>
  <c r="V835" i="1"/>
  <c r="W835" i="1" s="1"/>
  <c r="U835" i="1"/>
  <c r="P835" i="1"/>
  <c r="N835" i="1"/>
  <c r="L835" i="1"/>
  <c r="M835" i="1" s="1"/>
  <c r="K835" i="1"/>
  <c r="G835" i="1"/>
  <c r="V834" i="1"/>
  <c r="W834" i="1" s="1"/>
  <c r="U834" i="1"/>
  <c r="P834" i="1"/>
  <c r="L834" i="1"/>
  <c r="M834" i="1" s="1"/>
  <c r="N834" i="1" s="1"/>
  <c r="G834" i="1"/>
  <c r="K834" i="1" s="1"/>
  <c r="W833" i="1"/>
  <c r="V833" i="1"/>
  <c r="U833" i="1"/>
  <c r="P833" i="1"/>
  <c r="N833" i="1"/>
  <c r="M833" i="1"/>
  <c r="L833" i="1"/>
  <c r="G833" i="1"/>
  <c r="K833" i="1" s="1"/>
  <c r="V832" i="1"/>
  <c r="W832" i="1" s="1"/>
  <c r="U832" i="1"/>
  <c r="P832" i="1"/>
  <c r="N832" i="1"/>
  <c r="L832" i="1"/>
  <c r="K832" i="1"/>
  <c r="G832" i="1"/>
  <c r="M832" i="1" s="1"/>
  <c r="W831" i="1"/>
  <c r="V831" i="1"/>
  <c r="U831" i="1"/>
  <c r="P831" i="1"/>
  <c r="L831" i="1"/>
  <c r="G831" i="1"/>
  <c r="V830" i="1"/>
  <c r="W830" i="1" s="1"/>
  <c r="U830" i="1"/>
  <c r="P830" i="1"/>
  <c r="M830" i="1"/>
  <c r="N830" i="1" s="1"/>
  <c r="L830" i="1"/>
  <c r="K830" i="1"/>
  <c r="G830" i="1"/>
  <c r="W829" i="1"/>
  <c r="V829" i="1"/>
  <c r="U829" i="1"/>
  <c r="P829" i="1"/>
  <c r="L829" i="1"/>
  <c r="G829" i="1"/>
  <c r="W828" i="1"/>
  <c r="V828" i="1"/>
  <c r="U828" i="1"/>
  <c r="P828" i="1"/>
  <c r="L828" i="1"/>
  <c r="K828" i="1"/>
  <c r="G828" i="1"/>
  <c r="M828" i="1" s="1"/>
  <c r="N828" i="1" s="1"/>
  <c r="V827" i="1"/>
  <c r="W827" i="1" s="1"/>
  <c r="U827" i="1"/>
  <c r="P827" i="1"/>
  <c r="N827" i="1"/>
  <c r="L827" i="1"/>
  <c r="M827" i="1" s="1"/>
  <c r="K827" i="1"/>
  <c r="G827" i="1"/>
  <c r="V826" i="1"/>
  <c r="W826" i="1" s="1"/>
  <c r="U826" i="1"/>
  <c r="P826" i="1"/>
  <c r="L826" i="1"/>
  <c r="M826" i="1" s="1"/>
  <c r="N826" i="1" s="1"/>
  <c r="G826" i="1"/>
  <c r="K826" i="1" s="1"/>
  <c r="W825" i="1"/>
  <c r="V825" i="1"/>
  <c r="U825" i="1"/>
  <c r="P825" i="1"/>
  <c r="N825" i="1"/>
  <c r="M825" i="1"/>
  <c r="L825" i="1"/>
  <c r="G825" i="1"/>
  <c r="K825" i="1" s="1"/>
  <c r="V824" i="1"/>
  <c r="W824" i="1" s="1"/>
  <c r="U824" i="1"/>
  <c r="P824" i="1"/>
  <c r="L824" i="1"/>
  <c r="K824" i="1"/>
  <c r="G824" i="1"/>
  <c r="M824" i="1" s="1"/>
  <c r="N824" i="1" s="1"/>
  <c r="V823" i="1"/>
  <c r="W823" i="1" s="1"/>
  <c r="U823" i="1"/>
  <c r="P823" i="1"/>
  <c r="L823" i="1"/>
  <c r="G823" i="1"/>
  <c r="V822" i="1"/>
  <c r="W822" i="1" s="1"/>
  <c r="U822" i="1"/>
  <c r="P822" i="1"/>
  <c r="M822" i="1"/>
  <c r="N822" i="1" s="1"/>
  <c r="L822" i="1"/>
  <c r="G822" i="1"/>
  <c r="K822" i="1" s="1"/>
  <c r="V821" i="1"/>
  <c r="W821" i="1" s="1"/>
  <c r="U821" i="1"/>
  <c r="P821" i="1"/>
  <c r="N821" i="1"/>
  <c r="L821" i="1"/>
  <c r="G821" i="1"/>
  <c r="M821" i="1" s="1"/>
  <c r="W820" i="1"/>
  <c r="V820" i="1"/>
  <c r="U820" i="1"/>
  <c r="P820" i="1"/>
  <c r="M820" i="1"/>
  <c r="N820" i="1" s="1"/>
  <c r="L820" i="1"/>
  <c r="G820" i="1"/>
  <c r="K820" i="1" s="1"/>
  <c r="V819" i="1"/>
  <c r="W819" i="1" s="1"/>
  <c r="U819" i="1"/>
  <c r="P819" i="1"/>
  <c r="M819" i="1"/>
  <c r="N819" i="1" s="1"/>
  <c r="L819" i="1"/>
  <c r="K819" i="1"/>
  <c r="G819" i="1"/>
  <c r="V818" i="1"/>
  <c r="W818" i="1" s="1"/>
  <c r="U818" i="1"/>
  <c r="P818" i="1"/>
  <c r="M818" i="1"/>
  <c r="N818" i="1" s="1"/>
  <c r="L818" i="1"/>
  <c r="G818" i="1"/>
  <c r="K818" i="1" s="1"/>
  <c r="W817" i="1"/>
  <c r="V817" i="1"/>
  <c r="U817" i="1"/>
  <c r="P817" i="1"/>
  <c r="M817" i="1"/>
  <c r="N817" i="1" s="1"/>
  <c r="L817" i="1"/>
  <c r="G817" i="1"/>
  <c r="K817" i="1" s="1"/>
  <c r="V816" i="1"/>
  <c r="W816" i="1" s="1"/>
  <c r="U816" i="1"/>
  <c r="P816" i="1"/>
  <c r="L816" i="1"/>
  <c r="K816" i="1"/>
  <c r="G816" i="1"/>
  <c r="M816" i="1" s="1"/>
  <c r="N816" i="1" s="1"/>
  <c r="V815" i="1"/>
  <c r="W815" i="1" s="1"/>
  <c r="U815" i="1"/>
  <c r="P815" i="1"/>
  <c r="L815" i="1"/>
  <c r="G815" i="1"/>
  <c r="W814" i="1"/>
  <c r="V814" i="1"/>
  <c r="U814" i="1"/>
  <c r="P814" i="1"/>
  <c r="L814" i="1"/>
  <c r="G814" i="1"/>
  <c r="M814" i="1" s="1"/>
  <c r="N814" i="1" s="1"/>
  <c r="W813" i="1"/>
  <c r="V813" i="1"/>
  <c r="U813" i="1"/>
  <c r="P813" i="1"/>
  <c r="L813" i="1"/>
  <c r="G813" i="1"/>
  <c r="M813" i="1" s="1"/>
  <c r="N813" i="1" s="1"/>
  <c r="W812" i="1"/>
  <c r="V812" i="1"/>
  <c r="U812" i="1"/>
  <c r="P812" i="1"/>
  <c r="L812" i="1"/>
  <c r="G812" i="1"/>
  <c r="M812" i="1" s="1"/>
  <c r="N812" i="1" s="1"/>
  <c r="V811" i="1"/>
  <c r="W811" i="1" s="1"/>
  <c r="U811" i="1"/>
  <c r="P811" i="1"/>
  <c r="L811" i="1"/>
  <c r="M811" i="1" s="1"/>
  <c r="N811" i="1" s="1"/>
  <c r="K811" i="1"/>
  <c r="G811" i="1"/>
  <c r="V810" i="1"/>
  <c r="W810" i="1" s="1"/>
  <c r="U810" i="1"/>
  <c r="P810" i="1"/>
  <c r="L810" i="1"/>
  <c r="M810" i="1" s="1"/>
  <c r="N810" i="1" s="1"/>
  <c r="G810" i="1"/>
  <c r="K810" i="1" s="1"/>
  <c r="W809" i="1"/>
  <c r="V809" i="1"/>
  <c r="U809" i="1"/>
  <c r="P809" i="1"/>
  <c r="N809" i="1"/>
  <c r="M809" i="1"/>
  <c r="L809" i="1"/>
  <c r="G809" i="1"/>
  <c r="K809" i="1" s="1"/>
  <c r="V808" i="1"/>
  <c r="W808" i="1" s="1"/>
  <c r="U808" i="1"/>
  <c r="P808" i="1"/>
  <c r="L808" i="1"/>
  <c r="K808" i="1"/>
  <c r="G808" i="1"/>
  <c r="M808" i="1" s="1"/>
  <c r="N808" i="1" s="1"/>
  <c r="V807" i="1"/>
  <c r="W807" i="1" s="1"/>
  <c r="U807" i="1"/>
  <c r="P807" i="1"/>
  <c r="L807" i="1"/>
  <c r="G807" i="1"/>
  <c r="V806" i="1"/>
  <c r="W806" i="1" s="1"/>
  <c r="U806" i="1"/>
  <c r="P806" i="1"/>
  <c r="M806" i="1"/>
  <c r="N806" i="1" s="1"/>
  <c r="L806" i="1"/>
  <c r="G806" i="1"/>
  <c r="K806" i="1" s="1"/>
  <c r="V805" i="1"/>
  <c r="W805" i="1" s="1"/>
  <c r="U805" i="1"/>
  <c r="P805" i="1"/>
  <c r="N805" i="1"/>
  <c r="L805" i="1"/>
  <c r="G805" i="1"/>
  <c r="M805" i="1" s="1"/>
  <c r="W804" i="1"/>
  <c r="V804" i="1"/>
  <c r="U804" i="1"/>
  <c r="P804" i="1"/>
  <c r="M804" i="1"/>
  <c r="N804" i="1" s="1"/>
  <c r="L804" i="1"/>
  <c r="G804" i="1"/>
  <c r="K804" i="1" s="1"/>
  <c r="V803" i="1"/>
  <c r="W803" i="1" s="1"/>
  <c r="U803" i="1"/>
  <c r="P803" i="1"/>
  <c r="M803" i="1"/>
  <c r="N803" i="1" s="1"/>
  <c r="L803" i="1"/>
  <c r="K803" i="1"/>
  <c r="G803" i="1"/>
  <c r="V802" i="1"/>
  <c r="W802" i="1" s="1"/>
  <c r="U802" i="1"/>
  <c r="P802" i="1"/>
  <c r="M802" i="1"/>
  <c r="N802" i="1" s="1"/>
  <c r="L802" i="1"/>
  <c r="G802" i="1"/>
  <c r="K802" i="1" s="1"/>
  <c r="W801" i="1"/>
  <c r="V801" i="1"/>
  <c r="U801" i="1"/>
  <c r="P801" i="1"/>
  <c r="M801" i="1"/>
  <c r="N801" i="1" s="1"/>
  <c r="L801" i="1"/>
  <c r="G801" i="1"/>
  <c r="K801" i="1" s="1"/>
  <c r="V800" i="1"/>
  <c r="W800" i="1" s="1"/>
  <c r="U800" i="1"/>
  <c r="P800" i="1"/>
  <c r="L800" i="1"/>
  <c r="K800" i="1"/>
  <c r="G800" i="1"/>
  <c r="M800" i="1" s="1"/>
  <c r="N800" i="1" s="1"/>
  <c r="V799" i="1"/>
  <c r="W799" i="1" s="1"/>
  <c r="U799" i="1"/>
  <c r="P799" i="1"/>
  <c r="L799" i="1"/>
  <c r="G799" i="1"/>
  <c r="W798" i="1"/>
  <c r="V798" i="1"/>
  <c r="U798" i="1"/>
  <c r="P798" i="1"/>
  <c r="L798" i="1"/>
  <c r="G798" i="1"/>
  <c r="M798" i="1" s="1"/>
  <c r="N798" i="1" s="1"/>
  <c r="W797" i="1"/>
  <c r="V797" i="1"/>
  <c r="U797" i="1"/>
  <c r="P797" i="1"/>
  <c r="L797" i="1"/>
  <c r="G797" i="1"/>
  <c r="M797" i="1" s="1"/>
  <c r="N797" i="1" s="1"/>
  <c r="W796" i="1"/>
  <c r="V796" i="1"/>
  <c r="U796" i="1"/>
  <c r="P796" i="1"/>
  <c r="L796" i="1"/>
  <c r="G796" i="1"/>
  <c r="M796" i="1" s="1"/>
  <c r="N796" i="1" s="1"/>
  <c r="V795" i="1"/>
  <c r="W795" i="1" s="1"/>
  <c r="U795" i="1"/>
  <c r="P795" i="1"/>
  <c r="L795" i="1"/>
  <c r="M795" i="1" s="1"/>
  <c r="N795" i="1" s="1"/>
  <c r="K795" i="1"/>
  <c r="G795" i="1"/>
  <c r="V794" i="1"/>
  <c r="W794" i="1" s="1"/>
  <c r="U794" i="1"/>
  <c r="P794" i="1"/>
  <c r="L794" i="1"/>
  <c r="M794" i="1" s="1"/>
  <c r="N794" i="1" s="1"/>
  <c r="G794" i="1"/>
  <c r="K794" i="1" s="1"/>
  <c r="W793" i="1"/>
  <c r="V793" i="1"/>
  <c r="U793" i="1"/>
  <c r="P793" i="1"/>
  <c r="N793" i="1"/>
  <c r="M793" i="1"/>
  <c r="L793" i="1"/>
  <c r="G793" i="1"/>
  <c r="K793" i="1" s="1"/>
  <c r="V792" i="1"/>
  <c r="W792" i="1" s="1"/>
  <c r="U792" i="1"/>
  <c r="P792" i="1"/>
  <c r="L792" i="1"/>
  <c r="K792" i="1"/>
  <c r="G792" i="1"/>
  <c r="M792" i="1" s="1"/>
  <c r="N792" i="1" s="1"/>
  <c r="V791" i="1"/>
  <c r="W791" i="1" s="1"/>
  <c r="U791" i="1"/>
  <c r="P791" i="1"/>
  <c r="L791" i="1"/>
  <c r="G791" i="1"/>
  <c r="V790" i="1"/>
  <c r="W790" i="1" s="1"/>
  <c r="U790" i="1"/>
  <c r="P790" i="1"/>
  <c r="M790" i="1"/>
  <c r="N790" i="1" s="1"/>
  <c r="L790" i="1"/>
  <c r="K790" i="1"/>
  <c r="G790" i="1"/>
  <c r="V789" i="1"/>
  <c r="W789" i="1" s="1"/>
  <c r="U789" i="1"/>
  <c r="P789" i="1"/>
  <c r="L789" i="1"/>
  <c r="K789" i="1"/>
  <c r="G789" i="1"/>
  <c r="W788" i="1"/>
  <c r="V788" i="1"/>
  <c r="U788" i="1"/>
  <c r="P788" i="1"/>
  <c r="M788" i="1"/>
  <c r="N788" i="1" s="1"/>
  <c r="L788" i="1"/>
  <c r="K788" i="1"/>
  <c r="G788" i="1"/>
  <c r="V787" i="1"/>
  <c r="W787" i="1" s="1"/>
  <c r="U787" i="1"/>
  <c r="P787" i="1"/>
  <c r="M787" i="1"/>
  <c r="N787" i="1" s="1"/>
  <c r="L787" i="1"/>
  <c r="K787" i="1"/>
  <c r="G787" i="1"/>
  <c r="V786" i="1"/>
  <c r="W786" i="1" s="1"/>
  <c r="U786" i="1"/>
  <c r="P786" i="1"/>
  <c r="M786" i="1"/>
  <c r="N786" i="1" s="1"/>
  <c r="L786" i="1"/>
  <c r="G786" i="1"/>
  <c r="K786" i="1" s="1"/>
  <c r="W785" i="1"/>
  <c r="V785" i="1"/>
  <c r="U785" i="1"/>
  <c r="P785" i="1"/>
  <c r="M785" i="1"/>
  <c r="N785" i="1" s="1"/>
  <c r="L785" i="1"/>
  <c r="G785" i="1"/>
  <c r="K785" i="1" s="1"/>
  <c r="V784" i="1"/>
  <c r="W784" i="1" s="1"/>
  <c r="U784" i="1"/>
  <c r="P784" i="1"/>
  <c r="L784" i="1"/>
  <c r="K784" i="1"/>
  <c r="G784" i="1"/>
  <c r="M784" i="1" s="1"/>
  <c r="N784" i="1" s="1"/>
  <c r="W783" i="1"/>
  <c r="V783" i="1"/>
  <c r="U783" i="1"/>
  <c r="P783" i="1"/>
  <c r="L783" i="1"/>
  <c r="G783" i="1"/>
  <c r="V782" i="1"/>
  <c r="W782" i="1" s="1"/>
  <c r="U782" i="1"/>
  <c r="P782" i="1"/>
  <c r="L782" i="1"/>
  <c r="G782" i="1"/>
  <c r="V781" i="1"/>
  <c r="W781" i="1" s="1"/>
  <c r="U781" i="1"/>
  <c r="P781" i="1"/>
  <c r="L781" i="1"/>
  <c r="K781" i="1"/>
  <c r="G781" i="1"/>
  <c r="M781" i="1" s="1"/>
  <c r="N781" i="1" s="1"/>
  <c r="W780" i="1"/>
  <c r="V780" i="1"/>
  <c r="U780" i="1"/>
  <c r="P780" i="1"/>
  <c r="L780" i="1"/>
  <c r="M780" i="1" s="1"/>
  <c r="N780" i="1" s="1"/>
  <c r="G780" i="1"/>
  <c r="K780" i="1" s="1"/>
  <c r="V779" i="1"/>
  <c r="W779" i="1" s="1"/>
  <c r="U779" i="1"/>
  <c r="P779" i="1"/>
  <c r="L779" i="1"/>
  <c r="M779" i="1" s="1"/>
  <c r="N779" i="1" s="1"/>
  <c r="K779" i="1"/>
  <c r="G779" i="1"/>
  <c r="V778" i="1"/>
  <c r="W778" i="1" s="1"/>
  <c r="U778" i="1"/>
  <c r="P778" i="1"/>
  <c r="L778" i="1"/>
  <c r="M778" i="1" s="1"/>
  <c r="N778" i="1" s="1"/>
  <c r="G778" i="1"/>
  <c r="K778" i="1" s="1"/>
  <c r="W777" i="1"/>
  <c r="V777" i="1"/>
  <c r="U777" i="1"/>
  <c r="P777" i="1"/>
  <c r="M777" i="1"/>
  <c r="N777" i="1" s="1"/>
  <c r="L777" i="1"/>
  <c r="G777" i="1"/>
  <c r="K777" i="1" s="1"/>
  <c r="W776" i="1"/>
  <c r="V776" i="1"/>
  <c r="U776" i="1"/>
  <c r="P776" i="1"/>
  <c r="L776" i="1"/>
  <c r="K776" i="1"/>
  <c r="G776" i="1"/>
  <c r="M776" i="1" s="1"/>
  <c r="N776" i="1" s="1"/>
  <c r="W775" i="1"/>
  <c r="V775" i="1"/>
  <c r="U775" i="1"/>
  <c r="P775" i="1"/>
  <c r="L775" i="1"/>
  <c r="G775" i="1"/>
  <c r="W774" i="1"/>
  <c r="V774" i="1"/>
  <c r="U774" i="1"/>
  <c r="P774" i="1"/>
  <c r="L774" i="1"/>
  <c r="G774" i="1"/>
  <c r="W773" i="1"/>
  <c r="V773" i="1"/>
  <c r="U773" i="1"/>
  <c r="P773" i="1"/>
  <c r="L773" i="1"/>
  <c r="K773" i="1"/>
  <c r="G773" i="1"/>
  <c r="M773" i="1" s="1"/>
  <c r="N773" i="1" s="1"/>
  <c r="W772" i="1"/>
  <c r="V772" i="1"/>
  <c r="U772" i="1"/>
  <c r="P772" i="1"/>
  <c r="L772" i="1"/>
  <c r="M772" i="1" s="1"/>
  <c r="N772" i="1" s="1"/>
  <c r="K772" i="1"/>
  <c r="G772" i="1"/>
  <c r="V771" i="1"/>
  <c r="W771" i="1" s="1"/>
  <c r="U771" i="1"/>
  <c r="P771" i="1"/>
  <c r="L771" i="1"/>
  <c r="M771" i="1" s="1"/>
  <c r="N771" i="1" s="1"/>
  <c r="K771" i="1"/>
  <c r="G771" i="1"/>
  <c r="V770" i="1"/>
  <c r="W770" i="1" s="1"/>
  <c r="U770" i="1"/>
  <c r="P770" i="1"/>
  <c r="L770" i="1"/>
  <c r="M770" i="1" s="1"/>
  <c r="N770" i="1" s="1"/>
  <c r="G770" i="1"/>
  <c r="K770" i="1" s="1"/>
  <c r="V769" i="1"/>
  <c r="W769" i="1" s="1"/>
  <c r="U769" i="1"/>
  <c r="P769" i="1"/>
  <c r="M769" i="1"/>
  <c r="N769" i="1" s="1"/>
  <c r="L769" i="1"/>
  <c r="K769" i="1"/>
  <c r="G769" i="1"/>
  <c r="V768" i="1"/>
  <c r="W768" i="1" s="1"/>
  <c r="U768" i="1"/>
  <c r="P768" i="1"/>
  <c r="L768" i="1"/>
  <c r="K768" i="1"/>
  <c r="G768" i="1"/>
  <c r="V767" i="1"/>
  <c r="W767" i="1" s="1"/>
  <c r="U767" i="1"/>
  <c r="P767" i="1"/>
  <c r="L767" i="1"/>
  <c r="M767" i="1" s="1"/>
  <c r="N767" i="1" s="1"/>
  <c r="K767" i="1"/>
  <c r="G767" i="1"/>
  <c r="V766" i="1"/>
  <c r="W766" i="1" s="1"/>
  <c r="U766" i="1"/>
  <c r="P766" i="1"/>
  <c r="M766" i="1"/>
  <c r="N766" i="1" s="1"/>
  <c r="L766" i="1"/>
  <c r="G766" i="1"/>
  <c r="K766" i="1" s="1"/>
  <c r="W765" i="1"/>
  <c r="V765" i="1"/>
  <c r="U765" i="1"/>
  <c r="P765" i="1"/>
  <c r="L765" i="1"/>
  <c r="G765" i="1"/>
  <c r="M765" i="1" s="1"/>
  <c r="N765" i="1" s="1"/>
  <c r="W764" i="1"/>
  <c r="V764" i="1"/>
  <c r="U764" i="1"/>
  <c r="P764" i="1"/>
  <c r="L764" i="1"/>
  <c r="K764" i="1"/>
  <c r="G764" i="1"/>
  <c r="M764" i="1" s="1"/>
  <c r="N764" i="1" s="1"/>
  <c r="V763" i="1"/>
  <c r="W763" i="1" s="1"/>
  <c r="U763" i="1"/>
  <c r="P763" i="1"/>
  <c r="L763" i="1"/>
  <c r="M763" i="1" s="1"/>
  <c r="N763" i="1" s="1"/>
  <c r="K763" i="1"/>
  <c r="G763" i="1"/>
  <c r="V762" i="1"/>
  <c r="W762" i="1" s="1"/>
  <c r="U762" i="1"/>
  <c r="P762" i="1"/>
  <c r="L762" i="1"/>
  <c r="G762" i="1"/>
  <c r="K762" i="1" s="1"/>
  <c r="V761" i="1"/>
  <c r="W761" i="1" s="1"/>
  <c r="U761" i="1"/>
  <c r="P761" i="1"/>
  <c r="M761" i="1"/>
  <c r="N761" i="1" s="1"/>
  <c r="L761" i="1"/>
  <c r="K761" i="1"/>
  <c r="G761" i="1"/>
  <c r="V760" i="1"/>
  <c r="W760" i="1" s="1"/>
  <c r="U760" i="1"/>
  <c r="P760" i="1"/>
  <c r="L760" i="1"/>
  <c r="K760" i="1"/>
  <c r="G760" i="1"/>
  <c r="V759" i="1"/>
  <c r="W759" i="1" s="1"/>
  <c r="U759" i="1"/>
  <c r="P759" i="1"/>
  <c r="L759" i="1"/>
  <c r="M759" i="1" s="1"/>
  <c r="N759" i="1" s="1"/>
  <c r="K759" i="1"/>
  <c r="G759" i="1"/>
  <c r="V758" i="1"/>
  <c r="W758" i="1" s="1"/>
  <c r="U758" i="1"/>
  <c r="P758" i="1"/>
  <c r="L758" i="1"/>
  <c r="G758" i="1"/>
  <c r="M758" i="1" s="1"/>
  <c r="N758" i="1" s="1"/>
  <c r="W757" i="1"/>
  <c r="V757" i="1"/>
  <c r="U757" i="1"/>
  <c r="P757" i="1"/>
  <c r="L757" i="1"/>
  <c r="G757" i="1"/>
  <c r="W756" i="1"/>
  <c r="V756" i="1"/>
  <c r="U756" i="1"/>
  <c r="P756" i="1"/>
  <c r="L756" i="1"/>
  <c r="K756" i="1"/>
  <c r="G756" i="1"/>
  <c r="M756" i="1" s="1"/>
  <c r="N756" i="1" s="1"/>
  <c r="V755" i="1"/>
  <c r="W755" i="1" s="1"/>
  <c r="U755" i="1"/>
  <c r="P755" i="1"/>
  <c r="L755" i="1"/>
  <c r="K755" i="1"/>
  <c r="G755" i="1"/>
  <c r="M755" i="1" s="1"/>
  <c r="N755" i="1" s="1"/>
  <c r="V754" i="1"/>
  <c r="W754" i="1" s="1"/>
  <c r="U754" i="1"/>
  <c r="P754" i="1"/>
  <c r="L754" i="1"/>
  <c r="M754" i="1" s="1"/>
  <c r="N754" i="1" s="1"/>
  <c r="K754" i="1"/>
  <c r="G754" i="1"/>
  <c r="V753" i="1"/>
  <c r="W753" i="1" s="1"/>
  <c r="U753" i="1"/>
  <c r="P753" i="1"/>
  <c r="M753" i="1"/>
  <c r="N753" i="1" s="1"/>
  <c r="L753" i="1"/>
  <c r="G753" i="1"/>
  <c r="K753" i="1" s="1"/>
  <c r="W752" i="1"/>
  <c r="V752" i="1"/>
  <c r="U752" i="1"/>
  <c r="P752" i="1"/>
  <c r="L752" i="1"/>
  <c r="G752" i="1"/>
  <c r="M752" i="1" s="1"/>
  <c r="N752" i="1" s="1"/>
  <c r="W751" i="1"/>
  <c r="V751" i="1"/>
  <c r="U751" i="1"/>
  <c r="P751" i="1"/>
  <c r="L751" i="1"/>
  <c r="K751" i="1"/>
  <c r="G751" i="1"/>
  <c r="M751" i="1" s="1"/>
  <c r="N751" i="1" s="1"/>
  <c r="V750" i="1"/>
  <c r="W750" i="1" s="1"/>
  <c r="U750" i="1"/>
  <c r="P750" i="1"/>
  <c r="L750" i="1"/>
  <c r="M750" i="1" s="1"/>
  <c r="N750" i="1" s="1"/>
  <c r="K750" i="1"/>
  <c r="G750" i="1"/>
  <c r="V749" i="1"/>
  <c r="W749" i="1" s="1"/>
  <c r="U749" i="1"/>
  <c r="P749" i="1"/>
  <c r="L749" i="1"/>
  <c r="G749" i="1"/>
  <c r="M749" i="1" s="1"/>
  <c r="N749" i="1" s="1"/>
  <c r="W748" i="1"/>
  <c r="V748" i="1"/>
  <c r="U748" i="1"/>
  <c r="P748" i="1"/>
  <c r="L748" i="1"/>
  <c r="G748" i="1"/>
  <c r="W747" i="1"/>
  <c r="V747" i="1"/>
  <c r="U747" i="1"/>
  <c r="P747" i="1"/>
  <c r="L747" i="1"/>
  <c r="K747" i="1"/>
  <c r="G747" i="1"/>
  <c r="M747" i="1" s="1"/>
  <c r="N747" i="1" s="1"/>
  <c r="V746" i="1"/>
  <c r="W746" i="1" s="1"/>
  <c r="U746" i="1"/>
  <c r="P746" i="1"/>
  <c r="L746" i="1"/>
  <c r="M746" i="1" s="1"/>
  <c r="N746" i="1" s="1"/>
  <c r="K746" i="1"/>
  <c r="G746" i="1"/>
  <c r="V745" i="1"/>
  <c r="W745" i="1" s="1"/>
  <c r="U745" i="1"/>
  <c r="P745" i="1"/>
  <c r="M745" i="1"/>
  <c r="N745" i="1" s="1"/>
  <c r="L745" i="1"/>
  <c r="G745" i="1"/>
  <c r="K745" i="1" s="1"/>
  <c r="W744" i="1"/>
  <c r="V744" i="1"/>
  <c r="U744" i="1"/>
  <c r="P744" i="1"/>
  <c r="N744" i="1"/>
  <c r="L744" i="1"/>
  <c r="G744" i="1"/>
  <c r="M744" i="1" s="1"/>
  <c r="W743" i="1"/>
  <c r="V743" i="1"/>
  <c r="U743" i="1"/>
  <c r="P743" i="1"/>
  <c r="L743" i="1"/>
  <c r="K743" i="1"/>
  <c r="G743" i="1"/>
  <c r="M743" i="1" s="1"/>
  <c r="N743" i="1" s="1"/>
  <c r="V742" i="1"/>
  <c r="W742" i="1" s="1"/>
  <c r="U742" i="1"/>
  <c r="P742" i="1"/>
  <c r="L742" i="1"/>
  <c r="M742" i="1" s="1"/>
  <c r="N742" i="1" s="1"/>
  <c r="K742" i="1"/>
  <c r="G742" i="1"/>
  <c r="V741" i="1"/>
  <c r="W741" i="1" s="1"/>
  <c r="U741" i="1"/>
  <c r="P741" i="1"/>
  <c r="L741" i="1"/>
  <c r="G741" i="1"/>
  <c r="M741" i="1" s="1"/>
  <c r="N741" i="1" s="1"/>
  <c r="W740" i="1"/>
  <c r="V740" i="1"/>
  <c r="U740" i="1"/>
  <c r="P740" i="1"/>
  <c r="L740" i="1"/>
  <c r="G740" i="1"/>
  <c r="W739" i="1"/>
  <c r="V739" i="1"/>
  <c r="U739" i="1"/>
  <c r="P739" i="1"/>
  <c r="L739" i="1"/>
  <c r="K739" i="1"/>
  <c r="G739" i="1"/>
  <c r="M739" i="1" s="1"/>
  <c r="N739" i="1" s="1"/>
  <c r="V738" i="1"/>
  <c r="W738" i="1" s="1"/>
  <c r="U738" i="1"/>
  <c r="P738" i="1"/>
  <c r="L738" i="1"/>
  <c r="M738" i="1" s="1"/>
  <c r="N738" i="1" s="1"/>
  <c r="K738" i="1"/>
  <c r="G738" i="1"/>
  <c r="V737" i="1"/>
  <c r="W737" i="1" s="1"/>
  <c r="U737" i="1"/>
  <c r="P737" i="1"/>
  <c r="M737" i="1"/>
  <c r="N737" i="1" s="1"/>
  <c r="L737" i="1"/>
  <c r="G737" i="1"/>
  <c r="K737" i="1" s="1"/>
  <c r="W736" i="1"/>
  <c r="V736" i="1"/>
  <c r="U736" i="1"/>
  <c r="P736" i="1"/>
  <c r="L736" i="1"/>
  <c r="G736" i="1"/>
  <c r="M736" i="1" s="1"/>
  <c r="N736" i="1" s="1"/>
  <c r="W735" i="1"/>
  <c r="V735" i="1"/>
  <c r="U735" i="1"/>
  <c r="P735" i="1"/>
  <c r="L735" i="1"/>
  <c r="K735" i="1"/>
  <c r="G735" i="1"/>
  <c r="M735" i="1" s="1"/>
  <c r="N735" i="1" s="1"/>
  <c r="V734" i="1"/>
  <c r="W734" i="1" s="1"/>
  <c r="U734" i="1"/>
  <c r="P734" i="1"/>
  <c r="L734" i="1"/>
  <c r="M734" i="1" s="1"/>
  <c r="N734" i="1" s="1"/>
  <c r="K734" i="1"/>
  <c r="G734" i="1"/>
  <c r="V733" i="1"/>
  <c r="W733" i="1" s="1"/>
  <c r="U733" i="1"/>
  <c r="P733" i="1"/>
  <c r="L733" i="1"/>
  <c r="G733" i="1"/>
  <c r="M733" i="1" s="1"/>
  <c r="N733" i="1" s="1"/>
  <c r="W732" i="1"/>
  <c r="V732" i="1"/>
  <c r="U732" i="1"/>
  <c r="P732" i="1"/>
  <c r="L732" i="1"/>
  <c r="G732" i="1"/>
  <c r="W731" i="1"/>
  <c r="V731" i="1"/>
  <c r="U731" i="1"/>
  <c r="P731" i="1"/>
  <c r="L731" i="1"/>
  <c r="K731" i="1"/>
  <c r="G731" i="1"/>
  <c r="M731" i="1" s="1"/>
  <c r="N731" i="1" s="1"/>
  <c r="V730" i="1"/>
  <c r="W730" i="1" s="1"/>
  <c r="U730" i="1"/>
  <c r="P730" i="1"/>
  <c r="L730" i="1"/>
  <c r="M730" i="1" s="1"/>
  <c r="N730" i="1" s="1"/>
  <c r="K730" i="1"/>
  <c r="G730" i="1"/>
  <c r="V729" i="1"/>
  <c r="W729" i="1" s="1"/>
  <c r="U729" i="1"/>
  <c r="P729" i="1"/>
  <c r="M729" i="1"/>
  <c r="N729" i="1" s="1"/>
  <c r="L729" i="1"/>
  <c r="G729" i="1"/>
  <c r="K729" i="1" s="1"/>
  <c r="W728" i="1"/>
  <c r="V728" i="1"/>
  <c r="U728" i="1"/>
  <c r="P728" i="1"/>
  <c r="N728" i="1"/>
  <c r="L728" i="1"/>
  <c r="G728" i="1"/>
  <c r="M728" i="1" s="1"/>
  <c r="W727" i="1"/>
  <c r="V727" i="1"/>
  <c r="U727" i="1"/>
  <c r="P727" i="1"/>
  <c r="L727" i="1"/>
  <c r="K727" i="1"/>
  <c r="G727" i="1"/>
  <c r="M727" i="1" s="1"/>
  <c r="N727" i="1" s="1"/>
  <c r="V726" i="1"/>
  <c r="W726" i="1" s="1"/>
  <c r="U726" i="1"/>
  <c r="P726" i="1"/>
  <c r="L726" i="1"/>
  <c r="M726" i="1" s="1"/>
  <c r="N726" i="1" s="1"/>
  <c r="K726" i="1"/>
  <c r="G726" i="1"/>
  <c r="V725" i="1"/>
  <c r="W725" i="1" s="1"/>
  <c r="U725" i="1"/>
  <c r="P725" i="1"/>
  <c r="L725" i="1"/>
  <c r="G725" i="1"/>
  <c r="M725" i="1" s="1"/>
  <c r="N725" i="1" s="1"/>
  <c r="W724" i="1"/>
  <c r="V724" i="1"/>
  <c r="U724" i="1"/>
  <c r="P724" i="1"/>
  <c r="L724" i="1"/>
  <c r="G724" i="1"/>
  <c r="W723" i="1"/>
  <c r="V723" i="1"/>
  <c r="U723" i="1"/>
  <c r="P723" i="1"/>
  <c r="L723" i="1"/>
  <c r="K723" i="1"/>
  <c r="G723" i="1"/>
  <c r="M723" i="1" s="1"/>
  <c r="N723" i="1" s="1"/>
  <c r="V722" i="1"/>
  <c r="W722" i="1" s="1"/>
  <c r="U722" i="1"/>
  <c r="P722" i="1"/>
  <c r="L722" i="1"/>
  <c r="M722" i="1" s="1"/>
  <c r="N722" i="1" s="1"/>
  <c r="K722" i="1"/>
  <c r="G722" i="1"/>
  <c r="V721" i="1"/>
  <c r="W721" i="1" s="1"/>
  <c r="U721" i="1"/>
  <c r="P721" i="1"/>
  <c r="M721" i="1"/>
  <c r="N721" i="1" s="1"/>
  <c r="L721" i="1"/>
  <c r="G721" i="1"/>
  <c r="K721" i="1" s="1"/>
  <c r="W720" i="1"/>
  <c r="V720" i="1"/>
  <c r="U720" i="1"/>
  <c r="P720" i="1"/>
  <c r="L720" i="1"/>
  <c r="G720" i="1"/>
  <c r="M720" i="1" s="1"/>
  <c r="N720" i="1" s="1"/>
  <c r="W719" i="1"/>
  <c r="V719" i="1"/>
  <c r="U719" i="1"/>
  <c r="P719" i="1"/>
  <c r="L719" i="1"/>
  <c r="K719" i="1"/>
  <c r="G719" i="1"/>
  <c r="M719" i="1" s="1"/>
  <c r="N719" i="1" s="1"/>
  <c r="V718" i="1"/>
  <c r="W718" i="1" s="1"/>
  <c r="U718" i="1"/>
  <c r="P718" i="1"/>
  <c r="L718" i="1"/>
  <c r="M718" i="1" s="1"/>
  <c r="N718" i="1" s="1"/>
  <c r="K718" i="1"/>
  <c r="G718" i="1"/>
  <c r="V717" i="1"/>
  <c r="W717" i="1" s="1"/>
  <c r="U717" i="1"/>
  <c r="P717" i="1"/>
  <c r="L717" i="1"/>
  <c r="G717" i="1"/>
  <c r="M717" i="1" s="1"/>
  <c r="N717" i="1" s="1"/>
  <c r="W716" i="1"/>
  <c r="V716" i="1"/>
  <c r="U716" i="1"/>
  <c r="P716" i="1"/>
  <c r="L716" i="1"/>
  <c r="G716" i="1"/>
  <c r="W715" i="1"/>
  <c r="V715" i="1"/>
  <c r="U715" i="1"/>
  <c r="P715" i="1"/>
  <c r="L715" i="1"/>
  <c r="K715" i="1"/>
  <c r="G715" i="1"/>
  <c r="M715" i="1" s="1"/>
  <c r="N715" i="1" s="1"/>
  <c r="V714" i="1"/>
  <c r="W714" i="1" s="1"/>
  <c r="U714" i="1"/>
  <c r="P714" i="1"/>
  <c r="L714" i="1"/>
  <c r="M714" i="1" s="1"/>
  <c r="N714" i="1" s="1"/>
  <c r="K714" i="1"/>
  <c r="G714" i="1"/>
  <c r="V713" i="1"/>
  <c r="W713" i="1" s="1"/>
  <c r="U713" i="1"/>
  <c r="P713" i="1"/>
  <c r="M713" i="1"/>
  <c r="N713" i="1" s="1"/>
  <c r="L713" i="1"/>
  <c r="G713" i="1"/>
  <c r="K713" i="1" s="1"/>
  <c r="W712" i="1"/>
  <c r="V712" i="1"/>
  <c r="U712" i="1"/>
  <c r="P712" i="1"/>
  <c r="N712" i="1"/>
  <c r="L712" i="1"/>
  <c r="G712" i="1"/>
  <c r="M712" i="1" s="1"/>
  <c r="W711" i="1"/>
  <c r="V711" i="1"/>
  <c r="U711" i="1"/>
  <c r="P711" i="1"/>
  <c r="L711" i="1"/>
  <c r="K711" i="1"/>
  <c r="G711" i="1"/>
  <c r="M711" i="1" s="1"/>
  <c r="N711" i="1" s="1"/>
  <c r="V710" i="1"/>
  <c r="W710" i="1" s="1"/>
  <c r="U710" i="1"/>
  <c r="P710" i="1"/>
  <c r="L710" i="1"/>
  <c r="M710" i="1" s="1"/>
  <c r="N710" i="1" s="1"/>
  <c r="K710" i="1"/>
  <c r="G710" i="1"/>
  <c r="V709" i="1"/>
  <c r="W709" i="1" s="1"/>
  <c r="U709" i="1"/>
  <c r="P709" i="1"/>
  <c r="L709" i="1"/>
  <c r="G709" i="1"/>
  <c r="M709" i="1" s="1"/>
  <c r="N709" i="1" s="1"/>
  <c r="W708" i="1"/>
  <c r="V708" i="1"/>
  <c r="U708" i="1"/>
  <c r="P708" i="1"/>
  <c r="L708" i="1"/>
  <c r="G708" i="1"/>
  <c r="W707" i="1"/>
  <c r="V707" i="1"/>
  <c r="U707" i="1"/>
  <c r="P707" i="1"/>
  <c r="L707" i="1"/>
  <c r="K707" i="1"/>
  <c r="G707" i="1"/>
  <c r="M707" i="1" s="1"/>
  <c r="N707" i="1" s="1"/>
  <c r="V706" i="1"/>
  <c r="W706" i="1" s="1"/>
  <c r="U706" i="1"/>
  <c r="P706" i="1"/>
  <c r="L706" i="1"/>
  <c r="M706" i="1" s="1"/>
  <c r="N706" i="1" s="1"/>
  <c r="K706" i="1"/>
  <c r="G706" i="1"/>
  <c r="V705" i="1"/>
  <c r="W705" i="1" s="1"/>
  <c r="U705" i="1"/>
  <c r="P705" i="1"/>
  <c r="M705" i="1"/>
  <c r="N705" i="1" s="1"/>
  <c r="L705" i="1"/>
  <c r="G705" i="1"/>
  <c r="K705" i="1" s="1"/>
  <c r="W704" i="1"/>
  <c r="V704" i="1"/>
  <c r="U704" i="1"/>
  <c r="P704" i="1"/>
  <c r="L704" i="1"/>
  <c r="G704" i="1"/>
  <c r="M704" i="1" s="1"/>
  <c r="N704" i="1" s="1"/>
  <c r="W703" i="1"/>
  <c r="V703" i="1"/>
  <c r="U703" i="1"/>
  <c r="P703" i="1"/>
  <c r="L703" i="1"/>
  <c r="K703" i="1"/>
  <c r="G703" i="1"/>
  <c r="M703" i="1" s="1"/>
  <c r="N703" i="1" s="1"/>
  <c r="V702" i="1"/>
  <c r="W702" i="1" s="1"/>
  <c r="U702" i="1"/>
  <c r="P702" i="1"/>
  <c r="L702" i="1"/>
  <c r="M702" i="1" s="1"/>
  <c r="N702" i="1" s="1"/>
  <c r="K702" i="1"/>
  <c r="G702" i="1"/>
  <c r="V701" i="1"/>
  <c r="W701" i="1" s="1"/>
  <c r="U701" i="1"/>
  <c r="P701" i="1"/>
  <c r="L701" i="1"/>
  <c r="G701" i="1"/>
  <c r="M701" i="1" s="1"/>
  <c r="N701" i="1" s="1"/>
  <c r="W700" i="1"/>
  <c r="V700" i="1"/>
  <c r="U700" i="1"/>
  <c r="P700" i="1"/>
  <c r="L700" i="1"/>
  <c r="G700" i="1"/>
  <c r="W699" i="1"/>
  <c r="V699" i="1"/>
  <c r="U699" i="1"/>
  <c r="P699" i="1"/>
  <c r="L699" i="1"/>
  <c r="K699" i="1"/>
  <c r="G699" i="1"/>
  <c r="M699" i="1" s="1"/>
  <c r="N699" i="1" s="1"/>
  <c r="V698" i="1"/>
  <c r="W698" i="1" s="1"/>
  <c r="U698" i="1"/>
  <c r="P698" i="1"/>
  <c r="L698" i="1"/>
  <c r="M698" i="1" s="1"/>
  <c r="N698" i="1" s="1"/>
  <c r="K698" i="1"/>
  <c r="G698" i="1"/>
  <c r="V697" i="1"/>
  <c r="W697" i="1" s="1"/>
  <c r="U697" i="1"/>
  <c r="P697" i="1"/>
  <c r="M697" i="1"/>
  <c r="N697" i="1" s="1"/>
  <c r="L697" i="1"/>
  <c r="G697" i="1"/>
  <c r="K697" i="1" s="1"/>
  <c r="W696" i="1"/>
  <c r="V696" i="1"/>
  <c r="U696" i="1"/>
  <c r="P696" i="1"/>
  <c r="N696" i="1"/>
  <c r="L696" i="1"/>
  <c r="G696" i="1"/>
  <c r="M696" i="1" s="1"/>
  <c r="W695" i="1"/>
  <c r="V695" i="1"/>
  <c r="U695" i="1"/>
  <c r="P695" i="1"/>
  <c r="L695" i="1"/>
  <c r="K695" i="1"/>
  <c r="G695" i="1"/>
  <c r="M695" i="1" s="1"/>
  <c r="N695" i="1" s="1"/>
  <c r="V694" i="1"/>
  <c r="W694" i="1" s="1"/>
  <c r="U694" i="1"/>
  <c r="P694" i="1"/>
  <c r="L694" i="1"/>
  <c r="M694" i="1" s="1"/>
  <c r="N694" i="1" s="1"/>
  <c r="K694" i="1"/>
  <c r="G694" i="1"/>
  <c r="V693" i="1"/>
  <c r="W693" i="1" s="1"/>
  <c r="U693" i="1"/>
  <c r="P693" i="1"/>
  <c r="L693" i="1"/>
  <c r="G693" i="1"/>
  <c r="M693" i="1" s="1"/>
  <c r="N693" i="1" s="1"/>
  <c r="W692" i="1"/>
  <c r="V692" i="1"/>
  <c r="U692" i="1"/>
  <c r="P692" i="1"/>
  <c r="L692" i="1"/>
  <c r="G692" i="1"/>
  <c r="W691" i="1"/>
  <c r="V691" i="1"/>
  <c r="U691" i="1"/>
  <c r="P691" i="1"/>
  <c r="L691" i="1"/>
  <c r="K691" i="1"/>
  <c r="G691" i="1"/>
  <c r="M691" i="1" s="1"/>
  <c r="N691" i="1" s="1"/>
  <c r="V690" i="1"/>
  <c r="W690" i="1" s="1"/>
  <c r="U690" i="1"/>
  <c r="P690" i="1"/>
  <c r="L690" i="1"/>
  <c r="M690" i="1" s="1"/>
  <c r="N690" i="1" s="1"/>
  <c r="K690" i="1"/>
  <c r="G690" i="1"/>
  <c r="V689" i="1"/>
  <c r="W689" i="1" s="1"/>
  <c r="U689" i="1"/>
  <c r="P689" i="1"/>
  <c r="M689" i="1"/>
  <c r="N689" i="1" s="1"/>
  <c r="L689" i="1"/>
  <c r="G689" i="1"/>
  <c r="K689" i="1" s="1"/>
  <c r="W688" i="1"/>
  <c r="V688" i="1"/>
  <c r="U688" i="1"/>
  <c r="P688" i="1"/>
  <c r="L688" i="1"/>
  <c r="G688" i="1"/>
  <c r="M688" i="1" s="1"/>
  <c r="N688" i="1" s="1"/>
  <c r="W687" i="1"/>
  <c r="V687" i="1"/>
  <c r="U687" i="1"/>
  <c r="P687" i="1"/>
  <c r="L687" i="1"/>
  <c r="K687" i="1"/>
  <c r="G687" i="1"/>
  <c r="M687" i="1" s="1"/>
  <c r="N687" i="1" s="1"/>
  <c r="V686" i="1"/>
  <c r="W686" i="1" s="1"/>
  <c r="U686" i="1"/>
  <c r="P686" i="1"/>
  <c r="L686" i="1"/>
  <c r="M686" i="1" s="1"/>
  <c r="N686" i="1" s="1"/>
  <c r="K686" i="1"/>
  <c r="G686" i="1"/>
  <c r="V685" i="1"/>
  <c r="W685" i="1" s="1"/>
  <c r="U685" i="1"/>
  <c r="P685" i="1"/>
  <c r="L685" i="1"/>
  <c r="G685" i="1"/>
  <c r="M685" i="1" s="1"/>
  <c r="N685" i="1" s="1"/>
  <c r="W684" i="1"/>
  <c r="V684" i="1"/>
  <c r="U684" i="1"/>
  <c r="P684" i="1"/>
  <c r="L684" i="1"/>
  <c r="G684" i="1"/>
  <c r="W683" i="1"/>
  <c r="V683" i="1"/>
  <c r="U683" i="1"/>
  <c r="P683" i="1"/>
  <c r="L683" i="1"/>
  <c r="K683" i="1"/>
  <c r="G683" i="1"/>
  <c r="M683" i="1" s="1"/>
  <c r="N683" i="1" s="1"/>
  <c r="W682" i="1"/>
  <c r="V682" i="1"/>
  <c r="U682" i="1"/>
  <c r="P682" i="1"/>
  <c r="L682" i="1"/>
  <c r="M682" i="1" s="1"/>
  <c r="N682" i="1" s="1"/>
  <c r="K682" i="1"/>
  <c r="G682" i="1"/>
  <c r="V681" i="1"/>
  <c r="W681" i="1" s="1"/>
  <c r="U681" i="1"/>
  <c r="P681" i="1"/>
  <c r="M681" i="1"/>
  <c r="N681" i="1" s="1"/>
  <c r="L681" i="1"/>
  <c r="K681" i="1"/>
  <c r="G681" i="1"/>
  <c r="W680" i="1"/>
  <c r="V680" i="1"/>
  <c r="U680" i="1"/>
  <c r="P680" i="1"/>
  <c r="L680" i="1"/>
  <c r="G680" i="1"/>
  <c r="M680" i="1" s="1"/>
  <c r="N680" i="1" s="1"/>
  <c r="W679" i="1"/>
  <c r="V679" i="1"/>
  <c r="U679" i="1"/>
  <c r="P679" i="1"/>
  <c r="L679" i="1"/>
  <c r="K679" i="1"/>
  <c r="G679" i="1"/>
  <c r="M679" i="1" s="1"/>
  <c r="N679" i="1" s="1"/>
  <c r="V678" i="1"/>
  <c r="W678" i="1" s="1"/>
  <c r="U678" i="1"/>
  <c r="P678" i="1"/>
  <c r="L678" i="1"/>
  <c r="M678" i="1" s="1"/>
  <c r="N678" i="1" s="1"/>
  <c r="K678" i="1"/>
  <c r="G678" i="1"/>
  <c r="V677" i="1"/>
  <c r="W677" i="1" s="1"/>
  <c r="U677" i="1"/>
  <c r="P677" i="1"/>
  <c r="L677" i="1"/>
  <c r="G677" i="1"/>
  <c r="M677" i="1" s="1"/>
  <c r="N677" i="1" s="1"/>
  <c r="W676" i="1"/>
  <c r="V676" i="1"/>
  <c r="U676" i="1"/>
  <c r="P676" i="1"/>
  <c r="L676" i="1"/>
  <c r="G676" i="1"/>
  <c r="W675" i="1"/>
  <c r="V675" i="1"/>
  <c r="U675" i="1"/>
  <c r="P675" i="1"/>
  <c r="L675" i="1"/>
  <c r="K675" i="1"/>
  <c r="G675" i="1"/>
  <c r="M675" i="1" s="1"/>
  <c r="N675" i="1" s="1"/>
  <c r="W674" i="1"/>
  <c r="V674" i="1"/>
  <c r="U674" i="1"/>
  <c r="P674" i="1"/>
  <c r="L674" i="1"/>
  <c r="M674" i="1" s="1"/>
  <c r="N674" i="1" s="1"/>
  <c r="K674" i="1"/>
  <c r="G674" i="1"/>
  <c r="V673" i="1"/>
  <c r="W673" i="1" s="1"/>
  <c r="U673" i="1"/>
  <c r="P673" i="1"/>
  <c r="M673" i="1"/>
  <c r="N673" i="1" s="1"/>
  <c r="L673" i="1"/>
  <c r="K673" i="1"/>
  <c r="G673" i="1"/>
  <c r="W672" i="1"/>
  <c r="V672" i="1"/>
  <c r="U672" i="1"/>
  <c r="P672" i="1"/>
  <c r="L672" i="1"/>
  <c r="G672" i="1"/>
  <c r="M672" i="1" s="1"/>
  <c r="N672" i="1" s="1"/>
  <c r="W671" i="1"/>
  <c r="V671" i="1"/>
  <c r="U671" i="1"/>
  <c r="P671" i="1"/>
  <c r="L671" i="1"/>
  <c r="K671" i="1"/>
  <c r="G671" i="1"/>
  <c r="M671" i="1" s="1"/>
  <c r="N671" i="1" s="1"/>
  <c r="V670" i="1"/>
  <c r="W670" i="1" s="1"/>
  <c r="U670" i="1"/>
  <c r="P670" i="1"/>
  <c r="L670" i="1"/>
  <c r="M670" i="1" s="1"/>
  <c r="N670" i="1" s="1"/>
  <c r="K670" i="1"/>
  <c r="G670" i="1"/>
  <c r="V669" i="1"/>
  <c r="W669" i="1" s="1"/>
  <c r="U669" i="1"/>
  <c r="P669" i="1"/>
  <c r="L669" i="1"/>
  <c r="G669" i="1"/>
  <c r="M669" i="1" s="1"/>
  <c r="N669" i="1" s="1"/>
  <c r="W668" i="1"/>
  <c r="V668" i="1"/>
  <c r="U668" i="1"/>
  <c r="P668" i="1"/>
  <c r="L668" i="1"/>
  <c r="G668" i="1"/>
  <c r="W667" i="1"/>
  <c r="V667" i="1"/>
  <c r="U667" i="1"/>
  <c r="P667" i="1"/>
  <c r="L667" i="1"/>
  <c r="K667" i="1"/>
  <c r="G667" i="1"/>
  <c r="M667" i="1" s="1"/>
  <c r="N667" i="1" s="1"/>
  <c r="W666" i="1"/>
  <c r="V666" i="1"/>
  <c r="U666" i="1"/>
  <c r="P666" i="1"/>
  <c r="L666" i="1"/>
  <c r="M666" i="1" s="1"/>
  <c r="N666" i="1" s="1"/>
  <c r="K666" i="1"/>
  <c r="G666" i="1"/>
  <c r="V665" i="1"/>
  <c r="W665" i="1" s="1"/>
  <c r="U665" i="1"/>
  <c r="P665" i="1"/>
  <c r="M665" i="1"/>
  <c r="N665" i="1" s="1"/>
  <c r="L665" i="1"/>
  <c r="K665" i="1"/>
  <c r="G665" i="1"/>
  <c r="W664" i="1"/>
  <c r="V664" i="1"/>
  <c r="U664" i="1"/>
  <c r="P664" i="1"/>
  <c r="L664" i="1"/>
  <c r="G664" i="1"/>
  <c r="M664" i="1" s="1"/>
  <c r="N664" i="1" s="1"/>
  <c r="W663" i="1"/>
  <c r="V663" i="1"/>
  <c r="U663" i="1"/>
  <c r="P663" i="1"/>
  <c r="L663" i="1"/>
  <c r="K663" i="1"/>
  <c r="G663" i="1"/>
  <c r="M663" i="1" s="1"/>
  <c r="N663" i="1" s="1"/>
  <c r="V662" i="1"/>
  <c r="W662" i="1" s="1"/>
  <c r="U662" i="1"/>
  <c r="P662" i="1"/>
  <c r="L662" i="1"/>
  <c r="M662" i="1" s="1"/>
  <c r="N662" i="1" s="1"/>
  <c r="K662" i="1"/>
  <c r="G662" i="1"/>
  <c r="V661" i="1"/>
  <c r="W661" i="1" s="1"/>
  <c r="U661" i="1"/>
  <c r="P661" i="1"/>
  <c r="L661" i="1"/>
  <c r="G661" i="1"/>
  <c r="M661" i="1" s="1"/>
  <c r="N661" i="1" s="1"/>
  <c r="W660" i="1"/>
  <c r="V660" i="1"/>
  <c r="U660" i="1"/>
  <c r="P660" i="1"/>
  <c r="L660" i="1"/>
  <c r="G660" i="1"/>
  <c r="W659" i="1"/>
  <c r="V659" i="1"/>
  <c r="U659" i="1"/>
  <c r="P659" i="1"/>
  <c r="L659" i="1"/>
  <c r="K659" i="1"/>
  <c r="G659" i="1"/>
  <c r="M659" i="1" s="1"/>
  <c r="N659" i="1" s="1"/>
  <c r="W658" i="1"/>
  <c r="V658" i="1"/>
  <c r="U658" i="1"/>
  <c r="P658" i="1"/>
  <c r="L658" i="1"/>
  <c r="M658" i="1" s="1"/>
  <c r="N658" i="1" s="1"/>
  <c r="K658" i="1"/>
  <c r="G658" i="1"/>
  <c r="V657" i="1"/>
  <c r="W657" i="1" s="1"/>
  <c r="U657" i="1"/>
  <c r="P657" i="1"/>
  <c r="M657" i="1"/>
  <c r="N657" i="1" s="1"/>
  <c r="L657" i="1"/>
  <c r="K657" i="1"/>
  <c r="G657" i="1"/>
  <c r="W656" i="1"/>
  <c r="V656" i="1"/>
  <c r="U656" i="1"/>
  <c r="P656" i="1"/>
  <c r="L656" i="1"/>
  <c r="G656" i="1"/>
  <c r="M656" i="1" s="1"/>
  <c r="N656" i="1" s="1"/>
  <c r="W655" i="1"/>
  <c r="V655" i="1"/>
  <c r="U655" i="1"/>
  <c r="P655" i="1"/>
  <c r="L655" i="1"/>
  <c r="K655" i="1"/>
  <c r="G655" i="1"/>
  <c r="M655" i="1" s="1"/>
  <c r="N655" i="1" s="1"/>
  <c r="V654" i="1"/>
  <c r="W654" i="1" s="1"/>
  <c r="U654" i="1"/>
  <c r="P654" i="1"/>
  <c r="L654" i="1"/>
  <c r="M654" i="1" s="1"/>
  <c r="N654" i="1" s="1"/>
  <c r="K654" i="1"/>
  <c r="G654" i="1"/>
  <c r="V653" i="1"/>
  <c r="W653" i="1" s="1"/>
  <c r="U653" i="1"/>
  <c r="P653" i="1"/>
  <c r="L653" i="1"/>
  <c r="G653" i="1"/>
  <c r="M653" i="1" s="1"/>
  <c r="N653" i="1" s="1"/>
  <c r="W652" i="1"/>
  <c r="V652" i="1"/>
  <c r="U652" i="1"/>
  <c r="P652" i="1"/>
  <c r="L652" i="1"/>
  <c r="G652" i="1"/>
  <c r="W651" i="1"/>
  <c r="V651" i="1"/>
  <c r="U651" i="1"/>
  <c r="P651" i="1"/>
  <c r="L651" i="1"/>
  <c r="K651" i="1"/>
  <c r="G651" i="1"/>
  <c r="M651" i="1" s="1"/>
  <c r="N651" i="1" s="1"/>
  <c r="W650" i="1"/>
  <c r="V650" i="1"/>
  <c r="U650" i="1"/>
  <c r="P650" i="1"/>
  <c r="L650" i="1"/>
  <c r="M650" i="1" s="1"/>
  <c r="N650" i="1" s="1"/>
  <c r="K650" i="1"/>
  <c r="G650" i="1"/>
  <c r="V649" i="1"/>
  <c r="W649" i="1" s="1"/>
  <c r="U649" i="1"/>
  <c r="P649" i="1"/>
  <c r="M649" i="1"/>
  <c r="N649" i="1" s="1"/>
  <c r="L649" i="1"/>
  <c r="K649" i="1"/>
  <c r="G649" i="1"/>
  <c r="W648" i="1"/>
  <c r="V648" i="1"/>
  <c r="U648" i="1"/>
  <c r="P648" i="1"/>
  <c r="L648" i="1"/>
  <c r="G648" i="1"/>
  <c r="M648" i="1" s="1"/>
  <c r="N648" i="1" s="1"/>
  <c r="W647" i="1"/>
  <c r="V647" i="1"/>
  <c r="U647" i="1"/>
  <c r="P647" i="1"/>
  <c r="L647" i="1"/>
  <c r="K647" i="1"/>
  <c r="G647" i="1"/>
  <c r="M647" i="1" s="1"/>
  <c r="N647" i="1" s="1"/>
  <c r="V646" i="1"/>
  <c r="W646" i="1" s="1"/>
  <c r="U646" i="1"/>
  <c r="P646" i="1"/>
  <c r="L646" i="1"/>
  <c r="M646" i="1" s="1"/>
  <c r="N646" i="1" s="1"/>
  <c r="K646" i="1"/>
  <c r="G646" i="1"/>
  <c r="V645" i="1"/>
  <c r="W645" i="1" s="1"/>
  <c r="U645" i="1"/>
  <c r="P645" i="1"/>
  <c r="L645" i="1"/>
  <c r="G645" i="1"/>
  <c r="M645" i="1" s="1"/>
  <c r="N645" i="1" s="1"/>
  <c r="W644" i="1"/>
  <c r="V644" i="1"/>
  <c r="U644" i="1"/>
  <c r="P644" i="1"/>
  <c r="L644" i="1"/>
  <c r="G644" i="1"/>
  <c r="W643" i="1"/>
  <c r="V643" i="1"/>
  <c r="U643" i="1"/>
  <c r="P643" i="1"/>
  <c r="L643" i="1"/>
  <c r="K643" i="1"/>
  <c r="G643" i="1"/>
  <c r="M643" i="1" s="1"/>
  <c r="N643" i="1" s="1"/>
  <c r="W642" i="1"/>
  <c r="V642" i="1"/>
  <c r="U642" i="1"/>
  <c r="P642" i="1"/>
  <c r="L642" i="1"/>
  <c r="M642" i="1" s="1"/>
  <c r="N642" i="1" s="1"/>
  <c r="K642" i="1"/>
  <c r="G642" i="1"/>
  <c r="V641" i="1"/>
  <c r="W641" i="1" s="1"/>
  <c r="U641" i="1"/>
  <c r="P641" i="1"/>
  <c r="M641" i="1"/>
  <c r="N641" i="1" s="1"/>
  <c r="L641" i="1"/>
  <c r="K641" i="1"/>
  <c r="G641" i="1"/>
  <c r="W640" i="1"/>
  <c r="V640" i="1"/>
  <c r="U640" i="1"/>
  <c r="P640" i="1"/>
  <c r="L640" i="1"/>
  <c r="G640" i="1"/>
  <c r="M640" i="1" s="1"/>
  <c r="N640" i="1" s="1"/>
  <c r="W639" i="1"/>
  <c r="V639" i="1"/>
  <c r="U639" i="1"/>
  <c r="P639" i="1"/>
  <c r="L639" i="1"/>
  <c r="K639" i="1"/>
  <c r="G639" i="1"/>
  <c r="M639" i="1" s="1"/>
  <c r="N639" i="1" s="1"/>
  <c r="V638" i="1"/>
  <c r="W638" i="1" s="1"/>
  <c r="U638" i="1"/>
  <c r="P638" i="1"/>
  <c r="L638" i="1"/>
  <c r="M638" i="1" s="1"/>
  <c r="N638" i="1" s="1"/>
  <c r="K638" i="1"/>
  <c r="G638" i="1"/>
  <c r="V637" i="1"/>
  <c r="W637" i="1" s="1"/>
  <c r="U637" i="1"/>
  <c r="P637" i="1"/>
  <c r="L637" i="1"/>
  <c r="G637" i="1"/>
  <c r="M637" i="1" s="1"/>
  <c r="N637" i="1" s="1"/>
  <c r="W636" i="1"/>
  <c r="V636" i="1"/>
  <c r="U636" i="1"/>
  <c r="P636" i="1"/>
  <c r="L636" i="1"/>
  <c r="G636" i="1"/>
  <c r="W635" i="1"/>
  <c r="V635" i="1"/>
  <c r="U635" i="1"/>
  <c r="P635" i="1"/>
  <c r="L635" i="1"/>
  <c r="K635" i="1"/>
  <c r="G635" i="1"/>
  <c r="M635" i="1" s="1"/>
  <c r="N635" i="1" s="1"/>
  <c r="W634" i="1"/>
  <c r="V634" i="1"/>
  <c r="U634" i="1"/>
  <c r="P634" i="1"/>
  <c r="L634" i="1"/>
  <c r="M634" i="1" s="1"/>
  <c r="N634" i="1" s="1"/>
  <c r="K634" i="1"/>
  <c r="G634" i="1"/>
  <c r="V633" i="1"/>
  <c r="W633" i="1" s="1"/>
  <c r="U633" i="1"/>
  <c r="P633" i="1"/>
  <c r="M633" i="1"/>
  <c r="N633" i="1" s="1"/>
  <c r="L633" i="1"/>
  <c r="K633" i="1"/>
  <c r="G633" i="1"/>
  <c r="W632" i="1"/>
  <c r="V632" i="1"/>
  <c r="U632" i="1"/>
  <c r="P632" i="1"/>
  <c r="L632" i="1"/>
  <c r="G632" i="1"/>
  <c r="M632" i="1" s="1"/>
  <c r="N632" i="1" s="1"/>
  <c r="W631" i="1"/>
  <c r="V631" i="1"/>
  <c r="U631" i="1"/>
  <c r="P631" i="1"/>
  <c r="L631" i="1"/>
  <c r="K631" i="1"/>
  <c r="G631" i="1"/>
  <c r="M631" i="1" s="1"/>
  <c r="N631" i="1" s="1"/>
  <c r="V630" i="1"/>
  <c r="W630" i="1" s="1"/>
  <c r="U630" i="1"/>
  <c r="P630" i="1"/>
  <c r="L630" i="1"/>
  <c r="M630" i="1" s="1"/>
  <c r="N630" i="1" s="1"/>
  <c r="K630" i="1"/>
  <c r="G630" i="1"/>
  <c r="V629" i="1"/>
  <c r="W629" i="1" s="1"/>
  <c r="U629" i="1"/>
  <c r="P629" i="1"/>
  <c r="L629" i="1"/>
  <c r="G629" i="1"/>
  <c r="M629" i="1" s="1"/>
  <c r="N629" i="1" s="1"/>
  <c r="W628" i="1"/>
  <c r="V628" i="1"/>
  <c r="U628" i="1"/>
  <c r="P628" i="1"/>
  <c r="L628" i="1"/>
  <c r="G628" i="1"/>
  <c r="W627" i="1"/>
  <c r="V627" i="1"/>
  <c r="U627" i="1"/>
  <c r="P627" i="1"/>
  <c r="L627" i="1"/>
  <c r="K627" i="1"/>
  <c r="G627" i="1"/>
  <c r="M627" i="1" s="1"/>
  <c r="N627" i="1" s="1"/>
  <c r="W626" i="1"/>
  <c r="V626" i="1"/>
  <c r="U626" i="1"/>
  <c r="P626" i="1"/>
  <c r="L626" i="1"/>
  <c r="M626" i="1" s="1"/>
  <c r="N626" i="1" s="1"/>
  <c r="K626" i="1"/>
  <c r="G626" i="1"/>
  <c r="V625" i="1"/>
  <c r="W625" i="1" s="1"/>
  <c r="U625" i="1"/>
  <c r="P625" i="1"/>
  <c r="M625" i="1"/>
  <c r="N625" i="1" s="1"/>
  <c r="L625" i="1"/>
  <c r="K625" i="1"/>
  <c r="G625" i="1"/>
  <c r="W624" i="1"/>
  <c r="V624" i="1"/>
  <c r="U624" i="1"/>
  <c r="P624" i="1"/>
  <c r="L624" i="1"/>
  <c r="G624" i="1"/>
  <c r="M624" i="1" s="1"/>
  <c r="N624" i="1" s="1"/>
  <c r="W623" i="1"/>
  <c r="V623" i="1"/>
  <c r="U623" i="1"/>
  <c r="P623" i="1"/>
  <c r="L623" i="1"/>
  <c r="K623" i="1"/>
  <c r="G623" i="1"/>
  <c r="M623" i="1" s="1"/>
  <c r="N623" i="1" s="1"/>
  <c r="V622" i="1"/>
  <c r="W622" i="1" s="1"/>
  <c r="U622" i="1"/>
  <c r="P622" i="1"/>
  <c r="L622" i="1"/>
  <c r="M622" i="1" s="1"/>
  <c r="N622" i="1" s="1"/>
  <c r="K622" i="1"/>
  <c r="G622" i="1"/>
  <c r="V621" i="1"/>
  <c r="W621" i="1" s="1"/>
  <c r="U621" i="1"/>
  <c r="P621" i="1"/>
  <c r="L621" i="1"/>
  <c r="G621" i="1"/>
  <c r="M621" i="1" s="1"/>
  <c r="N621" i="1" s="1"/>
  <c r="W620" i="1"/>
  <c r="V620" i="1"/>
  <c r="U620" i="1"/>
  <c r="P620" i="1"/>
  <c r="L620" i="1"/>
  <c r="G620" i="1"/>
  <c r="W619" i="1"/>
  <c r="V619" i="1"/>
  <c r="U619" i="1"/>
  <c r="P619" i="1"/>
  <c r="L619" i="1"/>
  <c r="K619" i="1"/>
  <c r="G619" i="1"/>
  <c r="M619" i="1" s="1"/>
  <c r="N619" i="1" s="1"/>
  <c r="W618" i="1"/>
  <c r="V618" i="1"/>
  <c r="U618" i="1"/>
  <c r="P618" i="1"/>
  <c r="L618" i="1"/>
  <c r="M618" i="1" s="1"/>
  <c r="N618" i="1" s="1"/>
  <c r="K618" i="1"/>
  <c r="G618" i="1"/>
  <c r="V617" i="1"/>
  <c r="W617" i="1" s="1"/>
  <c r="U617" i="1"/>
  <c r="P617" i="1"/>
  <c r="M617" i="1"/>
  <c r="N617" i="1" s="1"/>
  <c r="L617" i="1"/>
  <c r="K617" i="1"/>
  <c r="G617" i="1"/>
  <c r="W616" i="1"/>
  <c r="V616" i="1"/>
  <c r="U616" i="1"/>
  <c r="P616" i="1"/>
  <c r="L616" i="1"/>
  <c r="G616" i="1"/>
  <c r="M616" i="1" s="1"/>
  <c r="N616" i="1" s="1"/>
  <c r="W615" i="1"/>
  <c r="V615" i="1"/>
  <c r="U615" i="1"/>
  <c r="P615" i="1"/>
  <c r="L615" i="1"/>
  <c r="K615" i="1"/>
  <c r="G615" i="1"/>
  <c r="M615" i="1" s="1"/>
  <c r="N615" i="1" s="1"/>
  <c r="V614" i="1"/>
  <c r="W614" i="1" s="1"/>
  <c r="U614" i="1"/>
  <c r="P614" i="1"/>
  <c r="L614" i="1"/>
  <c r="M614" i="1" s="1"/>
  <c r="N614" i="1" s="1"/>
  <c r="K614" i="1"/>
  <c r="G614" i="1"/>
  <c r="V613" i="1"/>
  <c r="W613" i="1" s="1"/>
  <c r="U613" i="1"/>
  <c r="P613" i="1"/>
  <c r="L613" i="1"/>
  <c r="G613" i="1"/>
  <c r="M613" i="1" s="1"/>
  <c r="N613" i="1" s="1"/>
  <c r="W612" i="1"/>
  <c r="V612" i="1"/>
  <c r="U612" i="1"/>
  <c r="P612" i="1"/>
  <c r="L612" i="1"/>
  <c r="G612" i="1"/>
  <c r="W611" i="1"/>
  <c r="V611" i="1"/>
  <c r="U611" i="1"/>
  <c r="P611" i="1"/>
  <c r="L611" i="1"/>
  <c r="K611" i="1"/>
  <c r="G611" i="1"/>
  <c r="M611" i="1" s="1"/>
  <c r="N611" i="1" s="1"/>
  <c r="W610" i="1"/>
  <c r="V610" i="1"/>
  <c r="U610" i="1"/>
  <c r="P610" i="1"/>
  <c r="L610" i="1"/>
  <c r="M610" i="1" s="1"/>
  <c r="N610" i="1" s="1"/>
  <c r="K610" i="1"/>
  <c r="G610" i="1"/>
  <c r="V609" i="1"/>
  <c r="W609" i="1" s="1"/>
  <c r="U609" i="1"/>
  <c r="P609" i="1"/>
  <c r="M609" i="1"/>
  <c r="N609" i="1" s="1"/>
  <c r="L609" i="1"/>
  <c r="K609" i="1"/>
  <c r="G609" i="1"/>
  <c r="W608" i="1"/>
  <c r="V608" i="1"/>
  <c r="U608" i="1"/>
  <c r="P608" i="1"/>
  <c r="L608" i="1"/>
  <c r="G608" i="1"/>
  <c r="M608" i="1" s="1"/>
  <c r="N608" i="1" s="1"/>
  <c r="W607" i="1"/>
  <c r="V607" i="1"/>
  <c r="U607" i="1"/>
  <c r="P607" i="1"/>
  <c r="L607" i="1"/>
  <c r="K607" i="1"/>
  <c r="G607" i="1"/>
  <c r="M607" i="1" s="1"/>
  <c r="N607" i="1" s="1"/>
  <c r="V606" i="1"/>
  <c r="W606" i="1" s="1"/>
  <c r="U606" i="1"/>
  <c r="P606" i="1"/>
  <c r="L606" i="1"/>
  <c r="M606" i="1" s="1"/>
  <c r="N606" i="1" s="1"/>
  <c r="K606" i="1"/>
  <c r="G606" i="1"/>
  <c r="V605" i="1"/>
  <c r="W605" i="1" s="1"/>
  <c r="U605" i="1"/>
  <c r="P605" i="1"/>
  <c r="L605" i="1"/>
  <c r="G605" i="1"/>
  <c r="M605" i="1" s="1"/>
  <c r="N605" i="1" s="1"/>
  <c r="W604" i="1"/>
  <c r="V604" i="1"/>
  <c r="U604" i="1"/>
  <c r="P604" i="1"/>
  <c r="L604" i="1"/>
  <c r="G604" i="1"/>
  <c r="W603" i="1"/>
  <c r="V603" i="1"/>
  <c r="U603" i="1"/>
  <c r="P603" i="1"/>
  <c r="L603" i="1"/>
  <c r="K603" i="1"/>
  <c r="G603" i="1"/>
  <c r="M603" i="1" s="1"/>
  <c r="N603" i="1" s="1"/>
  <c r="W602" i="1"/>
  <c r="V602" i="1"/>
  <c r="U602" i="1"/>
  <c r="P602" i="1"/>
  <c r="L602" i="1"/>
  <c r="M602" i="1" s="1"/>
  <c r="N602" i="1" s="1"/>
  <c r="K602" i="1"/>
  <c r="G602" i="1"/>
  <c r="V601" i="1"/>
  <c r="W601" i="1" s="1"/>
  <c r="U601" i="1"/>
  <c r="P601" i="1"/>
  <c r="M601" i="1"/>
  <c r="N601" i="1" s="1"/>
  <c r="L601" i="1"/>
  <c r="K601" i="1"/>
  <c r="G601" i="1"/>
  <c r="W600" i="1"/>
  <c r="V600" i="1"/>
  <c r="U600" i="1"/>
  <c r="P600" i="1"/>
  <c r="L600" i="1"/>
  <c r="G600" i="1"/>
  <c r="M600" i="1" s="1"/>
  <c r="N600" i="1" s="1"/>
  <c r="W599" i="1"/>
  <c r="V599" i="1"/>
  <c r="U599" i="1"/>
  <c r="P599" i="1"/>
  <c r="N599" i="1"/>
  <c r="M599" i="1"/>
  <c r="L599" i="1"/>
  <c r="K599" i="1"/>
  <c r="G599" i="1"/>
  <c r="V598" i="1"/>
  <c r="W598" i="1" s="1"/>
  <c r="U598" i="1"/>
  <c r="P598" i="1"/>
  <c r="L598" i="1"/>
  <c r="M598" i="1" s="1"/>
  <c r="N598" i="1" s="1"/>
  <c r="K598" i="1"/>
  <c r="G598" i="1"/>
  <c r="V597" i="1"/>
  <c r="W597" i="1" s="1"/>
  <c r="U597" i="1"/>
  <c r="P597" i="1"/>
  <c r="L597" i="1"/>
  <c r="G597" i="1"/>
  <c r="M597" i="1" s="1"/>
  <c r="N597" i="1" s="1"/>
  <c r="W596" i="1"/>
  <c r="V596" i="1"/>
  <c r="U596" i="1"/>
  <c r="P596" i="1"/>
  <c r="L596" i="1"/>
  <c r="G596" i="1"/>
  <c r="W595" i="1"/>
  <c r="V595" i="1"/>
  <c r="U595" i="1"/>
  <c r="P595" i="1"/>
  <c r="L595" i="1"/>
  <c r="K595" i="1"/>
  <c r="G595" i="1"/>
  <c r="M595" i="1" s="1"/>
  <c r="N595" i="1" s="1"/>
  <c r="W594" i="1"/>
  <c r="V594" i="1"/>
  <c r="U594" i="1"/>
  <c r="P594" i="1"/>
  <c r="L594" i="1"/>
  <c r="M594" i="1" s="1"/>
  <c r="N594" i="1" s="1"/>
  <c r="K594" i="1"/>
  <c r="G594" i="1"/>
  <c r="V593" i="1"/>
  <c r="W593" i="1" s="1"/>
  <c r="U593" i="1"/>
  <c r="P593" i="1"/>
  <c r="M593" i="1"/>
  <c r="N593" i="1" s="1"/>
  <c r="L593" i="1"/>
  <c r="K593" i="1"/>
  <c r="G593" i="1"/>
  <c r="W592" i="1"/>
  <c r="V592" i="1"/>
  <c r="U592" i="1"/>
  <c r="P592" i="1"/>
  <c r="N592" i="1"/>
  <c r="L592" i="1"/>
  <c r="G592" i="1"/>
  <c r="M592" i="1" s="1"/>
  <c r="W591" i="1"/>
  <c r="V591" i="1"/>
  <c r="U591" i="1"/>
  <c r="P591" i="1"/>
  <c r="N591" i="1"/>
  <c r="M591" i="1"/>
  <c r="L591" i="1"/>
  <c r="K591" i="1"/>
  <c r="G591" i="1"/>
  <c r="V590" i="1"/>
  <c r="W590" i="1" s="1"/>
  <c r="U590" i="1"/>
  <c r="P590" i="1"/>
  <c r="L590" i="1"/>
  <c r="M590" i="1" s="1"/>
  <c r="N590" i="1" s="1"/>
  <c r="K590" i="1"/>
  <c r="G590" i="1"/>
  <c r="V589" i="1"/>
  <c r="W589" i="1" s="1"/>
  <c r="U589" i="1"/>
  <c r="P589" i="1"/>
  <c r="L589" i="1"/>
  <c r="G589" i="1"/>
  <c r="M589" i="1" s="1"/>
  <c r="N589" i="1" s="1"/>
  <c r="W588" i="1"/>
  <c r="V588" i="1"/>
  <c r="U588" i="1"/>
  <c r="P588" i="1"/>
  <c r="L588" i="1"/>
  <c r="G588" i="1"/>
  <c r="W587" i="1"/>
  <c r="V587" i="1"/>
  <c r="U587" i="1"/>
  <c r="P587" i="1"/>
  <c r="L587" i="1"/>
  <c r="K587" i="1"/>
  <c r="G587" i="1"/>
  <c r="M587" i="1" s="1"/>
  <c r="N587" i="1" s="1"/>
  <c r="W586" i="1"/>
  <c r="V586" i="1"/>
  <c r="U586" i="1"/>
  <c r="P586" i="1"/>
  <c r="L586" i="1"/>
  <c r="M586" i="1" s="1"/>
  <c r="N586" i="1" s="1"/>
  <c r="K586" i="1"/>
  <c r="G586" i="1"/>
  <c r="V585" i="1"/>
  <c r="W585" i="1" s="1"/>
  <c r="U585" i="1"/>
  <c r="P585" i="1"/>
  <c r="M585" i="1"/>
  <c r="N585" i="1" s="1"/>
  <c r="L585" i="1"/>
  <c r="K585" i="1"/>
  <c r="G585" i="1"/>
  <c r="W584" i="1"/>
  <c r="V584" i="1"/>
  <c r="U584" i="1"/>
  <c r="P584" i="1"/>
  <c r="L584" i="1"/>
  <c r="G584" i="1"/>
  <c r="M584" i="1" s="1"/>
  <c r="N584" i="1" s="1"/>
  <c r="W583" i="1"/>
  <c r="V583" i="1"/>
  <c r="U583" i="1"/>
  <c r="P583" i="1"/>
  <c r="N583" i="1"/>
  <c r="M583" i="1"/>
  <c r="L583" i="1"/>
  <c r="K583" i="1"/>
  <c r="G583" i="1"/>
  <c r="V582" i="1"/>
  <c r="W582" i="1" s="1"/>
  <c r="U582" i="1"/>
  <c r="P582" i="1"/>
  <c r="L582" i="1"/>
  <c r="M582" i="1" s="1"/>
  <c r="N582" i="1" s="1"/>
  <c r="K582" i="1"/>
  <c r="G582" i="1"/>
  <c r="V581" i="1"/>
  <c r="W581" i="1" s="1"/>
  <c r="U581" i="1"/>
  <c r="P581" i="1"/>
  <c r="L581" i="1"/>
  <c r="G581" i="1"/>
  <c r="M581" i="1" s="1"/>
  <c r="N581" i="1" s="1"/>
  <c r="W580" i="1"/>
  <c r="V580" i="1"/>
  <c r="U580" i="1"/>
  <c r="P580" i="1"/>
  <c r="L580" i="1"/>
  <c r="G580" i="1"/>
  <c r="W579" i="1"/>
  <c r="V579" i="1"/>
  <c r="U579" i="1"/>
  <c r="P579" i="1"/>
  <c r="L579" i="1"/>
  <c r="K579" i="1"/>
  <c r="G579" i="1"/>
  <c r="M579" i="1" s="1"/>
  <c r="N579" i="1" s="1"/>
  <c r="W578" i="1"/>
  <c r="V578" i="1"/>
  <c r="U578" i="1"/>
  <c r="P578" i="1"/>
  <c r="L578" i="1"/>
  <c r="M578" i="1" s="1"/>
  <c r="N578" i="1" s="1"/>
  <c r="K578" i="1"/>
  <c r="G578" i="1"/>
  <c r="V577" i="1"/>
  <c r="W577" i="1" s="1"/>
  <c r="U577" i="1"/>
  <c r="P577" i="1"/>
  <c r="M577" i="1"/>
  <c r="N577" i="1" s="1"/>
  <c r="L577" i="1"/>
  <c r="K577" i="1"/>
  <c r="G577" i="1"/>
  <c r="W576" i="1"/>
  <c r="V576" i="1"/>
  <c r="U576" i="1"/>
  <c r="P576" i="1"/>
  <c r="N576" i="1"/>
  <c r="L576" i="1"/>
  <c r="G576" i="1"/>
  <c r="M576" i="1" s="1"/>
  <c r="W575" i="1"/>
  <c r="V575" i="1"/>
  <c r="U575" i="1"/>
  <c r="P575" i="1"/>
  <c r="N575" i="1"/>
  <c r="M575" i="1"/>
  <c r="L575" i="1"/>
  <c r="K575" i="1"/>
  <c r="G575" i="1"/>
  <c r="V574" i="1"/>
  <c r="W574" i="1" s="1"/>
  <c r="U574" i="1"/>
  <c r="P574" i="1"/>
  <c r="L574" i="1"/>
  <c r="M574" i="1" s="1"/>
  <c r="N574" i="1" s="1"/>
  <c r="K574" i="1"/>
  <c r="G574" i="1"/>
  <c r="V573" i="1"/>
  <c r="W573" i="1" s="1"/>
  <c r="U573" i="1"/>
  <c r="P573" i="1"/>
  <c r="L573" i="1"/>
  <c r="G573" i="1"/>
  <c r="M573" i="1" s="1"/>
  <c r="N573" i="1" s="1"/>
  <c r="W572" i="1"/>
  <c r="V572" i="1"/>
  <c r="U572" i="1"/>
  <c r="P572" i="1"/>
  <c r="L572" i="1"/>
  <c r="G572" i="1"/>
  <c r="W571" i="1"/>
  <c r="V571" i="1"/>
  <c r="U571" i="1"/>
  <c r="P571" i="1"/>
  <c r="L571" i="1"/>
  <c r="K571" i="1"/>
  <c r="G571" i="1"/>
  <c r="M571" i="1" s="1"/>
  <c r="N571" i="1" s="1"/>
  <c r="W570" i="1"/>
  <c r="V570" i="1"/>
  <c r="U570" i="1"/>
  <c r="P570" i="1"/>
  <c r="L570" i="1"/>
  <c r="M570" i="1" s="1"/>
  <c r="N570" i="1" s="1"/>
  <c r="K570" i="1"/>
  <c r="G570" i="1"/>
  <c r="V569" i="1"/>
  <c r="W569" i="1" s="1"/>
  <c r="U569" i="1"/>
  <c r="P569" i="1"/>
  <c r="M569" i="1"/>
  <c r="N569" i="1" s="1"/>
  <c r="L569" i="1"/>
  <c r="K569" i="1"/>
  <c r="G569" i="1"/>
  <c r="W568" i="1"/>
  <c r="V568" i="1"/>
  <c r="U568" i="1"/>
  <c r="P568" i="1"/>
  <c r="L568" i="1"/>
  <c r="G568" i="1"/>
  <c r="M568" i="1" s="1"/>
  <c r="N568" i="1" s="1"/>
  <c r="W567" i="1"/>
  <c r="V567" i="1"/>
  <c r="U567" i="1"/>
  <c r="P567" i="1"/>
  <c r="M567" i="1"/>
  <c r="N567" i="1" s="1"/>
  <c r="L567" i="1"/>
  <c r="K567" i="1"/>
  <c r="G567" i="1"/>
  <c r="V566" i="1"/>
  <c r="W566" i="1" s="1"/>
  <c r="U566" i="1"/>
  <c r="P566" i="1"/>
  <c r="L566" i="1"/>
  <c r="M566" i="1" s="1"/>
  <c r="N566" i="1" s="1"/>
  <c r="K566" i="1"/>
  <c r="G566" i="1"/>
  <c r="V565" i="1"/>
  <c r="W565" i="1" s="1"/>
  <c r="U565" i="1"/>
  <c r="P565" i="1"/>
  <c r="L565" i="1"/>
  <c r="G565" i="1"/>
  <c r="M565" i="1" s="1"/>
  <c r="N565" i="1" s="1"/>
  <c r="W564" i="1"/>
  <c r="V564" i="1"/>
  <c r="U564" i="1"/>
  <c r="P564" i="1"/>
  <c r="L564" i="1"/>
  <c r="G564" i="1"/>
  <c r="V563" i="1"/>
  <c r="W563" i="1" s="1"/>
  <c r="U563" i="1"/>
  <c r="P563" i="1"/>
  <c r="L563" i="1"/>
  <c r="K563" i="1"/>
  <c r="G563" i="1"/>
  <c r="M563" i="1" s="1"/>
  <c r="N563" i="1" s="1"/>
  <c r="W562" i="1"/>
  <c r="V562" i="1"/>
  <c r="U562" i="1"/>
  <c r="P562" i="1"/>
  <c r="L562" i="1"/>
  <c r="M562" i="1" s="1"/>
  <c r="N562" i="1" s="1"/>
  <c r="G562" i="1"/>
  <c r="K562" i="1" s="1"/>
  <c r="V561" i="1"/>
  <c r="W561" i="1" s="1"/>
  <c r="U561" i="1"/>
  <c r="P561" i="1"/>
  <c r="M561" i="1"/>
  <c r="N561" i="1" s="1"/>
  <c r="L561" i="1"/>
  <c r="K561" i="1"/>
  <c r="G561" i="1"/>
  <c r="W560" i="1"/>
  <c r="V560" i="1"/>
  <c r="U560" i="1"/>
  <c r="P560" i="1"/>
  <c r="N560" i="1"/>
  <c r="L560" i="1"/>
  <c r="G560" i="1"/>
  <c r="M560" i="1" s="1"/>
  <c r="W559" i="1"/>
  <c r="V559" i="1"/>
  <c r="U559" i="1"/>
  <c r="P559" i="1"/>
  <c r="M559" i="1"/>
  <c r="N559" i="1" s="1"/>
  <c r="L559" i="1"/>
  <c r="K559" i="1"/>
  <c r="G559" i="1"/>
  <c r="V558" i="1"/>
  <c r="W558" i="1" s="1"/>
  <c r="U558" i="1"/>
  <c r="P558" i="1"/>
  <c r="L558" i="1"/>
  <c r="M558" i="1" s="1"/>
  <c r="N558" i="1" s="1"/>
  <c r="K558" i="1"/>
  <c r="G558" i="1"/>
  <c r="V557" i="1"/>
  <c r="W557" i="1" s="1"/>
  <c r="U557" i="1"/>
  <c r="P557" i="1"/>
  <c r="L557" i="1"/>
  <c r="G557" i="1"/>
  <c r="M557" i="1" s="1"/>
  <c r="N557" i="1" s="1"/>
  <c r="W556" i="1"/>
  <c r="V556" i="1"/>
  <c r="U556" i="1"/>
  <c r="P556" i="1"/>
  <c r="L556" i="1"/>
  <c r="G556" i="1"/>
  <c r="V555" i="1"/>
  <c r="W555" i="1" s="1"/>
  <c r="U555" i="1"/>
  <c r="P555" i="1"/>
  <c r="L555" i="1"/>
  <c r="K555" i="1"/>
  <c r="G555" i="1"/>
  <c r="M555" i="1" s="1"/>
  <c r="N555" i="1" s="1"/>
  <c r="W554" i="1"/>
  <c r="V554" i="1"/>
  <c r="U554" i="1"/>
  <c r="P554" i="1"/>
  <c r="L554" i="1"/>
  <c r="M554" i="1" s="1"/>
  <c r="N554" i="1" s="1"/>
  <c r="G554" i="1"/>
  <c r="K554" i="1" s="1"/>
  <c r="V553" i="1"/>
  <c r="W553" i="1" s="1"/>
  <c r="U553" i="1"/>
  <c r="P553" i="1"/>
  <c r="M553" i="1"/>
  <c r="N553" i="1" s="1"/>
  <c r="L553" i="1"/>
  <c r="K553" i="1"/>
  <c r="G553" i="1"/>
  <c r="W552" i="1"/>
  <c r="V552" i="1"/>
  <c r="U552" i="1"/>
  <c r="P552" i="1"/>
  <c r="N552" i="1"/>
  <c r="L552" i="1"/>
  <c r="G552" i="1"/>
  <c r="M552" i="1" s="1"/>
  <c r="W551" i="1"/>
  <c r="V551" i="1"/>
  <c r="U551" i="1"/>
  <c r="P551" i="1"/>
  <c r="M551" i="1"/>
  <c r="N551" i="1" s="1"/>
  <c r="L551" i="1"/>
  <c r="K551" i="1"/>
  <c r="G551" i="1"/>
  <c r="V550" i="1"/>
  <c r="W550" i="1" s="1"/>
  <c r="U550" i="1"/>
  <c r="P550" i="1"/>
  <c r="L550" i="1"/>
  <c r="M550" i="1" s="1"/>
  <c r="N550" i="1" s="1"/>
  <c r="K550" i="1"/>
  <c r="G550" i="1"/>
  <c r="V549" i="1"/>
  <c r="W549" i="1" s="1"/>
  <c r="U549" i="1"/>
  <c r="P549" i="1"/>
  <c r="L549" i="1"/>
  <c r="G549" i="1"/>
  <c r="M549" i="1" s="1"/>
  <c r="N549" i="1" s="1"/>
  <c r="W548" i="1"/>
  <c r="V548" i="1"/>
  <c r="U548" i="1"/>
  <c r="P548" i="1"/>
  <c r="L548" i="1"/>
  <c r="G548" i="1"/>
  <c r="V547" i="1"/>
  <c r="W547" i="1" s="1"/>
  <c r="U547" i="1"/>
  <c r="P547" i="1"/>
  <c r="L547" i="1"/>
  <c r="K547" i="1"/>
  <c r="G547" i="1"/>
  <c r="M547" i="1" s="1"/>
  <c r="N547" i="1" s="1"/>
  <c r="W546" i="1"/>
  <c r="V546" i="1"/>
  <c r="U546" i="1"/>
  <c r="P546" i="1"/>
  <c r="L546" i="1"/>
  <c r="M546" i="1" s="1"/>
  <c r="N546" i="1" s="1"/>
  <c r="G546" i="1"/>
  <c r="K546" i="1" s="1"/>
  <c r="V545" i="1"/>
  <c r="W545" i="1" s="1"/>
  <c r="U545" i="1"/>
  <c r="P545" i="1"/>
  <c r="M545" i="1"/>
  <c r="N545" i="1" s="1"/>
  <c r="L545" i="1"/>
  <c r="K545" i="1"/>
  <c r="G545" i="1"/>
  <c r="W544" i="1"/>
  <c r="V544" i="1"/>
  <c r="U544" i="1"/>
  <c r="P544" i="1"/>
  <c r="L544" i="1"/>
  <c r="G544" i="1"/>
  <c r="M544" i="1" s="1"/>
  <c r="N544" i="1" s="1"/>
  <c r="W543" i="1"/>
  <c r="V543" i="1"/>
  <c r="U543" i="1"/>
  <c r="P543" i="1"/>
  <c r="M543" i="1"/>
  <c r="N543" i="1" s="1"/>
  <c r="L543" i="1"/>
  <c r="K543" i="1"/>
  <c r="G543" i="1"/>
  <c r="V542" i="1"/>
  <c r="W542" i="1" s="1"/>
  <c r="U542" i="1"/>
  <c r="P542" i="1"/>
  <c r="L542" i="1"/>
  <c r="M542" i="1" s="1"/>
  <c r="N542" i="1" s="1"/>
  <c r="K542" i="1"/>
  <c r="G542" i="1"/>
  <c r="V541" i="1"/>
  <c r="W541" i="1" s="1"/>
  <c r="U541" i="1"/>
  <c r="P541" i="1"/>
  <c r="L541" i="1"/>
  <c r="G541" i="1"/>
  <c r="M541" i="1" s="1"/>
  <c r="N541" i="1" s="1"/>
  <c r="W540" i="1"/>
  <c r="V540" i="1"/>
  <c r="U540" i="1"/>
  <c r="P540" i="1"/>
  <c r="L540" i="1"/>
  <c r="G540" i="1"/>
  <c r="V539" i="1"/>
  <c r="W539" i="1" s="1"/>
  <c r="U539" i="1"/>
  <c r="P539" i="1"/>
  <c r="L539" i="1"/>
  <c r="K539" i="1"/>
  <c r="G539" i="1"/>
  <c r="M539" i="1" s="1"/>
  <c r="N539" i="1" s="1"/>
  <c r="W538" i="1"/>
  <c r="V538" i="1"/>
  <c r="U538" i="1"/>
  <c r="P538" i="1"/>
  <c r="L538" i="1"/>
  <c r="M538" i="1" s="1"/>
  <c r="N538" i="1" s="1"/>
  <c r="G538" i="1"/>
  <c r="K538" i="1" s="1"/>
  <c r="V537" i="1"/>
  <c r="W537" i="1" s="1"/>
  <c r="U537" i="1"/>
  <c r="P537" i="1"/>
  <c r="M537" i="1"/>
  <c r="N537" i="1" s="1"/>
  <c r="L537" i="1"/>
  <c r="K537" i="1"/>
  <c r="G537" i="1"/>
  <c r="W536" i="1"/>
  <c r="V536" i="1"/>
  <c r="U536" i="1"/>
  <c r="P536" i="1"/>
  <c r="L536" i="1"/>
  <c r="G536" i="1"/>
  <c r="M536" i="1" s="1"/>
  <c r="N536" i="1" s="1"/>
  <c r="W535" i="1"/>
  <c r="V535" i="1"/>
  <c r="U535" i="1"/>
  <c r="P535" i="1"/>
  <c r="M535" i="1"/>
  <c r="N535" i="1" s="1"/>
  <c r="L535" i="1"/>
  <c r="K535" i="1"/>
  <c r="G535" i="1"/>
  <c r="V534" i="1"/>
  <c r="W534" i="1" s="1"/>
  <c r="U534" i="1"/>
  <c r="P534" i="1"/>
  <c r="L534" i="1"/>
  <c r="M534" i="1" s="1"/>
  <c r="N534" i="1" s="1"/>
  <c r="K534" i="1"/>
  <c r="G534" i="1"/>
  <c r="V533" i="1"/>
  <c r="W533" i="1" s="1"/>
  <c r="U533" i="1"/>
  <c r="P533" i="1"/>
  <c r="L533" i="1"/>
  <c r="G533" i="1"/>
  <c r="M533" i="1" s="1"/>
  <c r="N533" i="1" s="1"/>
  <c r="W532" i="1"/>
  <c r="V532" i="1"/>
  <c r="U532" i="1"/>
  <c r="P532" i="1"/>
  <c r="L532" i="1"/>
  <c r="G532" i="1"/>
  <c r="V531" i="1"/>
  <c r="W531" i="1" s="1"/>
  <c r="U531" i="1"/>
  <c r="P531" i="1"/>
  <c r="L531" i="1"/>
  <c r="K531" i="1"/>
  <c r="G531" i="1"/>
  <c r="M531" i="1" s="1"/>
  <c r="N531" i="1" s="1"/>
  <c r="W530" i="1"/>
  <c r="V530" i="1"/>
  <c r="U530" i="1"/>
  <c r="P530" i="1"/>
  <c r="L530" i="1"/>
  <c r="M530" i="1" s="1"/>
  <c r="N530" i="1" s="1"/>
  <c r="G530" i="1"/>
  <c r="K530" i="1" s="1"/>
  <c r="V529" i="1"/>
  <c r="W529" i="1" s="1"/>
  <c r="U529" i="1"/>
  <c r="P529" i="1"/>
  <c r="M529" i="1"/>
  <c r="N529" i="1" s="1"/>
  <c r="L529" i="1"/>
  <c r="K529" i="1"/>
  <c r="G529" i="1"/>
  <c r="W528" i="1"/>
  <c r="V528" i="1"/>
  <c r="U528" i="1"/>
  <c r="P528" i="1"/>
  <c r="N528" i="1"/>
  <c r="L528" i="1"/>
  <c r="G528" i="1"/>
  <c r="M528" i="1" s="1"/>
  <c r="W527" i="1"/>
  <c r="V527" i="1"/>
  <c r="U527" i="1"/>
  <c r="P527" i="1"/>
  <c r="M527" i="1"/>
  <c r="N527" i="1" s="1"/>
  <c r="L527" i="1"/>
  <c r="K527" i="1"/>
  <c r="G527" i="1"/>
  <c r="V526" i="1"/>
  <c r="W526" i="1" s="1"/>
  <c r="U526" i="1"/>
  <c r="P526" i="1"/>
  <c r="L526" i="1"/>
  <c r="M526" i="1" s="1"/>
  <c r="N526" i="1" s="1"/>
  <c r="K526" i="1"/>
  <c r="G526" i="1"/>
  <c r="V525" i="1"/>
  <c r="W525" i="1" s="1"/>
  <c r="U525" i="1"/>
  <c r="P525" i="1"/>
  <c r="L525" i="1"/>
  <c r="G525" i="1"/>
  <c r="M525" i="1" s="1"/>
  <c r="N525" i="1" s="1"/>
  <c r="W524" i="1"/>
  <c r="V524" i="1"/>
  <c r="U524" i="1"/>
  <c r="P524" i="1"/>
  <c r="L524" i="1"/>
  <c r="K524" i="1"/>
  <c r="G524" i="1"/>
  <c r="M524" i="1" s="1"/>
  <c r="N524" i="1" s="1"/>
  <c r="V523" i="1"/>
  <c r="W523" i="1" s="1"/>
  <c r="U523" i="1"/>
  <c r="P523" i="1"/>
  <c r="L523" i="1"/>
  <c r="K523" i="1"/>
  <c r="G523" i="1"/>
  <c r="W522" i="1"/>
  <c r="V522" i="1"/>
  <c r="U522" i="1"/>
  <c r="P522" i="1"/>
  <c r="M522" i="1"/>
  <c r="N522" i="1" s="1"/>
  <c r="L522" i="1"/>
  <c r="G522" i="1"/>
  <c r="K522" i="1" s="1"/>
  <c r="V521" i="1"/>
  <c r="W521" i="1" s="1"/>
  <c r="U521" i="1"/>
  <c r="P521" i="1"/>
  <c r="M521" i="1"/>
  <c r="N521" i="1" s="1"/>
  <c r="L521" i="1"/>
  <c r="K521" i="1"/>
  <c r="G521" i="1"/>
  <c r="W520" i="1"/>
  <c r="V520" i="1"/>
  <c r="U520" i="1"/>
  <c r="P520" i="1"/>
  <c r="L520" i="1"/>
  <c r="G520" i="1"/>
  <c r="M520" i="1" s="1"/>
  <c r="N520" i="1" s="1"/>
  <c r="W519" i="1"/>
  <c r="V519" i="1"/>
  <c r="U519" i="1"/>
  <c r="P519" i="1"/>
  <c r="M519" i="1"/>
  <c r="N519" i="1" s="1"/>
  <c r="L519" i="1"/>
  <c r="K519" i="1"/>
  <c r="G519" i="1"/>
  <c r="V518" i="1"/>
  <c r="W518" i="1" s="1"/>
  <c r="U518" i="1"/>
  <c r="P518" i="1"/>
  <c r="L518" i="1"/>
  <c r="M518" i="1" s="1"/>
  <c r="N518" i="1" s="1"/>
  <c r="K518" i="1"/>
  <c r="G518" i="1"/>
  <c r="W517" i="1"/>
  <c r="V517" i="1"/>
  <c r="U517" i="1"/>
  <c r="P517" i="1"/>
  <c r="L517" i="1"/>
  <c r="G517" i="1"/>
  <c r="W516" i="1"/>
  <c r="V516" i="1"/>
  <c r="U516" i="1"/>
  <c r="P516" i="1"/>
  <c r="L516" i="1"/>
  <c r="G516" i="1"/>
  <c r="M516" i="1" s="1"/>
  <c r="N516" i="1" s="1"/>
  <c r="V515" i="1"/>
  <c r="W515" i="1" s="1"/>
  <c r="U515" i="1"/>
  <c r="P515" i="1"/>
  <c r="L515" i="1"/>
  <c r="K515" i="1"/>
  <c r="G515" i="1"/>
  <c r="W514" i="1"/>
  <c r="V514" i="1"/>
  <c r="U514" i="1"/>
  <c r="P514" i="1"/>
  <c r="L514" i="1"/>
  <c r="G514" i="1"/>
  <c r="K514" i="1" s="1"/>
  <c r="V513" i="1"/>
  <c r="W513" i="1" s="1"/>
  <c r="U513" i="1"/>
  <c r="P513" i="1"/>
  <c r="N513" i="1"/>
  <c r="M513" i="1"/>
  <c r="L513" i="1"/>
  <c r="K513" i="1"/>
  <c r="G513" i="1"/>
  <c r="W512" i="1"/>
  <c r="V512" i="1"/>
  <c r="U512" i="1"/>
  <c r="P512" i="1"/>
  <c r="L512" i="1"/>
  <c r="G512" i="1"/>
  <c r="W511" i="1"/>
  <c r="V511" i="1"/>
  <c r="U511" i="1"/>
  <c r="P511" i="1"/>
  <c r="M511" i="1"/>
  <c r="N511" i="1" s="1"/>
  <c r="L511" i="1"/>
  <c r="K511" i="1"/>
  <c r="G511" i="1"/>
  <c r="V510" i="1"/>
  <c r="W510" i="1" s="1"/>
  <c r="U510" i="1"/>
  <c r="P510" i="1"/>
  <c r="N510" i="1"/>
  <c r="L510" i="1"/>
  <c r="M510" i="1" s="1"/>
  <c r="K510" i="1"/>
  <c r="G510" i="1"/>
  <c r="W509" i="1"/>
  <c r="V509" i="1"/>
  <c r="U509" i="1"/>
  <c r="P509" i="1"/>
  <c r="M509" i="1"/>
  <c r="N509" i="1" s="1"/>
  <c r="L509" i="1"/>
  <c r="G509" i="1"/>
  <c r="K509" i="1" s="1"/>
  <c r="W508" i="1"/>
  <c r="V508" i="1"/>
  <c r="U508" i="1"/>
  <c r="P508" i="1"/>
  <c r="N508" i="1"/>
  <c r="L508" i="1"/>
  <c r="K508" i="1"/>
  <c r="G508" i="1"/>
  <c r="M508" i="1" s="1"/>
  <c r="V507" i="1"/>
  <c r="W507" i="1" s="1"/>
  <c r="U507" i="1"/>
  <c r="P507" i="1"/>
  <c r="L507" i="1"/>
  <c r="K507" i="1"/>
  <c r="G507" i="1"/>
  <c r="M507" i="1" s="1"/>
  <c r="N507" i="1" s="1"/>
  <c r="W506" i="1"/>
  <c r="V506" i="1"/>
  <c r="U506" i="1"/>
  <c r="P506" i="1"/>
  <c r="M506" i="1"/>
  <c r="N506" i="1" s="1"/>
  <c r="L506" i="1"/>
  <c r="G506" i="1"/>
  <c r="K506" i="1" s="1"/>
  <c r="V505" i="1"/>
  <c r="W505" i="1" s="1"/>
  <c r="U505" i="1"/>
  <c r="P505" i="1"/>
  <c r="M505" i="1"/>
  <c r="N505" i="1" s="1"/>
  <c r="L505" i="1"/>
  <c r="K505" i="1"/>
  <c r="G505" i="1"/>
  <c r="W504" i="1"/>
  <c r="V504" i="1"/>
  <c r="U504" i="1"/>
  <c r="P504" i="1"/>
  <c r="L504" i="1"/>
  <c r="G504" i="1"/>
  <c r="W503" i="1"/>
  <c r="V503" i="1"/>
  <c r="U503" i="1"/>
  <c r="P503" i="1"/>
  <c r="M503" i="1"/>
  <c r="N503" i="1" s="1"/>
  <c r="L503" i="1"/>
  <c r="K503" i="1"/>
  <c r="G503" i="1"/>
  <c r="V502" i="1"/>
  <c r="W502" i="1" s="1"/>
  <c r="U502" i="1"/>
  <c r="P502" i="1"/>
  <c r="L502" i="1"/>
  <c r="M502" i="1" s="1"/>
  <c r="N502" i="1" s="1"/>
  <c r="K502" i="1"/>
  <c r="G502" i="1"/>
  <c r="W501" i="1"/>
  <c r="V501" i="1"/>
  <c r="U501" i="1"/>
  <c r="P501" i="1"/>
  <c r="L501" i="1"/>
  <c r="G501" i="1"/>
  <c r="K501" i="1" s="1"/>
  <c r="W500" i="1"/>
  <c r="V500" i="1"/>
  <c r="U500" i="1"/>
  <c r="P500" i="1"/>
  <c r="L500" i="1"/>
  <c r="K500" i="1"/>
  <c r="G500" i="1"/>
  <c r="M500" i="1" s="1"/>
  <c r="N500" i="1" s="1"/>
  <c r="V499" i="1"/>
  <c r="W499" i="1" s="1"/>
  <c r="U499" i="1"/>
  <c r="P499" i="1"/>
  <c r="L499" i="1"/>
  <c r="K499" i="1"/>
  <c r="G499" i="1"/>
  <c r="M499" i="1" s="1"/>
  <c r="N499" i="1" s="1"/>
  <c r="W498" i="1"/>
  <c r="V498" i="1"/>
  <c r="U498" i="1"/>
  <c r="P498" i="1"/>
  <c r="L498" i="1"/>
  <c r="K498" i="1"/>
  <c r="G498" i="1"/>
  <c r="M498" i="1" s="1"/>
  <c r="N498" i="1" s="1"/>
  <c r="V497" i="1"/>
  <c r="W497" i="1" s="1"/>
  <c r="U497" i="1"/>
  <c r="P497" i="1"/>
  <c r="L497" i="1"/>
  <c r="M497" i="1" s="1"/>
  <c r="N497" i="1" s="1"/>
  <c r="K497" i="1"/>
  <c r="G497" i="1"/>
  <c r="V496" i="1"/>
  <c r="W496" i="1" s="1"/>
  <c r="U496" i="1"/>
  <c r="P496" i="1"/>
  <c r="L496" i="1"/>
  <c r="G496" i="1"/>
  <c r="K496" i="1" s="1"/>
  <c r="W495" i="1"/>
  <c r="V495" i="1"/>
  <c r="U495" i="1"/>
  <c r="P495" i="1"/>
  <c r="L495" i="1"/>
  <c r="K495" i="1"/>
  <c r="G495" i="1"/>
  <c r="M495" i="1" s="1"/>
  <c r="N495" i="1" s="1"/>
  <c r="V494" i="1"/>
  <c r="W494" i="1" s="1"/>
  <c r="U494" i="1"/>
  <c r="P494" i="1"/>
  <c r="L494" i="1"/>
  <c r="M494" i="1" s="1"/>
  <c r="N494" i="1" s="1"/>
  <c r="K494" i="1"/>
  <c r="G494" i="1"/>
  <c r="V493" i="1"/>
  <c r="W493" i="1" s="1"/>
  <c r="U493" i="1"/>
  <c r="P493" i="1"/>
  <c r="L493" i="1"/>
  <c r="G493" i="1"/>
  <c r="K493" i="1" s="1"/>
  <c r="W492" i="1"/>
  <c r="V492" i="1"/>
  <c r="U492" i="1"/>
  <c r="P492" i="1"/>
  <c r="L492" i="1"/>
  <c r="K492" i="1"/>
  <c r="G492" i="1"/>
  <c r="M492" i="1" s="1"/>
  <c r="N492" i="1" s="1"/>
  <c r="V491" i="1"/>
  <c r="W491" i="1" s="1"/>
  <c r="U491" i="1"/>
  <c r="P491" i="1"/>
  <c r="L491" i="1"/>
  <c r="K491" i="1"/>
  <c r="G491" i="1"/>
  <c r="M491" i="1" s="1"/>
  <c r="N491" i="1" s="1"/>
  <c r="W490" i="1"/>
  <c r="V490" i="1"/>
  <c r="U490" i="1"/>
  <c r="P490" i="1"/>
  <c r="L490" i="1"/>
  <c r="K490" i="1"/>
  <c r="G490" i="1"/>
  <c r="M490" i="1" s="1"/>
  <c r="N490" i="1" s="1"/>
  <c r="V489" i="1"/>
  <c r="W489" i="1" s="1"/>
  <c r="U489" i="1"/>
  <c r="P489" i="1"/>
  <c r="L489" i="1"/>
  <c r="M489" i="1" s="1"/>
  <c r="N489" i="1" s="1"/>
  <c r="K489" i="1"/>
  <c r="G489" i="1"/>
  <c r="V488" i="1"/>
  <c r="W488" i="1" s="1"/>
  <c r="U488" i="1"/>
  <c r="P488" i="1"/>
  <c r="L488" i="1"/>
  <c r="G488" i="1"/>
  <c r="K488" i="1" s="1"/>
  <c r="W487" i="1"/>
  <c r="V487" i="1"/>
  <c r="U487" i="1"/>
  <c r="P487" i="1"/>
  <c r="L487" i="1"/>
  <c r="K487" i="1"/>
  <c r="G487" i="1"/>
  <c r="M487" i="1" s="1"/>
  <c r="N487" i="1" s="1"/>
  <c r="V486" i="1"/>
  <c r="W486" i="1" s="1"/>
  <c r="U486" i="1"/>
  <c r="P486" i="1"/>
  <c r="L486" i="1"/>
  <c r="M486" i="1" s="1"/>
  <c r="N486" i="1" s="1"/>
  <c r="K486" i="1"/>
  <c r="G486" i="1"/>
  <c r="V485" i="1"/>
  <c r="W485" i="1" s="1"/>
  <c r="U485" i="1"/>
  <c r="P485" i="1"/>
  <c r="L485" i="1"/>
  <c r="G485" i="1"/>
  <c r="K485" i="1" s="1"/>
  <c r="W484" i="1"/>
  <c r="V484" i="1"/>
  <c r="U484" i="1"/>
  <c r="P484" i="1"/>
  <c r="L484" i="1"/>
  <c r="K484" i="1"/>
  <c r="G484" i="1"/>
  <c r="M484" i="1" s="1"/>
  <c r="N484" i="1" s="1"/>
  <c r="V483" i="1"/>
  <c r="W483" i="1" s="1"/>
  <c r="U483" i="1"/>
  <c r="P483" i="1"/>
  <c r="L483" i="1"/>
  <c r="K483" i="1"/>
  <c r="G483" i="1"/>
  <c r="M483" i="1" s="1"/>
  <c r="N483" i="1" s="1"/>
  <c r="W482" i="1"/>
  <c r="V482" i="1"/>
  <c r="U482" i="1"/>
  <c r="P482" i="1"/>
  <c r="L482" i="1"/>
  <c r="K482" i="1"/>
  <c r="G482" i="1"/>
  <c r="M482" i="1" s="1"/>
  <c r="N482" i="1" s="1"/>
  <c r="V481" i="1"/>
  <c r="W481" i="1" s="1"/>
  <c r="U481" i="1"/>
  <c r="P481" i="1"/>
  <c r="L481" i="1"/>
  <c r="M481" i="1" s="1"/>
  <c r="N481" i="1" s="1"/>
  <c r="K481" i="1"/>
  <c r="G481" i="1"/>
  <c r="V480" i="1"/>
  <c r="W480" i="1" s="1"/>
  <c r="U480" i="1"/>
  <c r="P480" i="1"/>
  <c r="L480" i="1"/>
  <c r="G480" i="1"/>
  <c r="K480" i="1" s="1"/>
  <c r="W479" i="1"/>
  <c r="V479" i="1"/>
  <c r="U479" i="1"/>
  <c r="P479" i="1"/>
  <c r="L479" i="1"/>
  <c r="K479" i="1"/>
  <c r="G479" i="1"/>
  <c r="M479" i="1" s="1"/>
  <c r="N479" i="1" s="1"/>
  <c r="V478" i="1"/>
  <c r="W478" i="1" s="1"/>
  <c r="U478" i="1"/>
  <c r="P478" i="1"/>
  <c r="L478" i="1"/>
  <c r="K478" i="1"/>
  <c r="G478" i="1"/>
  <c r="M478" i="1" s="1"/>
  <c r="N478" i="1" s="1"/>
  <c r="V477" i="1"/>
  <c r="W477" i="1" s="1"/>
  <c r="U477" i="1"/>
  <c r="P477" i="1"/>
  <c r="L477" i="1"/>
  <c r="G477" i="1"/>
  <c r="K477" i="1" s="1"/>
  <c r="W476" i="1"/>
  <c r="V476" i="1"/>
  <c r="U476" i="1"/>
  <c r="P476" i="1"/>
  <c r="L476" i="1"/>
  <c r="K476" i="1"/>
  <c r="G476" i="1"/>
  <c r="M476" i="1" s="1"/>
  <c r="N476" i="1" s="1"/>
  <c r="V475" i="1"/>
  <c r="W475" i="1" s="1"/>
  <c r="U475" i="1"/>
  <c r="P475" i="1"/>
  <c r="L475" i="1"/>
  <c r="K475" i="1"/>
  <c r="G475" i="1"/>
  <c r="M475" i="1" s="1"/>
  <c r="N475" i="1" s="1"/>
  <c r="W474" i="1"/>
  <c r="V474" i="1"/>
  <c r="U474" i="1"/>
  <c r="P474" i="1"/>
  <c r="L474" i="1"/>
  <c r="K474" i="1"/>
  <c r="G474" i="1"/>
  <c r="M474" i="1" s="1"/>
  <c r="N474" i="1" s="1"/>
  <c r="V473" i="1"/>
  <c r="W473" i="1" s="1"/>
  <c r="U473" i="1"/>
  <c r="P473" i="1"/>
  <c r="L473" i="1"/>
  <c r="M473" i="1" s="1"/>
  <c r="N473" i="1" s="1"/>
  <c r="K473" i="1"/>
  <c r="G473" i="1"/>
  <c r="V472" i="1"/>
  <c r="W472" i="1" s="1"/>
  <c r="U472" i="1"/>
  <c r="P472" i="1"/>
  <c r="L472" i="1"/>
  <c r="G472" i="1"/>
  <c r="K472" i="1" s="1"/>
  <c r="W471" i="1"/>
  <c r="V471" i="1"/>
  <c r="U471" i="1"/>
  <c r="P471" i="1"/>
  <c r="L471" i="1"/>
  <c r="K471" i="1"/>
  <c r="G471" i="1"/>
  <c r="M471" i="1" s="1"/>
  <c r="N471" i="1" s="1"/>
  <c r="V470" i="1"/>
  <c r="W470" i="1" s="1"/>
  <c r="U470" i="1"/>
  <c r="P470" i="1"/>
  <c r="L470" i="1"/>
  <c r="K470" i="1"/>
  <c r="G470" i="1"/>
  <c r="M470" i="1" s="1"/>
  <c r="N470" i="1" s="1"/>
  <c r="V469" i="1"/>
  <c r="W469" i="1" s="1"/>
  <c r="U469" i="1"/>
  <c r="P469" i="1"/>
  <c r="L469" i="1"/>
  <c r="G469" i="1"/>
  <c r="K469" i="1" s="1"/>
  <c r="W468" i="1"/>
  <c r="V468" i="1"/>
  <c r="U468" i="1"/>
  <c r="P468" i="1"/>
  <c r="L468" i="1"/>
  <c r="K468" i="1"/>
  <c r="G468" i="1"/>
  <c r="M468" i="1" s="1"/>
  <c r="N468" i="1" s="1"/>
  <c r="V467" i="1"/>
  <c r="W467" i="1" s="1"/>
  <c r="U467" i="1"/>
  <c r="P467" i="1"/>
  <c r="L467" i="1"/>
  <c r="K467" i="1"/>
  <c r="G467" i="1"/>
  <c r="M467" i="1" s="1"/>
  <c r="N467" i="1" s="1"/>
  <c r="W466" i="1"/>
  <c r="V466" i="1"/>
  <c r="U466" i="1"/>
  <c r="P466" i="1"/>
  <c r="L466" i="1"/>
  <c r="K466" i="1"/>
  <c r="G466" i="1"/>
  <c r="M466" i="1" s="1"/>
  <c r="N466" i="1" s="1"/>
  <c r="V465" i="1"/>
  <c r="W465" i="1" s="1"/>
  <c r="U465" i="1"/>
  <c r="P465" i="1"/>
  <c r="L465" i="1"/>
  <c r="M465" i="1" s="1"/>
  <c r="N465" i="1" s="1"/>
  <c r="K465" i="1"/>
  <c r="G465" i="1"/>
  <c r="V464" i="1"/>
  <c r="W464" i="1" s="1"/>
  <c r="U464" i="1"/>
  <c r="P464" i="1"/>
  <c r="L464" i="1"/>
  <c r="G464" i="1"/>
  <c r="K464" i="1" s="1"/>
  <c r="W463" i="1"/>
  <c r="V463" i="1"/>
  <c r="U463" i="1"/>
  <c r="P463" i="1"/>
  <c r="L463" i="1"/>
  <c r="K463" i="1"/>
  <c r="G463" i="1"/>
  <c r="M463" i="1" s="1"/>
  <c r="N463" i="1" s="1"/>
  <c r="V462" i="1"/>
  <c r="W462" i="1" s="1"/>
  <c r="U462" i="1"/>
  <c r="P462" i="1"/>
  <c r="L462" i="1"/>
  <c r="K462" i="1"/>
  <c r="G462" i="1"/>
  <c r="M462" i="1" s="1"/>
  <c r="N462" i="1" s="1"/>
  <c r="V461" i="1"/>
  <c r="W461" i="1" s="1"/>
  <c r="U461" i="1"/>
  <c r="P461" i="1"/>
  <c r="L461" i="1"/>
  <c r="G461" i="1"/>
  <c r="K461" i="1" s="1"/>
  <c r="W460" i="1"/>
  <c r="V460" i="1"/>
  <c r="U460" i="1"/>
  <c r="P460" i="1"/>
  <c r="L460" i="1"/>
  <c r="K460" i="1"/>
  <c r="G460" i="1"/>
  <c r="M460" i="1" s="1"/>
  <c r="N460" i="1" s="1"/>
  <c r="V459" i="1"/>
  <c r="W459" i="1" s="1"/>
  <c r="U459" i="1"/>
  <c r="P459" i="1"/>
  <c r="L459" i="1"/>
  <c r="K459" i="1"/>
  <c r="G459" i="1"/>
  <c r="M459" i="1" s="1"/>
  <c r="N459" i="1" s="1"/>
  <c r="W458" i="1"/>
  <c r="V458" i="1"/>
  <c r="U458" i="1"/>
  <c r="P458" i="1"/>
  <c r="L458" i="1"/>
  <c r="K458" i="1"/>
  <c r="G458" i="1"/>
  <c r="M458" i="1" s="1"/>
  <c r="N458" i="1" s="1"/>
  <c r="V457" i="1"/>
  <c r="W457" i="1" s="1"/>
  <c r="U457" i="1"/>
  <c r="P457" i="1"/>
  <c r="L457" i="1"/>
  <c r="M457" i="1" s="1"/>
  <c r="N457" i="1" s="1"/>
  <c r="K457" i="1"/>
  <c r="G457" i="1"/>
  <c r="V456" i="1"/>
  <c r="W456" i="1" s="1"/>
  <c r="U456" i="1"/>
  <c r="P456" i="1"/>
  <c r="L456" i="1"/>
  <c r="G456" i="1"/>
  <c r="K456" i="1" s="1"/>
  <c r="W455" i="1"/>
  <c r="V455" i="1"/>
  <c r="U455" i="1"/>
  <c r="P455" i="1"/>
  <c r="L455" i="1"/>
  <c r="K455" i="1"/>
  <c r="G455" i="1"/>
  <c r="M455" i="1" s="1"/>
  <c r="N455" i="1" s="1"/>
  <c r="V454" i="1"/>
  <c r="W454" i="1" s="1"/>
  <c r="U454" i="1"/>
  <c r="P454" i="1"/>
  <c r="L454" i="1"/>
  <c r="K454" i="1"/>
  <c r="G454" i="1"/>
  <c r="M454" i="1" s="1"/>
  <c r="N454" i="1" s="1"/>
  <c r="V453" i="1"/>
  <c r="W453" i="1" s="1"/>
  <c r="U453" i="1"/>
  <c r="P453" i="1"/>
  <c r="L453" i="1"/>
  <c r="G453" i="1"/>
  <c r="K453" i="1" s="1"/>
  <c r="W452" i="1"/>
  <c r="V452" i="1"/>
  <c r="U452" i="1"/>
  <c r="P452" i="1"/>
  <c r="L452" i="1"/>
  <c r="K452" i="1"/>
  <c r="G452" i="1"/>
  <c r="M452" i="1" s="1"/>
  <c r="N452" i="1" s="1"/>
  <c r="V451" i="1"/>
  <c r="W451" i="1" s="1"/>
  <c r="U451" i="1"/>
  <c r="P451" i="1"/>
  <c r="L451" i="1"/>
  <c r="K451" i="1"/>
  <c r="G451" i="1"/>
  <c r="M451" i="1" s="1"/>
  <c r="N451" i="1" s="1"/>
  <c r="W450" i="1"/>
  <c r="V450" i="1"/>
  <c r="U450" i="1"/>
  <c r="P450" i="1"/>
  <c r="L450" i="1"/>
  <c r="G450" i="1"/>
  <c r="M450" i="1" s="1"/>
  <c r="N450" i="1" s="1"/>
  <c r="V449" i="1"/>
  <c r="W449" i="1" s="1"/>
  <c r="U449" i="1"/>
  <c r="P449" i="1"/>
  <c r="L449" i="1"/>
  <c r="G449" i="1"/>
  <c r="M449" i="1" s="1"/>
  <c r="N449" i="1" s="1"/>
  <c r="W448" i="1"/>
  <c r="V448" i="1"/>
  <c r="U448" i="1"/>
  <c r="P448" i="1"/>
  <c r="L448" i="1"/>
  <c r="G448" i="1"/>
  <c r="M448" i="1" s="1"/>
  <c r="N448" i="1" s="1"/>
  <c r="W447" i="1"/>
  <c r="V447" i="1"/>
  <c r="U447" i="1"/>
  <c r="P447" i="1"/>
  <c r="L447" i="1"/>
  <c r="K447" i="1"/>
  <c r="G447" i="1"/>
  <c r="M447" i="1" s="1"/>
  <c r="N447" i="1" s="1"/>
  <c r="V446" i="1"/>
  <c r="W446" i="1" s="1"/>
  <c r="U446" i="1"/>
  <c r="P446" i="1"/>
  <c r="L446" i="1"/>
  <c r="M446" i="1" s="1"/>
  <c r="N446" i="1" s="1"/>
  <c r="K446" i="1"/>
  <c r="G446" i="1"/>
  <c r="V445" i="1"/>
  <c r="W445" i="1" s="1"/>
  <c r="U445" i="1"/>
  <c r="P445" i="1"/>
  <c r="M445" i="1"/>
  <c r="N445" i="1" s="1"/>
  <c r="L445" i="1"/>
  <c r="G445" i="1"/>
  <c r="K445" i="1" s="1"/>
  <c r="W444" i="1"/>
  <c r="V444" i="1"/>
  <c r="U444" i="1"/>
  <c r="P444" i="1"/>
  <c r="N444" i="1"/>
  <c r="M444" i="1"/>
  <c r="L444" i="1"/>
  <c r="G444" i="1"/>
  <c r="K444" i="1" s="1"/>
  <c r="W443" i="1"/>
  <c r="V443" i="1"/>
  <c r="U443" i="1"/>
  <c r="P443" i="1"/>
  <c r="L443" i="1"/>
  <c r="K443" i="1"/>
  <c r="G443" i="1"/>
  <c r="M443" i="1" s="1"/>
  <c r="N443" i="1" s="1"/>
  <c r="V442" i="1"/>
  <c r="W442" i="1" s="1"/>
  <c r="U442" i="1"/>
  <c r="P442" i="1"/>
  <c r="L442" i="1"/>
  <c r="M442" i="1" s="1"/>
  <c r="N442" i="1" s="1"/>
  <c r="K442" i="1"/>
  <c r="G442" i="1"/>
  <c r="V441" i="1"/>
  <c r="W441" i="1" s="1"/>
  <c r="U441" i="1"/>
  <c r="P441" i="1"/>
  <c r="L441" i="1"/>
  <c r="G441" i="1"/>
  <c r="M441" i="1" s="1"/>
  <c r="N441" i="1" s="1"/>
  <c r="W440" i="1"/>
  <c r="V440" i="1"/>
  <c r="U440" i="1"/>
  <c r="P440" i="1"/>
  <c r="L440" i="1"/>
  <c r="G440" i="1"/>
  <c r="W439" i="1"/>
  <c r="V439" i="1"/>
  <c r="U439" i="1"/>
  <c r="P439" i="1"/>
  <c r="L439" i="1"/>
  <c r="K439" i="1"/>
  <c r="G439" i="1"/>
  <c r="M439" i="1" s="1"/>
  <c r="N439" i="1" s="1"/>
  <c r="V438" i="1"/>
  <c r="W438" i="1" s="1"/>
  <c r="U438" i="1"/>
  <c r="P438" i="1"/>
  <c r="L438" i="1"/>
  <c r="M438" i="1" s="1"/>
  <c r="N438" i="1" s="1"/>
  <c r="K438" i="1"/>
  <c r="G438" i="1"/>
  <c r="V437" i="1"/>
  <c r="W437" i="1" s="1"/>
  <c r="U437" i="1"/>
  <c r="P437" i="1"/>
  <c r="M437" i="1"/>
  <c r="N437" i="1" s="1"/>
  <c r="L437" i="1"/>
  <c r="G437" i="1"/>
  <c r="K437" i="1" s="1"/>
  <c r="W436" i="1"/>
  <c r="V436" i="1"/>
  <c r="U436" i="1"/>
  <c r="P436" i="1"/>
  <c r="N436" i="1"/>
  <c r="M436" i="1"/>
  <c r="L436" i="1"/>
  <c r="G436" i="1"/>
  <c r="K436" i="1" s="1"/>
  <c r="W435" i="1"/>
  <c r="V435" i="1"/>
  <c r="U435" i="1"/>
  <c r="P435" i="1"/>
  <c r="L435" i="1"/>
  <c r="K435" i="1"/>
  <c r="G435" i="1"/>
  <c r="M435" i="1" s="1"/>
  <c r="N435" i="1" s="1"/>
  <c r="V434" i="1"/>
  <c r="W434" i="1" s="1"/>
  <c r="U434" i="1"/>
  <c r="P434" i="1"/>
  <c r="L434" i="1"/>
  <c r="M434" i="1" s="1"/>
  <c r="N434" i="1" s="1"/>
  <c r="K434" i="1"/>
  <c r="G434" i="1"/>
  <c r="V433" i="1"/>
  <c r="W433" i="1" s="1"/>
  <c r="U433" i="1"/>
  <c r="P433" i="1"/>
  <c r="L433" i="1"/>
  <c r="G433" i="1"/>
  <c r="M433" i="1" s="1"/>
  <c r="N433" i="1" s="1"/>
  <c r="W432" i="1"/>
  <c r="V432" i="1"/>
  <c r="U432" i="1"/>
  <c r="P432" i="1"/>
  <c r="L432" i="1"/>
  <c r="G432" i="1"/>
  <c r="W431" i="1"/>
  <c r="V431" i="1"/>
  <c r="U431" i="1"/>
  <c r="P431" i="1"/>
  <c r="L431" i="1"/>
  <c r="K431" i="1"/>
  <c r="G431" i="1"/>
  <c r="M431" i="1" s="1"/>
  <c r="N431" i="1" s="1"/>
  <c r="V430" i="1"/>
  <c r="W430" i="1" s="1"/>
  <c r="U430" i="1"/>
  <c r="P430" i="1"/>
  <c r="L430" i="1"/>
  <c r="M430" i="1" s="1"/>
  <c r="N430" i="1" s="1"/>
  <c r="K430" i="1"/>
  <c r="G430" i="1"/>
  <c r="V429" i="1"/>
  <c r="W429" i="1" s="1"/>
  <c r="U429" i="1"/>
  <c r="P429" i="1"/>
  <c r="M429" i="1"/>
  <c r="N429" i="1" s="1"/>
  <c r="L429" i="1"/>
  <c r="G429" i="1"/>
  <c r="K429" i="1" s="1"/>
  <c r="W428" i="1"/>
  <c r="V428" i="1"/>
  <c r="U428" i="1"/>
  <c r="P428" i="1"/>
  <c r="N428" i="1"/>
  <c r="M428" i="1"/>
  <c r="L428" i="1"/>
  <c r="G428" i="1"/>
  <c r="K428" i="1" s="1"/>
  <c r="W427" i="1"/>
  <c r="V427" i="1"/>
  <c r="U427" i="1"/>
  <c r="P427" i="1"/>
  <c r="L427" i="1"/>
  <c r="K427" i="1"/>
  <c r="G427" i="1"/>
  <c r="M427" i="1" s="1"/>
  <c r="N427" i="1" s="1"/>
  <c r="V426" i="1"/>
  <c r="W426" i="1" s="1"/>
  <c r="U426" i="1"/>
  <c r="P426" i="1"/>
  <c r="L426" i="1"/>
  <c r="M426" i="1" s="1"/>
  <c r="N426" i="1" s="1"/>
  <c r="K426" i="1"/>
  <c r="G426" i="1"/>
  <c r="V425" i="1"/>
  <c r="W425" i="1" s="1"/>
  <c r="U425" i="1"/>
  <c r="P425" i="1"/>
  <c r="L425" i="1"/>
  <c r="G425" i="1"/>
  <c r="M425" i="1" s="1"/>
  <c r="N425" i="1" s="1"/>
  <c r="W424" i="1"/>
  <c r="V424" i="1"/>
  <c r="U424" i="1"/>
  <c r="P424" i="1"/>
  <c r="L424" i="1"/>
  <c r="G424" i="1"/>
  <c r="W423" i="1"/>
  <c r="V423" i="1"/>
  <c r="U423" i="1"/>
  <c r="P423" i="1"/>
  <c r="L423" i="1"/>
  <c r="K423" i="1"/>
  <c r="G423" i="1"/>
  <c r="M423" i="1" s="1"/>
  <c r="N423" i="1" s="1"/>
  <c r="V422" i="1"/>
  <c r="W422" i="1" s="1"/>
  <c r="U422" i="1"/>
  <c r="P422" i="1"/>
  <c r="L422" i="1"/>
  <c r="M422" i="1" s="1"/>
  <c r="N422" i="1" s="1"/>
  <c r="K422" i="1"/>
  <c r="G422" i="1"/>
  <c r="V421" i="1"/>
  <c r="W421" i="1" s="1"/>
  <c r="U421" i="1"/>
  <c r="P421" i="1"/>
  <c r="M421" i="1"/>
  <c r="N421" i="1" s="1"/>
  <c r="L421" i="1"/>
  <c r="G421" i="1"/>
  <c r="K421" i="1" s="1"/>
  <c r="W420" i="1"/>
  <c r="V420" i="1"/>
  <c r="U420" i="1"/>
  <c r="P420" i="1"/>
  <c r="N420" i="1"/>
  <c r="M420" i="1"/>
  <c r="L420" i="1"/>
  <c r="G420" i="1"/>
  <c r="K420" i="1" s="1"/>
  <c r="W419" i="1"/>
  <c r="V419" i="1"/>
  <c r="U419" i="1"/>
  <c r="P419" i="1"/>
  <c r="L419" i="1"/>
  <c r="K419" i="1"/>
  <c r="G419" i="1"/>
  <c r="M419" i="1" s="1"/>
  <c r="N419" i="1" s="1"/>
  <c r="V418" i="1"/>
  <c r="W418" i="1" s="1"/>
  <c r="U418" i="1"/>
  <c r="P418" i="1"/>
  <c r="L418" i="1"/>
  <c r="M418" i="1" s="1"/>
  <c r="N418" i="1" s="1"/>
  <c r="K418" i="1"/>
  <c r="G418" i="1"/>
  <c r="V417" i="1"/>
  <c r="W417" i="1" s="1"/>
  <c r="U417" i="1"/>
  <c r="P417" i="1"/>
  <c r="L417" i="1"/>
  <c r="G417" i="1"/>
  <c r="M417" i="1" s="1"/>
  <c r="N417" i="1" s="1"/>
  <c r="W416" i="1"/>
  <c r="V416" i="1"/>
  <c r="U416" i="1"/>
  <c r="P416" i="1"/>
  <c r="L416" i="1"/>
  <c r="G416" i="1"/>
  <c r="W415" i="1"/>
  <c r="V415" i="1"/>
  <c r="U415" i="1"/>
  <c r="P415" i="1"/>
  <c r="L415" i="1"/>
  <c r="K415" i="1"/>
  <c r="G415" i="1"/>
  <c r="M415" i="1" s="1"/>
  <c r="N415" i="1" s="1"/>
  <c r="V414" i="1"/>
  <c r="W414" i="1" s="1"/>
  <c r="U414" i="1"/>
  <c r="P414" i="1"/>
  <c r="L414" i="1"/>
  <c r="M414" i="1" s="1"/>
  <c r="N414" i="1" s="1"/>
  <c r="K414" i="1"/>
  <c r="G414" i="1"/>
  <c r="V413" i="1"/>
  <c r="W413" i="1" s="1"/>
  <c r="U413" i="1"/>
  <c r="P413" i="1"/>
  <c r="M413" i="1"/>
  <c r="N413" i="1" s="1"/>
  <c r="L413" i="1"/>
  <c r="G413" i="1"/>
  <c r="K413" i="1" s="1"/>
  <c r="W412" i="1"/>
  <c r="V412" i="1"/>
  <c r="U412" i="1"/>
  <c r="P412" i="1"/>
  <c r="N412" i="1"/>
  <c r="M412" i="1"/>
  <c r="L412" i="1"/>
  <c r="G412" i="1"/>
  <c r="K412" i="1" s="1"/>
  <c r="W411" i="1"/>
  <c r="V411" i="1"/>
  <c r="U411" i="1"/>
  <c r="P411" i="1"/>
  <c r="L411" i="1"/>
  <c r="K411" i="1"/>
  <c r="G411" i="1"/>
  <c r="M411" i="1" s="1"/>
  <c r="N411" i="1" s="1"/>
  <c r="V410" i="1"/>
  <c r="W410" i="1" s="1"/>
  <c r="U410" i="1"/>
  <c r="P410" i="1"/>
  <c r="L410" i="1"/>
  <c r="K410" i="1"/>
  <c r="G410" i="1"/>
  <c r="M410" i="1" s="1"/>
  <c r="N410" i="1" s="1"/>
  <c r="V409" i="1"/>
  <c r="W409" i="1" s="1"/>
  <c r="U409" i="1"/>
  <c r="P409" i="1"/>
  <c r="L409" i="1"/>
  <c r="G409" i="1"/>
  <c r="M409" i="1" s="1"/>
  <c r="N409" i="1" s="1"/>
  <c r="W408" i="1"/>
  <c r="V408" i="1"/>
  <c r="U408" i="1"/>
  <c r="P408" i="1"/>
  <c r="L408" i="1"/>
  <c r="G408" i="1"/>
  <c r="W407" i="1"/>
  <c r="V407" i="1"/>
  <c r="U407" i="1"/>
  <c r="P407" i="1"/>
  <c r="L407" i="1"/>
  <c r="K407" i="1"/>
  <c r="G407" i="1"/>
  <c r="M407" i="1" s="1"/>
  <c r="N407" i="1" s="1"/>
  <c r="V406" i="1"/>
  <c r="W406" i="1" s="1"/>
  <c r="U406" i="1"/>
  <c r="P406" i="1"/>
  <c r="L406" i="1"/>
  <c r="M406" i="1" s="1"/>
  <c r="N406" i="1" s="1"/>
  <c r="K406" i="1"/>
  <c r="G406" i="1"/>
  <c r="V405" i="1"/>
  <c r="W405" i="1" s="1"/>
  <c r="U405" i="1"/>
  <c r="P405" i="1"/>
  <c r="M405" i="1"/>
  <c r="N405" i="1" s="1"/>
  <c r="L405" i="1"/>
  <c r="G405" i="1"/>
  <c r="K405" i="1" s="1"/>
  <c r="W404" i="1"/>
  <c r="V404" i="1"/>
  <c r="U404" i="1"/>
  <c r="P404" i="1"/>
  <c r="N404" i="1"/>
  <c r="M404" i="1"/>
  <c r="L404" i="1"/>
  <c r="G404" i="1"/>
  <c r="K404" i="1" s="1"/>
  <c r="W403" i="1"/>
  <c r="V403" i="1"/>
  <c r="U403" i="1"/>
  <c r="P403" i="1"/>
  <c r="L403" i="1"/>
  <c r="K403" i="1"/>
  <c r="G403" i="1"/>
  <c r="M403" i="1" s="1"/>
  <c r="N403" i="1" s="1"/>
  <c r="V402" i="1"/>
  <c r="W402" i="1" s="1"/>
  <c r="U402" i="1"/>
  <c r="P402" i="1"/>
  <c r="L402" i="1"/>
  <c r="K402" i="1"/>
  <c r="G402" i="1"/>
  <c r="M402" i="1" s="1"/>
  <c r="N402" i="1" s="1"/>
  <c r="V401" i="1"/>
  <c r="W401" i="1" s="1"/>
  <c r="U401" i="1"/>
  <c r="P401" i="1"/>
  <c r="L401" i="1"/>
  <c r="G401" i="1"/>
  <c r="M401" i="1" s="1"/>
  <c r="N401" i="1" s="1"/>
  <c r="W400" i="1"/>
  <c r="V400" i="1"/>
  <c r="U400" i="1"/>
  <c r="P400" i="1"/>
  <c r="L400" i="1"/>
  <c r="G400" i="1"/>
  <c r="W399" i="1"/>
  <c r="V399" i="1"/>
  <c r="U399" i="1"/>
  <c r="P399" i="1"/>
  <c r="L399" i="1"/>
  <c r="K399" i="1"/>
  <c r="G399" i="1"/>
  <c r="M399" i="1" s="1"/>
  <c r="N399" i="1" s="1"/>
  <c r="V398" i="1"/>
  <c r="W398" i="1" s="1"/>
  <c r="U398" i="1"/>
  <c r="P398" i="1"/>
  <c r="L398" i="1"/>
  <c r="M398" i="1" s="1"/>
  <c r="N398" i="1" s="1"/>
  <c r="K398" i="1"/>
  <c r="G398" i="1"/>
  <c r="V397" i="1"/>
  <c r="W397" i="1" s="1"/>
  <c r="U397" i="1"/>
  <c r="P397" i="1"/>
  <c r="M397" i="1"/>
  <c r="N397" i="1" s="1"/>
  <c r="L397" i="1"/>
  <c r="G397" i="1"/>
  <c r="K397" i="1" s="1"/>
  <c r="W396" i="1"/>
  <c r="V396" i="1"/>
  <c r="U396" i="1"/>
  <c r="P396" i="1"/>
  <c r="N396" i="1"/>
  <c r="M396" i="1"/>
  <c r="L396" i="1"/>
  <c r="G396" i="1"/>
  <c r="K396" i="1" s="1"/>
  <c r="W395" i="1"/>
  <c r="V395" i="1"/>
  <c r="U395" i="1"/>
  <c r="P395" i="1"/>
  <c r="L395" i="1"/>
  <c r="K395" i="1"/>
  <c r="G395" i="1"/>
  <c r="M395" i="1" s="1"/>
  <c r="N395" i="1" s="1"/>
  <c r="V394" i="1"/>
  <c r="W394" i="1" s="1"/>
  <c r="U394" i="1"/>
  <c r="P394" i="1"/>
  <c r="L394" i="1"/>
  <c r="K394" i="1"/>
  <c r="G394" i="1"/>
  <c r="M394" i="1" s="1"/>
  <c r="N394" i="1" s="1"/>
  <c r="V393" i="1"/>
  <c r="W393" i="1" s="1"/>
  <c r="U393" i="1"/>
  <c r="P393" i="1"/>
  <c r="L393" i="1"/>
  <c r="G393" i="1"/>
  <c r="M393" i="1" s="1"/>
  <c r="N393" i="1" s="1"/>
  <c r="W392" i="1"/>
  <c r="V392" i="1"/>
  <c r="U392" i="1"/>
  <c r="P392" i="1"/>
  <c r="L392" i="1"/>
  <c r="G392" i="1"/>
  <c r="W391" i="1"/>
  <c r="V391" i="1"/>
  <c r="U391" i="1"/>
  <c r="P391" i="1"/>
  <c r="L391" i="1"/>
  <c r="K391" i="1"/>
  <c r="G391" i="1"/>
  <c r="M391" i="1" s="1"/>
  <c r="N391" i="1" s="1"/>
  <c r="V390" i="1"/>
  <c r="W390" i="1" s="1"/>
  <c r="U390" i="1"/>
  <c r="P390" i="1"/>
  <c r="L390" i="1"/>
  <c r="M390" i="1" s="1"/>
  <c r="N390" i="1" s="1"/>
  <c r="K390" i="1"/>
  <c r="G390" i="1"/>
  <c r="V389" i="1"/>
  <c r="W389" i="1" s="1"/>
  <c r="U389" i="1"/>
  <c r="P389" i="1"/>
  <c r="M389" i="1"/>
  <c r="N389" i="1" s="1"/>
  <c r="L389" i="1"/>
  <c r="G389" i="1"/>
  <c r="K389" i="1" s="1"/>
  <c r="W388" i="1"/>
  <c r="V388" i="1"/>
  <c r="U388" i="1"/>
  <c r="P388" i="1"/>
  <c r="N388" i="1"/>
  <c r="M388" i="1"/>
  <c r="L388" i="1"/>
  <c r="G388" i="1"/>
  <c r="K388" i="1" s="1"/>
  <c r="W387" i="1"/>
  <c r="V387" i="1"/>
  <c r="U387" i="1"/>
  <c r="P387" i="1"/>
  <c r="L387" i="1"/>
  <c r="K387" i="1"/>
  <c r="G387" i="1"/>
  <c r="M387" i="1" s="1"/>
  <c r="N387" i="1" s="1"/>
  <c r="V386" i="1"/>
  <c r="W386" i="1" s="1"/>
  <c r="U386" i="1"/>
  <c r="P386" i="1"/>
  <c r="L386" i="1"/>
  <c r="K386" i="1"/>
  <c r="G386" i="1"/>
  <c r="M386" i="1" s="1"/>
  <c r="N386" i="1" s="1"/>
  <c r="V385" i="1"/>
  <c r="W385" i="1" s="1"/>
  <c r="U385" i="1"/>
  <c r="P385" i="1"/>
  <c r="L385" i="1"/>
  <c r="G385" i="1"/>
  <c r="M385" i="1" s="1"/>
  <c r="N385" i="1" s="1"/>
  <c r="W384" i="1"/>
  <c r="V384" i="1"/>
  <c r="U384" i="1"/>
  <c r="P384" i="1"/>
  <c r="L384" i="1"/>
  <c r="G384" i="1"/>
  <c r="W383" i="1"/>
  <c r="V383" i="1"/>
  <c r="U383" i="1"/>
  <c r="P383" i="1"/>
  <c r="L383" i="1"/>
  <c r="K383" i="1"/>
  <c r="G383" i="1"/>
  <c r="M383" i="1" s="1"/>
  <c r="N383" i="1" s="1"/>
  <c r="V382" i="1"/>
  <c r="W382" i="1" s="1"/>
  <c r="U382" i="1"/>
  <c r="P382" i="1"/>
  <c r="L382" i="1"/>
  <c r="M382" i="1" s="1"/>
  <c r="N382" i="1" s="1"/>
  <c r="K382" i="1"/>
  <c r="G382" i="1"/>
  <c r="V381" i="1"/>
  <c r="W381" i="1" s="1"/>
  <c r="U381" i="1"/>
  <c r="P381" i="1"/>
  <c r="M381" i="1"/>
  <c r="N381" i="1" s="1"/>
  <c r="L381" i="1"/>
  <c r="G381" i="1"/>
  <c r="K381" i="1" s="1"/>
  <c r="W380" i="1"/>
  <c r="V380" i="1"/>
  <c r="U380" i="1"/>
  <c r="P380" i="1"/>
  <c r="N380" i="1"/>
  <c r="M380" i="1"/>
  <c r="L380" i="1"/>
  <c r="G380" i="1"/>
  <c r="K380" i="1" s="1"/>
  <c r="W379" i="1"/>
  <c r="V379" i="1"/>
  <c r="U379" i="1"/>
  <c r="P379" i="1"/>
  <c r="L379" i="1"/>
  <c r="K379" i="1"/>
  <c r="G379" i="1"/>
  <c r="M379" i="1" s="1"/>
  <c r="N379" i="1" s="1"/>
  <c r="V378" i="1"/>
  <c r="W378" i="1" s="1"/>
  <c r="U378" i="1"/>
  <c r="P378" i="1"/>
  <c r="L378" i="1"/>
  <c r="K378" i="1"/>
  <c r="G378" i="1"/>
  <c r="M378" i="1" s="1"/>
  <c r="N378" i="1" s="1"/>
  <c r="V377" i="1"/>
  <c r="W377" i="1" s="1"/>
  <c r="U377" i="1"/>
  <c r="P377" i="1"/>
  <c r="L377" i="1"/>
  <c r="G377" i="1"/>
  <c r="M377" i="1" s="1"/>
  <c r="N377" i="1" s="1"/>
  <c r="W376" i="1"/>
  <c r="V376" i="1"/>
  <c r="U376" i="1"/>
  <c r="P376" i="1"/>
  <c r="L376" i="1"/>
  <c r="G376" i="1"/>
  <c r="W375" i="1"/>
  <c r="V375" i="1"/>
  <c r="U375" i="1"/>
  <c r="P375" i="1"/>
  <c r="L375" i="1"/>
  <c r="K375" i="1"/>
  <c r="G375" i="1"/>
  <c r="M375" i="1" s="1"/>
  <c r="N375" i="1" s="1"/>
  <c r="V374" i="1"/>
  <c r="W374" i="1" s="1"/>
  <c r="U374" i="1"/>
  <c r="P374" i="1"/>
  <c r="L374" i="1"/>
  <c r="M374" i="1" s="1"/>
  <c r="N374" i="1" s="1"/>
  <c r="K374" i="1"/>
  <c r="G374" i="1"/>
  <c r="V373" i="1"/>
  <c r="W373" i="1" s="1"/>
  <c r="U373" i="1"/>
  <c r="P373" i="1"/>
  <c r="M373" i="1"/>
  <c r="N373" i="1" s="1"/>
  <c r="L373" i="1"/>
  <c r="G373" i="1"/>
  <c r="K373" i="1" s="1"/>
  <c r="W372" i="1"/>
  <c r="V372" i="1"/>
  <c r="U372" i="1"/>
  <c r="P372" i="1"/>
  <c r="N372" i="1"/>
  <c r="M372" i="1"/>
  <c r="L372" i="1"/>
  <c r="G372" i="1"/>
  <c r="K372" i="1" s="1"/>
  <c r="W371" i="1"/>
  <c r="V371" i="1"/>
  <c r="U371" i="1"/>
  <c r="P371" i="1"/>
  <c r="L371" i="1"/>
  <c r="K371" i="1"/>
  <c r="G371" i="1"/>
  <c r="M371" i="1" s="1"/>
  <c r="N371" i="1" s="1"/>
  <c r="V370" i="1"/>
  <c r="W370" i="1" s="1"/>
  <c r="U370" i="1"/>
  <c r="P370" i="1"/>
  <c r="L370" i="1"/>
  <c r="K370" i="1"/>
  <c r="G370" i="1"/>
  <c r="M370" i="1" s="1"/>
  <c r="N370" i="1" s="1"/>
  <c r="V369" i="1"/>
  <c r="W369" i="1" s="1"/>
  <c r="U369" i="1"/>
  <c r="P369" i="1"/>
  <c r="L369" i="1"/>
  <c r="G369" i="1"/>
  <c r="M369" i="1" s="1"/>
  <c r="N369" i="1" s="1"/>
  <c r="W368" i="1"/>
  <c r="V368" i="1"/>
  <c r="U368" i="1"/>
  <c r="P368" i="1"/>
  <c r="L368" i="1"/>
  <c r="G368" i="1"/>
  <c r="W367" i="1"/>
  <c r="V367" i="1"/>
  <c r="U367" i="1"/>
  <c r="P367" i="1"/>
  <c r="L367" i="1"/>
  <c r="K367" i="1"/>
  <c r="G367" i="1"/>
  <c r="M367" i="1" s="1"/>
  <c r="N367" i="1" s="1"/>
  <c r="V366" i="1"/>
  <c r="W366" i="1" s="1"/>
  <c r="U366" i="1"/>
  <c r="P366" i="1"/>
  <c r="L366" i="1"/>
  <c r="M366" i="1" s="1"/>
  <c r="N366" i="1" s="1"/>
  <c r="K366" i="1"/>
  <c r="G366" i="1"/>
  <c r="V365" i="1"/>
  <c r="W365" i="1" s="1"/>
  <c r="U365" i="1"/>
  <c r="P365" i="1"/>
  <c r="M365" i="1"/>
  <c r="N365" i="1" s="1"/>
  <c r="L365" i="1"/>
  <c r="G365" i="1"/>
  <c r="K365" i="1" s="1"/>
  <c r="V364" i="1"/>
  <c r="W364" i="1" s="1"/>
  <c r="U364" i="1"/>
  <c r="P364" i="1"/>
  <c r="N364" i="1"/>
  <c r="M364" i="1"/>
  <c r="L364" i="1"/>
  <c r="G364" i="1"/>
  <c r="K364" i="1" s="1"/>
  <c r="W363" i="1"/>
  <c r="V363" i="1"/>
  <c r="U363" i="1"/>
  <c r="P363" i="1"/>
  <c r="L363" i="1"/>
  <c r="G363" i="1"/>
  <c r="M363" i="1" s="1"/>
  <c r="N363" i="1" s="1"/>
  <c r="V362" i="1"/>
  <c r="W362" i="1" s="1"/>
  <c r="U362" i="1"/>
  <c r="P362" i="1"/>
  <c r="L362" i="1"/>
  <c r="K362" i="1"/>
  <c r="G362" i="1"/>
  <c r="M362" i="1" s="1"/>
  <c r="N362" i="1" s="1"/>
  <c r="V361" i="1"/>
  <c r="W361" i="1" s="1"/>
  <c r="U361" i="1"/>
  <c r="P361" i="1"/>
  <c r="L361" i="1"/>
  <c r="G361" i="1"/>
  <c r="M361" i="1" s="1"/>
  <c r="N361" i="1" s="1"/>
  <c r="W360" i="1"/>
  <c r="V360" i="1"/>
  <c r="U360" i="1"/>
  <c r="P360" i="1"/>
  <c r="L360" i="1"/>
  <c r="G360" i="1"/>
  <c r="W359" i="1"/>
  <c r="V359" i="1"/>
  <c r="U359" i="1"/>
  <c r="P359" i="1"/>
  <c r="L359" i="1"/>
  <c r="K359" i="1"/>
  <c r="G359" i="1"/>
  <c r="M359" i="1" s="1"/>
  <c r="N359" i="1" s="1"/>
  <c r="V358" i="1"/>
  <c r="W358" i="1" s="1"/>
  <c r="U358" i="1"/>
  <c r="P358" i="1"/>
  <c r="L358" i="1"/>
  <c r="M358" i="1" s="1"/>
  <c r="N358" i="1" s="1"/>
  <c r="K358" i="1"/>
  <c r="G358" i="1"/>
  <c r="V357" i="1"/>
  <c r="W357" i="1" s="1"/>
  <c r="U357" i="1"/>
  <c r="P357" i="1"/>
  <c r="M357" i="1"/>
  <c r="N357" i="1" s="1"/>
  <c r="L357" i="1"/>
  <c r="G357" i="1"/>
  <c r="K357" i="1" s="1"/>
  <c r="V356" i="1"/>
  <c r="W356" i="1" s="1"/>
  <c r="U356" i="1"/>
  <c r="P356" i="1"/>
  <c r="N356" i="1"/>
  <c r="M356" i="1"/>
  <c r="L356" i="1"/>
  <c r="G356" i="1"/>
  <c r="K356" i="1" s="1"/>
  <c r="W355" i="1"/>
  <c r="V355" i="1"/>
  <c r="U355" i="1"/>
  <c r="P355" i="1"/>
  <c r="L355" i="1"/>
  <c r="G355" i="1"/>
  <c r="M355" i="1" s="1"/>
  <c r="N355" i="1" s="1"/>
  <c r="V354" i="1"/>
  <c r="W354" i="1" s="1"/>
  <c r="U354" i="1"/>
  <c r="P354" i="1"/>
  <c r="L354" i="1"/>
  <c r="K354" i="1"/>
  <c r="G354" i="1"/>
  <c r="M354" i="1" s="1"/>
  <c r="N354" i="1" s="1"/>
  <c r="V353" i="1"/>
  <c r="W353" i="1" s="1"/>
  <c r="U353" i="1"/>
  <c r="P353" i="1"/>
  <c r="L353" i="1"/>
  <c r="G353" i="1"/>
  <c r="M353" i="1" s="1"/>
  <c r="N353" i="1" s="1"/>
  <c r="W352" i="1"/>
  <c r="V352" i="1"/>
  <c r="U352" i="1"/>
  <c r="P352" i="1"/>
  <c r="L352" i="1"/>
  <c r="G352" i="1"/>
  <c r="W351" i="1"/>
  <c r="V351" i="1"/>
  <c r="U351" i="1"/>
  <c r="P351" i="1"/>
  <c r="L351" i="1"/>
  <c r="K351" i="1"/>
  <c r="G351" i="1"/>
  <c r="M351" i="1" s="1"/>
  <c r="N351" i="1" s="1"/>
  <c r="V350" i="1"/>
  <c r="W350" i="1" s="1"/>
  <c r="U350" i="1"/>
  <c r="P350" i="1"/>
  <c r="L350" i="1"/>
  <c r="M350" i="1" s="1"/>
  <c r="N350" i="1" s="1"/>
  <c r="K350" i="1"/>
  <c r="G350" i="1"/>
  <c r="V349" i="1"/>
  <c r="W349" i="1" s="1"/>
  <c r="U349" i="1"/>
  <c r="P349" i="1"/>
  <c r="M349" i="1"/>
  <c r="N349" i="1" s="1"/>
  <c r="L349" i="1"/>
  <c r="G349" i="1"/>
  <c r="K349" i="1" s="1"/>
  <c r="V348" i="1"/>
  <c r="W348" i="1" s="1"/>
  <c r="U348" i="1"/>
  <c r="P348" i="1"/>
  <c r="N348" i="1"/>
  <c r="M348" i="1"/>
  <c r="L348" i="1"/>
  <c r="G348" i="1"/>
  <c r="K348" i="1" s="1"/>
  <c r="W347" i="1"/>
  <c r="V347" i="1"/>
  <c r="U347" i="1"/>
  <c r="P347" i="1"/>
  <c r="L347" i="1"/>
  <c r="G347" i="1"/>
  <c r="M347" i="1" s="1"/>
  <c r="N347" i="1" s="1"/>
  <c r="V346" i="1"/>
  <c r="W346" i="1" s="1"/>
  <c r="U346" i="1"/>
  <c r="P346" i="1"/>
  <c r="L346" i="1"/>
  <c r="K346" i="1"/>
  <c r="G346" i="1"/>
  <c r="M346" i="1" s="1"/>
  <c r="N346" i="1" s="1"/>
  <c r="V345" i="1"/>
  <c r="W345" i="1" s="1"/>
  <c r="U345" i="1"/>
  <c r="P345" i="1"/>
  <c r="L345" i="1"/>
  <c r="G345" i="1"/>
  <c r="M345" i="1" s="1"/>
  <c r="N345" i="1" s="1"/>
  <c r="W344" i="1"/>
  <c r="V344" i="1"/>
  <c r="U344" i="1"/>
  <c r="P344" i="1"/>
  <c r="L344" i="1"/>
  <c r="G344" i="1"/>
  <c r="W343" i="1"/>
  <c r="V343" i="1"/>
  <c r="U343" i="1"/>
  <c r="P343" i="1"/>
  <c r="L343" i="1"/>
  <c r="K343" i="1"/>
  <c r="G343" i="1"/>
  <c r="M343" i="1" s="1"/>
  <c r="N343" i="1" s="1"/>
  <c r="V342" i="1"/>
  <c r="W342" i="1" s="1"/>
  <c r="U342" i="1"/>
  <c r="P342" i="1"/>
  <c r="L342" i="1"/>
  <c r="M342" i="1" s="1"/>
  <c r="N342" i="1" s="1"/>
  <c r="K342" i="1"/>
  <c r="G342" i="1"/>
  <c r="V341" i="1"/>
  <c r="W341" i="1" s="1"/>
  <c r="U341" i="1"/>
  <c r="P341" i="1"/>
  <c r="M341" i="1"/>
  <c r="N341" i="1" s="1"/>
  <c r="L341" i="1"/>
  <c r="G341" i="1"/>
  <c r="K341" i="1" s="1"/>
  <c r="V340" i="1"/>
  <c r="W340" i="1" s="1"/>
  <c r="U340" i="1"/>
  <c r="P340" i="1"/>
  <c r="N340" i="1"/>
  <c r="M340" i="1"/>
  <c r="L340" i="1"/>
  <c r="G340" i="1"/>
  <c r="K340" i="1" s="1"/>
  <c r="W339" i="1"/>
  <c r="V339" i="1"/>
  <c r="U339" i="1"/>
  <c r="P339" i="1"/>
  <c r="L339" i="1"/>
  <c r="G339" i="1"/>
  <c r="M339" i="1" s="1"/>
  <c r="N339" i="1" s="1"/>
  <c r="V338" i="1"/>
  <c r="W338" i="1" s="1"/>
  <c r="U338" i="1"/>
  <c r="P338" i="1"/>
  <c r="L338" i="1"/>
  <c r="K338" i="1"/>
  <c r="G338" i="1"/>
  <c r="M338" i="1" s="1"/>
  <c r="N338" i="1" s="1"/>
  <c r="V337" i="1"/>
  <c r="W337" i="1" s="1"/>
  <c r="U337" i="1"/>
  <c r="P337" i="1"/>
  <c r="L337" i="1"/>
  <c r="G337" i="1"/>
  <c r="M337" i="1" s="1"/>
  <c r="N337" i="1" s="1"/>
  <c r="V336" i="1"/>
  <c r="W336" i="1" s="1"/>
  <c r="U336" i="1"/>
  <c r="P336" i="1"/>
  <c r="L336" i="1"/>
  <c r="G336" i="1"/>
  <c r="W335" i="1"/>
  <c r="V335" i="1"/>
  <c r="U335" i="1"/>
  <c r="P335" i="1"/>
  <c r="L335" i="1"/>
  <c r="G335" i="1"/>
  <c r="M335" i="1" s="1"/>
  <c r="N335" i="1" s="1"/>
  <c r="V334" i="1"/>
  <c r="W334" i="1" s="1"/>
  <c r="U334" i="1"/>
  <c r="P334" i="1"/>
  <c r="L334" i="1"/>
  <c r="M334" i="1" s="1"/>
  <c r="N334" i="1" s="1"/>
  <c r="K334" i="1"/>
  <c r="G334" i="1"/>
  <c r="V333" i="1"/>
  <c r="W333" i="1" s="1"/>
  <c r="U333" i="1"/>
  <c r="P333" i="1"/>
  <c r="M333" i="1"/>
  <c r="N333" i="1" s="1"/>
  <c r="L333" i="1"/>
  <c r="G333" i="1"/>
  <c r="K333" i="1" s="1"/>
  <c r="V332" i="1"/>
  <c r="W332" i="1" s="1"/>
  <c r="U332" i="1"/>
  <c r="P332" i="1"/>
  <c r="N332" i="1"/>
  <c r="M332" i="1"/>
  <c r="L332" i="1"/>
  <c r="G332" i="1"/>
  <c r="K332" i="1" s="1"/>
  <c r="W331" i="1"/>
  <c r="V331" i="1"/>
  <c r="U331" i="1"/>
  <c r="P331" i="1"/>
  <c r="N331" i="1"/>
  <c r="L331" i="1"/>
  <c r="G331" i="1"/>
  <c r="M331" i="1" s="1"/>
  <c r="V330" i="1"/>
  <c r="W330" i="1" s="1"/>
  <c r="U330" i="1"/>
  <c r="P330" i="1"/>
  <c r="L330" i="1"/>
  <c r="K330" i="1"/>
  <c r="G330" i="1"/>
  <c r="M330" i="1" s="1"/>
  <c r="N330" i="1" s="1"/>
  <c r="V329" i="1"/>
  <c r="W329" i="1" s="1"/>
  <c r="U329" i="1"/>
  <c r="P329" i="1"/>
  <c r="L329" i="1"/>
  <c r="G329" i="1"/>
  <c r="M329" i="1" s="1"/>
  <c r="N329" i="1" s="1"/>
  <c r="W328" i="1"/>
  <c r="V328" i="1"/>
  <c r="U328" i="1"/>
  <c r="P328" i="1"/>
  <c r="L328" i="1"/>
  <c r="G328" i="1"/>
  <c r="W327" i="1"/>
  <c r="V327" i="1"/>
  <c r="U327" i="1"/>
  <c r="P327" i="1"/>
  <c r="L327" i="1"/>
  <c r="G327" i="1"/>
  <c r="M327" i="1" s="1"/>
  <c r="N327" i="1" s="1"/>
  <c r="V326" i="1"/>
  <c r="W326" i="1" s="1"/>
  <c r="U326" i="1"/>
  <c r="P326" i="1"/>
  <c r="L326" i="1"/>
  <c r="M326" i="1" s="1"/>
  <c r="N326" i="1" s="1"/>
  <c r="K326" i="1"/>
  <c r="G326" i="1"/>
  <c r="V325" i="1"/>
  <c r="W325" i="1" s="1"/>
  <c r="U325" i="1"/>
  <c r="P325" i="1"/>
  <c r="L325" i="1"/>
  <c r="M325" i="1" s="1"/>
  <c r="N325" i="1" s="1"/>
  <c r="G325" i="1"/>
  <c r="K325" i="1" s="1"/>
  <c r="V324" i="1"/>
  <c r="W324" i="1" s="1"/>
  <c r="U324" i="1"/>
  <c r="P324" i="1"/>
  <c r="N324" i="1"/>
  <c r="M324" i="1"/>
  <c r="L324" i="1"/>
  <c r="G324" i="1"/>
  <c r="K324" i="1" s="1"/>
  <c r="W323" i="1"/>
  <c r="V323" i="1"/>
  <c r="U323" i="1"/>
  <c r="P323" i="1"/>
  <c r="N323" i="1"/>
  <c r="L323" i="1"/>
  <c r="G323" i="1"/>
  <c r="M323" i="1" s="1"/>
  <c r="V322" i="1"/>
  <c r="W322" i="1" s="1"/>
  <c r="U322" i="1"/>
  <c r="P322" i="1"/>
  <c r="L322" i="1"/>
  <c r="K322" i="1"/>
  <c r="G322" i="1"/>
  <c r="M322" i="1" s="1"/>
  <c r="N322" i="1" s="1"/>
  <c r="V321" i="1"/>
  <c r="W321" i="1" s="1"/>
  <c r="U321" i="1"/>
  <c r="P321" i="1"/>
  <c r="L321" i="1"/>
  <c r="G321" i="1"/>
  <c r="M321" i="1" s="1"/>
  <c r="N321" i="1" s="1"/>
  <c r="W320" i="1"/>
  <c r="V320" i="1"/>
  <c r="U320" i="1"/>
  <c r="P320" i="1"/>
  <c r="L320" i="1"/>
  <c r="G320" i="1"/>
  <c r="W319" i="1"/>
  <c r="V319" i="1"/>
  <c r="U319" i="1"/>
  <c r="P319" i="1"/>
  <c r="L319" i="1"/>
  <c r="G319" i="1"/>
  <c r="M319" i="1" s="1"/>
  <c r="N319" i="1" s="1"/>
  <c r="V318" i="1"/>
  <c r="W318" i="1" s="1"/>
  <c r="U318" i="1"/>
  <c r="P318" i="1"/>
  <c r="L318" i="1"/>
  <c r="M318" i="1" s="1"/>
  <c r="N318" i="1" s="1"/>
  <c r="K318" i="1"/>
  <c r="G318" i="1"/>
  <c r="V317" i="1"/>
  <c r="W317" i="1" s="1"/>
  <c r="U317" i="1"/>
  <c r="P317" i="1"/>
  <c r="M317" i="1"/>
  <c r="N317" i="1" s="1"/>
  <c r="L317" i="1"/>
  <c r="G317" i="1"/>
  <c r="K317" i="1" s="1"/>
  <c r="V316" i="1"/>
  <c r="W316" i="1" s="1"/>
  <c r="U316" i="1"/>
  <c r="P316" i="1"/>
  <c r="N316" i="1"/>
  <c r="M316" i="1"/>
  <c r="L316" i="1"/>
  <c r="G316" i="1"/>
  <c r="K316" i="1" s="1"/>
  <c r="W315" i="1"/>
  <c r="V315" i="1"/>
  <c r="U315" i="1"/>
  <c r="P315" i="1"/>
  <c r="L315" i="1"/>
  <c r="G315" i="1"/>
  <c r="V314" i="1"/>
  <c r="W314" i="1" s="1"/>
  <c r="U314" i="1"/>
  <c r="P314" i="1"/>
  <c r="L314" i="1"/>
  <c r="K314" i="1"/>
  <c r="G314" i="1"/>
  <c r="M314" i="1" s="1"/>
  <c r="N314" i="1" s="1"/>
  <c r="V313" i="1"/>
  <c r="W313" i="1" s="1"/>
  <c r="U313" i="1"/>
  <c r="P313" i="1"/>
  <c r="L313" i="1"/>
  <c r="G313" i="1"/>
  <c r="V312" i="1"/>
  <c r="W312" i="1" s="1"/>
  <c r="U312" i="1"/>
  <c r="P312" i="1"/>
  <c r="L312" i="1"/>
  <c r="G312" i="1"/>
  <c r="K312" i="1" s="1"/>
  <c r="W311" i="1"/>
  <c r="V311" i="1"/>
  <c r="U311" i="1"/>
  <c r="P311" i="1"/>
  <c r="L311" i="1"/>
  <c r="G311" i="1"/>
  <c r="V310" i="1"/>
  <c r="W310" i="1" s="1"/>
  <c r="U310" i="1"/>
  <c r="P310" i="1"/>
  <c r="M310" i="1"/>
  <c r="N310" i="1" s="1"/>
  <c r="L310" i="1"/>
  <c r="K310" i="1"/>
  <c r="G310" i="1"/>
  <c r="V309" i="1"/>
  <c r="W309" i="1" s="1"/>
  <c r="U309" i="1"/>
  <c r="P309" i="1"/>
  <c r="M309" i="1"/>
  <c r="N309" i="1" s="1"/>
  <c r="L309" i="1"/>
  <c r="G309" i="1"/>
  <c r="K309" i="1" s="1"/>
  <c r="V308" i="1"/>
  <c r="W308" i="1" s="1"/>
  <c r="U308" i="1"/>
  <c r="P308" i="1"/>
  <c r="N308" i="1"/>
  <c r="M308" i="1"/>
  <c r="L308" i="1"/>
  <c r="G308" i="1"/>
  <c r="K308" i="1" s="1"/>
  <c r="W307" i="1"/>
  <c r="V307" i="1"/>
  <c r="U307" i="1"/>
  <c r="P307" i="1"/>
  <c r="L307" i="1"/>
  <c r="G307" i="1"/>
  <c r="V306" i="1"/>
  <c r="W306" i="1" s="1"/>
  <c r="U306" i="1"/>
  <c r="P306" i="1"/>
  <c r="L306" i="1"/>
  <c r="K306" i="1"/>
  <c r="G306" i="1"/>
  <c r="M306" i="1" s="1"/>
  <c r="N306" i="1" s="1"/>
  <c r="V305" i="1"/>
  <c r="W305" i="1" s="1"/>
  <c r="U305" i="1"/>
  <c r="P305" i="1"/>
  <c r="L305" i="1"/>
  <c r="G305" i="1"/>
  <c r="V304" i="1"/>
  <c r="W304" i="1" s="1"/>
  <c r="U304" i="1"/>
  <c r="P304" i="1"/>
  <c r="L304" i="1"/>
  <c r="G304" i="1"/>
  <c r="K304" i="1" s="1"/>
  <c r="W303" i="1"/>
  <c r="V303" i="1"/>
  <c r="U303" i="1"/>
  <c r="P303" i="1"/>
  <c r="L303" i="1"/>
  <c r="G303" i="1"/>
  <c r="V302" i="1"/>
  <c r="W302" i="1" s="1"/>
  <c r="U302" i="1"/>
  <c r="P302" i="1"/>
  <c r="L302" i="1"/>
  <c r="M302" i="1" s="1"/>
  <c r="N302" i="1" s="1"/>
  <c r="K302" i="1"/>
  <c r="G302" i="1"/>
  <c r="V301" i="1"/>
  <c r="W301" i="1" s="1"/>
  <c r="U301" i="1"/>
  <c r="P301" i="1"/>
  <c r="L301" i="1"/>
  <c r="M301" i="1" s="1"/>
  <c r="N301" i="1" s="1"/>
  <c r="G301" i="1"/>
  <c r="K301" i="1" s="1"/>
  <c r="V300" i="1"/>
  <c r="W300" i="1" s="1"/>
  <c r="U300" i="1"/>
  <c r="P300" i="1"/>
  <c r="L300" i="1"/>
  <c r="G300" i="1"/>
  <c r="K300" i="1" s="1"/>
  <c r="W299" i="1"/>
  <c r="V299" i="1"/>
  <c r="U299" i="1"/>
  <c r="P299" i="1"/>
  <c r="L299" i="1"/>
  <c r="G299" i="1"/>
  <c r="M299" i="1" s="1"/>
  <c r="N299" i="1" s="1"/>
  <c r="V298" i="1"/>
  <c r="W298" i="1" s="1"/>
  <c r="U298" i="1"/>
  <c r="P298" i="1"/>
  <c r="L298" i="1"/>
  <c r="K298" i="1"/>
  <c r="G298" i="1"/>
  <c r="V297" i="1"/>
  <c r="W297" i="1" s="1"/>
  <c r="U297" i="1"/>
  <c r="P297" i="1"/>
  <c r="M297" i="1"/>
  <c r="N297" i="1" s="1"/>
  <c r="L297" i="1"/>
  <c r="G297" i="1"/>
  <c r="K297" i="1" s="1"/>
  <c r="V296" i="1"/>
  <c r="W296" i="1" s="1"/>
  <c r="U296" i="1"/>
  <c r="P296" i="1"/>
  <c r="N296" i="1"/>
  <c r="M296" i="1"/>
  <c r="L296" i="1"/>
  <c r="G296" i="1"/>
  <c r="K296" i="1" s="1"/>
  <c r="W295" i="1"/>
  <c r="V295" i="1"/>
  <c r="U295" i="1"/>
  <c r="P295" i="1"/>
  <c r="N295" i="1"/>
  <c r="L295" i="1"/>
  <c r="G295" i="1"/>
  <c r="M295" i="1" s="1"/>
  <c r="V294" i="1"/>
  <c r="W294" i="1" s="1"/>
  <c r="U294" i="1"/>
  <c r="P294" i="1"/>
  <c r="M294" i="1"/>
  <c r="N294" i="1" s="1"/>
  <c r="L294" i="1"/>
  <c r="K294" i="1"/>
  <c r="G294" i="1"/>
  <c r="V293" i="1"/>
  <c r="W293" i="1" s="1"/>
  <c r="U293" i="1"/>
  <c r="P293" i="1"/>
  <c r="M293" i="1"/>
  <c r="N293" i="1" s="1"/>
  <c r="L293" i="1"/>
  <c r="G293" i="1"/>
  <c r="K293" i="1" s="1"/>
  <c r="V292" i="1"/>
  <c r="W292" i="1" s="1"/>
  <c r="U292" i="1"/>
  <c r="P292" i="1"/>
  <c r="M292" i="1"/>
  <c r="N292" i="1" s="1"/>
  <c r="L292" i="1"/>
  <c r="G292" i="1"/>
  <c r="K292" i="1" s="1"/>
  <c r="W291" i="1"/>
  <c r="V291" i="1"/>
  <c r="U291" i="1"/>
  <c r="P291" i="1"/>
  <c r="L291" i="1"/>
  <c r="K291" i="1"/>
  <c r="G291" i="1"/>
  <c r="M291" i="1" s="1"/>
  <c r="N291" i="1" s="1"/>
  <c r="V290" i="1"/>
  <c r="W290" i="1" s="1"/>
  <c r="U290" i="1"/>
  <c r="P290" i="1"/>
  <c r="L290" i="1"/>
  <c r="K290" i="1"/>
  <c r="G290" i="1"/>
  <c r="W289" i="1"/>
  <c r="V289" i="1"/>
  <c r="U289" i="1"/>
  <c r="P289" i="1"/>
  <c r="L289" i="1"/>
  <c r="M289" i="1" s="1"/>
  <c r="N289" i="1" s="1"/>
  <c r="G289" i="1"/>
  <c r="K289" i="1" s="1"/>
  <c r="W288" i="1"/>
  <c r="V288" i="1"/>
  <c r="U288" i="1"/>
  <c r="P288" i="1"/>
  <c r="L288" i="1"/>
  <c r="G288" i="1"/>
  <c r="K288" i="1" s="1"/>
  <c r="W287" i="1"/>
  <c r="V287" i="1"/>
  <c r="U287" i="1"/>
  <c r="P287" i="1"/>
  <c r="L287" i="1"/>
  <c r="G287" i="1"/>
  <c r="V286" i="1"/>
  <c r="W286" i="1" s="1"/>
  <c r="U286" i="1"/>
  <c r="P286" i="1"/>
  <c r="L286" i="1"/>
  <c r="M286" i="1" s="1"/>
  <c r="N286" i="1" s="1"/>
  <c r="K286" i="1"/>
  <c r="G286" i="1"/>
  <c r="V285" i="1"/>
  <c r="W285" i="1" s="1"/>
  <c r="U285" i="1"/>
  <c r="P285" i="1"/>
  <c r="L285" i="1"/>
  <c r="M285" i="1" s="1"/>
  <c r="N285" i="1" s="1"/>
  <c r="G285" i="1"/>
  <c r="K285" i="1" s="1"/>
  <c r="V284" i="1"/>
  <c r="W284" i="1" s="1"/>
  <c r="U284" i="1"/>
  <c r="P284" i="1"/>
  <c r="L284" i="1"/>
  <c r="G284" i="1"/>
  <c r="K284" i="1" s="1"/>
  <c r="W283" i="1"/>
  <c r="V283" i="1"/>
  <c r="U283" i="1"/>
  <c r="P283" i="1"/>
  <c r="L283" i="1"/>
  <c r="G283" i="1"/>
  <c r="M283" i="1" s="1"/>
  <c r="N283" i="1" s="1"/>
  <c r="V282" i="1"/>
  <c r="W282" i="1" s="1"/>
  <c r="U282" i="1"/>
  <c r="P282" i="1"/>
  <c r="L282" i="1"/>
  <c r="K282" i="1"/>
  <c r="G282" i="1"/>
  <c r="V281" i="1"/>
  <c r="W281" i="1" s="1"/>
  <c r="U281" i="1"/>
  <c r="P281" i="1"/>
  <c r="M281" i="1"/>
  <c r="N281" i="1" s="1"/>
  <c r="L281" i="1"/>
  <c r="G281" i="1"/>
  <c r="K281" i="1" s="1"/>
  <c r="V280" i="1"/>
  <c r="W280" i="1" s="1"/>
  <c r="U280" i="1"/>
  <c r="P280" i="1"/>
  <c r="N280" i="1"/>
  <c r="M280" i="1"/>
  <c r="L280" i="1"/>
  <c r="G280" i="1"/>
  <c r="K280" i="1" s="1"/>
  <c r="W279" i="1"/>
  <c r="V279" i="1"/>
  <c r="U279" i="1"/>
  <c r="P279" i="1"/>
  <c r="L279" i="1"/>
  <c r="G279" i="1"/>
  <c r="V278" i="1"/>
  <c r="W278" i="1" s="1"/>
  <c r="U278" i="1"/>
  <c r="P278" i="1"/>
  <c r="M278" i="1"/>
  <c r="N278" i="1" s="1"/>
  <c r="L278" i="1"/>
  <c r="K278" i="1"/>
  <c r="G278" i="1"/>
  <c r="V277" i="1"/>
  <c r="W277" i="1" s="1"/>
  <c r="U277" i="1"/>
  <c r="P277" i="1"/>
  <c r="L277" i="1"/>
  <c r="M277" i="1" s="1"/>
  <c r="N277" i="1" s="1"/>
  <c r="G277" i="1"/>
  <c r="K277" i="1" s="1"/>
  <c r="V276" i="1"/>
  <c r="W276" i="1" s="1"/>
  <c r="U276" i="1"/>
  <c r="P276" i="1"/>
  <c r="M276" i="1"/>
  <c r="N276" i="1" s="1"/>
  <c r="L276" i="1"/>
  <c r="G276" i="1"/>
  <c r="K276" i="1" s="1"/>
  <c r="W275" i="1"/>
  <c r="V275" i="1"/>
  <c r="U275" i="1"/>
  <c r="P275" i="1"/>
  <c r="L275" i="1"/>
  <c r="K275" i="1"/>
  <c r="G275" i="1"/>
  <c r="M275" i="1" s="1"/>
  <c r="N275" i="1" s="1"/>
  <c r="V274" i="1"/>
  <c r="W274" i="1" s="1"/>
  <c r="U274" i="1"/>
  <c r="P274" i="1"/>
  <c r="L274" i="1"/>
  <c r="K274" i="1"/>
  <c r="G274" i="1"/>
  <c r="W273" i="1"/>
  <c r="V273" i="1"/>
  <c r="U273" i="1"/>
  <c r="P273" i="1"/>
  <c r="L273" i="1"/>
  <c r="M273" i="1" s="1"/>
  <c r="N273" i="1" s="1"/>
  <c r="G273" i="1"/>
  <c r="K273" i="1" s="1"/>
  <c r="V272" i="1"/>
  <c r="W272" i="1" s="1"/>
  <c r="U272" i="1"/>
  <c r="P272" i="1"/>
  <c r="L272" i="1"/>
  <c r="G272" i="1"/>
  <c r="K272" i="1" s="1"/>
  <c r="W271" i="1"/>
  <c r="V271" i="1"/>
  <c r="U271" i="1"/>
  <c r="P271" i="1"/>
  <c r="L271" i="1"/>
  <c r="G271" i="1"/>
  <c r="V270" i="1"/>
  <c r="W270" i="1" s="1"/>
  <c r="U270" i="1"/>
  <c r="P270" i="1"/>
  <c r="L270" i="1"/>
  <c r="M270" i="1" s="1"/>
  <c r="N270" i="1" s="1"/>
  <c r="K270" i="1"/>
  <c r="G270" i="1"/>
  <c r="V269" i="1"/>
  <c r="W269" i="1" s="1"/>
  <c r="U269" i="1"/>
  <c r="P269" i="1"/>
  <c r="L269" i="1"/>
  <c r="M269" i="1" s="1"/>
  <c r="N269" i="1" s="1"/>
  <c r="G269" i="1"/>
  <c r="K269" i="1" s="1"/>
  <c r="V268" i="1"/>
  <c r="W268" i="1" s="1"/>
  <c r="U268" i="1"/>
  <c r="P268" i="1"/>
  <c r="L268" i="1"/>
  <c r="G268" i="1"/>
  <c r="K268" i="1" s="1"/>
  <c r="W267" i="1"/>
  <c r="V267" i="1"/>
  <c r="U267" i="1"/>
  <c r="P267" i="1"/>
  <c r="L267" i="1"/>
  <c r="G267" i="1"/>
  <c r="M267" i="1" s="1"/>
  <c r="N267" i="1" s="1"/>
  <c r="V266" i="1"/>
  <c r="W266" i="1" s="1"/>
  <c r="U266" i="1"/>
  <c r="P266" i="1"/>
  <c r="L266" i="1"/>
  <c r="K266" i="1"/>
  <c r="G266" i="1"/>
  <c r="V265" i="1"/>
  <c r="W265" i="1" s="1"/>
  <c r="U265" i="1"/>
  <c r="P265" i="1"/>
  <c r="M265" i="1"/>
  <c r="N265" i="1" s="1"/>
  <c r="L265" i="1"/>
  <c r="G265" i="1"/>
  <c r="K265" i="1" s="1"/>
  <c r="V264" i="1"/>
  <c r="W264" i="1" s="1"/>
  <c r="U264" i="1"/>
  <c r="P264" i="1"/>
  <c r="M264" i="1"/>
  <c r="N264" i="1" s="1"/>
  <c r="L264" i="1"/>
  <c r="G264" i="1"/>
  <c r="K264" i="1" s="1"/>
  <c r="W263" i="1"/>
  <c r="V263" i="1"/>
  <c r="U263" i="1"/>
  <c r="P263" i="1"/>
  <c r="L263" i="1"/>
  <c r="G263" i="1"/>
  <c r="V262" i="1"/>
  <c r="W262" i="1" s="1"/>
  <c r="U262" i="1"/>
  <c r="P262" i="1"/>
  <c r="L262" i="1"/>
  <c r="M262" i="1" s="1"/>
  <c r="N262" i="1" s="1"/>
  <c r="K262" i="1"/>
  <c r="G262" i="1"/>
  <c r="V261" i="1"/>
  <c r="W261" i="1" s="1"/>
  <c r="U261" i="1"/>
  <c r="P261" i="1"/>
  <c r="L261" i="1"/>
  <c r="M261" i="1" s="1"/>
  <c r="N261" i="1" s="1"/>
  <c r="G261" i="1"/>
  <c r="K261" i="1" s="1"/>
  <c r="V260" i="1"/>
  <c r="W260" i="1" s="1"/>
  <c r="U260" i="1"/>
  <c r="P260" i="1"/>
  <c r="M260" i="1"/>
  <c r="N260" i="1" s="1"/>
  <c r="L260" i="1"/>
  <c r="G260" i="1"/>
  <c r="K260" i="1" s="1"/>
  <c r="V259" i="1"/>
  <c r="W259" i="1" s="1"/>
  <c r="U259" i="1"/>
  <c r="P259" i="1"/>
  <c r="L259" i="1"/>
  <c r="K259" i="1"/>
  <c r="G259" i="1"/>
  <c r="M259" i="1" s="1"/>
  <c r="N259" i="1" s="1"/>
  <c r="V258" i="1"/>
  <c r="W258" i="1" s="1"/>
  <c r="U258" i="1"/>
  <c r="P258" i="1"/>
  <c r="L258" i="1"/>
  <c r="G258" i="1"/>
  <c r="M258" i="1" s="1"/>
  <c r="N258" i="1" s="1"/>
  <c r="W257" i="1"/>
  <c r="V257" i="1"/>
  <c r="U257" i="1"/>
  <c r="P257" i="1"/>
  <c r="M257" i="1"/>
  <c r="N257" i="1" s="1"/>
  <c r="L257" i="1"/>
  <c r="G257" i="1"/>
  <c r="K257" i="1" s="1"/>
  <c r="W256" i="1"/>
  <c r="V256" i="1"/>
  <c r="U256" i="1"/>
  <c r="P256" i="1"/>
  <c r="L256" i="1"/>
  <c r="K256" i="1"/>
  <c r="G256" i="1"/>
  <c r="M256" i="1" s="1"/>
  <c r="N256" i="1" s="1"/>
  <c r="W255" i="1"/>
  <c r="V255" i="1"/>
  <c r="U255" i="1"/>
  <c r="P255" i="1"/>
  <c r="L255" i="1"/>
  <c r="M255" i="1" s="1"/>
  <c r="N255" i="1" s="1"/>
  <c r="K255" i="1"/>
  <c r="G255" i="1"/>
  <c r="V254" i="1"/>
  <c r="W254" i="1" s="1"/>
  <c r="U254" i="1"/>
  <c r="P254" i="1"/>
  <c r="L254" i="1"/>
  <c r="M254" i="1" s="1"/>
  <c r="N254" i="1" s="1"/>
  <c r="K254" i="1"/>
  <c r="G254" i="1"/>
  <c r="V253" i="1"/>
  <c r="W253" i="1" s="1"/>
  <c r="U253" i="1"/>
  <c r="P253" i="1"/>
  <c r="L253" i="1"/>
  <c r="M253" i="1" s="1"/>
  <c r="N253" i="1" s="1"/>
  <c r="G253" i="1"/>
  <c r="K253" i="1" s="1"/>
  <c r="V252" i="1"/>
  <c r="W252" i="1" s="1"/>
  <c r="U252" i="1"/>
  <c r="P252" i="1"/>
  <c r="M252" i="1"/>
  <c r="N252" i="1" s="1"/>
  <c r="L252" i="1"/>
  <c r="G252" i="1"/>
  <c r="K252" i="1" s="1"/>
  <c r="V251" i="1"/>
  <c r="W251" i="1" s="1"/>
  <c r="U251" i="1"/>
  <c r="P251" i="1"/>
  <c r="L251" i="1"/>
  <c r="K251" i="1"/>
  <c r="G251" i="1"/>
  <c r="M251" i="1" s="1"/>
  <c r="N251" i="1" s="1"/>
  <c r="V250" i="1"/>
  <c r="W250" i="1" s="1"/>
  <c r="U250" i="1"/>
  <c r="P250" i="1"/>
  <c r="L250" i="1"/>
  <c r="G250" i="1"/>
  <c r="M250" i="1" s="1"/>
  <c r="N250" i="1" s="1"/>
  <c r="W249" i="1"/>
  <c r="V249" i="1"/>
  <c r="U249" i="1"/>
  <c r="P249" i="1"/>
  <c r="M249" i="1"/>
  <c r="N249" i="1" s="1"/>
  <c r="L249" i="1"/>
  <c r="G249" i="1"/>
  <c r="K249" i="1" s="1"/>
  <c r="W248" i="1"/>
  <c r="V248" i="1"/>
  <c r="U248" i="1"/>
  <c r="P248" i="1"/>
  <c r="L248" i="1"/>
  <c r="K248" i="1"/>
  <c r="G248" i="1"/>
  <c r="M248" i="1" s="1"/>
  <c r="N248" i="1" s="1"/>
  <c r="W247" i="1"/>
  <c r="V247" i="1"/>
  <c r="U247" i="1"/>
  <c r="P247" i="1"/>
  <c r="L247" i="1"/>
  <c r="M247" i="1" s="1"/>
  <c r="N247" i="1" s="1"/>
  <c r="K247" i="1"/>
  <c r="G247" i="1"/>
  <c r="V246" i="1"/>
  <c r="W246" i="1" s="1"/>
  <c r="U246" i="1"/>
  <c r="P246" i="1"/>
  <c r="L246" i="1"/>
  <c r="M246" i="1" s="1"/>
  <c r="N246" i="1" s="1"/>
  <c r="K246" i="1"/>
  <c r="G246" i="1"/>
  <c r="V245" i="1"/>
  <c r="W245" i="1" s="1"/>
  <c r="U245" i="1"/>
  <c r="P245" i="1"/>
  <c r="M245" i="1"/>
  <c r="N245" i="1" s="1"/>
  <c r="L245" i="1"/>
  <c r="G245" i="1"/>
  <c r="K245" i="1" s="1"/>
  <c r="V244" i="1"/>
  <c r="W244" i="1" s="1"/>
  <c r="U244" i="1"/>
  <c r="P244" i="1"/>
  <c r="M244" i="1"/>
  <c r="N244" i="1" s="1"/>
  <c r="L244" i="1"/>
  <c r="G244" i="1"/>
  <c r="K244" i="1" s="1"/>
  <c r="V243" i="1"/>
  <c r="W243" i="1" s="1"/>
  <c r="U243" i="1"/>
  <c r="P243" i="1"/>
  <c r="L243" i="1"/>
  <c r="G243" i="1"/>
  <c r="V242" i="1"/>
  <c r="W242" i="1" s="1"/>
  <c r="U242" i="1"/>
  <c r="P242" i="1"/>
  <c r="L242" i="1"/>
  <c r="G242" i="1"/>
  <c r="M242" i="1" s="1"/>
  <c r="N242" i="1" s="1"/>
  <c r="W241" i="1"/>
  <c r="V241" i="1"/>
  <c r="U241" i="1"/>
  <c r="P241" i="1"/>
  <c r="L241" i="1"/>
  <c r="G241" i="1"/>
  <c r="M241" i="1" s="1"/>
  <c r="N241" i="1" s="1"/>
  <c r="V240" i="1"/>
  <c r="W240" i="1" s="1"/>
  <c r="U240" i="1"/>
  <c r="P240" i="1"/>
  <c r="L240" i="1"/>
  <c r="M240" i="1" s="1"/>
  <c r="N240" i="1" s="1"/>
  <c r="K240" i="1"/>
  <c r="G240" i="1"/>
  <c r="V239" i="1"/>
  <c r="W239" i="1" s="1"/>
  <c r="U239" i="1"/>
  <c r="P239" i="1"/>
  <c r="L239" i="1"/>
  <c r="M239" i="1" s="1"/>
  <c r="N239" i="1" s="1"/>
  <c r="G239" i="1"/>
  <c r="K239" i="1" s="1"/>
  <c r="W238" i="1"/>
  <c r="V238" i="1"/>
  <c r="U238" i="1"/>
  <c r="P238" i="1"/>
  <c r="M238" i="1"/>
  <c r="N238" i="1" s="1"/>
  <c r="L238" i="1"/>
  <c r="G238" i="1"/>
  <c r="K238" i="1" s="1"/>
  <c r="W237" i="1"/>
  <c r="V237" i="1"/>
  <c r="U237" i="1"/>
  <c r="P237" i="1"/>
  <c r="L237" i="1"/>
  <c r="K237" i="1"/>
  <c r="G237" i="1"/>
  <c r="M237" i="1" s="1"/>
  <c r="N237" i="1" s="1"/>
  <c r="V236" i="1"/>
  <c r="W236" i="1" s="1"/>
  <c r="U236" i="1"/>
  <c r="P236" i="1"/>
  <c r="L236" i="1"/>
  <c r="M236" i="1" s="1"/>
  <c r="N236" i="1" s="1"/>
  <c r="K236" i="1"/>
  <c r="G236" i="1"/>
  <c r="V235" i="1"/>
  <c r="W235" i="1" s="1"/>
  <c r="U235" i="1"/>
  <c r="P235" i="1"/>
  <c r="M235" i="1"/>
  <c r="N235" i="1" s="1"/>
  <c r="L235" i="1"/>
  <c r="G235" i="1"/>
  <c r="K235" i="1" s="1"/>
  <c r="V234" i="1"/>
  <c r="W234" i="1" s="1"/>
  <c r="U234" i="1"/>
  <c r="P234" i="1"/>
  <c r="L234" i="1"/>
  <c r="G234" i="1"/>
  <c r="M234" i="1" s="1"/>
  <c r="N234" i="1" s="1"/>
  <c r="W233" i="1"/>
  <c r="V233" i="1"/>
  <c r="U233" i="1"/>
  <c r="P233" i="1"/>
  <c r="L233" i="1"/>
  <c r="G233" i="1"/>
  <c r="M233" i="1" s="1"/>
  <c r="N233" i="1" s="1"/>
  <c r="V232" i="1"/>
  <c r="W232" i="1" s="1"/>
  <c r="U232" i="1"/>
  <c r="P232" i="1"/>
  <c r="L232" i="1"/>
  <c r="M232" i="1" s="1"/>
  <c r="N232" i="1" s="1"/>
  <c r="K232" i="1"/>
  <c r="G232" i="1"/>
  <c r="V231" i="1"/>
  <c r="W231" i="1" s="1"/>
  <c r="U231" i="1"/>
  <c r="P231" i="1"/>
  <c r="L231" i="1"/>
  <c r="M231" i="1" s="1"/>
  <c r="N231" i="1" s="1"/>
  <c r="G231" i="1"/>
  <c r="K231" i="1" s="1"/>
  <c r="W230" i="1"/>
  <c r="V230" i="1"/>
  <c r="U230" i="1"/>
  <c r="P230" i="1"/>
  <c r="M230" i="1"/>
  <c r="N230" i="1" s="1"/>
  <c r="L230" i="1"/>
  <c r="G230" i="1"/>
  <c r="K230" i="1" s="1"/>
  <c r="W229" i="1"/>
  <c r="V229" i="1"/>
  <c r="U229" i="1"/>
  <c r="P229" i="1"/>
  <c r="L229" i="1"/>
  <c r="K229" i="1"/>
  <c r="G229" i="1"/>
  <c r="M229" i="1" s="1"/>
  <c r="N229" i="1" s="1"/>
  <c r="V228" i="1"/>
  <c r="W228" i="1" s="1"/>
  <c r="U228" i="1"/>
  <c r="P228" i="1"/>
  <c r="L228" i="1"/>
  <c r="M228" i="1" s="1"/>
  <c r="N228" i="1" s="1"/>
  <c r="K228" i="1"/>
  <c r="G228" i="1"/>
  <c r="V227" i="1"/>
  <c r="W227" i="1" s="1"/>
  <c r="U227" i="1"/>
  <c r="P227" i="1"/>
  <c r="M227" i="1"/>
  <c r="N227" i="1" s="1"/>
  <c r="L227" i="1"/>
  <c r="G227" i="1"/>
  <c r="K227" i="1" s="1"/>
  <c r="V226" i="1"/>
  <c r="W226" i="1" s="1"/>
  <c r="U226" i="1"/>
  <c r="P226" i="1"/>
  <c r="L226" i="1"/>
  <c r="G226" i="1"/>
  <c r="M226" i="1" s="1"/>
  <c r="N226" i="1" s="1"/>
  <c r="W225" i="1"/>
  <c r="V225" i="1"/>
  <c r="U225" i="1"/>
  <c r="P225" i="1"/>
  <c r="L225" i="1"/>
  <c r="G225" i="1"/>
  <c r="M225" i="1" s="1"/>
  <c r="N225" i="1" s="1"/>
  <c r="V224" i="1"/>
  <c r="W224" i="1" s="1"/>
  <c r="U224" i="1"/>
  <c r="P224" i="1"/>
  <c r="L224" i="1"/>
  <c r="M224" i="1" s="1"/>
  <c r="N224" i="1" s="1"/>
  <c r="K224" i="1"/>
  <c r="G224" i="1"/>
  <c r="V223" i="1"/>
  <c r="W223" i="1" s="1"/>
  <c r="U223" i="1"/>
  <c r="P223" i="1"/>
  <c r="L223" i="1"/>
  <c r="M223" i="1" s="1"/>
  <c r="N223" i="1" s="1"/>
  <c r="G223" i="1"/>
  <c r="K223" i="1" s="1"/>
  <c r="W222" i="1"/>
  <c r="V222" i="1"/>
  <c r="U222" i="1"/>
  <c r="P222" i="1"/>
  <c r="M222" i="1"/>
  <c r="N222" i="1" s="1"/>
  <c r="L222" i="1"/>
  <c r="G222" i="1"/>
  <c r="K222" i="1" s="1"/>
  <c r="W221" i="1"/>
  <c r="V221" i="1"/>
  <c r="U221" i="1"/>
  <c r="P221" i="1"/>
  <c r="L221" i="1"/>
  <c r="K221" i="1"/>
  <c r="G221" i="1"/>
  <c r="M221" i="1" s="1"/>
  <c r="N221" i="1" s="1"/>
  <c r="V220" i="1"/>
  <c r="W220" i="1" s="1"/>
  <c r="U220" i="1"/>
  <c r="P220" i="1"/>
  <c r="L220" i="1"/>
  <c r="M220" i="1" s="1"/>
  <c r="N220" i="1" s="1"/>
  <c r="K220" i="1"/>
  <c r="G220" i="1"/>
  <c r="V219" i="1"/>
  <c r="W219" i="1" s="1"/>
  <c r="U219" i="1"/>
  <c r="P219" i="1"/>
  <c r="M219" i="1"/>
  <c r="N219" i="1" s="1"/>
  <c r="L219" i="1"/>
  <c r="G219" i="1"/>
  <c r="K219" i="1" s="1"/>
  <c r="V218" i="1"/>
  <c r="W218" i="1" s="1"/>
  <c r="U218" i="1"/>
  <c r="P218" i="1"/>
  <c r="L218" i="1"/>
  <c r="G218" i="1"/>
  <c r="M218" i="1" s="1"/>
  <c r="N218" i="1" s="1"/>
  <c r="W217" i="1"/>
  <c r="V217" i="1"/>
  <c r="U217" i="1"/>
  <c r="P217" i="1"/>
  <c r="L217" i="1"/>
  <c r="G217" i="1"/>
  <c r="M217" i="1" s="1"/>
  <c r="N217" i="1" s="1"/>
  <c r="V216" i="1"/>
  <c r="W216" i="1" s="1"/>
  <c r="U216" i="1"/>
  <c r="P216" i="1"/>
  <c r="L216" i="1"/>
  <c r="M216" i="1" s="1"/>
  <c r="N216" i="1" s="1"/>
  <c r="K216" i="1"/>
  <c r="G216" i="1"/>
  <c r="V215" i="1"/>
  <c r="W215" i="1" s="1"/>
  <c r="U215" i="1"/>
  <c r="P215" i="1"/>
  <c r="L215" i="1"/>
  <c r="M215" i="1" s="1"/>
  <c r="N215" i="1" s="1"/>
  <c r="G215" i="1"/>
  <c r="K215" i="1" s="1"/>
  <c r="W214" i="1"/>
  <c r="V214" i="1"/>
  <c r="U214" i="1"/>
  <c r="P214" i="1"/>
  <c r="M214" i="1"/>
  <c r="N214" i="1" s="1"/>
  <c r="L214" i="1"/>
  <c r="G214" i="1"/>
  <c r="K214" i="1" s="1"/>
  <c r="W213" i="1"/>
  <c r="V213" i="1"/>
  <c r="U213" i="1"/>
  <c r="P213" i="1"/>
  <c r="L213" i="1"/>
  <c r="K213" i="1"/>
  <c r="G213" i="1"/>
  <c r="M213" i="1" s="1"/>
  <c r="N213" i="1" s="1"/>
  <c r="V212" i="1"/>
  <c r="W212" i="1" s="1"/>
  <c r="U212" i="1"/>
  <c r="P212" i="1"/>
  <c r="L212" i="1"/>
  <c r="M212" i="1" s="1"/>
  <c r="N212" i="1" s="1"/>
  <c r="K212" i="1"/>
  <c r="G212" i="1"/>
  <c r="V211" i="1"/>
  <c r="W211" i="1" s="1"/>
  <c r="U211" i="1"/>
  <c r="P211" i="1"/>
  <c r="M211" i="1"/>
  <c r="N211" i="1" s="1"/>
  <c r="L211" i="1"/>
  <c r="G211" i="1"/>
  <c r="K211" i="1" s="1"/>
  <c r="V210" i="1"/>
  <c r="W210" i="1" s="1"/>
  <c r="U210" i="1"/>
  <c r="P210" i="1"/>
  <c r="L210" i="1"/>
  <c r="G210" i="1"/>
  <c r="M210" i="1" s="1"/>
  <c r="N210" i="1" s="1"/>
  <c r="W209" i="1"/>
  <c r="V209" i="1"/>
  <c r="U209" i="1"/>
  <c r="P209" i="1"/>
  <c r="L209" i="1"/>
  <c r="G209" i="1"/>
  <c r="M209" i="1" s="1"/>
  <c r="N209" i="1" s="1"/>
  <c r="V208" i="1"/>
  <c r="W208" i="1" s="1"/>
  <c r="U208" i="1"/>
  <c r="P208" i="1"/>
  <c r="L208" i="1"/>
  <c r="M208" i="1" s="1"/>
  <c r="N208" i="1" s="1"/>
  <c r="K208" i="1"/>
  <c r="G208" i="1"/>
  <c r="V207" i="1"/>
  <c r="W207" i="1" s="1"/>
  <c r="U207" i="1"/>
  <c r="P207" i="1"/>
  <c r="L207" i="1"/>
  <c r="M207" i="1" s="1"/>
  <c r="N207" i="1" s="1"/>
  <c r="G207" i="1"/>
  <c r="K207" i="1" s="1"/>
  <c r="W206" i="1"/>
  <c r="V206" i="1"/>
  <c r="U206" i="1"/>
  <c r="P206" i="1"/>
  <c r="M206" i="1"/>
  <c r="N206" i="1" s="1"/>
  <c r="L206" i="1"/>
  <c r="G206" i="1"/>
  <c r="K206" i="1" s="1"/>
  <c r="W205" i="1"/>
  <c r="V205" i="1"/>
  <c r="U205" i="1"/>
  <c r="P205" i="1"/>
  <c r="L205" i="1"/>
  <c r="K205" i="1"/>
  <c r="G205" i="1"/>
  <c r="M205" i="1" s="1"/>
  <c r="N205" i="1" s="1"/>
  <c r="W204" i="1"/>
  <c r="V204" i="1"/>
  <c r="U204" i="1"/>
  <c r="P204" i="1"/>
  <c r="L204" i="1"/>
  <c r="M204" i="1" s="1"/>
  <c r="N204" i="1" s="1"/>
  <c r="K204" i="1"/>
  <c r="G204" i="1"/>
  <c r="V203" i="1"/>
  <c r="W203" i="1" s="1"/>
  <c r="U203" i="1"/>
  <c r="P203" i="1"/>
  <c r="M203" i="1"/>
  <c r="N203" i="1" s="1"/>
  <c r="L203" i="1"/>
  <c r="K203" i="1"/>
  <c r="G203" i="1"/>
  <c r="V202" i="1"/>
  <c r="W202" i="1" s="1"/>
  <c r="U202" i="1"/>
  <c r="P202" i="1"/>
  <c r="L202" i="1"/>
  <c r="G202" i="1"/>
  <c r="M202" i="1" s="1"/>
  <c r="N202" i="1" s="1"/>
  <c r="W201" i="1"/>
  <c r="V201" i="1"/>
  <c r="U201" i="1"/>
  <c r="P201" i="1"/>
  <c r="L201" i="1"/>
  <c r="G201" i="1"/>
  <c r="M201" i="1" s="1"/>
  <c r="N201" i="1" s="1"/>
  <c r="V200" i="1"/>
  <c r="W200" i="1" s="1"/>
  <c r="U200" i="1"/>
  <c r="P200" i="1"/>
  <c r="L200" i="1"/>
  <c r="M200" i="1" s="1"/>
  <c r="N200" i="1" s="1"/>
  <c r="K200" i="1"/>
  <c r="G200" i="1"/>
  <c r="V199" i="1"/>
  <c r="W199" i="1" s="1"/>
  <c r="U199" i="1"/>
  <c r="P199" i="1"/>
  <c r="L199" i="1"/>
  <c r="M199" i="1" s="1"/>
  <c r="N199" i="1" s="1"/>
  <c r="G199" i="1"/>
  <c r="K199" i="1" s="1"/>
  <c r="W198" i="1"/>
  <c r="V198" i="1"/>
  <c r="U198" i="1"/>
  <c r="P198" i="1"/>
  <c r="M198" i="1"/>
  <c r="N198" i="1" s="1"/>
  <c r="L198" i="1"/>
  <c r="G198" i="1"/>
  <c r="K198" i="1" s="1"/>
  <c r="W197" i="1"/>
  <c r="V197" i="1"/>
  <c r="U197" i="1"/>
  <c r="P197" i="1"/>
  <c r="L197" i="1"/>
  <c r="K197" i="1"/>
  <c r="G197" i="1"/>
  <c r="M197" i="1" s="1"/>
  <c r="N197" i="1" s="1"/>
  <c r="W196" i="1"/>
  <c r="V196" i="1"/>
  <c r="U196" i="1"/>
  <c r="P196" i="1"/>
  <c r="L196" i="1"/>
  <c r="M196" i="1" s="1"/>
  <c r="N196" i="1" s="1"/>
  <c r="K196" i="1"/>
  <c r="G196" i="1"/>
  <c r="V195" i="1"/>
  <c r="W195" i="1" s="1"/>
  <c r="U195" i="1"/>
  <c r="P195" i="1"/>
  <c r="M195" i="1"/>
  <c r="N195" i="1" s="1"/>
  <c r="L195" i="1"/>
  <c r="K195" i="1"/>
  <c r="G195" i="1"/>
  <c r="V194" i="1"/>
  <c r="W194" i="1" s="1"/>
  <c r="U194" i="1"/>
  <c r="P194" i="1"/>
  <c r="L194" i="1"/>
  <c r="G194" i="1"/>
  <c r="M194" i="1" s="1"/>
  <c r="N194" i="1" s="1"/>
  <c r="W193" i="1"/>
  <c r="V193" i="1"/>
  <c r="U193" i="1"/>
  <c r="P193" i="1"/>
  <c r="L193" i="1"/>
  <c r="G193" i="1"/>
  <c r="M193" i="1" s="1"/>
  <c r="N193" i="1" s="1"/>
  <c r="V192" i="1"/>
  <c r="W192" i="1" s="1"/>
  <c r="U192" i="1"/>
  <c r="P192" i="1"/>
  <c r="L192" i="1"/>
  <c r="M192" i="1" s="1"/>
  <c r="N192" i="1" s="1"/>
  <c r="K192" i="1"/>
  <c r="G192" i="1"/>
  <c r="V191" i="1"/>
  <c r="W191" i="1" s="1"/>
  <c r="U191" i="1"/>
  <c r="P191" i="1"/>
  <c r="L191" i="1"/>
  <c r="M191" i="1" s="1"/>
  <c r="N191" i="1" s="1"/>
  <c r="G191" i="1"/>
  <c r="K191" i="1" s="1"/>
  <c r="W190" i="1"/>
  <c r="V190" i="1"/>
  <c r="U190" i="1"/>
  <c r="P190" i="1"/>
  <c r="M190" i="1"/>
  <c r="N190" i="1" s="1"/>
  <c r="L190" i="1"/>
  <c r="G190" i="1"/>
  <c r="K190" i="1" s="1"/>
  <c r="W189" i="1"/>
  <c r="V189" i="1"/>
  <c r="U189" i="1"/>
  <c r="P189" i="1"/>
  <c r="L189" i="1"/>
  <c r="K189" i="1"/>
  <c r="G189" i="1"/>
  <c r="M189" i="1" s="1"/>
  <c r="N189" i="1" s="1"/>
  <c r="W188" i="1"/>
  <c r="V188" i="1"/>
  <c r="U188" i="1"/>
  <c r="P188" i="1"/>
  <c r="L188" i="1"/>
  <c r="M188" i="1" s="1"/>
  <c r="N188" i="1" s="1"/>
  <c r="K188" i="1"/>
  <c r="G188" i="1"/>
  <c r="V187" i="1"/>
  <c r="W187" i="1" s="1"/>
  <c r="U187" i="1"/>
  <c r="P187" i="1"/>
  <c r="M187" i="1"/>
  <c r="N187" i="1" s="1"/>
  <c r="L187" i="1"/>
  <c r="K187" i="1"/>
  <c r="G187" i="1"/>
  <c r="V186" i="1"/>
  <c r="W186" i="1" s="1"/>
  <c r="U186" i="1"/>
  <c r="P186" i="1"/>
  <c r="L186" i="1"/>
  <c r="G186" i="1"/>
  <c r="M186" i="1" s="1"/>
  <c r="N186" i="1" s="1"/>
  <c r="W185" i="1"/>
  <c r="V185" i="1"/>
  <c r="U185" i="1"/>
  <c r="P185" i="1"/>
  <c r="L185" i="1"/>
  <c r="G185" i="1"/>
  <c r="M185" i="1" s="1"/>
  <c r="N185" i="1" s="1"/>
  <c r="V184" i="1"/>
  <c r="W184" i="1" s="1"/>
  <c r="U184" i="1"/>
  <c r="P184" i="1"/>
  <c r="L184" i="1"/>
  <c r="M184" i="1" s="1"/>
  <c r="N184" i="1" s="1"/>
  <c r="K184" i="1"/>
  <c r="G184" i="1"/>
  <c r="V183" i="1"/>
  <c r="W183" i="1" s="1"/>
  <c r="U183" i="1"/>
  <c r="P183" i="1"/>
  <c r="L183" i="1"/>
  <c r="M183" i="1" s="1"/>
  <c r="N183" i="1" s="1"/>
  <c r="G183" i="1"/>
  <c r="K183" i="1" s="1"/>
  <c r="W182" i="1"/>
  <c r="V182" i="1"/>
  <c r="U182" i="1"/>
  <c r="P182" i="1"/>
  <c r="M182" i="1"/>
  <c r="N182" i="1" s="1"/>
  <c r="L182" i="1"/>
  <c r="G182" i="1"/>
  <c r="K182" i="1" s="1"/>
  <c r="W181" i="1"/>
  <c r="V181" i="1"/>
  <c r="U181" i="1"/>
  <c r="P181" i="1"/>
  <c r="L181" i="1"/>
  <c r="K181" i="1"/>
  <c r="G181" i="1"/>
  <c r="M181" i="1" s="1"/>
  <c r="N181" i="1" s="1"/>
  <c r="W180" i="1"/>
  <c r="V180" i="1"/>
  <c r="U180" i="1"/>
  <c r="P180" i="1"/>
  <c r="L180" i="1"/>
  <c r="K180" i="1"/>
  <c r="G180" i="1"/>
  <c r="M180" i="1" s="1"/>
  <c r="N180" i="1" s="1"/>
  <c r="V179" i="1"/>
  <c r="W179" i="1" s="1"/>
  <c r="U179" i="1"/>
  <c r="P179" i="1"/>
  <c r="M179" i="1"/>
  <c r="N179" i="1" s="1"/>
  <c r="L179" i="1"/>
  <c r="K179" i="1"/>
  <c r="G179" i="1"/>
  <c r="V178" i="1"/>
  <c r="W178" i="1" s="1"/>
  <c r="U178" i="1"/>
  <c r="P178" i="1"/>
  <c r="L178" i="1"/>
  <c r="G178" i="1"/>
  <c r="M178" i="1" s="1"/>
  <c r="N178" i="1" s="1"/>
  <c r="W177" i="1"/>
  <c r="V177" i="1"/>
  <c r="U177" i="1"/>
  <c r="P177" i="1"/>
  <c r="L177" i="1"/>
  <c r="G177" i="1"/>
  <c r="M177" i="1" s="1"/>
  <c r="N177" i="1" s="1"/>
  <c r="V176" i="1"/>
  <c r="W176" i="1" s="1"/>
  <c r="U176" i="1"/>
  <c r="P176" i="1"/>
  <c r="L176" i="1"/>
  <c r="M176" i="1" s="1"/>
  <c r="N176" i="1" s="1"/>
  <c r="K176" i="1"/>
  <c r="G176" i="1"/>
  <c r="V175" i="1"/>
  <c r="W175" i="1" s="1"/>
  <c r="U175" i="1"/>
  <c r="P175" i="1"/>
  <c r="L175" i="1"/>
  <c r="M175" i="1" s="1"/>
  <c r="N175" i="1" s="1"/>
  <c r="G175" i="1"/>
  <c r="K175" i="1" s="1"/>
  <c r="W174" i="1"/>
  <c r="V174" i="1"/>
  <c r="U174" i="1"/>
  <c r="P174" i="1"/>
  <c r="M174" i="1"/>
  <c r="N174" i="1" s="1"/>
  <c r="L174" i="1"/>
  <c r="G174" i="1"/>
  <c r="K174" i="1" s="1"/>
  <c r="W173" i="1"/>
  <c r="V173" i="1"/>
  <c r="U173" i="1"/>
  <c r="P173" i="1"/>
  <c r="L173" i="1"/>
  <c r="K173" i="1"/>
  <c r="G173" i="1"/>
  <c r="M173" i="1" s="1"/>
  <c r="N173" i="1" s="1"/>
  <c r="W172" i="1"/>
  <c r="V172" i="1"/>
  <c r="U172" i="1"/>
  <c r="P172" i="1"/>
  <c r="L172" i="1"/>
  <c r="K172" i="1"/>
  <c r="G172" i="1"/>
  <c r="M172" i="1" s="1"/>
  <c r="N172" i="1" s="1"/>
  <c r="V171" i="1"/>
  <c r="W171" i="1" s="1"/>
  <c r="U171" i="1"/>
  <c r="P171" i="1"/>
  <c r="M171" i="1"/>
  <c r="N171" i="1" s="1"/>
  <c r="L171" i="1"/>
  <c r="K171" i="1"/>
  <c r="G171" i="1"/>
  <c r="V170" i="1"/>
  <c r="W170" i="1" s="1"/>
  <c r="U170" i="1"/>
  <c r="P170" i="1"/>
  <c r="L170" i="1"/>
  <c r="G170" i="1"/>
  <c r="M170" i="1" s="1"/>
  <c r="N170" i="1" s="1"/>
  <c r="W169" i="1"/>
  <c r="V169" i="1"/>
  <c r="U169" i="1"/>
  <c r="P169" i="1"/>
  <c r="L169" i="1"/>
  <c r="G169" i="1"/>
  <c r="M169" i="1" s="1"/>
  <c r="N169" i="1" s="1"/>
  <c r="V168" i="1"/>
  <c r="W168" i="1" s="1"/>
  <c r="U168" i="1"/>
  <c r="P168" i="1"/>
  <c r="L168" i="1"/>
  <c r="M168" i="1" s="1"/>
  <c r="N168" i="1" s="1"/>
  <c r="K168" i="1"/>
  <c r="G168" i="1"/>
  <c r="V167" i="1"/>
  <c r="W167" i="1" s="1"/>
  <c r="U167" i="1"/>
  <c r="P167" i="1"/>
  <c r="L167" i="1"/>
  <c r="M167" i="1" s="1"/>
  <c r="N167" i="1" s="1"/>
  <c r="G167" i="1"/>
  <c r="K167" i="1" s="1"/>
  <c r="W166" i="1"/>
  <c r="V166" i="1"/>
  <c r="U166" i="1"/>
  <c r="P166" i="1"/>
  <c r="M166" i="1"/>
  <c r="N166" i="1" s="1"/>
  <c r="L166" i="1"/>
  <c r="G166" i="1"/>
  <c r="K166" i="1" s="1"/>
  <c r="W165" i="1"/>
  <c r="V165" i="1"/>
  <c r="U165" i="1"/>
  <c r="P165" i="1"/>
  <c r="L165" i="1"/>
  <c r="K165" i="1"/>
  <c r="G165" i="1"/>
  <c r="M165" i="1" s="1"/>
  <c r="N165" i="1" s="1"/>
  <c r="W164" i="1"/>
  <c r="V164" i="1"/>
  <c r="U164" i="1"/>
  <c r="P164" i="1"/>
  <c r="L164" i="1"/>
  <c r="K164" i="1"/>
  <c r="G164" i="1"/>
  <c r="M164" i="1" s="1"/>
  <c r="N164" i="1" s="1"/>
  <c r="V163" i="1"/>
  <c r="W163" i="1" s="1"/>
  <c r="U163" i="1"/>
  <c r="P163" i="1"/>
  <c r="M163" i="1"/>
  <c r="N163" i="1" s="1"/>
  <c r="L163" i="1"/>
  <c r="K163" i="1"/>
  <c r="G163" i="1"/>
  <c r="V162" i="1"/>
  <c r="W162" i="1" s="1"/>
  <c r="U162" i="1"/>
  <c r="P162" i="1"/>
  <c r="L162" i="1"/>
  <c r="G162" i="1"/>
  <c r="M162" i="1" s="1"/>
  <c r="N162" i="1" s="1"/>
  <c r="W161" i="1"/>
  <c r="V161" i="1"/>
  <c r="U161" i="1"/>
  <c r="P161" i="1"/>
  <c r="L161" i="1"/>
  <c r="G161" i="1"/>
  <c r="M161" i="1" s="1"/>
  <c r="N161" i="1" s="1"/>
  <c r="V160" i="1"/>
  <c r="W160" i="1" s="1"/>
  <c r="U160" i="1"/>
  <c r="P160" i="1"/>
  <c r="L160" i="1"/>
  <c r="M160" i="1" s="1"/>
  <c r="N160" i="1" s="1"/>
  <c r="K160" i="1"/>
  <c r="G160" i="1"/>
  <c r="V159" i="1"/>
  <c r="W159" i="1" s="1"/>
  <c r="U159" i="1"/>
  <c r="P159" i="1"/>
  <c r="L159" i="1"/>
  <c r="M159" i="1" s="1"/>
  <c r="N159" i="1" s="1"/>
  <c r="G159" i="1"/>
  <c r="K159" i="1" s="1"/>
  <c r="W158" i="1"/>
  <c r="V158" i="1"/>
  <c r="U158" i="1"/>
  <c r="P158" i="1"/>
  <c r="M158" i="1"/>
  <c r="N158" i="1" s="1"/>
  <c r="L158" i="1"/>
  <c r="G158" i="1"/>
  <c r="K158" i="1" s="1"/>
  <c r="V157" i="1"/>
  <c r="W157" i="1" s="1"/>
  <c r="U157" i="1"/>
  <c r="P157" i="1"/>
  <c r="L157" i="1"/>
  <c r="K157" i="1"/>
  <c r="G157" i="1"/>
  <c r="M157" i="1" s="1"/>
  <c r="N157" i="1" s="1"/>
  <c r="W156" i="1"/>
  <c r="V156" i="1"/>
  <c r="U156" i="1"/>
  <c r="P156" i="1"/>
  <c r="L156" i="1"/>
  <c r="G156" i="1"/>
  <c r="M156" i="1" s="1"/>
  <c r="N156" i="1" s="1"/>
  <c r="V155" i="1"/>
  <c r="W155" i="1" s="1"/>
  <c r="U155" i="1"/>
  <c r="P155" i="1"/>
  <c r="M155" i="1"/>
  <c r="N155" i="1" s="1"/>
  <c r="L155" i="1"/>
  <c r="K155" i="1"/>
  <c r="G155" i="1"/>
  <c r="V154" i="1"/>
  <c r="W154" i="1" s="1"/>
  <c r="U154" i="1"/>
  <c r="P154" i="1"/>
  <c r="L154" i="1"/>
  <c r="G154" i="1"/>
  <c r="M154" i="1" s="1"/>
  <c r="N154" i="1" s="1"/>
  <c r="W153" i="1"/>
  <c r="V153" i="1"/>
  <c r="U153" i="1"/>
  <c r="P153" i="1"/>
  <c r="L153" i="1"/>
  <c r="G153" i="1"/>
  <c r="M153" i="1" s="1"/>
  <c r="N153" i="1" s="1"/>
  <c r="V152" i="1"/>
  <c r="W152" i="1" s="1"/>
  <c r="U152" i="1"/>
  <c r="P152" i="1"/>
  <c r="L152" i="1"/>
  <c r="M152" i="1" s="1"/>
  <c r="N152" i="1" s="1"/>
  <c r="K152" i="1"/>
  <c r="G152" i="1"/>
  <c r="V151" i="1"/>
  <c r="W151" i="1" s="1"/>
  <c r="U151" i="1"/>
  <c r="P151" i="1"/>
  <c r="L151" i="1"/>
  <c r="M151" i="1" s="1"/>
  <c r="N151" i="1" s="1"/>
  <c r="G151" i="1"/>
  <c r="K151" i="1" s="1"/>
  <c r="W150" i="1"/>
  <c r="V150" i="1"/>
  <c r="U150" i="1"/>
  <c r="P150" i="1"/>
  <c r="M150" i="1"/>
  <c r="N150" i="1" s="1"/>
  <c r="L150" i="1"/>
  <c r="G150" i="1"/>
  <c r="K150" i="1" s="1"/>
  <c r="V149" i="1"/>
  <c r="W149" i="1" s="1"/>
  <c r="U149" i="1"/>
  <c r="P149" i="1"/>
  <c r="L149" i="1"/>
  <c r="K149" i="1"/>
  <c r="G149" i="1"/>
  <c r="M149" i="1" s="1"/>
  <c r="N149" i="1" s="1"/>
  <c r="W148" i="1"/>
  <c r="V148" i="1"/>
  <c r="U148" i="1"/>
  <c r="P148" i="1"/>
  <c r="L148" i="1"/>
  <c r="G148" i="1"/>
  <c r="M148" i="1" s="1"/>
  <c r="N148" i="1" s="1"/>
  <c r="V147" i="1"/>
  <c r="W147" i="1" s="1"/>
  <c r="U147" i="1"/>
  <c r="P147" i="1"/>
  <c r="M147" i="1"/>
  <c r="N147" i="1" s="1"/>
  <c r="L147" i="1"/>
  <c r="K147" i="1"/>
  <c r="G147" i="1"/>
  <c r="V146" i="1"/>
  <c r="W146" i="1" s="1"/>
  <c r="U146" i="1"/>
  <c r="P146" i="1"/>
  <c r="L146" i="1"/>
  <c r="G146" i="1"/>
  <c r="M146" i="1" s="1"/>
  <c r="N146" i="1" s="1"/>
  <c r="W145" i="1"/>
  <c r="V145" i="1"/>
  <c r="U145" i="1"/>
  <c r="P145" i="1"/>
  <c r="L145" i="1"/>
  <c r="G145" i="1"/>
  <c r="M145" i="1" s="1"/>
  <c r="N145" i="1" s="1"/>
  <c r="V144" i="1"/>
  <c r="W144" i="1" s="1"/>
  <c r="U144" i="1"/>
  <c r="P144" i="1"/>
  <c r="L144" i="1"/>
  <c r="M144" i="1" s="1"/>
  <c r="N144" i="1" s="1"/>
  <c r="K144" i="1"/>
  <c r="G144" i="1"/>
  <c r="V143" i="1"/>
  <c r="W143" i="1" s="1"/>
  <c r="U143" i="1"/>
  <c r="P143" i="1"/>
  <c r="L143" i="1"/>
  <c r="M143" i="1" s="1"/>
  <c r="N143" i="1" s="1"/>
  <c r="G143" i="1"/>
  <c r="K143" i="1" s="1"/>
  <c r="W142" i="1"/>
  <c r="V142" i="1"/>
  <c r="U142" i="1"/>
  <c r="P142" i="1"/>
  <c r="M142" i="1"/>
  <c r="N142" i="1" s="1"/>
  <c r="L142" i="1"/>
  <c r="G142" i="1"/>
  <c r="K142" i="1" s="1"/>
  <c r="V141" i="1"/>
  <c r="W141" i="1" s="1"/>
  <c r="U141" i="1"/>
  <c r="P141" i="1"/>
  <c r="L141" i="1"/>
  <c r="K141" i="1"/>
  <c r="G141" i="1"/>
  <c r="M141" i="1" s="1"/>
  <c r="N141" i="1" s="1"/>
  <c r="W140" i="1"/>
  <c r="V140" i="1"/>
  <c r="U140" i="1"/>
  <c r="P140" i="1"/>
  <c r="L140" i="1"/>
  <c r="G140" i="1"/>
  <c r="M140" i="1" s="1"/>
  <c r="N140" i="1" s="1"/>
  <c r="V139" i="1"/>
  <c r="W139" i="1" s="1"/>
  <c r="U139" i="1"/>
  <c r="P139" i="1"/>
  <c r="M139" i="1"/>
  <c r="N139" i="1" s="1"/>
  <c r="L139" i="1"/>
  <c r="K139" i="1"/>
  <c r="G139" i="1"/>
  <c r="V138" i="1"/>
  <c r="W138" i="1" s="1"/>
  <c r="U138" i="1"/>
  <c r="P138" i="1"/>
  <c r="L138" i="1"/>
  <c r="G138" i="1"/>
  <c r="M138" i="1" s="1"/>
  <c r="N138" i="1" s="1"/>
  <c r="W137" i="1"/>
  <c r="V137" i="1"/>
  <c r="U137" i="1"/>
  <c r="P137" i="1"/>
  <c r="L137" i="1"/>
  <c r="G137" i="1"/>
  <c r="M137" i="1" s="1"/>
  <c r="N137" i="1" s="1"/>
  <c r="V136" i="1"/>
  <c r="W136" i="1" s="1"/>
  <c r="U136" i="1"/>
  <c r="P136" i="1"/>
  <c r="L136" i="1"/>
  <c r="M136" i="1" s="1"/>
  <c r="N136" i="1" s="1"/>
  <c r="K136" i="1"/>
  <c r="G136" i="1"/>
  <c r="V135" i="1"/>
  <c r="W135" i="1" s="1"/>
  <c r="U135" i="1"/>
  <c r="P135" i="1"/>
  <c r="L135" i="1"/>
  <c r="M135" i="1" s="1"/>
  <c r="N135" i="1" s="1"/>
  <c r="G135" i="1"/>
  <c r="K135" i="1" s="1"/>
  <c r="W134" i="1"/>
  <c r="V134" i="1"/>
  <c r="U134" i="1"/>
  <c r="P134" i="1"/>
  <c r="M134" i="1"/>
  <c r="N134" i="1" s="1"/>
  <c r="L134" i="1"/>
  <c r="G134" i="1"/>
  <c r="K134" i="1" s="1"/>
  <c r="V133" i="1"/>
  <c r="W133" i="1" s="1"/>
  <c r="U133" i="1"/>
  <c r="P133" i="1"/>
  <c r="L133" i="1"/>
  <c r="K133" i="1"/>
  <c r="G133" i="1"/>
  <c r="M133" i="1" s="1"/>
  <c r="N133" i="1" s="1"/>
  <c r="W132" i="1"/>
  <c r="V132" i="1"/>
  <c r="U132" i="1"/>
  <c r="P132" i="1"/>
  <c r="L132" i="1"/>
  <c r="G132" i="1"/>
  <c r="M132" i="1" s="1"/>
  <c r="N132" i="1" s="1"/>
  <c r="V131" i="1"/>
  <c r="W131" i="1" s="1"/>
  <c r="U131" i="1"/>
  <c r="P131" i="1"/>
  <c r="M131" i="1"/>
  <c r="N131" i="1" s="1"/>
  <c r="L131" i="1"/>
  <c r="K131" i="1"/>
  <c r="G131" i="1"/>
  <c r="V130" i="1"/>
  <c r="W130" i="1" s="1"/>
  <c r="U130" i="1"/>
  <c r="P130" i="1"/>
  <c r="L130" i="1"/>
  <c r="G130" i="1"/>
  <c r="M130" i="1" s="1"/>
  <c r="N130" i="1" s="1"/>
  <c r="W129" i="1"/>
  <c r="V129" i="1"/>
  <c r="U129" i="1"/>
  <c r="P129" i="1"/>
  <c r="L129" i="1"/>
  <c r="G129" i="1"/>
  <c r="M129" i="1" s="1"/>
  <c r="N129" i="1" s="1"/>
  <c r="V128" i="1"/>
  <c r="W128" i="1" s="1"/>
  <c r="U128" i="1"/>
  <c r="P128" i="1"/>
  <c r="L128" i="1"/>
  <c r="M128" i="1" s="1"/>
  <c r="N128" i="1" s="1"/>
  <c r="K128" i="1"/>
  <c r="G128" i="1"/>
  <c r="V127" i="1"/>
  <c r="W127" i="1" s="1"/>
  <c r="U127" i="1"/>
  <c r="P127" i="1"/>
  <c r="L127" i="1"/>
  <c r="M127" i="1" s="1"/>
  <c r="N127" i="1" s="1"/>
  <c r="G127" i="1"/>
  <c r="K127" i="1" s="1"/>
  <c r="W126" i="1"/>
  <c r="V126" i="1"/>
  <c r="U126" i="1"/>
  <c r="P126" i="1"/>
  <c r="M126" i="1"/>
  <c r="N126" i="1" s="1"/>
  <c r="L126" i="1"/>
  <c r="G126" i="1"/>
  <c r="K126" i="1" s="1"/>
  <c r="V125" i="1"/>
  <c r="W125" i="1" s="1"/>
  <c r="U125" i="1"/>
  <c r="P125" i="1"/>
  <c r="L125" i="1"/>
  <c r="K125" i="1"/>
  <c r="G125" i="1"/>
  <c r="M125" i="1" s="1"/>
  <c r="N125" i="1" s="1"/>
  <c r="W124" i="1"/>
  <c r="V124" i="1"/>
  <c r="U124" i="1"/>
  <c r="P124" i="1"/>
  <c r="L124" i="1"/>
  <c r="G124" i="1"/>
  <c r="M124" i="1" s="1"/>
  <c r="N124" i="1" s="1"/>
  <c r="V123" i="1"/>
  <c r="W123" i="1" s="1"/>
  <c r="U123" i="1"/>
  <c r="P123" i="1"/>
  <c r="M123" i="1"/>
  <c r="N123" i="1" s="1"/>
  <c r="L123" i="1"/>
  <c r="K123" i="1"/>
  <c r="G123" i="1"/>
  <c r="V122" i="1"/>
  <c r="W122" i="1" s="1"/>
  <c r="U122" i="1"/>
  <c r="P122" i="1"/>
  <c r="L122" i="1"/>
  <c r="G122" i="1"/>
  <c r="M122" i="1" s="1"/>
  <c r="N122" i="1" s="1"/>
  <c r="W121" i="1"/>
  <c r="V121" i="1"/>
  <c r="U121" i="1"/>
  <c r="P121" i="1"/>
  <c r="L121" i="1"/>
  <c r="G121" i="1"/>
  <c r="M121" i="1" s="1"/>
  <c r="N121" i="1" s="1"/>
  <c r="V120" i="1"/>
  <c r="W120" i="1" s="1"/>
  <c r="U120" i="1"/>
  <c r="P120" i="1"/>
  <c r="L120" i="1"/>
  <c r="M120" i="1" s="1"/>
  <c r="N120" i="1" s="1"/>
  <c r="K120" i="1"/>
  <c r="G120" i="1"/>
  <c r="V119" i="1"/>
  <c r="W119" i="1" s="1"/>
  <c r="U119" i="1"/>
  <c r="P119" i="1"/>
  <c r="L119" i="1"/>
  <c r="M119" i="1" s="1"/>
  <c r="N119" i="1" s="1"/>
  <c r="G119" i="1"/>
  <c r="K119" i="1" s="1"/>
  <c r="W118" i="1"/>
  <c r="V118" i="1"/>
  <c r="U118" i="1"/>
  <c r="P118" i="1"/>
  <c r="M118" i="1"/>
  <c r="N118" i="1" s="1"/>
  <c r="L118" i="1"/>
  <c r="G118" i="1"/>
  <c r="K118" i="1" s="1"/>
  <c r="V117" i="1"/>
  <c r="W117" i="1" s="1"/>
  <c r="U117" i="1"/>
  <c r="P117" i="1"/>
  <c r="L117" i="1"/>
  <c r="K117" i="1"/>
  <c r="G117" i="1"/>
  <c r="M117" i="1" s="1"/>
  <c r="N117" i="1" s="1"/>
  <c r="W116" i="1"/>
  <c r="V116" i="1"/>
  <c r="U116" i="1"/>
  <c r="P116" i="1"/>
  <c r="L116" i="1"/>
  <c r="G116" i="1"/>
  <c r="M116" i="1" s="1"/>
  <c r="N116" i="1" s="1"/>
  <c r="V115" i="1"/>
  <c r="W115" i="1" s="1"/>
  <c r="U115" i="1"/>
  <c r="P115" i="1"/>
  <c r="M115" i="1"/>
  <c r="N115" i="1" s="1"/>
  <c r="L115" i="1"/>
  <c r="K115" i="1"/>
  <c r="G115" i="1"/>
  <c r="V114" i="1"/>
  <c r="W114" i="1" s="1"/>
  <c r="U114" i="1"/>
  <c r="P114" i="1"/>
  <c r="L114" i="1"/>
  <c r="G114" i="1"/>
  <c r="M114" i="1" s="1"/>
  <c r="N114" i="1" s="1"/>
  <c r="W113" i="1"/>
  <c r="V113" i="1"/>
  <c r="U113" i="1"/>
  <c r="P113" i="1"/>
  <c r="L113" i="1"/>
  <c r="G113" i="1"/>
  <c r="M113" i="1" s="1"/>
  <c r="N113" i="1" s="1"/>
  <c r="V112" i="1"/>
  <c r="W112" i="1" s="1"/>
  <c r="U112" i="1"/>
  <c r="P112" i="1"/>
  <c r="L112" i="1"/>
  <c r="M112" i="1" s="1"/>
  <c r="N112" i="1" s="1"/>
  <c r="K112" i="1"/>
  <c r="G112" i="1"/>
  <c r="V111" i="1"/>
  <c r="W111" i="1" s="1"/>
  <c r="U111" i="1"/>
  <c r="P111" i="1"/>
  <c r="L111" i="1"/>
  <c r="M111" i="1" s="1"/>
  <c r="N111" i="1" s="1"/>
  <c r="G111" i="1"/>
  <c r="K111" i="1" s="1"/>
  <c r="W110" i="1"/>
  <c r="V110" i="1"/>
  <c r="U110" i="1"/>
  <c r="P110" i="1"/>
  <c r="M110" i="1"/>
  <c r="N110" i="1" s="1"/>
  <c r="L110" i="1"/>
  <c r="G110" i="1"/>
  <c r="K110" i="1" s="1"/>
  <c r="V109" i="1"/>
  <c r="W109" i="1" s="1"/>
  <c r="U109" i="1"/>
  <c r="P109" i="1"/>
  <c r="L109" i="1"/>
  <c r="K109" i="1"/>
  <c r="G109" i="1"/>
  <c r="M109" i="1" s="1"/>
  <c r="N109" i="1" s="1"/>
  <c r="W108" i="1"/>
  <c r="V108" i="1"/>
  <c r="U108" i="1"/>
  <c r="P108" i="1"/>
  <c r="L108" i="1"/>
  <c r="G108" i="1"/>
  <c r="M108" i="1" s="1"/>
  <c r="N108" i="1" s="1"/>
  <c r="V107" i="1"/>
  <c r="W107" i="1" s="1"/>
  <c r="U107" i="1"/>
  <c r="P107" i="1"/>
  <c r="M107" i="1"/>
  <c r="N107" i="1" s="1"/>
  <c r="L107" i="1"/>
  <c r="K107" i="1"/>
  <c r="G107" i="1"/>
  <c r="V106" i="1"/>
  <c r="W106" i="1" s="1"/>
  <c r="U106" i="1"/>
  <c r="P106" i="1"/>
  <c r="L106" i="1"/>
  <c r="G106" i="1"/>
  <c r="M106" i="1" s="1"/>
  <c r="N106" i="1" s="1"/>
  <c r="W105" i="1"/>
  <c r="V105" i="1"/>
  <c r="U105" i="1"/>
  <c r="P105" i="1"/>
  <c r="L105" i="1"/>
  <c r="G105" i="1"/>
  <c r="M105" i="1" s="1"/>
  <c r="N105" i="1" s="1"/>
  <c r="V104" i="1"/>
  <c r="W104" i="1" s="1"/>
  <c r="U104" i="1"/>
  <c r="P104" i="1"/>
  <c r="L104" i="1"/>
  <c r="M104" i="1" s="1"/>
  <c r="N104" i="1" s="1"/>
  <c r="K104" i="1"/>
  <c r="G104" i="1"/>
  <c r="V103" i="1"/>
  <c r="W103" i="1" s="1"/>
  <c r="U103" i="1"/>
  <c r="P103" i="1"/>
  <c r="L103" i="1"/>
  <c r="M103" i="1" s="1"/>
  <c r="N103" i="1" s="1"/>
  <c r="G103" i="1"/>
  <c r="K103" i="1" s="1"/>
  <c r="W102" i="1"/>
  <c r="V102" i="1"/>
  <c r="U102" i="1"/>
  <c r="P102" i="1"/>
  <c r="M102" i="1"/>
  <c r="N102" i="1" s="1"/>
  <c r="L102" i="1"/>
  <c r="G102" i="1"/>
  <c r="K102" i="1" s="1"/>
  <c r="V101" i="1"/>
  <c r="W101" i="1" s="1"/>
  <c r="U101" i="1"/>
  <c r="P101" i="1"/>
  <c r="L101" i="1"/>
  <c r="K101" i="1"/>
  <c r="G101" i="1"/>
  <c r="M101" i="1" s="1"/>
  <c r="N101" i="1" s="1"/>
  <c r="W100" i="1"/>
  <c r="V100" i="1"/>
  <c r="U100" i="1"/>
  <c r="P100" i="1"/>
  <c r="L100" i="1"/>
  <c r="G100" i="1"/>
  <c r="M100" i="1" s="1"/>
  <c r="N100" i="1" s="1"/>
  <c r="V99" i="1"/>
  <c r="W99" i="1" s="1"/>
  <c r="U99" i="1"/>
  <c r="P99" i="1"/>
  <c r="M99" i="1"/>
  <c r="N99" i="1" s="1"/>
  <c r="L99" i="1"/>
  <c r="K99" i="1"/>
  <c r="G99" i="1"/>
  <c r="V98" i="1"/>
  <c r="W98" i="1" s="1"/>
  <c r="U98" i="1"/>
  <c r="P98" i="1"/>
  <c r="L98" i="1"/>
  <c r="G98" i="1"/>
  <c r="M98" i="1" s="1"/>
  <c r="N98" i="1" s="1"/>
  <c r="W97" i="1"/>
  <c r="V97" i="1"/>
  <c r="U97" i="1"/>
  <c r="P97" i="1"/>
  <c r="L97" i="1"/>
  <c r="G97" i="1"/>
  <c r="M97" i="1" s="1"/>
  <c r="N97" i="1" s="1"/>
  <c r="V96" i="1"/>
  <c r="W96" i="1" s="1"/>
  <c r="U96" i="1"/>
  <c r="P96" i="1"/>
  <c r="L96" i="1"/>
  <c r="M96" i="1" s="1"/>
  <c r="N96" i="1" s="1"/>
  <c r="K96" i="1"/>
  <c r="G96" i="1"/>
  <c r="V95" i="1"/>
  <c r="W95" i="1" s="1"/>
  <c r="U95" i="1"/>
  <c r="P95" i="1"/>
  <c r="L95" i="1"/>
  <c r="M95" i="1" s="1"/>
  <c r="N95" i="1" s="1"/>
  <c r="G95" i="1"/>
  <c r="K95" i="1" s="1"/>
  <c r="W94" i="1"/>
  <c r="V94" i="1"/>
  <c r="U94" i="1"/>
  <c r="P94" i="1"/>
  <c r="M94" i="1"/>
  <c r="N94" i="1" s="1"/>
  <c r="L94" i="1"/>
  <c r="G94" i="1"/>
  <c r="K94" i="1" s="1"/>
  <c r="V93" i="1"/>
  <c r="W93" i="1" s="1"/>
  <c r="U93" i="1"/>
  <c r="P93" i="1"/>
  <c r="L93" i="1"/>
  <c r="K93" i="1"/>
  <c r="G93" i="1"/>
  <c r="M93" i="1" s="1"/>
  <c r="N93" i="1" s="1"/>
  <c r="W92" i="1"/>
  <c r="V92" i="1"/>
  <c r="U92" i="1"/>
  <c r="P92" i="1"/>
  <c r="L92" i="1"/>
  <c r="G92" i="1"/>
  <c r="M92" i="1" s="1"/>
  <c r="N92" i="1" s="1"/>
  <c r="V91" i="1"/>
  <c r="W91" i="1" s="1"/>
  <c r="U91" i="1"/>
  <c r="P91" i="1"/>
  <c r="M91" i="1"/>
  <c r="N91" i="1" s="1"/>
  <c r="L91" i="1"/>
  <c r="K91" i="1"/>
  <c r="G91" i="1"/>
  <c r="V90" i="1"/>
  <c r="W90" i="1" s="1"/>
  <c r="U90" i="1"/>
  <c r="P90" i="1"/>
  <c r="L90" i="1"/>
  <c r="G90" i="1"/>
  <c r="M90" i="1" s="1"/>
  <c r="N90" i="1" s="1"/>
  <c r="W89" i="1"/>
  <c r="V89" i="1"/>
  <c r="U89" i="1"/>
  <c r="P89" i="1"/>
  <c r="L89" i="1"/>
  <c r="G89" i="1"/>
  <c r="M89" i="1" s="1"/>
  <c r="N89" i="1" s="1"/>
  <c r="V88" i="1"/>
  <c r="W88" i="1" s="1"/>
  <c r="U88" i="1"/>
  <c r="P88" i="1"/>
  <c r="L88" i="1"/>
  <c r="M88" i="1" s="1"/>
  <c r="N88" i="1" s="1"/>
  <c r="K88" i="1"/>
  <c r="G88" i="1"/>
  <c r="V87" i="1"/>
  <c r="W87" i="1" s="1"/>
  <c r="U87" i="1"/>
  <c r="P87" i="1"/>
  <c r="L87" i="1"/>
  <c r="M87" i="1" s="1"/>
  <c r="N87" i="1" s="1"/>
  <c r="G87" i="1"/>
  <c r="K87" i="1" s="1"/>
  <c r="W86" i="1"/>
  <c r="V86" i="1"/>
  <c r="U86" i="1"/>
  <c r="P86" i="1"/>
  <c r="M86" i="1"/>
  <c r="N86" i="1" s="1"/>
  <c r="L86" i="1"/>
  <c r="G86" i="1"/>
  <c r="K86" i="1" s="1"/>
  <c r="V85" i="1"/>
  <c r="W85" i="1" s="1"/>
  <c r="U85" i="1"/>
  <c r="P85" i="1"/>
  <c r="L85" i="1"/>
  <c r="K85" i="1"/>
  <c r="G85" i="1"/>
  <c r="M85" i="1" s="1"/>
  <c r="N85" i="1" s="1"/>
  <c r="W84" i="1"/>
  <c r="V84" i="1"/>
  <c r="U84" i="1"/>
  <c r="P84" i="1"/>
  <c r="L84" i="1"/>
  <c r="G84" i="1"/>
  <c r="M84" i="1" s="1"/>
  <c r="N84" i="1" s="1"/>
  <c r="V83" i="1"/>
  <c r="W83" i="1" s="1"/>
  <c r="U83" i="1"/>
  <c r="P83" i="1"/>
  <c r="M83" i="1"/>
  <c r="N83" i="1" s="1"/>
  <c r="L83" i="1"/>
  <c r="K83" i="1"/>
  <c r="G83" i="1"/>
  <c r="V82" i="1"/>
  <c r="W82" i="1" s="1"/>
  <c r="U82" i="1"/>
  <c r="P82" i="1"/>
  <c r="L82" i="1"/>
  <c r="G82" i="1"/>
  <c r="M82" i="1" s="1"/>
  <c r="N82" i="1" s="1"/>
  <c r="W81" i="1"/>
  <c r="V81" i="1"/>
  <c r="U81" i="1"/>
  <c r="P81" i="1"/>
  <c r="L81" i="1"/>
  <c r="G81" i="1"/>
  <c r="M81" i="1" s="1"/>
  <c r="N81" i="1" s="1"/>
  <c r="V80" i="1"/>
  <c r="W80" i="1" s="1"/>
  <c r="U80" i="1"/>
  <c r="P80" i="1"/>
  <c r="L80" i="1"/>
  <c r="M80" i="1" s="1"/>
  <c r="N80" i="1" s="1"/>
  <c r="K80" i="1"/>
  <c r="G80" i="1"/>
  <c r="V79" i="1"/>
  <c r="W79" i="1" s="1"/>
  <c r="U79" i="1"/>
  <c r="P79" i="1"/>
  <c r="L79" i="1"/>
  <c r="M79" i="1" s="1"/>
  <c r="N79" i="1" s="1"/>
  <c r="G79" i="1"/>
  <c r="K79" i="1" s="1"/>
  <c r="W78" i="1"/>
  <c r="V78" i="1"/>
  <c r="U78" i="1"/>
  <c r="P78" i="1"/>
  <c r="M78" i="1"/>
  <c r="N78" i="1" s="1"/>
  <c r="L78" i="1"/>
  <c r="G78" i="1"/>
  <c r="K78" i="1" s="1"/>
  <c r="V77" i="1"/>
  <c r="W77" i="1" s="1"/>
  <c r="U77" i="1"/>
  <c r="P77" i="1"/>
  <c r="L77" i="1"/>
  <c r="K77" i="1"/>
  <c r="G77" i="1"/>
  <c r="M77" i="1" s="1"/>
  <c r="N77" i="1" s="1"/>
  <c r="W76" i="1"/>
  <c r="V76" i="1"/>
  <c r="U76" i="1"/>
  <c r="P76" i="1"/>
  <c r="L76" i="1"/>
  <c r="G76" i="1"/>
  <c r="M76" i="1" s="1"/>
  <c r="N76" i="1" s="1"/>
  <c r="V75" i="1"/>
  <c r="W75" i="1" s="1"/>
  <c r="U75" i="1"/>
  <c r="P75" i="1"/>
  <c r="M75" i="1"/>
  <c r="N75" i="1" s="1"/>
  <c r="L75" i="1"/>
  <c r="K75" i="1"/>
  <c r="G75" i="1"/>
  <c r="V74" i="1"/>
  <c r="W74" i="1" s="1"/>
  <c r="U74" i="1"/>
  <c r="P74" i="1"/>
  <c r="L74" i="1"/>
  <c r="G74" i="1"/>
  <c r="M74" i="1" s="1"/>
  <c r="N74" i="1" s="1"/>
  <c r="W73" i="1"/>
  <c r="V73" i="1"/>
  <c r="U73" i="1"/>
  <c r="P73" i="1"/>
  <c r="L73" i="1"/>
  <c r="G73" i="1"/>
  <c r="M73" i="1" s="1"/>
  <c r="N73" i="1" s="1"/>
  <c r="V72" i="1"/>
  <c r="W72" i="1" s="1"/>
  <c r="U72" i="1"/>
  <c r="P72" i="1"/>
  <c r="L72" i="1"/>
  <c r="M72" i="1" s="1"/>
  <c r="N72" i="1" s="1"/>
  <c r="K72" i="1"/>
  <c r="G72" i="1"/>
  <c r="V71" i="1"/>
  <c r="W71" i="1" s="1"/>
  <c r="U71" i="1"/>
  <c r="P71" i="1"/>
  <c r="L71" i="1"/>
  <c r="M71" i="1" s="1"/>
  <c r="N71" i="1" s="1"/>
  <c r="G71" i="1"/>
  <c r="K71" i="1" s="1"/>
  <c r="W70" i="1"/>
  <c r="V70" i="1"/>
  <c r="U70" i="1"/>
  <c r="P70" i="1"/>
  <c r="M70" i="1"/>
  <c r="N70" i="1" s="1"/>
  <c r="L70" i="1"/>
  <c r="G70" i="1"/>
  <c r="K70" i="1" s="1"/>
  <c r="V69" i="1"/>
  <c r="W69" i="1" s="1"/>
  <c r="U69" i="1"/>
  <c r="P69" i="1"/>
  <c r="L69" i="1"/>
  <c r="K69" i="1"/>
  <c r="G69" i="1"/>
  <c r="M69" i="1" s="1"/>
  <c r="N69" i="1" s="1"/>
  <c r="W68" i="1"/>
  <c r="V68" i="1"/>
  <c r="U68" i="1"/>
  <c r="P68" i="1"/>
  <c r="L68" i="1"/>
  <c r="G68" i="1"/>
  <c r="M68" i="1" s="1"/>
  <c r="N68" i="1" s="1"/>
  <c r="V67" i="1"/>
  <c r="W67" i="1" s="1"/>
  <c r="U67" i="1"/>
  <c r="P67" i="1"/>
  <c r="M67" i="1"/>
  <c r="N67" i="1" s="1"/>
  <c r="L67" i="1"/>
  <c r="K67" i="1"/>
  <c r="G67" i="1"/>
  <c r="V66" i="1"/>
  <c r="W66" i="1" s="1"/>
  <c r="U66" i="1"/>
  <c r="P66" i="1"/>
  <c r="L66" i="1"/>
  <c r="G66" i="1"/>
  <c r="M66" i="1" s="1"/>
  <c r="N66" i="1" s="1"/>
  <c r="W65" i="1"/>
  <c r="V65" i="1"/>
  <c r="U65" i="1"/>
  <c r="P65" i="1"/>
  <c r="L65" i="1"/>
  <c r="G65" i="1"/>
  <c r="M65" i="1" s="1"/>
  <c r="N65" i="1" s="1"/>
  <c r="V64" i="1"/>
  <c r="W64" i="1" s="1"/>
  <c r="U64" i="1"/>
  <c r="P64" i="1"/>
  <c r="L64" i="1"/>
  <c r="M64" i="1" s="1"/>
  <c r="N64" i="1" s="1"/>
  <c r="K64" i="1"/>
  <c r="G64" i="1"/>
  <c r="V63" i="1"/>
  <c r="W63" i="1" s="1"/>
  <c r="U63" i="1"/>
  <c r="P63" i="1"/>
  <c r="L63" i="1"/>
  <c r="M63" i="1" s="1"/>
  <c r="N63" i="1" s="1"/>
  <c r="G63" i="1"/>
  <c r="K63" i="1" s="1"/>
  <c r="W62" i="1"/>
  <c r="V62" i="1"/>
  <c r="U62" i="1"/>
  <c r="P62" i="1"/>
  <c r="M62" i="1"/>
  <c r="N62" i="1" s="1"/>
  <c r="L62" i="1"/>
  <c r="G62" i="1"/>
  <c r="K62" i="1" s="1"/>
  <c r="V61" i="1"/>
  <c r="W61" i="1" s="1"/>
  <c r="U61" i="1"/>
  <c r="P61" i="1"/>
  <c r="L61" i="1"/>
  <c r="K61" i="1"/>
  <c r="G61" i="1"/>
  <c r="M61" i="1" s="1"/>
  <c r="N61" i="1" s="1"/>
  <c r="W60" i="1"/>
  <c r="V60" i="1"/>
  <c r="U60" i="1"/>
  <c r="P60" i="1"/>
  <c r="L60" i="1"/>
  <c r="G60" i="1"/>
  <c r="M60" i="1" s="1"/>
  <c r="N60" i="1" s="1"/>
  <c r="V59" i="1"/>
  <c r="W59" i="1" s="1"/>
  <c r="U59" i="1"/>
  <c r="P59" i="1"/>
  <c r="M59" i="1"/>
  <c r="N59" i="1" s="1"/>
  <c r="L59" i="1"/>
  <c r="K59" i="1"/>
  <c r="G59" i="1"/>
  <c r="V58" i="1"/>
  <c r="W58" i="1" s="1"/>
  <c r="U58" i="1"/>
  <c r="P58" i="1"/>
  <c r="L58" i="1"/>
  <c r="G58" i="1"/>
  <c r="M58" i="1" s="1"/>
  <c r="N58" i="1" s="1"/>
  <c r="W57" i="1"/>
  <c r="V57" i="1"/>
  <c r="U57" i="1"/>
  <c r="P57" i="1"/>
  <c r="L57" i="1"/>
  <c r="G57" i="1"/>
  <c r="M57" i="1" s="1"/>
  <c r="N57" i="1" s="1"/>
  <c r="V56" i="1"/>
  <c r="W56" i="1" s="1"/>
  <c r="U56" i="1"/>
  <c r="P56" i="1"/>
  <c r="L56" i="1"/>
  <c r="M56" i="1" s="1"/>
  <c r="N56" i="1" s="1"/>
  <c r="K56" i="1"/>
  <c r="G56" i="1"/>
  <c r="V55" i="1"/>
  <c r="W55" i="1" s="1"/>
  <c r="U55" i="1"/>
  <c r="P55" i="1"/>
  <c r="L55" i="1"/>
  <c r="M55" i="1" s="1"/>
  <c r="N55" i="1" s="1"/>
  <c r="G55" i="1"/>
  <c r="K55" i="1" s="1"/>
  <c r="W54" i="1"/>
  <c r="V54" i="1"/>
  <c r="U54" i="1"/>
  <c r="P54" i="1"/>
  <c r="M54" i="1"/>
  <c r="N54" i="1" s="1"/>
  <c r="L54" i="1"/>
  <c r="G54" i="1"/>
  <c r="K54" i="1" s="1"/>
  <c r="V53" i="1"/>
  <c r="W53" i="1" s="1"/>
  <c r="U53" i="1"/>
  <c r="P53" i="1"/>
  <c r="L53" i="1"/>
  <c r="K53" i="1"/>
  <c r="G53" i="1"/>
  <c r="M53" i="1" s="1"/>
  <c r="N53" i="1" s="1"/>
  <c r="W52" i="1"/>
  <c r="V52" i="1"/>
  <c r="U52" i="1"/>
  <c r="P52" i="1"/>
  <c r="L52" i="1"/>
  <c r="G52" i="1"/>
  <c r="M52" i="1" s="1"/>
  <c r="N52" i="1" s="1"/>
  <c r="V51" i="1"/>
  <c r="W51" i="1" s="1"/>
  <c r="U51" i="1"/>
  <c r="P51" i="1"/>
  <c r="M51" i="1"/>
  <c r="N51" i="1" s="1"/>
  <c r="L51" i="1"/>
  <c r="K51" i="1"/>
  <c r="G51" i="1"/>
  <c r="V50" i="1"/>
  <c r="W50" i="1" s="1"/>
  <c r="U50" i="1"/>
  <c r="P50" i="1"/>
  <c r="L50" i="1"/>
  <c r="G50" i="1"/>
  <c r="M50" i="1" s="1"/>
  <c r="N50" i="1" s="1"/>
  <c r="W49" i="1"/>
  <c r="V49" i="1"/>
  <c r="U49" i="1"/>
  <c r="P49" i="1"/>
  <c r="L49" i="1"/>
  <c r="G49" i="1"/>
  <c r="M49" i="1" s="1"/>
  <c r="N49" i="1" s="1"/>
  <c r="V48" i="1"/>
  <c r="W48" i="1" s="1"/>
  <c r="U48" i="1"/>
  <c r="P48" i="1"/>
  <c r="L48" i="1"/>
  <c r="M48" i="1" s="1"/>
  <c r="N48" i="1" s="1"/>
  <c r="K48" i="1"/>
  <c r="G48" i="1"/>
  <c r="V47" i="1"/>
  <c r="W47" i="1" s="1"/>
  <c r="U47" i="1"/>
  <c r="P47" i="1"/>
  <c r="L47" i="1"/>
  <c r="M47" i="1" s="1"/>
  <c r="N47" i="1" s="1"/>
  <c r="G47" i="1"/>
  <c r="K47" i="1" s="1"/>
  <c r="W46" i="1"/>
  <c r="V46" i="1"/>
  <c r="U46" i="1"/>
  <c r="P46" i="1"/>
  <c r="M46" i="1"/>
  <c r="N46" i="1" s="1"/>
  <c r="L46" i="1"/>
  <c r="G46" i="1"/>
  <c r="K46" i="1" s="1"/>
  <c r="V45" i="1"/>
  <c r="W45" i="1" s="1"/>
  <c r="U45" i="1"/>
  <c r="P45" i="1"/>
  <c r="L45" i="1"/>
  <c r="K45" i="1"/>
  <c r="G45" i="1"/>
  <c r="M45" i="1" s="1"/>
  <c r="N45" i="1" s="1"/>
  <c r="W44" i="1"/>
  <c r="V44" i="1"/>
  <c r="U44" i="1"/>
  <c r="P44" i="1"/>
  <c r="L44" i="1"/>
  <c r="G44" i="1"/>
  <c r="M44" i="1" s="1"/>
  <c r="N44" i="1" s="1"/>
  <c r="V43" i="1"/>
  <c r="W43" i="1" s="1"/>
  <c r="U43" i="1"/>
  <c r="P43" i="1"/>
  <c r="M43" i="1"/>
  <c r="N43" i="1" s="1"/>
  <c r="L43" i="1"/>
  <c r="K43" i="1"/>
  <c r="G43" i="1"/>
  <c r="V42" i="1"/>
  <c r="W42" i="1" s="1"/>
  <c r="U42" i="1"/>
  <c r="P42" i="1"/>
  <c r="L42" i="1"/>
  <c r="G42" i="1"/>
  <c r="M42" i="1" s="1"/>
  <c r="N42" i="1" s="1"/>
  <c r="W41" i="1"/>
  <c r="V41" i="1"/>
  <c r="U41" i="1"/>
  <c r="P41" i="1"/>
  <c r="L41" i="1"/>
  <c r="G41" i="1"/>
  <c r="M41" i="1" s="1"/>
  <c r="N41" i="1" s="1"/>
  <c r="V40" i="1"/>
  <c r="W40" i="1" s="1"/>
  <c r="U40" i="1"/>
  <c r="P40" i="1"/>
  <c r="L40" i="1"/>
  <c r="M40" i="1" s="1"/>
  <c r="N40" i="1" s="1"/>
  <c r="K40" i="1"/>
  <c r="G40" i="1"/>
  <c r="V39" i="1"/>
  <c r="W39" i="1" s="1"/>
  <c r="U39" i="1"/>
  <c r="P39" i="1"/>
  <c r="L39" i="1"/>
  <c r="M39" i="1" s="1"/>
  <c r="N39" i="1" s="1"/>
  <c r="G39" i="1"/>
  <c r="K39" i="1" s="1"/>
  <c r="W38" i="1"/>
  <c r="V38" i="1"/>
  <c r="U38" i="1"/>
  <c r="P38" i="1"/>
  <c r="M38" i="1"/>
  <c r="N38" i="1" s="1"/>
  <c r="L38" i="1"/>
  <c r="G38" i="1"/>
  <c r="K38" i="1" s="1"/>
  <c r="V37" i="1"/>
  <c r="W37" i="1" s="1"/>
  <c r="U37" i="1"/>
  <c r="P37" i="1"/>
  <c r="L37" i="1"/>
  <c r="K37" i="1"/>
  <c r="G37" i="1"/>
  <c r="M37" i="1" s="1"/>
  <c r="N37" i="1" s="1"/>
  <c r="W36" i="1"/>
  <c r="V36" i="1"/>
  <c r="U36" i="1"/>
  <c r="P36" i="1"/>
  <c r="L36" i="1"/>
  <c r="G36" i="1"/>
  <c r="M36" i="1" s="1"/>
  <c r="N36" i="1" s="1"/>
  <c r="V35" i="1"/>
  <c r="W35" i="1" s="1"/>
  <c r="U35" i="1"/>
  <c r="P35" i="1"/>
  <c r="M35" i="1"/>
  <c r="N35" i="1" s="1"/>
  <c r="L35" i="1"/>
  <c r="K35" i="1"/>
  <c r="G35" i="1"/>
  <c r="V34" i="1"/>
  <c r="W34" i="1" s="1"/>
  <c r="U34" i="1"/>
  <c r="P34" i="1"/>
  <c r="L34" i="1"/>
  <c r="G34" i="1"/>
  <c r="M34" i="1" s="1"/>
  <c r="N34" i="1" s="1"/>
  <c r="W33" i="1"/>
  <c r="V33" i="1"/>
  <c r="U33" i="1"/>
  <c r="P33" i="1"/>
  <c r="L33" i="1"/>
  <c r="G33" i="1"/>
  <c r="M33" i="1" s="1"/>
  <c r="N33" i="1" s="1"/>
  <c r="V32" i="1"/>
  <c r="W32" i="1" s="1"/>
  <c r="U32" i="1"/>
  <c r="P32" i="1"/>
  <c r="L32" i="1"/>
  <c r="M32" i="1" s="1"/>
  <c r="N32" i="1" s="1"/>
  <c r="K32" i="1"/>
  <c r="G32" i="1"/>
  <c r="V31" i="1"/>
  <c r="W31" i="1" s="1"/>
  <c r="U31" i="1"/>
  <c r="P31" i="1"/>
  <c r="L31" i="1"/>
  <c r="M31" i="1" s="1"/>
  <c r="N31" i="1" s="1"/>
  <c r="G31" i="1"/>
  <c r="K31" i="1" s="1"/>
  <c r="W30" i="1"/>
  <c r="V30" i="1"/>
  <c r="U30" i="1"/>
  <c r="P30" i="1"/>
  <c r="M30" i="1"/>
  <c r="N30" i="1" s="1"/>
  <c r="L30" i="1"/>
  <c r="G30" i="1"/>
  <c r="K30" i="1" s="1"/>
  <c r="V29" i="1"/>
  <c r="W29" i="1" s="1"/>
  <c r="U29" i="1"/>
  <c r="P29" i="1"/>
  <c r="L29" i="1"/>
  <c r="K29" i="1"/>
  <c r="G29" i="1"/>
  <c r="M29" i="1" s="1"/>
  <c r="N29" i="1" s="1"/>
  <c r="W28" i="1"/>
  <c r="V28" i="1"/>
  <c r="U28" i="1"/>
  <c r="P28" i="1"/>
  <c r="L28" i="1"/>
  <c r="G28" i="1"/>
  <c r="M28" i="1" s="1"/>
  <c r="N28" i="1" s="1"/>
  <c r="V27" i="1"/>
  <c r="W27" i="1" s="1"/>
  <c r="U27" i="1"/>
  <c r="P27" i="1"/>
  <c r="M27" i="1"/>
  <c r="N27" i="1" s="1"/>
  <c r="L27" i="1"/>
  <c r="K27" i="1"/>
  <c r="G27" i="1"/>
  <c r="V26" i="1"/>
  <c r="W26" i="1" s="1"/>
  <c r="U26" i="1"/>
  <c r="P26" i="1"/>
  <c r="L26" i="1"/>
  <c r="G26" i="1"/>
  <c r="M26" i="1" s="1"/>
  <c r="N26" i="1" s="1"/>
  <c r="W25" i="1"/>
  <c r="V25" i="1"/>
  <c r="U25" i="1"/>
  <c r="P25" i="1"/>
  <c r="L25" i="1"/>
  <c r="G25" i="1"/>
  <c r="M25" i="1" s="1"/>
  <c r="N25" i="1" s="1"/>
  <c r="V24" i="1"/>
  <c r="W24" i="1" s="1"/>
  <c r="U24" i="1"/>
  <c r="P24" i="1"/>
  <c r="L24" i="1"/>
  <c r="M24" i="1" s="1"/>
  <c r="N24" i="1" s="1"/>
  <c r="K24" i="1"/>
  <c r="G24" i="1"/>
  <c r="V23" i="1"/>
  <c r="W23" i="1" s="1"/>
  <c r="U23" i="1"/>
  <c r="P23" i="1"/>
  <c r="L23" i="1"/>
  <c r="M23" i="1" s="1"/>
  <c r="N23" i="1" s="1"/>
  <c r="G23" i="1"/>
  <c r="K23" i="1" s="1"/>
  <c r="W22" i="1"/>
  <c r="V22" i="1"/>
  <c r="U22" i="1"/>
  <c r="P22" i="1"/>
  <c r="M22" i="1"/>
  <c r="N22" i="1" s="1"/>
  <c r="L22" i="1"/>
  <c r="G22" i="1"/>
  <c r="K22" i="1" s="1"/>
  <c r="V21" i="1"/>
  <c r="W21" i="1" s="1"/>
  <c r="U21" i="1"/>
  <c r="P21" i="1"/>
  <c r="L21" i="1"/>
  <c r="K21" i="1"/>
  <c r="G21" i="1"/>
  <c r="M21" i="1" s="1"/>
  <c r="N21" i="1" s="1"/>
  <c r="W20" i="1"/>
  <c r="V20" i="1"/>
  <c r="U20" i="1"/>
  <c r="P20" i="1"/>
  <c r="L20" i="1"/>
  <c r="G20" i="1"/>
  <c r="M20" i="1" s="1"/>
  <c r="N20" i="1" s="1"/>
  <c r="V19" i="1"/>
  <c r="W19" i="1" s="1"/>
  <c r="U19" i="1"/>
  <c r="P19" i="1"/>
  <c r="M19" i="1"/>
  <c r="N19" i="1" s="1"/>
  <c r="L19" i="1"/>
  <c r="K19" i="1"/>
  <c r="G19" i="1"/>
  <c r="V18" i="1"/>
  <c r="W18" i="1" s="1"/>
  <c r="U18" i="1"/>
  <c r="P18" i="1"/>
  <c r="L18" i="1"/>
  <c r="G18" i="1"/>
  <c r="M18" i="1" s="1"/>
  <c r="N18" i="1" s="1"/>
  <c r="W17" i="1"/>
  <c r="V17" i="1"/>
  <c r="U17" i="1"/>
  <c r="P17" i="1"/>
  <c r="L17" i="1"/>
  <c r="G17" i="1"/>
  <c r="M17" i="1" s="1"/>
  <c r="N17" i="1" s="1"/>
  <c r="V16" i="1"/>
  <c r="W16" i="1" s="1"/>
  <c r="U16" i="1"/>
  <c r="P16" i="1"/>
  <c r="L16" i="1"/>
  <c r="M16" i="1" s="1"/>
  <c r="N16" i="1" s="1"/>
  <c r="K16" i="1"/>
  <c r="G16" i="1"/>
  <c r="V15" i="1"/>
  <c r="W15" i="1" s="1"/>
  <c r="U15" i="1"/>
  <c r="P15" i="1"/>
  <c r="L15" i="1"/>
  <c r="M15" i="1" s="1"/>
  <c r="N15" i="1" s="1"/>
  <c r="G15" i="1"/>
  <c r="K15" i="1" s="1"/>
  <c r="W14" i="1"/>
  <c r="V14" i="1"/>
  <c r="U14" i="1"/>
  <c r="P14" i="1"/>
  <c r="M14" i="1"/>
  <c r="N14" i="1" s="1"/>
  <c r="L14" i="1"/>
  <c r="G14" i="1"/>
  <c r="K14" i="1" s="1"/>
  <c r="V13" i="1"/>
  <c r="W13" i="1" s="1"/>
  <c r="U13" i="1"/>
  <c r="P13" i="1"/>
  <c r="L13" i="1"/>
  <c r="K13" i="1"/>
  <c r="G13" i="1"/>
  <c r="M13" i="1" s="1"/>
  <c r="N13" i="1" s="1"/>
  <c r="W12" i="1"/>
  <c r="V12" i="1"/>
  <c r="U12" i="1"/>
  <c r="P12" i="1"/>
  <c r="L12" i="1"/>
  <c r="G12" i="1"/>
  <c r="M12" i="1" s="1"/>
  <c r="N12" i="1" s="1"/>
  <c r="V11" i="1"/>
  <c r="W11" i="1" s="1"/>
  <c r="U11" i="1"/>
  <c r="P11" i="1"/>
  <c r="M11" i="1"/>
  <c r="N11" i="1" s="1"/>
  <c r="L11" i="1"/>
  <c r="K11" i="1"/>
  <c r="G11" i="1"/>
  <c r="V10" i="1"/>
  <c r="W10" i="1" s="1"/>
  <c r="U10" i="1"/>
  <c r="P10" i="1"/>
  <c r="L10" i="1"/>
  <c r="G10" i="1"/>
  <c r="M10" i="1" s="1"/>
  <c r="N10" i="1" s="1"/>
  <c r="W9" i="1"/>
  <c r="V9" i="1"/>
  <c r="U9" i="1"/>
  <c r="P9" i="1"/>
  <c r="L9" i="1"/>
  <c r="G9" i="1"/>
  <c r="M9" i="1" s="1"/>
  <c r="N9" i="1" s="1"/>
  <c r="V8" i="1"/>
  <c r="W8" i="1" s="1"/>
  <c r="U8" i="1"/>
  <c r="P8" i="1"/>
  <c r="L8" i="1"/>
  <c r="M8" i="1" s="1"/>
  <c r="N8" i="1" s="1"/>
  <c r="K8" i="1"/>
  <c r="G8" i="1"/>
  <c r="V7" i="1"/>
  <c r="W7" i="1" s="1"/>
  <c r="U7" i="1"/>
  <c r="P7" i="1"/>
  <c r="L7" i="1"/>
  <c r="M7" i="1" s="1"/>
  <c r="N7" i="1" s="1"/>
  <c r="G7" i="1"/>
  <c r="K7" i="1" s="1"/>
  <c r="W6" i="1"/>
  <c r="V6" i="1"/>
  <c r="U6" i="1"/>
  <c r="P6" i="1"/>
  <c r="M6" i="1"/>
  <c r="N6" i="1" s="1"/>
  <c r="L6" i="1"/>
  <c r="G6" i="1"/>
  <c r="K6" i="1" s="1"/>
  <c r="V5" i="1"/>
  <c r="W5" i="1" s="1"/>
  <c r="U5" i="1"/>
  <c r="P5" i="1"/>
  <c r="L5" i="1"/>
  <c r="K5" i="1"/>
  <c r="G5" i="1"/>
  <c r="M5" i="1" s="1"/>
  <c r="N5" i="1" s="1"/>
  <c r="W4" i="1"/>
  <c r="V4" i="1"/>
  <c r="U4" i="1"/>
  <c r="P4" i="1"/>
  <c r="L4" i="1"/>
  <c r="G4" i="1"/>
  <c r="M4" i="1" s="1"/>
  <c r="N4" i="1" s="1"/>
  <c r="V3" i="1"/>
  <c r="W3" i="1" s="1"/>
  <c r="U3" i="1"/>
  <c r="P3" i="1"/>
  <c r="M3" i="1"/>
  <c r="N3" i="1" s="1"/>
  <c r="L3" i="1"/>
  <c r="K3" i="1"/>
  <c r="G3" i="1"/>
  <c r="V2" i="1"/>
  <c r="W2" i="1" s="1"/>
  <c r="U2" i="1"/>
  <c r="P2" i="1"/>
  <c r="L2" i="1"/>
  <c r="G2" i="1"/>
  <c r="M2" i="1" s="1"/>
  <c r="N2" i="1" s="1"/>
  <c r="K9" i="1" l="1"/>
  <c r="K17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67" i="1"/>
  <c r="M272" i="1"/>
  <c r="N272" i="1" s="1"/>
  <c r="K283" i="1"/>
  <c r="M288" i="1"/>
  <c r="N288" i="1" s="1"/>
  <c r="K299" i="1"/>
  <c r="M304" i="1"/>
  <c r="N304" i="1" s="1"/>
  <c r="M312" i="1"/>
  <c r="N312" i="1" s="1"/>
  <c r="K335" i="1"/>
  <c r="M344" i="1"/>
  <c r="N344" i="1" s="1"/>
  <c r="K344" i="1"/>
  <c r="M424" i="1"/>
  <c r="N424" i="1" s="1"/>
  <c r="K424" i="1"/>
  <c r="K2" i="1"/>
  <c r="K10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M243" i="1"/>
  <c r="N243" i="1" s="1"/>
  <c r="M263" i="1"/>
  <c r="N263" i="1" s="1"/>
  <c r="M266" i="1"/>
  <c r="N266" i="1" s="1"/>
  <c r="M268" i="1"/>
  <c r="N268" i="1" s="1"/>
  <c r="M279" i="1"/>
  <c r="N279" i="1" s="1"/>
  <c r="M282" i="1"/>
  <c r="N282" i="1" s="1"/>
  <c r="M284" i="1"/>
  <c r="N284" i="1" s="1"/>
  <c r="M298" i="1"/>
  <c r="N298" i="1" s="1"/>
  <c r="M300" i="1"/>
  <c r="N300" i="1" s="1"/>
  <c r="M307" i="1"/>
  <c r="N307" i="1" s="1"/>
  <c r="K307" i="1"/>
  <c r="M315" i="1"/>
  <c r="N315" i="1" s="1"/>
  <c r="K315" i="1"/>
  <c r="M352" i="1"/>
  <c r="N352" i="1" s="1"/>
  <c r="K352" i="1"/>
  <c r="M384" i="1"/>
  <c r="N384" i="1" s="1"/>
  <c r="K384" i="1"/>
  <c r="K243" i="1"/>
  <c r="K263" i="1"/>
  <c r="K279" i="1"/>
  <c r="K295" i="1"/>
  <c r="M320" i="1"/>
  <c r="N320" i="1" s="1"/>
  <c r="K320" i="1"/>
  <c r="M360" i="1"/>
  <c r="N360" i="1" s="1"/>
  <c r="K360" i="1"/>
  <c r="M408" i="1"/>
  <c r="N408" i="1" s="1"/>
  <c r="K408" i="1"/>
  <c r="K4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M368" i="1"/>
  <c r="N368" i="1" s="1"/>
  <c r="K368" i="1"/>
  <c r="M432" i="1"/>
  <c r="N432" i="1" s="1"/>
  <c r="K432" i="1"/>
  <c r="K319" i="1"/>
  <c r="M328" i="1"/>
  <c r="N328" i="1" s="1"/>
  <c r="K328" i="1"/>
  <c r="M392" i="1"/>
  <c r="N392" i="1" s="1"/>
  <c r="K392" i="1"/>
  <c r="M400" i="1"/>
  <c r="N400" i="1" s="1"/>
  <c r="K400" i="1"/>
  <c r="K250" i="1"/>
  <c r="K258" i="1"/>
  <c r="M271" i="1"/>
  <c r="N271" i="1" s="1"/>
  <c r="M274" i="1"/>
  <c r="N274" i="1" s="1"/>
  <c r="M287" i="1"/>
  <c r="N287" i="1" s="1"/>
  <c r="M290" i="1"/>
  <c r="N290" i="1" s="1"/>
  <c r="M303" i="1"/>
  <c r="N303" i="1" s="1"/>
  <c r="M305" i="1"/>
  <c r="N305" i="1" s="1"/>
  <c r="K305" i="1"/>
  <c r="M311" i="1"/>
  <c r="N311" i="1" s="1"/>
  <c r="M313" i="1"/>
  <c r="N313" i="1" s="1"/>
  <c r="K313" i="1"/>
  <c r="M416" i="1"/>
  <c r="N416" i="1" s="1"/>
  <c r="K416" i="1"/>
  <c r="K271" i="1"/>
  <c r="K287" i="1"/>
  <c r="K303" i="1"/>
  <c r="K311" i="1"/>
  <c r="K327" i="1"/>
  <c r="M336" i="1"/>
  <c r="N336" i="1" s="1"/>
  <c r="K336" i="1"/>
  <c r="M376" i="1"/>
  <c r="N376" i="1" s="1"/>
  <c r="K376" i="1"/>
  <c r="M440" i="1"/>
  <c r="N440" i="1" s="1"/>
  <c r="K440" i="1"/>
  <c r="M517" i="1"/>
  <c r="N517" i="1" s="1"/>
  <c r="K517" i="1"/>
  <c r="M564" i="1"/>
  <c r="N564" i="1" s="1"/>
  <c r="K564" i="1"/>
  <c r="K1062" i="1"/>
  <c r="M1062" i="1"/>
  <c r="N1062" i="1" s="1"/>
  <c r="M1089" i="1"/>
  <c r="N1089" i="1" s="1"/>
  <c r="K1089" i="1"/>
  <c r="K1371" i="1"/>
  <c r="M1371" i="1"/>
  <c r="N1371" i="1" s="1"/>
  <c r="M1879" i="1"/>
  <c r="N1879" i="1" s="1"/>
  <c r="K1879" i="1"/>
  <c r="K1957" i="1"/>
  <c r="M1957" i="1"/>
  <c r="N1957" i="1" s="1"/>
  <c r="M588" i="1"/>
  <c r="N588" i="1" s="1"/>
  <c r="K588" i="1"/>
  <c r="M612" i="1"/>
  <c r="N612" i="1" s="1"/>
  <c r="K612" i="1"/>
  <c r="M628" i="1"/>
  <c r="N628" i="1" s="1"/>
  <c r="K628" i="1"/>
  <c r="M644" i="1"/>
  <c r="N644" i="1" s="1"/>
  <c r="K644" i="1"/>
  <c r="M660" i="1"/>
  <c r="N660" i="1" s="1"/>
  <c r="K660" i="1"/>
  <c r="M676" i="1"/>
  <c r="N676" i="1" s="1"/>
  <c r="K676" i="1"/>
  <c r="M700" i="1"/>
  <c r="N700" i="1" s="1"/>
  <c r="K700" i="1"/>
  <c r="M732" i="1"/>
  <c r="N732" i="1" s="1"/>
  <c r="K732" i="1"/>
  <c r="M977" i="1"/>
  <c r="N977" i="1" s="1"/>
  <c r="K977" i="1"/>
  <c r="K448" i="1"/>
  <c r="K516" i="1"/>
  <c r="M523" i="1"/>
  <c r="N523" i="1" s="1"/>
  <c r="M548" i="1"/>
  <c r="N548" i="1" s="1"/>
  <c r="K548" i="1"/>
  <c r="K321" i="1"/>
  <c r="K329" i="1"/>
  <c r="K337" i="1"/>
  <c r="K345" i="1"/>
  <c r="K353" i="1"/>
  <c r="K361" i="1"/>
  <c r="K369" i="1"/>
  <c r="K377" i="1"/>
  <c r="K385" i="1"/>
  <c r="K393" i="1"/>
  <c r="K401" i="1"/>
  <c r="K409" i="1"/>
  <c r="K417" i="1"/>
  <c r="K425" i="1"/>
  <c r="K433" i="1"/>
  <c r="K441" i="1"/>
  <c r="K449" i="1"/>
  <c r="K450" i="1"/>
  <c r="M504" i="1"/>
  <c r="N504" i="1" s="1"/>
  <c r="K504" i="1"/>
  <c r="M515" i="1"/>
  <c r="N515" i="1" s="1"/>
  <c r="M580" i="1"/>
  <c r="N580" i="1" s="1"/>
  <c r="K580" i="1"/>
  <c r="M708" i="1"/>
  <c r="N708" i="1" s="1"/>
  <c r="K708" i="1"/>
  <c r="M740" i="1"/>
  <c r="N740" i="1" s="1"/>
  <c r="K740" i="1"/>
  <c r="M532" i="1"/>
  <c r="N532" i="1" s="1"/>
  <c r="K532" i="1"/>
  <c r="M775" i="1"/>
  <c r="N775" i="1" s="1"/>
  <c r="K775" i="1"/>
  <c r="M783" i="1"/>
  <c r="N783" i="1" s="1"/>
  <c r="K783" i="1"/>
  <c r="M913" i="1"/>
  <c r="N913" i="1" s="1"/>
  <c r="K913" i="1"/>
  <c r="K323" i="1"/>
  <c r="K331" i="1"/>
  <c r="K339" i="1"/>
  <c r="K347" i="1"/>
  <c r="K355" i="1"/>
  <c r="K363" i="1"/>
  <c r="M512" i="1"/>
  <c r="N512" i="1" s="1"/>
  <c r="K512" i="1"/>
  <c r="M556" i="1"/>
  <c r="N556" i="1" s="1"/>
  <c r="K556" i="1"/>
  <c r="M572" i="1"/>
  <c r="N572" i="1" s="1"/>
  <c r="K572" i="1"/>
  <c r="M604" i="1"/>
  <c r="N604" i="1" s="1"/>
  <c r="K604" i="1"/>
  <c r="M620" i="1"/>
  <c r="N620" i="1" s="1"/>
  <c r="K620" i="1"/>
  <c r="M636" i="1"/>
  <c r="N636" i="1" s="1"/>
  <c r="K636" i="1"/>
  <c r="M652" i="1"/>
  <c r="N652" i="1" s="1"/>
  <c r="K652" i="1"/>
  <c r="M668" i="1"/>
  <c r="N668" i="1" s="1"/>
  <c r="K668" i="1"/>
  <c r="M684" i="1"/>
  <c r="N684" i="1" s="1"/>
  <c r="K684" i="1"/>
  <c r="M716" i="1"/>
  <c r="N716" i="1" s="1"/>
  <c r="K716" i="1"/>
  <c r="M748" i="1"/>
  <c r="N748" i="1" s="1"/>
  <c r="K748" i="1"/>
  <c r="M757" i="1"/>
  <c r="N757" i="1" s="1"/>
  <c r="K757" i="1"/>
  <c r="M881" i="1"/>
  <c r="N881" i="1" s="1"/>
  <c r="K881" i="1"/>
  <c r="M456" i="1"/>
  <c r="N456" i="1" s="1"/>
  <c r="M464" i="1"/>
  <c r="N464" i="1" s="1"/>
  <c r="M472" i="1"/>
  <c r="N472" i="1" s="1"/>
  <c r="M480" i="1"/>
  <c r="N480" i="1" s="1"/>
  <c r="M488" i="1"/>
  <c r="N488" i="1" s="1"/>
  <c r="M496" i="1"/>
  <c r="N496" i="1" s="1"/>
  <c r="M514" i="1"/>
  <c r="N514" i="1" s="1"/>
  <c r="M774" i="1"/>
  <c r="N774" i="1" s="1"/>
  <c r="K774" i="1"/>
  <c r="M453" i="1"/>
  <c r="N453" i="1" s="1"/>
  <c r="M461" i="1"/>
  <c r="N461" i="1" s="1"/>
  <c r="M469" i="1"/>
  <c r="N469" i="1" s="1"/>
  <c r="M477" i="1"/>
  <c r="N477" i="1" s="1"/>
  <c r="M485" i="1"/>
  <c r="N485" i="1" s="1"/>
  <c r="M493" i="1"/>
  <c r="N493" i="1" s="1"/>
  <c r="M501" i="1"/>
  <c r="N501" i="1" s="1"/>
  <c r="M540" i="1"/>
  <c r="N540" i="1" s="1"/>
  <c r="K540" i="1"/>
  <c r="M596" i="1"/>
  <c r="N596" i="1" s="1"/>
  <c r="K596" i="1"/>
  <c r="M692" i="1"/>
  <c r="N692" i="1" s="1"/>
  <c r="K692" i="1"/>
  <c r="M724" i="1"/>
  <c r="N724" i="1" s="1"/>
  <c r="K724" i="1"/>
  <c r="M782" i="1"/>
  <c r="N782" i="1" s="1"/>
  <c r="K782" i="1"/>
  <c r="K799" i="1"/>
  <c r="M799" i="1"/>
  <c r="N799" i="1" s="1"/>
  <c r="K815" i="1"/>
  <c r="M815" i="1"/>
  <c r="N815" i="1" s="1"/>
  <c r="M849" i="1"/>
  <c r="N849" i="1" s="1"/>
  <c r="K849" i="1"/>
  <c r="K863" i="1"/>
  <c r="M863" i="1"/>
  <c r="N863" i="1" s="1"/>
  <c r="M869" i="1"/>
  <c r="N869" i="1" s="1"/>
  <c r="K869" i="1"/>
  <c r="K887" i="1"/>
  <c r="M887" i="1"/>
  <c r="N887" i="1" s="1"/>
  <c r="M921" i="1"/>
  <c r="N921" i="1" s="1"/>
  <c r="K921" i="1"/>
  <c r="K1019" i="1"/>
  <c r="M1019" i="1"/>
  <c r="N1019" i="1" s="1"/>
  <c r="K1027" i="1"/>
  <c r="M1027" i="1"/>
  <c r="N1027" i="1" s="1"/>
  <c r="M1048" i="1"/>
  <c r="N1048" i="1" s="1"/>
  <c r="K1048" i="1"/>
  <c r="M1190" i="1"/>
  <c r="N1190" i="1" s="1"/>
  <c r="K1190" i="1"/>
  <c r="M1254" i="1"/>
  <c r="N1254" i="1" s="1"/>
  <c r="K1254" i="1"/>
  <c r="K525" i="1"/>
  <c r="K533" i="1"/>
  <c r="K541" i="1"/>
  <c r="K549" i="1"/>
  <c r="K557" i="1"/>
  <c r="K565" i="1"/>
  <c r="K573" i="1"/>
  <c r="K581" i="1"/>
  <c r="K589" i="1"/>
  <c r="K597" i="1"/>
  <c r="K605" i="1"/>
  <c r="K613" i="1"/>
  <c r="K621" i="1"/>
  <c r="K629" i="1"/>
  <c r="K637" i="1"/>
  <c r="K645" i="1"/>
  <c r="K653" i="1"/>
  <c r="K661" i="1"/>
  <c r="K669" i="1"/>
  <c r="K677" i="1"/>
  <c r="K685" i="1"/>
  <c r="K693" i="1"/>
  <c r="K701" i="1"/>
  <c r="K709" i="1"/>
  <c r="K717" i="1"/>
  <c r="K725" i="1"/>
  <c r="K733" i="1"/>
  <c r="K741" i="1"/>
  <c r="K749" i="1"/>
  <c r="K758" i="1"/>
  <c r="M760" i="1"/>
  <c r="N760" i="1" s="1"/>
  <c r="K796" i="1"/>
  <c r="K797" i="1"/>
  <c r="K798" i="1"/>
  <c r="K812" i="1"/>
  <c r="K813" i="1"/>
  <c r="K814" i="1"/>
  <c r="M929" i="1"/>
  <c r="N929" i="1" s="1"/>
  <c r="K929" i="1"/>
  <c r="K1011" i="1"/>
  <c r="M1011" i="1"/>
  <c r="N1011" i="1" s="1"/>
  <c r="K855" i="1"/>
  <c r="M855" i="1"/>
  <c r="N855" i="1" s="1"/>
  <c r="M861" i="1"/>
  <c r="N861" i="1" s="1"/>
  <c r="K861" i="1"/>
  <c r="M873" i="1"/>
  <c r="N873" i="1" s="1"/>
  <c r="K873" i="1"/>
  <c r="M937" i="1"/>
  <c r="N937" i="1" s="1"/>
  <c r="K937" i="1"/>
  <c r="K1003" i="1"/>
  <c r="M1003" i="1"/>
  <c r="N1003" i="1" s="1"/>
  <c r="K879" i="1"/>
  <c r="M879" i="1"/>
  <c r="N879" i="1" s="1"/>
  <c r="M945" i="1"/>
  <c r="N945" i="1" s="1"/>
  <c r="K945" i="1"/>
  <c r="K995" i="1"/>
  <c r="M995" i="1"/>
  <c r="N995" i="1" s="1"/>
  <c r="M1080" i="1"/>
  <c r="N1080" i="1" s="1"/>
  <c r="K1080" i="1"/>
  <c r="K520" i="1"/>
  <c r="K528" i="1"/>
  <c r="K536" i="1"/>
  <c r="K544" i="1"/>
  <c r="K552" i="1"/>
  <c r="K560" i="1"/>
  <c r="K568" i="1"/>
  <c r="K576" i="1"/>
  <c r="K584" i="1"/>
  <c r="K592" i="1"/>
  <c r="K600" i="1"/>
  <c r="K608" i="1"/>
  <c r="K616" i="1"/>
  <c r="K624" i="1"/>
  <c r="K632" i="1"/>
  <c r="K640" i="1"/>
  <c r="K648" i="1"/>
  <c r="K656" i="1"/>
  <c r="K664" i="1"/>
  <c r="K672" i="1"/>
  <c r="K680" i="1"/>
  <c r="K688" i="1"/>
  <c r="K696" i="1"/>
  <c r="K704" i="1"/>
  <c r="K712" i="1"/>
  <c r="K720" i="1"/>
  <c r="K728" i="1"/>
  <c r="K736" i="1"/>
  <c r="K744" i="1"/>
  <c r="K752" i="1"/>
  <c r="M762" i="1"/>
  <c r="N762" i="1" s="1"/>
  <c r="K765" i="1"/>
  <c r="M789" i="1"/>
  <c r="N789" i="1" s="1"/>
  <c r="K791" i="1"/>
  <c r="M791" i="1"/>
  <c r="N791" i="1" s="1"/>
  <c r="K807" i="1"/>
  <c r="M807" i="1"/>
  <c r="N807" i="1" s="1"/>
  <c r="K823" i="1"/>
  <c r="M823" i="1"/>
  <c r="N823" i="1" s="1"/>
  <c r="K831" i="1"/>
  <c r="M831" i="1"/>
  <c r="N831" i="1" s="1"/>
  <c r="K839" i="1"/>
  <c r="M839" i="1"/>
  <c r="N839" i="1" s="1"/>
  <c r="K847" i="1"/>
  <c r="M847" i="1"/>
  <c r="N847" i="1" s="1"/>
  <c r="M853" i="1"/>
  <c r="N853" i="1" s="1"/>
  <c r="K853" i="1"/>
  <c r="M865" i="1"/>
  <c r="N865" i="1" s="1"/>
  <c r="K865" i="1"/>
  <c r="M889" i="1"/>
  <c r="N889" i="1" s="1"/>
  <c r="K889" i="1"/>
  <c r="M953" i="1"/>
  <c r="N953" i="1" s="1"/>
  <c r="K953" i="1"/>
  <c r="K987" i="1"/>
  <c r="M987" i="1"/>
  <c r="N987" i="1" s="1"/>
  <c r="M768" i="1"/>
  <c r="N768" i="1" s="1"/>
  <c r="K805" i="1"/>
  <c r="K821" i="1"/>
  <c r="M897" i="1"/>
  <c r="N897" i="1" s="1"/>
  <c r="K897" i="1"/>
  <c r="M961" i="1"/>
  <c r="N961" i="1" s="1"/>
  <c r="K961" i="1"/>
  <c r="M829" i="1"/>
  <c r="N829" i="1" s="1"/>
  <c r="K829" i="1"/>
  <c r="M837" i="1"/>
  <c r="N837" i="1" s="1"/>
  <c r="K837" i="1"/>
  <c r="M845" i="1"/>
  <c r="N845" i="1" s="1"/>
  <c r="K845" i="1"/>
  <c r="M857" i="1"/>
  <c r="N857" i="1" s="1"/>
  <c r="K857" i="1"/>
  <c r="K871" i="1"/>
  <c r="M871" i="1"/>
  <c r="N871" i="1" s="1"/>
  <c r="M905" i="1"/>
  <c r="N905" i="1" s="1"/>
  <c r="K905" i="1"/>
  <c r="M969" i="1"/>
  <c r="N969" i="1" s="1"/>
  <c r="K969" i="1"/>
  <c r="M1049" i="1"/>
  <c r="N1049" i="1" s="1"/>
  <c r="K1049" i="1"/>
  <c r="M895" i="1"/>
  <c r="N895" i="1" s="1"/>
  <c r="M903" i="1"/>
  <c r="N903" i="1" s="1"/>
  <c r="M911" i="1"/>
  <c r="N911" i="1" s="1"/>
  <c r="M919" i="1"/>
  <c r="N919" i="1" s="1"/>
  <c r="M927" i="1"/>
  <c r="N927" i="1" s="1"/>
  <c r="M935" i="1"/>
  <c r="N935" i="1" s="1"/>
  <c r="M943" i="1"/>
  <c r="N943" i="1" s="1"/>
  <c r="M951" i="1"/>
  <c r="N951" i="1" s="1"/>
  <c r="M959" i="1"/>
  <c r="N959" i="1" s="1"/>
  <c r="M967" i="1"/>
  <c r="N967" i="1" s="1"/>
  <c r="M975" i="1"/>
  <c r="N975" i="1" s="1"/>
  <c r="M983" i="1"/>
  <c r="N983" i="1" s="1"/>
  <c r="M989" i="1"/>
  <c r="N989" i="1" s="1"/>
  <c r="M990" i="1"/>
  <c r="N990" i="1" s="1"/>
  <c r="M997" i="1"/>
  <c r="N997" i="1" s="1"/>
  <c r="M998" i="1"/>
  <c r="N998" i="1" s="1"/>
  <c r="M1005" i="1"/>
  <c r="N1005" i="1" s="1"/>
  <c r="M1006" i="1"/>
  <c r="N1006" i="1" s="1"/>
  <c r="M1013" i="1"/>
  <c r="N1013" i="1" s="1"/>
  <c r="M1014" i="1"/>
  <c r="N1014" i="1" s="1"/>
  <c r="M1021" i="1"/>
  <c r="N1021" i="1" s="1"/>
  <c r="M1022" i="1"/>
  <c r="N1022" i="1" s="1"/>
  <c r="M1029" i="1"/>
  <c r="N1029" i="1" s="1"/>
  <c r="M1030" i="1"/>
  <c r="N1030" i="1" s="1"/>
  <c r="M1035" i="1"/>
  <c r="N1035" i="1" s="1"/>
  <c r="M1097" i="1"/>
  <c r="N1097" i="1" s="1"/>
  <c r="K1097" i="1"/>
  <c r="M1105" i="1"/>
  <c r="N1105" i="1" s="1"/>
  <c r="K1105" i="1"/>
  <c r="M1113" i="1"/>
  <c r="N1113" i="1" s="1"/>
  <c r="K1113" i="1"/>
  <c r="M1121" i="1"/>
  <c r="N1121" i="1" s="1"/>
  <c r="K1121" i="1"/>
  <c r="M1129" i="1"/>
  <c r="N1129" i="1" s="1"/>
  <c r="K1129" i="1"/>
  <c r="M1137" i="1"/>
  <c r="N1137" i="1" s="1"/>
  <c r="K1137" i="1"/>
  <c r="M1145" i="1"/>
  <c r="N1145" i="1" s="1"/>
  <c r="K1145" i="1"/>
  <c r="M1182" i="1"/>
  <c r="N1182" i="1" s="1"/>
  <c r="K1182" i="1"/>
  <c r="M1246" i="1"/>
  <c r="N1246" i="1" s="1"/>
  <c r="K1246" i="1"/>
  <c r="K1045" i="1"/>
  <c r="M1057" i="1"/>
  <c r="N1057" i="1" s="1"/>
  <c r="K1057" i="1"/>
  <c r="M1174" i="1"/>
  <c r="N1174" i="1" s="1"/>
  <c r="K1174" i="1"/>
  <c r="M1238" i="1"/>
  <c r="N1238" i="1" s="1"/>
  <c r="K1238" i="1"/>
  <c r="M1166" i="1"/>
  <c r="N1166" i="1" s="1"/>
  <c r="K1166" i="1"/>
  <c r="M1230" i="1"/>
  <c r="N1230" i="1" s="1"/>
  <c r="K1230" i="1"/>
  <c r="M1041" i="1"/>
  <c r="N1041" i="1" s="1"/>
  <c r="K1041" i="1"/>
  <c r="M1046" i="1"/>
  <c r="N1046" i="1" s="1"/>
  <c r="K1056" i="1"/>
  <c r="M1065" i="1"/>
  <c r="N1065" i="1" s="1"/>
  <c r="K1065" i="1"/>
  <c r="M1070" i="1"/>
  <c r="N1070" i="1" s="1"/>
  <c r="M1158" i="1"/>
  <c r="N1158" i="1" s="1"/>
  <c r="K1158" i="1"/>
  <c r="M1222" i="1"/>
  <c r="N1222" i="1" s="1"/>
  <c r="K1222" i="1"/>
  <c r="M1327" i="1"/>
  <c r="N1327" i="1" s="1"/>
  <c r="K1327" i="1"/>
  <c r="K877" i="1"/>
  <c r="K885" i="1"/>
  <c r="K893" i="1"/>
  <c r="K901" i="1"/>
  <c r="K909" i="1"/>
  <c r="K917" i="1"/>
  <c r="K925" i="1"/>
  <c r="K933" i="1"/>
  <c r="K941" i="1"/>
  <c r="K949" i="1"/>
  <c r="K957" i="1"/>
  <c r="K965" i="1"/>
  <c r="K973" i="1"/>
  <c r="K981" i="1"/>
  <c r="M1043" i="1"/>
  <c r="N1043" i="1" s="1"/>
  <c r="M1078" i="1"/>
  <c r="N1078" i="1" s="1"/>
  <c r="M1150" i="1"/>
  <c r="N1150" i="1" s="1"/>
  <c r="K1150" i="1"/>
  <c r="M1214" i="1"/>
  <c r="N1214" i="1" s="1"/>
  <c r="K1214" i="1"/>
  <c r="M1073" i="1"/>
  <c r="N1073" i="1" s="1"/>
  <c r="K1073" i="1"/>
  <c r="M1206" i="1"/>
  <c r="N1206" i="1" s="1"/>
  <c r="K1206" i="1"/>
  <c r="M1081" i="1"/>
  <c r="N1081" i="1" s="1"/>
  <c r="K1081" i="1"/>
  <c r="M1094" i="1"/>
  <c r="N1094" i="1" s="1"/>
  <c r="M1102" i="1"/>
  <c r="N1102" i="1" s="1"/>
  <c r="M1110" i="1"/>
  <c r="N1110" i="1" s="1"/>
  <c r="M1118" i="1"/>
  <c r="N1118" i="1" s="1"/>
  <c r="M1126" i="1"/>
  <c r="N1126" i="1" s="1"/>
  <c r="M1134" i="1"/>
  <c r="N1134" i="1" s="1"/>
  <c r="M1142" i="1"/>
  <c r="N1142" i="1" s="1"/>
  <c r="M1198" i="1"/>
  <c r="N1198" i="1" s="1"/>
  <c r="K1198" i="1"/>
  <c r="M1298" i="1"/>
  <c r="N1298" i="1" s="1"/>
  <c r="M1303" i="1"/>
  <c r="N1303" i="1" s="1"/>
  <c r="M1314" i="1"/>
  <c r="N1314" i="1" s="1"/>
  <c r="K1347" i="1"/>
  <c r="M1347" i="1"/>
  <c r="N1347" i="1" s="1"/>
  <c r="M1331" i="1"/>
  <c r="N1331" i="1" s="1"/>
  <c r="K1331" i="1"/>
  <c r="K1355" i="1"/>
  <c r="M1355" i="1"/>
  <c r="N1355" i="1" s="1"/>
  <c r="K1153" i="1"/>
  <c r="K1161" i="1"/>
  <c r="K1169" i="1"/>
  <c r="K1177" i="1"/>
  <c r="K1185" i="1"/>
  <c r="K1193" i="1"/>
  <c r="K1201" i="1"/>
  <c r="K1209" i="1"/>
  <c r="K1217" i="1"/>
  <c r="K1225" i="1"/>
  <c r="K1233" i="1"/>
  <c r="K1241" i="1"/>
  <c r="K1249" i="1"/>
  <c r="M1256" i="1"/>
  <c r="N1256" i="1" s="1"/>
  <c r="K1259" i="1"/>
  <c r="K1294" i="1"/>
  <c r="M1300" i="1"/>
  <c r="N1300" i="1" s="1"/>
  <c r="K1310" i="1"/>
  <c r="M1316" i="1"/>
  <c r="N1316" i="1" s="1"/>
  <c r="K1323" i="1"/>
  <c r="M1335" i="1"/>
  <c r="N1335" i="1" s="1"/>
  <c r="K1335" i="1"/>
  <c r="M1451" i="1"/>
  <c r="N1451" i="1" s="1"/>
  <c r="K1451" i="1"/>
  <c r="M1295" i="1"/>
  <c r="N1295" i="1" s="1"/>
  <c r="M1311" i="1"/>
  <c r="N1311" i="1" s="1"/>
  <c r="K1363" i="1"/>
  <c r="M1363" i="1"/>
  <c r="N1363" i="1" s="1"/>
  <c r="K1262" i="1"/>
  <c r="K1266" i="1"/>
  <c r="K1270" i="1"/>
  <c r="K1274" i="1"/>
  <c r="K1278" i="1"/>
  <c r="K1282" i="1"/>
  <c r="K1286" i="1"/>
  <c r="K1290" i="1"/>
  <c r="K1306" i="1"/>
  <c r="M1319" i="1"/>
  <c r="N1319" i="1" s="1"/>
  <c r="K1319" i="1"/>
  <c r="M1324" i="1"/>
  <c r="N1324" i="1" s="1"/>
  <c r="M1339" i="1"/>
  <c r="N1339" i="1" s="1"/>
  <c r="K1339" i="1"/>
  <c r="K1369" i="1"/>
  <c r="M1369" i="1"/>
  <c r="N1369" i="1" s="1"/>
  <c r="K1385" i="1"/>
  <c r="M1385" i="1"/>
  <c r="N1385" i="1" s="1"/>
  <c r="K1393" i="1"/>
  <c r="M1393" i="1"/>
  <c r="N1393" i="1" s="1"/>
  <c r="K1401" i="1"/>
  <c r="M1401" i="1"/>
  <c r="N1401" i="1" s="1"/>
  <c r="K1409" i="1"/>
  <c r="M1409" i="1"/>
  <c r="N1409" i="1" s="1"/>
  <c r="K1417" i="1"/>
  <c r="M1417" i="1"/>
  <c r="N1417" i="1" s="1"/>
  <c r="K1425" i="1"/>
  <c r="M1425" i="1"/>
  <c r="N1425" i="1" s="1"/>
  <c r="K1433" i="1"/>
  <c r="M1433" i="1"/>
  <c r="N1433" i="1" s="1"/>
  <c r="M1467" i="1"/>
  <c r="N1467" i="1" s="1"/>
  <c r="K1467" i="1"/>
  <c r="M1483" i="1"/>
  <c r="N1483" i="1" s="1"/>
  <c r="K1483" i="1"/>
  <c r="M1499" i="1"/>
  <c r="N1499" i="1" s="1"/>
  <c r="K1499" i="1"/>
  <c r="M1515" i="1"/>
  <c r="N1515" i="1" s="1"/>
  <c r="K1515" i="1"/>
  <c r="M1531" i="1"/>
  <c r="N1531" i="1" s="1"/>
  <c r="K1531" i="1"/>
  <c r="M1547" i="1"/>
  <c r="N1547" i="1" s="1"/>
  <c r="K1547" i="1"/>
  <c r="M1563" i="1"/>
  <c r="N1563" i="1" s="1"/>
  <c r="K1563" i="1"/>
  <c r="M1579" i="1"/>
  <c r="N1579" i="1" s="1"/>
  <c r="K1579" i="1"/>
  <c r="M1595" i="1"/>
  <c r="N1595" i="1" s="1"/>
  <c r="K1595" i="1"/>
  <c r="M1611" i="1"/>
  <c r="N1611" i="1" s="1"/>
  <c r="K1611" i="1"/>
  <c r="M1627" i="1"/>
  <c r="N1627" i="1" s="1"/>
  <c r="K1627" i="1"/>
  <c r="M1643" i="1"/>
  <c r="N1643" i="1" s="1"/>
  <c r="K1643" i="1"/>
  <c r="M1443" i="1"/>
  <c r="N1443" i="1" s="1"/>
  <c r="K1443" i="1"/>
  <c r="K1449" i="1"/>
  <c r="M1449" i="1"/>
  <c r="N1449" i="1" s="1"/>
  <c r="M1342" i="1"/>
  <c r="N1342" i="1" s="1"/>
  <c r="M1350" i="1"/>
  <c r="N1350" i="1" s="1"/>
  <c r="M1358" i="1"/>
  <c r="N1358" i="1" s="1"/>
  <c r="M1366" i="1"/>
  <c r="N1366" i="1" s="1"/>
  <c r="K1377" i="1"/>
  <c r="M1377" i="1"/>
  <c r="N1377" i="1" s="1"/>
  <c r="M1382" i="1"/>
  <c r="N1382" i="1" s="1"/>
  <c r="M1459" i="1"/>
  <c r="N1459" i="1" s="1"/>
  <c r="K1459" i="1"/>
  <c r="M1475" i="1"/>
  <c r="N1475" i="1" s="1"/>
  <c r="K1475" i="1"/>
  <c r="M1491" i="1"/>
  <c r="N1491" i="1" s="1"/>
  <c r="K1491" i="1"/>
  <c r="M1507" i="1"/>
  <c r="N1507" i="1" s="1"/>
  <c r="K1507" i="1"/>
  <c r="M1523" i="1"/>
  <c r="N1523" i="1" s="1"/>
  <c r="K1523" i="1"/>
  <c r="M1539" i="1"/>
  <c r="N1539" i="1" s="1"/>
  <c r="K1539" i="1"/>
  <c r="M1555" i="1"/>
  <c r="N1555" i="1" s="1"/>
  <c r="K1555" i="1"/>
  <c r="M1571" i="1"/>
  <c r="N1571" i="1" s="1"/>
  <c r="K1571" i="1"/>
  <c r="M1587" i="1"/>
  <c r="N1587" i="1" s="1"/>
  <c r="K1587" i="1"/>
  <c r="M1603" i="1"/>
  <c r="N1603" i="1" s="1"/>
  <c r="K1603" i="1"/>
  <c r="M1619" i="1"/>
  <c r="N1619" i="1" s="1"/>
  <c r="K1619" i="1"/>
  <c r="M1635" i="1"/>
  <c r="N1635" i="1" s="1"/>
  <c r="K1635" i="1"/>
  <c r="M1379" i="1"/>
  <c r="N1379" i="1" s="1"/>
  <c r="M1389" i="1"/>
  <c r="N1389" i="1" s="1"/>
  <c r="M1397" i="1"/>
  <c r="N1397" i="1" s="1"/>
  <c r="M1405" i="1"/>
  <c r="N1405" i="1" s="1"/>
  <c r="M1413" i="1"/>
  <c r="N1413" i="1" s="1"/>
  <c r="M1421" i="1"/>
  <c r="N1421" i="1" s="1"/>
  <c r="M1429" i="1"/>
  <c r="N1429" i="1" s="1"/>
  <c r="M1435" i="1"/>
  <c r="N1435" i="1" s="1"/>
  <c r="K1435" i="1"/>
  <c r="K1441" i="1"/>
  <c r="M1441" i="1"/>
  <c r="N1441" i="1" s="1"/>
  <c r="M1372" i="1"/>
  <c r="N1372" i="1" s="1"/>
  <c r="M1387" i="1"/>
  <c r="N1387" i="1" s="1"/>
  <c r="K1387" i="1"/>
  <c r="M1395" i="1"/>
  <c r="N1395" i="1" s="1"/>
  <c r="K1395" i="1"/>
  <c r="M1403" i="1"/>
  <c r="N1403" i="1" s="1"/>
  <c r="K1403" i="1"/>
  <c r="M1411" i="1"/>
  <c r="N1411" i="1" s="1"/>
  <c r="K1411" i="1"/>
  <c r="M1419" i="1"/>
  <c r="N1419" i="1" s="1"/>
  <c r="K1419" i="1"/>
  <c r="M1427" i="1"/>
  <c r="N1427" i="1" s="1"/>
  <c r="K1427" i="1"/>
  <c r="M1457" i="1"/>
  <c r="N1457" i="1" s="1"/>
  <c r="M1465" i="1"/>
  <c r="N1465" i="1" s="1"/>
  <c r="M1473" i="1"/>
  <c r="N1473" i="1" s="1"/>
  <c r="M1481" i="1"/>
  <c r="N1481" i="1" s="1"/>
  <c r="M1489" i="1"/>
  <c r="N1489" i="1" s="1"/>
  <c r="M1497" i="1"/>
  <c r="N1497" i="1" s="1"/>
  <c r="M1505" i="1"/>
  <c r="N1505" i="1" s="1"/>
  <c r="M1513" i="1"/>
  <c r="N1513" i="1" s="1"/>
  <c r="M1521" i="1"/>
  <c r="N1521" i="1" s="1"/>
  <c r="M1529" i="1"/>
  <c r="N1529" i="1" s="1"/>
  <c r="M1537" i="1"/>
  <c r="N1537" i="1" s="1"/>
  <c r="M1545" i="1"/>
  <c r="N1545" i="1" s="1"/>
  <c r="M1553" i="1"/>
  <c r="N1553" i="1" s="1"/>
  <c r="M1561" i="1"/>
  <c r="N1561" i="1" s="1"/>
  <c r="M1569" i="1"/>
  <c r="N1569" i="1" s="1"/>
  <c r="M1577" i="1"/>
  <c r="N1577" i="1" s="1"/>
  <c r="M1585" i="1"/>
  <c r="N1585" i="1" s="1"/>
  <c r="M1593" i="1"/>
  <c r="N1593" i="1" s="1"/>
  <c r="M1601" i="1"/>
  <c r="N1601" i="1" s="1"/>
  <c r="M1609" i="1"/>
  <c r="N1609" i="1" s="1"/>
  <c r="M1617" i="1"/>
  <c r="N1617" i="1" s="1"/>
  <c r="M1625" i="1"/>
  <c r="N1625" i="1" s="1"/>
  <c r="M1633" i="1"/>
  <c r="N1633" i="1" s="1"/>
  <c r="M1641" i="1"/>
  <c r="N1641" i="1" s="1"/>
  <c r="M1650" i="1"/>
  <c r="N1650" i="1" s="1"/>
  <c r="M1653" i="1"/>
  <c r="N1653" i="1" s="1"/>
  <c r="M1654" i="1"/>
  <c r="N1654" i="1" s="1"/>
  <c r="M1656" i="1"/>
  <c r="N1656" i="1" s="1"/>
  <c r="M1664" i="1"/>
  <c r="N1664" i="1" s="1"/>
  <c r="K1664" i="1"/>
  <c r="M1672" i="1"/>
  <c r="N1672" i="1" s="1"/>
  <c r="K1672" i="1"/>
  <c r="M1680" i="1"/>
  <c r="N1680" i="1" s="1"/>
  <c r="K1680" i="1"/>
  <c r="K1686" i="1"/>
  <c r="M1686" i="1"/>
  <c r="N1686" i="1" s="1"/>
  <c r="M1698" i="1"/>
  <c r="N1698" i="1" s="1"/>
  <c r="K1698" i="1"/>
  <c r="M1712" i="1"/>
  <c r="N1712" i="1" s="1"/>
  <c r="K1712" i="1"/>
  <c r="M1813" i="1"/>
  <c r="N1813" i="1" s="1"/>
  <c r="K1813" i="1"/>
  <c r="M1722" i="1"/>
  <c r="N1722" i="1" s="1"/>
  <c r="K1722" i="1"/>
  <c r="K1793" i="1"/>
  <c r="M1793" i="1"/>
  <c r="N1793" i="1" s="1"/>
  <c r="K1437" i="1"/>
  <c r="K1445" i="1"/>
  <c r="K1453" i="1"/>
  <c r="K1461" i="1"/>
  <c r="K1469" i="1"/>
  <c r="K1477" i="1"/>
  <c r="K1485" i="1"/>
  <c r="K1493" i="1"/>
  <c r="K1501" i="1"/>
  <c r="K1509" i="1"/>
  <c r="K1517" i="1"/>
  <c r="K1525" i="1"/>
  <c r="K1533" i="1"/>
  <c r="K1541" i="1"/>
  <c r="K1549" i="1"/>
  <c r="K1557" i="1"/>
  <c r="K1565" i="1"/>
  <c r="K1573" i="1"/>
  <c r="K1581" i="1"/>
  <c r="K1589" i="1"/>
  <c r="K1597" i="1"/>
  <c r="K1605" i="1"/>
  <c r="K1613" i="1"/>
  <c r="K1621" i="1"/>
  <c r="K1629" i="1"/>
  <c r="K1637" i="1"/>
  <c r="K1645" i="1"/>
  <c r="K1662" i="1"/>
  <c r="M1662" i="1"/>
  <c r="N1662" i="1" s="1"/>
  <c r="K1670" i="1"/>
  <c r="M1670" i="1"/>
  <c r="N1670" i="1" s="1"/>
  <c r="K1678" i="1"/>
  <c r="M1678" i="1"/>
  <c r="N1678" i="1" s="1"/>
  <c r="M1690" i="1"/>
  <c r="N1690" i="1" s="1"/>
  <c r="K1690" i="1"/>
  <c r="M1704" i="1"/>
  <c r="N1704" i="1" s="1"/>
  <c r="K1704" i="1"/>
  <c r="K1710" i="1"/>
  <c r="M1710" i="1"/>
  <c r="N1710" i="1" s="1"/>
  <c r="M1728" i="1"/>
  <c r="N1728" i="1" s="1"/>
  <c r="K1728" i="1"/>
  <c r="M1744" i="1"/>
  <c r="N1744" i="1" s="1"/>
  <c r="K1744" i="1"/>
  <c r="M1760" i="1"/>
  <c r="N1760" i="1" s="1"/>
  <c r="K1760" i="1"/>
  <c r="M1776" i="1"/>
  <c r="N1776" i="1" s="1"/>
  <c r="K1776" i="1"/>
  <c r="M1812" i="1"/>
  <c r="N1812" i="1" s="1"/>
  <c r="K1812" i="1"/>
  <c r="M1815" i="1"/>
  <c r="N1815" i="1" s="1"/>
  <c r="K1815" i="1"/>
  <c r="M1660" i="1"/>
  <c r="N1660" i="1" s="1"/>
  <c r="M1668" i="1"/>
  <c r="N1668" i="1" s="1"/>
  <c r="M1676" i="1"/>
  <c r="N1676" i="1" s="1"/>
  <c r="M1708" i="1"/>
  <c r="N1708" i="1" s="1"/>
  <c r="M1682" i="1"/>
  <c r="N1682" i="1" s="1"/>
  <c r="K1682" i="1"/>
  <c r="M1696" i="1"/>
  <c r="N1696" i="1" s="1"/>
  <c r="K1696" i="1"/>
  <c r="K1702" i="1"/>
  <c r="M1702" i="1"/>
  <c r="N1702" i="1" s="1"/>
  <c r="M1714" i="1"/>
  <c r="N1714" i="1" s="1"/>
  <c r="K1714" i="1"/>
  <c r="K1801" i="1"/>
  <c r="M1801" i="1"/>
  <c r="N1801" i="1" s="1"/>
  <c r="M1657" i="1"/>
  <c r="N1657" i="1" s="1"/>
  <c r="M1700" i="1"/>
  <c r="N1700" i="1" s="1"/>
  <c r="M1720" i="1"/>
  <c r="N1720" i="1" s="1"/>
  <c r="K1720" i="1"/>
  <c r="M1795" i="1"/>
  <c r="N1795" i="1" s="1"/>
  <c r="K1795" i="1"/>
  <c r="M1814" i="1"/>
  <c r="N1814" i="1" s="1"/>
  <c r="K1814" i="1"/>
  <c r="M1688" i="1"/>
  <c r="N1688" i="1" s="1"/>
  <c r="K1688" i="1"/>
  <c r="K1694" i="1"/>
  <c r="M1694" i="1"/>
  <c r="N1694" i="1" s="1"/>
  <c r="M1706" i="1"/>
  <c r="N1706" i="1" s="1"/>
  <c r="K1706" i="1"/>
  <c r="M1730" i="1"/>
  <c r="N1730" i="1" s="1"/>
  <c r="K1730" i="1"/>
  <c r="M1736" i="1"/>
  <c r="N1736" i="1" s="1"/>
  <c r="K1736" i="1"/>
  <c r="M1752" i="1"/>
  <c r="N1752" i="1" s="1"/>
  <c r="K1752" i="1"/>
  <c r="M1768" i="1"/>
  <c r="N1768" i="1" s="1"/>
  <c r="K1768" i="1"/>
  <c r="M1784" i="1"/>
  <c r="N1784" i="1" s="1"/>
  <c r="K1784" i="1"/>
  <c r="M1718" i="1"/>
  <c r="N1718" i="1" s="1"/>
  <c r="M1726" i="1"/>
  <c r="N1726" i="1" s="1"/>
  <c r="M1734" i="1"/>
  <c r="N1734" i="1" s="1"/>
  <c r="M1742" i="1"/>
  <c r="N1742" i="1" s="1"/>
  <c r="M1750" i="1"/>
  <c r="N1750" i="1" s="1"/>
  <c r="M1758" i="1"/>
  <c r="N1758" i="1" s="1"/>
  <c r="M1766" i="1"/>
  <c r="N1766" i="1" s="1"/>
  <c r="M1774" i="1"/>
  <c r="N1774" i="1" s="1"/>
  <c r="M1782" i="1"/>
  <c r="N1782" i="1" s="1"/>
  <c r="M1790" i="1"/>
  <c r="N1790" i="1" s="1"/>
  <c r="M1799" i="1"/>
  <c r="N1799" i="1" s="1"/>
  <c r="K1799" i="1"/>
  <c r="M1805" i="1"/>
  <c r="N1805" i="1" s="1"/>
  <c r="M1807" i="1"/>
  <c r="N1807" i="1" s="1"/>
  <c r="K1807" i="1"/>
  <c r="M1833" i="1"/>
  <c r="N1833" i="1" s="1"/>
  <c r="K1833" i="1"/>
  <c r="M1871" i="1"/>
  <c r="N1871" i="1" s="1"/>
  <c r="K1871" i="1"/>
  <c r="M1863" i="1"/>
  <c r="N1863" i="1" s="1"/>
  <c r="K1863" i="1"/>
  <c r="M2076" i="1"/>
  <c r="N2076" i="1" s="1"/>
  <c r="K2076" i="1"/>
  <c r="K1738" i="1"/>
  <c r="K1746" i="1"/>
  <c r="K1754" i="1"/>
  <c r="K1762" i="1"/>
  <c r="K1770" i="1"/>
  <c r="K1778" i="1"/>
  <c r="K1786" i="1"/>
  <c r="M1855" i="1"/>
  <c r="N1855" i="1" s="1"/>
  <c r="K1855" i="1"/>
  <c r="M1919" i="1"/>
  <c r="N1919" i="1" s="1"/>
  <c r="K1919" i="1"/>
  <c r="M1992" i="1"/>
  <c r="N1992" i="1" s="1"/>
  <c r="K1992" i="1"/>
  <c r="M1847" i="1"/>
  <c r="N1847" i="1" s="1"/>
  <c r="K1847" i="1"/>
  <c r="M1861" i="1"/>
  <c r="N1861" i="1" s="1"/>
  <c r="M1911" i="1"/>
  <c r="N1911" i="1" s="1"/>
  <c r="K1911" i="1"/>
  <c r="M1829" i="1"/>
  <c r="N1829" i="1" s="1"/>
  <c r="M1831" i="1"/>
  <c r="N1831" i="1" s="1"/>
  <c r="K1831" i="1"/>
  <c r="M1839" i="1"/>
  <c r="N1839" i="1" s="1"/>
  <c r="K1839" i="1"/>
  <c r="M1853" i="1"/>
  <c r="N1853" i="1" s="1"/>
  <c r="M1903" i="1"/>
  <c r="N1903" i="1" s="1"/>
  <c r="K1903" i="1"/>
  <c r="M1917" i="1"/>
  <c r="N1917" i="1" s="1"/>
  <c r="M1845" i="1"/>
  <c r="N1845" i="1" s="1"/>
  <c r="M1895" i="1"/>
  <c r="N1895" i="1" s="1"/>
  <c r="K1895" i="1"/>
  <c r="M1909" i="1"/>
  <c r="N1909" i="1" s="1"/>
  <c r="M1791" i="1"/>
  <c r="N1791" i="1" s="1"/>
  <c r="M1821" i="1"/>
  <c r="N1821" i="1" s="1"/>
  <c r="M1823" i="1"/>
  <c r="N1823" i="1" s="1"/>
  <c r="K1823" i="1"/>
  <c r="M1837" i="1"/>
  <c r="N1837" i="1" s="1"/>
  <c r="K1838" i="1"/>
  <c r="M1887" i="1"/>
  <c r="N1887" i="1" s="1"/>
  <c r="K1887" i="1"/>
  <c r="M1901" i="1"/>
  <c r="N1901" i="1" s="1"/>
  <c r="M1955" i="1"/>
  <c r="N1955" i="1" s="1"/>
  <c r="K1955" i="1"/>
  <c r="M1959" i="1"/>
  <c r="N1959" i="1" s="1"/>
  <c r="M1960" i="1"/>
  <c r="N1960" i="1" s="1"/>
  <c r="M1984" i="1"/>
  <c r="N1984" i="1" s="1"/>
  <c r="K1984" i="1"/>
  <c r="M2024" i="1"/>
  <c r="N2024" i="1" s="1"/>
  <c r="K2024" i="1"/>
  <c r="M2166" i="1"/>
  <c r="N2166" i="1" s="1"/>
  <c r="K2166" i="1"/>
  <c r="K1946" i="1"/>
  <c r="K1954" i="1"/>
  <c r="K1967" i="1"/>
  <c r="M1976" i="1"/>
  <c r="N1976" i="1" s="1"/>
  <c r="K1976" i="1"/>
  <c r="M2075" i="1"/>
  <c r="N2075" i="1" s="1"/>
  <c r="K2075" i="1"/>
  <c r="K1841" i="1"/>
  <c r="K1849" i="1"/>
  <c r="K1857" i="1"/>
  <c r="K1865" i="1"/>
  <c r="K1873" i="1"/>
  <c r="K1881" i="1"/>
  <c r="K1889" i="1"/>
  <c r="K1897" i="1"/>
  <c r="K1905" i="1"/>
  <c r="K1913" i="1"/>
  <c r="K1925" i="1"/>
  <c r="K1926" i="1"/>
  <c r="K1927" i="1"/>
  <c r="K1933" i="1"/>
  <c r="K1934" i="1"/>
  <c r="K1942" i="1"/>
  <c r="K1950" i="1"/>
  <c r="M1966" i="1"/>
  <c r="N1966" i="1" s="1"/>
  <c r="M1968" i="1"/>
  <c r="N1968" i="1" s="1"/>
  <c r="M1990" i="1"/>
  <c r="N1990" i="1" s="1"/>
  <c r="M2016" i="1"/>
  <c r="N2016" i="1" s="1"/>
  <c r="K2016" i="1"/>
  <c r="M2048" i="1"/>
  <c r="N2048" i="1" s="1"/>
  <c r="K2048" i="1"/>
  <c r="M2126" i="1"/>
  <c r="N2126" i="1" s="1"/>
  <c r="K2126" i="1"/>
  <c r="M1923" i="1"/>
  <c r="N1923" i="1" s="1"/>
  <c r="M1931" i="1"/>
  <c r="N1931" i="1" s="1"/>
  <c r="M1939" i="1"/>
  <c r="N1939" i="1" s="1"/>
  <c r="M1947" i="1"/>
  <c r="N1947" i="1" s="1"/>
  <c r="K1975" i="1"/>
  <c r="M1982" i="1"/>
  <c r="N1982" i="1" s="1"/>
  <c r="M2022" i="1"/>
  <c r="N2022" i="1" s="1"/>
  <c r="M2078" i="1"/>
  <c r="N2078" i="1" s="1"/>
  <c r="K2078" i="1"/>
  <c r="M2120" i="1"/>
  <c r="N2120" i="1" s="1"/>
  <c r="K2120" i="1"/>
  <c r="M1963" i="1"/>
  <c r="N1963" i="1" s="1"/>
  <c r="K1963" i="1"/>
  <c r="M1995" i="1"/>
  <c r="N1995" i="1" s="1"/>
  <c r="M2008" i="1"/>
  <c r="N2008" i="1" s="1"/>
  <c r="K2008" i="1"/>
  <c r="M2040" i="1"/>
  <c r="N2040" i="1" s="1"/>
  <c r="K2040" i="1"/>
  <c r="M1961" i="1"/>
  <c r="N1961" i="1" s="1"/>
  <c r="M2014" i="1"/>
  <c r="N2014" i="1" s="1"/>
  <c r="M2046" i="1"/>
  <c r="N2046" i="1" s="1"/>
  <c r="M2077" i="1"/>
  <c r="N2077" i="1" s="1"/>
  <c r="K2077" i="1"/>
  <c r="M1971" i="1"/>
  <c r="N1971" i="1" s="1"/>
  <c r="K1971" i="1"/>
  <c r="M1979" i="1"/>
  <c r="N1979" i="1" s="1"/>
  <c r="M1981" i="1"/>
  <c r="N1981" i="1" s="1"/>
  <c r="M2000" i="1"/>
  <c r="N2000" i="1" s="1"/>
  <c r="K2000" i="1"/>
  <c r="M2032" i="1"/>
  <c r="N2032" i="1" s="1"/>
  <c r="K2032" i="1"/>
  <c r="M2180" i="1"/>
  <c r="N2180" i="1" s="1"/>
  <c r="M2190" i="1"/>
  <c r="N2190" i="1" s="1"/>
  <c r="K2190" i="1"/>
  <c r="M2150" i="1"/>
  <c r="N2150" i="1" s="1"/>
  <c r="K2150" i="1"/>
  <c r="M2124" i="1"/>
  <c r="N2124" i="1" s="1"/>
  <c r="M2164" i="1"/>
  <c r="N2164" i="1" s="1"/>
  <c r="M2174" i="1"/>
  <c r="N2174" i="1" s="1"/>
  <c r="K2174" i="1"/>
  <c r="K1979" i="1"/>
  <c r="K1987" i="1"/>
  <c r="K1995" i="1"/>
  <c r="K2003" i="1"/>
  <c r="K2011" i="1"/>
  <c r="K2019" i="1"/>
  <c r="K2027" i="1"/>
  <c r="K2035" i="1"/>
  <c r="K2043" i="1"/>
  <c r="K2051" i="1"/>
  <c r="M2052" i="1"/>
  <c r="N2052" i="1" s="1"/>
  <c r="M2055" i="1"/>
  <c r="N2055" i="1" s="1"/>
  <c r="K2056" i="1"/>
  <c r="M2060" i="1"/>
  <c r="N2060" i="1" s="1"/>
  <c r="M2063" i="1"/>
  <c r="N2063" i="1" s="1"/>
  <c r="K2064" i="1"/>
  <c r="M2068" i="1"/>
  <c r="N2068" i="1" s="1"/>
  <c r="M2070" i="1"/>
  <c r="N2070" i="1" s="1"/>
  <c r="K2070" i="1"/>
  <c r="M2084" i="1"/>
  <c r="N2084" i="1" s="1"/>
  <c r="M2086" i="1"/>
  <c r="N2086" i="1" s="1"/>
  <c r="K2086" i="1"/>
  <c r="M2094" i="1"/>
  <c r="N2094" i="1" s="1"/>
  <c r="K2094" i="1"/>
  <c r="M2102" i="1"/>
  <c r="N2102" i="1" s="1"/>
  <c r="K2102" i="1"/>
  <c r="M2110" i="1"/>
  <c r="N2110" i="1" s="1"/>
  <c r="K2110" i="1"/>
  <c r="M2118" i="1"/>
  <c r="N2118" i="1" s="1"/>
  <c r="K2118" i="1"/>
  <c r="M2134" i="1"/>
  <c r="N2134" i="1" s="1"/>
  <c r="K2134" i="1"/>
  <c r="M2188" i="1"/>
  <c r="N2188" i="1" s="1"/>
  <c r="M2158" i="1"/>
  <c r="N2158" i="1" s="1"/>
  <c r="K2158" i="1"/>
  <c r="M2172" i="1"/>
  <c r="N2172" i="1" s="1"/>
  <c r="M2182" i="1"/>
  <c r="N2182" i="1" s="1"/>
  <c r="K2182" i="1"/>
  <c r="M2054" i="1"/>
  <c r="N2054" i="1" s="1"/>
  <c r="M2062" i="1"/>
  <c r="N2062" i="1" s="1"/>
  <c r="M2080" i="1"/>
  <c r="N2080" i="1" s="1"/>
  <c r="M2142" i="1"/>
  <c r="N2142" i="1" s="1"/>
  <c r="K2142" i="1"/>
  <c r="M2202" i="1"/>
  <c r="N2202" i="1" s="1"/>
  <c r="M2206" i="1"/>
  <c r="N2206" i="1" s="1"/>
  <c r="M2258" i="1"/>
  <c r="N2258" i="1" s="1"/>
  <c r="K2258" i="1"/>
  <c r="M2378" i="1"/>
  <c r="N2378" i="1" s="1"/>
  <c r="K2378" i="1"/>
  <c r="K2128" i="1"/>
  <c r="K2136" i="1"/>
  <c r="K2144" i="1"/>
  <c r="K2152" i="1"/>
  <c r="K2160" i="1"/>
  <c r="K2168" i="1"/>
  <c r="K2176" i="1"/>
  <c r="K2184" i="1"/>
  <c r="K2192" i="1"/>
  <c r="K2193" i="1"/>
  <c r="K2213" i="1"/>
  <c r="K2216" i="1"/>
  <c r="M2246" i="1"/>
  <c r="N2246" i="1" s="1"/>
  <c r="K2246" i="1"/>
  <c r="M2306" i="1"/>
  <c r="N2306" i="1" s="1"/>
  <c r="K2306" i="1"/>
  <c r="K2337" i="1"/>
  <c r="M2337" i="1"/>
  <c r="N2337" i="1" s="1"/>
  <c r="M2401" i="1"/>
  <c r="N2401" i="1" s="1"/>
  <c r="K2401" i="1"/>
  <c r="M2224" i="1"/>
  <c r="N2224" i="1" s="1"/>
  <c r="K2224" i="1"/>
  <c r="M2232" i="1"/>
  <c r="N2232" i="1" s="1"/>
  <c r="K2232" i="1"/>
  <c r="M2353" i="1"/>
  <c r="N2353" i="1" s="1"/>
  <c r="K2353" i="1"/>
  <c r="M2290" i="1"/>
  <c r="N2290" i="1" s="1"/>
  <c r="K2290" i="1"/>
  <c r="M2200" i="1"/>
  <c r="N2200" i="1" s="1"/>
  <c r="M2208" i="1"/>
  <c r="N2208" i="1" s="1"/>
  <c r="K2209" i="1"/>
  <c r="M2222" i="1"/>
  <c r="N2222" i="1" s="1"/>
  <c r="K2222" i="1"/>
  <c r="M2230" i="1"/>
  <c r="N2230" i="1" s="1"/>
  <c r="K2230" i="1"/>
  <c r="M2238" i="1"/>
  <c r="N2238" i="1" s="1"/>
  <c r="K2238" i="1"/>
  <c r="M2274" i="1"/>
  <c r="N2274" i="1" s="1"/>
  <c r="K2274" i="1"/>
  <c r="M2346" i="1"/>
  <c r="N2346" i="1" s="1"/>
  <c r="K2346" i="1"/>
  <c r="K2411" i="1"/>
  <c r="M2411" i="1"/>
  <c r="N2411" i="1" s="1"/>
  <c r="M2255" i="1"/>
  <c r="N2255" i="1" s="1"/>
  <c r="M2271" i="1"/>
  <c r="N2271" i="1" s="1"/>
  <c r="M2287" i="1"/>
  <c r="N2287" i="1" s="1"/>
  <c r="M2303" i="1"/>
  <c r="N2303" i="1" s="1"/>
  <c r="K2359" i="1"/>
  <c r="M2359" i="1"/>
  <c r="N2359" i="1" s="1"/>
  <c r="K2371" i="1"/>
  <c r="M2371" i="1"/>
  <c r="N2371" i="1" s="1"/>
  <c r="M2417" i="1"/>
  <c r="N2417" i="1" s="1"/>
  <c r="K2417" i="1"/>
  <c r="K2427" i="1"/>
  <c r="M2427" i="1"/>
  <c r="N2427" i="1" s="1"/>
  <c r="K2351" i="1"/>
  <c r="M2351" i="1"/>
  <c r="N2351" i="1" s="1"/>
  <c r="M2357" i="1"/>
  <c r="N2357" i="1" s="1"/>
  <c r="K2357" i="1"/>
  <c r="K2387" i="1"/>
  <c r="M2387" i="1"/>
  <c r="N2387" i="1" s="1"/>
  <c r="K2471" i="1"/>
  <c r="M2471" i="1"/>
  <c r="N2471" i="1" s="1"/>
  <c r="K2240" i="1"/>
  <c r="K2248" i="1"/>
  <c r="K2260" i="1"/>
  <c r="K2261" i="1"/>
  <c r="K2262" i="1"/>
  <c r="K2276" i="1"/>
  <c r="K2277" i="1"/>
  <c r="K2278" i="1"/>
  <c r="K2292" i="1"/>
  <c r="K2293" i="1"/>
  <c r="K2294" i="1"/>
  <c r="K2308" i="1"/>
  <c r="K2309" i="1"/>
  <c r="K2310" i="1"/>
  <c r="K2313" i="1"/>
  <c r="K2314" i="1"/>
  <c r="K2317" i="1"/>
  <c r="K2318" i="1"/>
  <c r="K2321" i="1"/>
  <c r="K2322" i="1"/>
  <c r="K2325" i="1"/>
  <c r="K2326" i="1"/>
  <c r="K2329" i="1"/>
  <c r="K2330" i="1"/>
  <c r="K2343" i="1"/>
  <c r="M2343" i="1"/>
  <c r="N2343" i="1" s="1"/>
  <c r="K2375" i="1"/>
  <c r="M2375" i="1"/>
  <c r="N2375" i="1" s="1"/>
  <c r="K2393" i="1"/>
  <c r="K2403" i="1"/>
  <c r="M2403" i="1"/>
  <c r="N2403" i="1" s="1"/>
  <c r="K2410" i="1"/>
  <c r="M2333" i="1"/>
  <c r="N2333" i="1" s="1"/>
  <c r="M2341" i="1"/>
  <c r="N2341" i="1" s="1"/>
  <c r="K2341" i="1"/>
  <c r="K2363" i="1"/>
  <c r="M2363" i="1"/>
  <c r="N2363" i="1" s="1"/>
  <c r="M2370" i="1"/>
  <c r="N2370" i="1" s="1"/>
  <c r="K2370" i="1"/>
  <c r="K2391" i="1"/>
  <c r="M2391" i="1"/>
  <c r="N2391" i="1" s="1"/>
  <c r="K2409" i="1"/>
  <c r="K2419" i="1"/>
  <c r="M2419" i="1"/>
  <c r="N2419" i="1" s="1"/>
  <c r="K2426" i="1"/>
  <c r="K2455" i="1"/>
  <c r="M2455" i="1"/>
  <c r="N2455" i="1" s="1"/>
  <c r="M2263" i="1"/>
  <c r="N2263" i="1" s="1"/>
  <c r="M2279" i="1"/>
  <c r="N2279" i="1" s="1"/>
  <c r="M2295" i="1"/>
  <c r="N2295" i="1" s="1"/>
  <c r="M2311" i="1"/>
  <c r="N2311" i="1" s="1"/>
  <c r="M2315" i="1"/>
  <c r="N2315" i="1" s="1"/>
  <c r="K2355" i="1"/>
  <c r="M2355" i="1"/>
  <c r="N2355" i="1" s="1"/>
  <c r="M2386" i="1"/>
  <c r="N2386" i="1" s="1"/>
  <c r="K2386" i="1"/>
  <c r="K2407" i="1"/>
  <c r="M2407" i="1"/>
  <c r="N2407" i="1" s="1"/>
  <c r="M2253" i="1"/>
  <c r="N2253" i="1" s="1"/>
  <c r="M2269" i="1"/>
  <c r="N2269" i="1" s="1"/>
  <c r="M2285" i="1"/>
  <c r="N2285" i="1" s="1"/>
  <c r="M2301" i="1"/>
  <c r="N2301" i="1" s="1"/>
  <c r="K2347" i="1"/>
  <c r="M2347" i="1"/>
  <c r="N2347" i="1" s="1"/>
  <c r="M2369" i="1"/>
  <c r="N2369" i="1" s="1"/>
  <c r="K2369" i="1"/>
  <c r="K2379" i="1"/>
  <c r="M2379" i="1"/>
  <c r="N2379" i="1" s="1"/>
  <c r="M2402" i="1"/>
  <c r="N2402" i="1" s="1"/>
  <c r="K2402" i="1"/>
  <c r="K2423" i="1"/>
  <c r="M2423" i="1"/>
  <c r="N2423" i="1" s="1"/>
  <c r="K2439" i="1"/>
  <c r="M2439" i="1"/>
  <c r="N2439" i="1" s="1"/>
  <c r="K2362" i="1"/>
  <c r="M2385" i="1"/>
  <c r="N2385" i="1" s="1"/>
  <c r="K2385" i="1"/>
  <c r="K2395" i="1"/>
  <c r="M2395" i="1"/>
  <c r="N2395" i="1" s="1"/>
  <c r="M2418" i="1"/>
  <c r="N2418" i="1" s="1"/>
  <c r="K2418" i="1"/>
  <c r="M2373" i="1"/>
  <c r="N2373" i="1" s="1"/>
  <c r="K2373" i="1"/>
  <c r="M2389" i="1"/>
  <c r="N2389" i="1" s="1"/>
  <c r="K2389" i="1"/>
  <c r="M2405" i="1"/>
  <c r="N2405" i="1" s="1"/>
  <c r="K2405" i="1"/>
  <c r="M2421" i="1"/>
  <c r="N2421" i="1" s="1"/>
  <c r="K2421" i="1"/>
  <c r="M2437" i="1"/>
  <c r="N2437" i="1" s="1"/>
  <c r="K2437" i="1"/>
  <c r="M2453" i="1"/>
  <c r="N2453" i="1" s="1"/>
  <c r="K2453" i="1"/>
  <c r="M2469" i="1"/>
  <c r="N2469" i="1" s="1"/>
  <c r="K2469" i="1"/>
  <c r="M2485" i="1"/>
  <c r="N2485" i="1" s="1"/>
  <c r="K2485" i="1"/>
  <c r="M2495" i="1"/>
  <c r="N2495" i="1" s="1"/>
  <c r="K2495" i="1"/>
  <c r="M2339" i="1"/>
  <c r="N2339" i="1" s="1"/>
  <c r="M2487" i="1"/>
  <c r="N2487" i="1" s="1"/>
  <c r="K2435" i="1"/>
  <c r="M2435" i="1"/>
  <c r="N2435" i="1" s="1"/>
  <c r="K2451" i="1"/>
  <c r="M2451" i="1"/>
  <c r="N2451" i="1" s="1"/>
  <c r="K2467" i="1"/>
  <c r="M2467" i="1"/>
  <c r="N2467" i="1" s="1"/>
  <c r="K2483" i="1"/>
  <c r="M2483" i="1"/>
  <c r="N2483" i="1" s="1"/>
  <c r="K2433" i="1"/>
  <c r="K2434" i="1"/>
  <c r="K2449" i="1"/>
  <c r="K2450" i="1"/>
  <c r="K2465" i="1"/>
  <c r="K2466" i="1"/>
  <c r="K2481" i="1"/>
  <c r="K2482" i="1"/>
  <c r="M2349" i="1"/>
  <c r="N2349" i="1" s="1"/>
  <c r="K2349" i="1"/>
  <c r="M2365" i="1"/>
  <c r="N2365" i="1" s="1"/>
  <c r="K2365" i="1"/>
  <c r="M2381" i="1"/>
  <c r="N2381" i="1" s="1"/>
  <c r="K2381" i="1"/>
  <c r="M2397" i="1"/>
  <c r="N2397" i="1" s="1"/>
  <c r="K2397" i="1"/>
  <c r="M2413" i="1"/>
  <c r="N2413" i="1" s="1"/>
  <c r="K2413" i="1"/>
  <c r="M2429" i="1"/>
  <c r="N2429" i="1" s="1"/>
  <c r="K2429" i="1"/>
  <c r="M2445" i="1"/>
  <c r="N2445" i="1" s="1"/>
  <c r="K2445" i="1"/>
  <c r="M2461" i="1"/>
  <c r="N2461" i="1" s="1"/>
  <c r="K2461" i="1"/>
  <c r="M2477" i="1"/>
  <c r="N2477" i="1" s="1"/>
  <c r="K2477" i="1"/>
  <c r="M2493" i="1"/>
  <c r="N2493" i="1" s="1"/>
  <c r="K2493" i="1"/>
  <c r="M2367" i="1"/>
  <c r="N2367" i="1" s="1"/>
  <c r="M2383" i="1"/>
  <c r="N2383" i="1" s="1"/>
  <c r="M2399" i="1"/>
  <c r="N2399" i="1" s="1"/>
  <c r="M2415" i="1"/>
  <c r="N2415" i="1" s="1"/>
  <c r="M2431" i="1"/>
  <c r="N2431" i="1" s="1"/>
  <c r="M2447" i="1"/>
  <c r="N2447" i="1" s="1"/>
  <c r="M2463" i="1"/>
  <c r="N2463" i="1" s="1"/>
  <c r="M2479" i="1"/>
  <c r="N2479" i="1" s="1"/>
  <c r="K2443" i="1"/>
  <c r="M2443" i="1"/>
  <c r="N2443" i="1" s="1"/>
  <c r="K2459" i="1"/>
  <c r="M2459" i="1"/>
  <c r="N2459" i="1" s="1"/>
  <c r="K2475" i="1"/>
  <c r="M2475" i="1"/>
  <c r="N2475" i="1" s="1"/>
  <c r="K2491" i="1"/>
  <c r="M2491" i="1"/>
  <c r="N2491" i="1" s="1"/>
  <c r="M2499" i="1"/>
  <c r="N2499" i="1" s="1"/>
  <c r="K25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3E680-41B2-44EF-93C4-0EE8C9FEA289}" keepAlive="1" name="Consulta - BBDD_Usiarios_Netflix" description="Conexión a la consulta 'BBDD_Usiarios_Netflix' en el libro." type="5" refreshedVersion="8" background="1" saveData="1">
    <dbPr connection="Provider=Microsoft.Mashup.OleDb.1;Data Source=$Workbook$;Location=BBDD_Usiarios_Netflix;Extended Properties=&quot;&quot;" command="SELECT * FROM [BBDD_Usiarios_Netflix]"/>
  </connection>
</connections>
</file>

<file path=xl/sharedStrings.xml><?xml version="1.0" encoding="utf-8"?>
<sst xmlns="http://schemas.openxmlformats.org/spreadsheetml/2006/main" count="12523" uniqueCount="47">
  <si>
    <t>Identificador Usuario</t>
  </si>
  <si>
    <t>Tipo Suscripción</t>
  </si>
  <si>
    <t>Ingresos Mensuales</t>
  </si>
  <si>
    <t>Día Suscripción</t>
  </si>
  <si>
    <t>Mes Suscripción</t>
  </si>
  <si>
    <t>Año Suscripción</t>
  </si>
  <si>
    <t>Fecha Suscripción</t>
  </si>
  <si>
    <t>Día Último Pago</t>
  </si>
  <si>
    <t>Mes Último Pago</t>
  </si>
  <si>
    <t>Año Último Pago</t>
  </si>
  <si>
    <t>Semana suscripción</t>
  </si>
  <si>
    <t>Fecha Último Pago</t>
  </si>
  <si>
    <t>Meses contratados</t>
  </si>
  <si>
    <t>Ingresos totales</t>
  </si>
  <si>
    <t>País</t>
  </si>
  <si>
    <t>País2</t>
  </si>
  <si>
    <t>Edad</t>
  </si>
  <si>
    <t>Género</t>
  </si>
  <si>
    <t>Dispositivo</t>
  </si>
  <si>
    <t>Duración Plan</t>
  </si>
  <si>
    <t>Duplicados</t>
  </si>
  <si>
    <t>Duracion Plan (Meses)</t>
  </si>
  <si>
    <t>Tipo Plan</t>
  </si>
  <si>
    <t>Básica</t>
  </si>
  <si>
    <t>Australia</t>
  </si>
  <si>
    <t>Masculino</t>
  </si>
  <si>
    <t>Smartphone</t>
  </si>
  <si>
    <t>1 Mes</t>
  </si>
  <si>
    <t>Premium</t>
  </si>
  <si>
    <t>EEUU</t>
  </si>
  <si>
    <t>Femenino</t>
  </si>
  <si>
    <t>Tablet</t>
  </si>
  <si>
    <t>Estándar</t>
  </si>
  <si>
    <t>Francia</t>
  </si>
  <si>
    <t>Smart TV</t>
  </si>
  <si>
    <t>6 Meses</t>
  </si>
  <si>
    <t>Ordenador</t>
  </si>
  <si>
    <t>Brasil</t>
  </si>
  <si>
    <t>3 Meses</t>
  </si>
  <si>
    <t>Canadá</t>
  </si>
  <si>
    <t>Italia</t>
  </si>
  <si>
    <t>12 Meses</t>
  </si>
  <si>
    <t>Reino Unido</t>
  </si>
  <si>
    <t>Alemania</t>
  </si>
  <si>
    <t/>
  </si>
  <si>
    <t>España</t>
  </si>
  <si>
    <t>Méjico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</si>
</sst>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orcentaje" xfId="1" builtinId="5"/>
  </cellStyles>
  <dxfs count="20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5" formatCode="d/m/yy"/>
    </dxf>
    <dxf>
      <numFmt numFmtId="165" formatCode="d/m/yy"/>
    </dxf>
    <dxf>
      <numFmt numFmtId="165" formatCode="d/m/yy"/>
    </dxf>
    <dxf>
      <numFmt numFmtId="165" formatCode="d/m/yy"/>
    </dxf>
    <dxf>
      <numFmt numFmtId="165" formatCode="d/m/yy"/>
    </dxf>
    <dxf>
      <numFmt numFmtId="165" formatCode="d/m/yy"/>
    </dxf>
    <dxf>
      <numFmt numFmtId="164" formatCode="00"/>
    </dxf>
    <dxf>
      <numFmt numFmtId="164" formatCode="00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73691D7-1A5B-4296-887B-D8EAE718BE38}" autoFormatId="16" applyNumberFormats="0" applyBorderFormats="0" applyFontFormats="0" applyPatternFormats="0" applyAlignmentFormats="0" applyWidthHeightFormats="0">
  <queryTableRefresh nextId="24" unboundColumnsRight="3">
    <queryTableFields count="23">
      <queryTableField id="1" name="Identificador Usuario" tableColumnId="1"/>
      <queryTableField id="2" name="Tipo Suscripción" tableColumnId="2"/>
      <queryTableField id="3" name="Ingresos Mensuales" tableColumnId="3"/>
      <queryTableField id="4" name="Día Suscripción" tableColumnId="4"/>
      <queryTableField id="5" name="Mes Suscripción" tableColumnId="5"/>
      <queryTableField id="6" name="Año Suscripción" tableColumnId="6"/>
      <queryTableField id="15" dataBound="0" tableColumnId="15"/>
      <queryTableField id="7" name="Día Último Pago" tableColumnId="7"/>
      <queryTableField id="8" name="Mes Último Pago" tableColumnId="8"/>
      <queryTableField id="9" name="Año Último Pago" tableColumnId="9"/>
      <queryTableField id="23" dataBound="0" tableColumnId="23"/>
      <queryTableField id="16" dataBound="0" tableColumnId="16"/>
      <queryTableField id="18" dataBound="0" tableColumnId="18"/>
      <queryTableField id="19" dataBound="0" tableColumnId="19"/>
      <queryTableField id="10" name="País" tableColumnId="10"/>
      <queryTableField id="22" dataBound="0" tableColumnId="22"/>
      <queryTableField id="11" name="Edad" tableColumnId="11"/>
      <queryTableField id="12" name="Género" tableColumnId="12"/>
      <queryTableField id="13" name="Dispositivo" tableColumnId="13"/>
      <queryTableField id="14" name="Duración Plan" tableColumnId="14"/>
      <queryTableField id="17" dataBound="0" tableColumnId="17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3E96A-753F-4807-8E43-635242F1D43F}" name="BBDD_Usiarios_Netflix" displayName="BBDD_Usiarios_Netflix" ref="A1:W2501" tableType="queryTable" totalsRowShown="0">
  <autoFilter ref="A1:W2501" xr:uid="{BDA3E96A-753F-4807-8E43-635242F1D43F}"/>
  <tableColumns count="23">
    <tableColumn id="1" xr3:uid="{BAF62AAB-C6D0-45CC-BE98-806109254321}" uniqueName="1" name="Identificador Usuario" queryTableFieldId="1"/>
    <tableColumn id="2" xr3:uid="{6E25CA7A-8EB3-4F0D-A937-A2DE07B5E8DF}" uniqueName="2" name="Tipo Suscripción" queryTableFieldId="2" dataDxfId="18"/>
    <tableColumn id="3" xr3:uid="{6C5C882D-8525-44FE-BEC9-EDC74BEF387F}" uniqueName="3" name="Ingresos Mensuales" queryTableFieldId="3"/>
    <tableColumn id="4" xr3:uid="{BD3F9BD0-16FE-489B-9E75-843D4B152185}" uniqueName="4" name="Día Suscripción" queryTableFieldId="4" dataDxfId="17"/>
    <tableColumn id="5" xr3:uid="{3ECA17C5-B30E-4374-AA05-CD3E34E4D668}" uniqueName="5" name="Mes Suscripción" queryTableFieldId="5" dataDxfId="16"/>
    <tableColumn id="6" xr3:uid="{0FB4F9E2-64E6-47A4-ABF3-80B3EBB60DB5}" uniqueName="6" name="Año Suscripción" queryTableFieldId="6"/>
    <tableColumn id="15" xr3:uid="{76E917FD-AC32-49DF-80FC-EF4F7E65275D}" uniqueName="15" name="Fecha Suscripción" queryTableFieldId="15" dataDxfId="15">
      <calculatedColumnFormula>DATEVALUE(_xlfn.CONCAT(BBDD_Usiarios_Netflix[[#This Row],[Día Suscripción]],"/",BBDD_Usiarios_Netflix[[#This Row],[Mes Suscripción]],"/",BBDD_Usiarios_Netflix[[#This Row],[Año Suscripción]]))</calculatedColumnFormula>
    </tableColumn>
    <tableColumn id="7" xr3:uid="{9D1B5E0F-ED88-4153-BA7B-2C7ACDE18A30}" uniqueName="7" name="Día Último Pago" queryTableFieldId="7" dataDxfId="14"/>
    <tableColumn id="8" xr3:uid="{B55FE2AE-F3F4-47F3-AEB3-9446876E7641}" uniqueName="8" name="Mes Último Pago" queryTableFieldId="8" dataDxfId="13"/>
    <tableColumn id="9" xr3:uid="{CEDEF915-C7FE-4767-8DC1-986C629C7CB0}" uniqueName="9" name="Año Último Pago" queryTableFieldId="9" dataDxfId="12"/>
    <tableColumn id="23" xr3:uid="{EB91AA61-BD49-48B6-BC79-28DA7CDB8E6D}" uniqueName="23" name="Semana suscripción" queryTableFieldId="23" dataDxfId="11">
      <calculatedColumnFormula>TEXT(BBDD_Usiarios_Netflix[[#This Row],[Fecha Suscripción]],"dddd")</calculatedColumnFormula>
    </tableColumn>
    <tableColumn id="16" xr3:uid="{3FA61770-8213-40B4-B897-3A082EB36FAF}" uniqueName="16" name="Fecha Último Pago" queryTableFieldId="16" dataDxfId="10">
      <calculatedColumnFormula>DATEVALUE(_xlfn.CONCAT(BBDD_Usiarios_Netflix[[#This Row],[Día Último Pago]],"/",BBDD_Usiarios_Netflix[[#This Row],[Mes Último Pago]],"/",BBDD_Usiarios_Netflix[[#This Row],[Año Último Pago]]))</calculatedColumnFormula>
    </tableColumn>
    <tableColumn id="18" xr3:uid="{6B8555B1-96A4-42AC-AC3E-828CB5E8887D}" uniqueName="18" name="Meses contratados" queryTableFieldId="18" dataDxfId="9">
      <calculatedColumnFormula>DATEDIF(BBDD_Usiarios_Netflix[[#This Row],[Fecha Suscripción]],BBDD_Usiarios_Netflix[[#This Row],[Fecha Último Pago]],"M")+1</calculatedColumnFormula>
    </tableColumn>
    <tableColumn id="19" xr3:uid="{2C86213C-B723-4063-80C4-2B468C012B7E}" uniqueName="19" name="Ingresos totales" queryTableFieldId="19" dataDxfId="8">
      <calculatedColumnFormula>BBDD_Usiarios_Netflix[[#This Row],[Ingresos Mensuales]]*BBDD_Usiarios_Netflix[[#This Row],[Meses contratados]]</calculatedColumnFormula>
    </tableColumn>
    <tableColumn id="10" xr3:uid="{7B1A070D-2B90-48D5-8408-3E726ACD0635}" uniqueName="10" name="País" queryTableFieldId="10" dataDxfId="7"/>
    <tableColumn id="22" xr3:uid="{9819B702-8219-4966-A7EB-98273E3DEED7}" uniqueName="22" name="País2" queryTableFieldId="22" dataDxfId="6">
      <calculatedColumnFormula>IF(BBDD_Usiarios_Netflix[[#This Row],[País]]="","Desconocido",BBDD_Usiarios_Netflix[[#This Row],[País]])</calculatedColumnFormula>
    </tableColumn>
    <tableColumn id="11" xr3:uid="{2803E02D-B6A9-401A-ABE0-BF9B294F1D98}" uniqueName="11" name="Edad" queryTableFieldId="11"/>
    <tableColumn id="12" xr3:uid="{701A554B-4D0C-41FE-B386-CEFD36DB66D3}" uniqueName="12" name="Género" queryTableFieldId="12" dataDxfId="5"/>
    <tableColumn id="13" xr3:uid="{A4B55A6D-7CFF-4F39-B2D0-7A7B42898309}" uniqueName="13" name="Dispositivo" queryTableFieldId="13" dataDxfId="4"/>
    <tableColumn id="14" xr3:uid="{339B5608-2AC1-4C07-A15E-78B84892ABE0}" uniqueName="14" name="Duración Plan" queryTableFieldId="14" dataDxfId="3"/>
    <tableColumn id="17" xr3:uid="{D3FDE7C9-FF0C-4441-BE54-C4CFD71418FD}" uniqueName="17" name="Duplicados" queryTableFieldId="17" dataDxfId="2">
      <calculatedColumnFormula>IF(IFERROR(VLOOKUP(BBDD_Usiarios_Netflix[[#This Row],[Identificador Usuario]],A3:$A$5870,1,FALSE),0)&lt;&gt;0,1,0)</calculatedColumnFormula>
    </tableColumn>
    <tableColumn id="20" xr3:uid="{5DBB7C85-14BF-4DA8-B09C-C1B729DF83D1}" uniqueName="20" name="Duracion Plan (Meses)" queryTableFieldId="20" dataDxfId="1">
      <calculatedColumnFormula>IF(BBDD_Usiarios_Netflix[[#This Row],[Duración Plan]]="12 Meses",LEFT(BBDD_Usiarios_Netflix[[#This Row],[Duración Plan]],2),LEFT(BBDD_Usiarios_Netflix[[#This Row],[Duración Plan]],1))</calculatedColumnFormula>
    </tableColumn>
    <tableColumn id="21" xr3:uid="{7B218D8C-AB1B-4C23-A036-4C0571C9E999}" uniqueName="21" name="Tipo Plan" queryTableFieldId="21" dataDxfId="0">
      <calculatedColumnFormula>IF(BBDD_Usiarios_Netflix[[#This Row],[Duracion Plan (Meses)]]="1", "Mensual",IF(BBDD_Usiarios_Netflix[[#This Row],[Duracion Plan (Meses)]]="3","Trimestral",IF(BBDD_Usiarios_Netflix[[#This Row],[Duracion Plan (Meses)]]="6","Semestral","Anual")))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1FE2-4468-4551-8B0E-761BD9031D4B}">
  <dimension ref="A1:W2501"/>
  <sheetViews>
    <sheetView tabSelected="1" topLeftCell="A16" workbookViewId="0">
      <selection activeCell="D12" sqref="D12"/>
    </sheetView>
  </sheetViews>
  <sheetFormatPr baseColWidth="10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</row>
    <row r="2" spans="1:23" x14ac:dyDescent="0.25">
      <c r="A2">
        <v>1</v>
      </c>
      <c r="B2" t="s">
        <v>23</v>
      </c>
      <c r="C2">
        <v>11</v>
      </c>
      <c r="D2" s="3">
        <v>15</v>
      </c>
      <c r="E2" s="3">
        <v>1</v>
      </c>
      <c r="F2">
        <v>23</v>
      </c>
      <c r="G2" s="1">
        <f>DATEVALUE(_xlfn.CONCAT(BBDD_Usiarios_Netflix[[#This Row],[Día Suscripción]],"/",BBDD_Usiarios_Netflix[[#This Row],[Mes Suscripción]],"/",BBDD_Usiarios_Netflix[[#This Row],[Año Suscripción]]))</f>
        <v>44941</v>
      </c>
      <c r="H2" s="1">
        <v>10</v>
      </c>
      <c r="I2" s="1">
        <v>6</v>
      </c>
      <c r="J2" s="1">
        <v>24</v>
      </c>
      <c r="K2" s="1" t="str">
        <f>TEXT(BBDD_Usiarios_Netflix[[#This Row],[Fecha Suscripción]],"dddd")</f>
        <v>domingo</v>
      </c>
      <c r="L2" s="1">
        <f>DATEVALUE(_xlfn.CONCAT(BBDD_Usiarios_Netflix[[#This Row],[Día Último Pago]],"/",BBDD_Usiarios_Netflix[[#This Row],[Mes Último Pago]],"/",BBDD_Usiarios_Netflix[[#This Row],[Año Último Pago]]))</f>
        <v>45453</v>
      </c>
      <c r="M2" s="4">
        <f>DATEDIF(BBDD_Usiarios_Netflix[[#This Row],[Fecha Suscripción]],BBDD_Usiarios_Netflix[[#This Row],[Fecha Último Pago]],"M")+1</f>
        <v>17</v>
      </c>
      <c r="N2" s="4">
        <f>BBDD_Usiarios_Netflix[[#This Row],[Ingresos Mensuales]]*BBDD_Usiarios_Netflix[[#This Row],[Meses contratados]]</f>
        <v>187</v>
      </c>
      <c r="O2" t="s">
        <v>24</v>
      </c>
      <c r="P2" t="str">
        <f>IF(BBDD_Usiarios_Netflix[[#This Row],[País]]="","Desconocido",BBDD_Usiarios_Netflix[[#This Row],[País]])</f>
        <v>Australia</v>
      </c>
      <c r="Q2">
        <v>28</v>
      </c>
      <c r="R2" t="s">
        <v>25</v>
      </c>
      <c r="S2" t="s">
        <v>26</v>
      </c>
      <c r="T2" t="s">
        <v>27</v>
      </c>
      <c r="U2">
        <f>IF(IFERROR(VLOOKUP(BBDD_Usiarios_Netflix[[#This Row],[Identificador Usuario]],A3:$A$5870,1,FALSE),0)&lt;&gt;0,1,0)</f>
        <v>0</v>
      </c>
      <c r="V2" s="5" t="str">
        <f>IF(BBDD_Usiarios_Netflix[[#This Row],[Duración Plan]]="12 Meses",LEFT(BBDD_Usiarios_Netflix[[#This Row],[Duración Plan]],2),LEFT(BBDD_Usiarios_Netflix[[#This Row],[Duración Plan]],1))</f>
        <v>1</v>
      </c>
      <c r="W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" spans="1:23" x14ac:dyDescent="0.25">
      <c r="A3">
        <v>2</v>
      </c>
      <c r="B3" t="s">
        <v>28</v>
      </c>
      <c r="C3">
        <v>15</v>
      </c>
      <c r="D3" s="3">
        <v>5</v>
      </c>
      <c r="E3" s="3">
        <v>9</v>
      </c>
      <c r="F3">
        <v>22</v>
      </c>
      <c r="G3" s="1">
        <f>DATEVALUE(_xlfn.CONCAT(BBDD_Usiarios_Netflix[[#This Row],[Día Suscripción]],"/",BBDD_Usiarios_Netflix[[#This Row],[Mes Suscripción]],"/",BBDD_Usiarios_Netflix[[#This Row],[Año Suscripción]]))</f>
        <v>44809</v>
      </c>
      <c r="H3" s="1">
        <v>22</v>
      </c>
      <c r="I3" s="1">
        <v>6</v>
      </c>
      <c r="J3" s="1">
        <v>24</v>
      </c>
      <c r="K3" s="1" t="str">
        <f>TEXT(BBDD_Usiarios_Netflix[[#This Row],[Fecha Suscripción]],"dddd")</f>
        <v>lunes</v>
      </c>
      <c r="L3" s="1">
        <f>DATEVALUE(_xlfn.CONCAT(BBDD_Usiarios_Netflix[[#This Row],[Día Último Pago]],"/",BBDD_Usiarios_Netflix[[#This Row],[Mes Último Pago]],"/",BBDD_Usiarios_Netflix[[#This Row],[Año Último Pago]]))</f>
        <v>45465</v>
      </c>
      <c r="M3" s="4">
        <f>DATEDIF(BBDD_Usiarios_Netflix[[#This Row],[Fecha Suscripción]],BBDD_Usiarios_Netflix[[#This Row],[Fecha Último Pago]],"M")+1</f>
        <v>22</v>
      </c>
      <c r="N3" s="4">
        <f>BBDD_Usiarios_Netflix[[#This Row],[Ingresos Mensuales]]*BBDD_Usiarios_Netflix[[#This Row],[Meses contratados]]</f>
        <v>330</v>
      </c>
      <c r="O3" t="s">
        <v>29</v>
      </c>
      <c r="P3" t="str">
        <f>IF(BBDD_Usiarios_Netflix[[#This Row],[País]]="","Desconocido",BBDD_Usiarios_Netflix[[#This Row],[País]])</f>
        <v>EEUU</v>
      </c>
      <c r="Q3">
        <v>35</v>
      </c>
      <c r="R3" t="s">
        <v>30</v>
      </c>
      <c r="S3" t="s">
        <v>31</v>
      </c>
      <c r="T3" t="s">
        <v>27</v>
      </c>
      <c r="U3">
        <f>IF(IFERROR(VLOOKUP(BBDD_Usiarios_Netflix[[#This Row],[Identificador Usuario]],A4:$A$5870,1,FALSE),0)&lt;&gt;0,1,0)</f>
        <v>0</v>
      </c>
      <c r="V3" s="6" t="str">
        <f>IF(BBDD_Usiarios_Netflix[[#This Row],[Duración Plan]]="12 Meses",LEFT(BBDD_Usiarios_Netflix[[#This Row],[Duración Plan]],2),LEFT(BBDD_Usiarios_Netflix[[#This Row],[Duración Plan]],1))</f>
        <v>1</v>
      </c>
      <c r="W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" spans="1:23" x14ac:dyDescent="0.25">
      <c r="A4">
        <v>3</v>
      </c>
      <c r="B4" t="s">
        <v>32</v>
      </c>
      <c r="C4">
        <v>13</v>
      </c>
      <c r="D4" s="3">
        <v>28</v>
      </c>
      <c r="E4" s="3">
        <v>2</v>
      </c>
      <c r="F4">
        <v>24</v>
      </c>
      <c r="G4" s="1">
        <f>DATEVALUE(_xlfn.CONCAT(BBDD_Usiarios_Netflix[[#This Row],[Día Suscripción]],"/",BBDD_Usiarios_Netflix[[#This Row],[Mes Suscripción]],"/",BBDD_Usiarios_Netflix[[#This Row],[Año Suscripción]]))</f>
        <v>45350</v>
      </c>
      <c r="H4" s="1">
        <v>27</v>
      </c>
      <c r="I4" s="1">
        <v>6</v>
      </c>
      <c r="J4" s="1">
        <v>24</v>
      </c>
      <c r="K4" s="1" t="str">
        <f>TEXT(BBDD_Usiarios_Netflix[[#This Row],[Fecha Suscripción]],"dddd")</f>
        <v>miércoles</v>
      </c>
      <c r="L4" s="1">
        <f>DATEVALUE(_xlfn.CONCAT(BBDD_Usiarios_Netflix[[#This Row],[Día Último Pago]],"/",BBDD_Usiarios_Netflix[[#This Row],[Mes Último Pago]],"/",BBDD_Usiarios_Netflix[[#This Row],[Año Último Pago]]))</f>
        <v>45470</v>
      </c>
      <c r="M4" s="4">
        <f>DATEDIF(BBDD_Usiarios_Netflix[[#This Row],[Fecha Suscripción]],BBDD_Usiarios_Netflix[[#This Row],[Fecha Último Pago]],"M")+1</f>
        <v>4</v>
      </c>
      <c r="N4" s="4">
        <f>BBDD_Usiarios_Netflix[[#This Row],[Ingresos Mensuales]]*BBDD_Usiarios_Netflix[[#This Row],[Meses contratados]]</f>
        <v>52</v>
      </c>
      <c r="O4" t="s">
        <v>33</v>
      </c>
      <c r="P4" t="str">
        <f>IF(BBDD_Usiarios_Netflix[[#This Row],[País]]="","Desconocido",BBDD_Usiarios_Netflix[[#This Row],[País]])</f>
        <v>Francia</v>
      </c>
      <c r="Q4">
        <v>42</v>
      </c>
      <c r="R4" t="s">
        <v>25</v>
      </c>
      <c r="S4" t="s">
        <v>34</v>
      </c>
      <c r="T4" t="s">
        <v>35</v>
      </c>
      <c r="U4">
        <f>IF(IFERROR(VLOOKUP(BBDD_Usiarios_Netflix[[#This Row],[Identificador Usuario]],A5:$A$5870,1,FALSE),0)&lt;&gt;0,1,0)</f>
        <v>0</v>
      </c>
      <c r="V4" s="6" t="str">
        <f>IF(BBDD_Usiarios_Netflix[[#This Row],[Duración Plan]]="12 Meses",LEFT(BBDD_Usiarios_Netflix[[#This Row],[Duración Plan]],2),LEFT(BBDD_Usiarios_Netflix[[#This Row],[Duración Plan]],1))</f>
        <v>6</v>
      </c>
      <c r="W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" spans="1:23" x14ac:dyDescent="0.25">
      <c r="A5">
        <v>4</v>
      </c>
      <c r="B5" t="s">
        <v>32</v>
      </c>
      <c r="C5">
        <v>12</v>
      </c>
      <c r="D5" s="3">
        <v>10</v>
      </c>
      <c r="E5" s="3">
        <v>7</v>
      </c>
      <c r="F5">
        <v>23</v>
      </c>
      <c r="G5" s="1">
        <f>DATEVALUE(_xlfn.CONCAT(BBDD_Usiarios_Netflix[[#This Row],[Día Suscripción]],"/",BBDD_Usiarios_Netflix[[#This Row],[Mes Suscripción]],"/",BBDD_Usiarios_Netflix[[#This Row],[Año Suscripción]]))</f>
        <v>45117</v>
      </c>
      <c r="H5" s="1">
        <v>26</v>
      </c>
      <c r="I5" s="1">
        <v>6</v>
      </c>
      <c r="J5" s="1">
        <v>24</v>
      </c>
      <c r="K5" s="1" t="str">
        <f>TEXT(BBDD_Usiarios_Netflix[[#This Row],[Fecha Suscripción]],"dddd")</f>
        <v>lunes</v>
      </c>
      <c r="L5" s="1">
        <f>DATEVALUE(_xlfn.CONCAT(BBDD_Usiarios_Netflix[[#This Row],[Día Último Pago]],"/",BBDD_Usiarios_Netflix[[#This Row],[Mes Último Pago]],"/",BBDD_Usiarios_Netflix[[#This Row],[Año Último Pago]]))</f>
        <v>45469</v>
      </c>
      <c r="M5" s="4">
        <f>DATEDIF(BBDD_Usiarios_Netflix[[#This Row],[Fecha Suscripción]],BBDD_Usiarios_Netflix[[#This Row],[Fecha Último Pago]],"M")+1</f>
        <v>12</v>
      </c>
      <c r="N5" s="4">
        <f>BBDD_Usiarios_Netflix[[#This Row],[Ingresos Mensuales]]*BBDD_Usiarios_Netflix[[#This Row],[Meses contratados]]</f>
        <v>144</v>
      </c>
      <c r="O5" t="s">
        <v>29</v>
      </c>
      <c r="P5" t="str">
        <f>IF(BBDD_Usiarios_Netflix[[#This Row],[País]]="","Desconocido",BBDD_Usiarios_Netflix[[#This Row],[País]])</f>
        <v>EEUU</v>
      </c>
      <c r="Q5">
        <v>51</v>
      </c>
      <c r="R5" t="s">
        <v>30</v>
      </c>
      <c r="S5" t="s">
        <v>36</v>
      </c>
      <c r="T5" t="s">
        <v>27</v>
      </c>
      <c r="U5">
        <f>IF(IFERROR(VLOOKUP(BBDD_Usiarios_Netflix[[#This Row],[Identificador Usuario]],A6:$A$5870,1,FALSE),0)&lt;&gt;0,1,0)</f>
        <v>0</v>
      </c>
      <c r="V5" s="6" t="str">
        <f>IF(BBDD_Usiarios_Netflix[[#This Row],[Duración Plan]]="12 Meses",LEFT(BBDD_Usiarios_Netflix[[#This Row],[Duración Plan]],2),LEFT(BBDD_Usiarios_Netflix[[#This Row],[Duración Plan]],1))</f>
        <v>1</v>
      </c>
      <c r="W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" spans="1:23" x14ac:dyDescent="0.25">
      <c r="A6">
        <v>5</v>
      </c>
      <c r="B6" t="s">
        <v>23</v>
      </c>
      <c r="C6">
        <v>11</v>
      </c>
      <c r="D6" s="3">
        <v>1</v>
      </c>
      <c r="E6" s="3">
        <v>5</v>
      </c>
      <c r="F6">
        <v>24</v>
      </c>
      <c r="G6" s="1">
        <f>DATEVALUE(_xlfn.CONCAT(BBDD_Usiarios_Netflix[[#This Row],[Día Suscripción]],"/",BBDD_Usiarios_Netflix[[#This Row],[Mes Suscripción]],"/",BBDD_Usiarios_Netflix[[#This Row],[Año Suscripción]]))</f>
        <v>45413</v>
      </c>
      <c r="H6" s="1">
        <v>28</v>
      </c>
      <c r="I6" s="1">
        <v>6</v>
      </c>
      <c r="J6" s="1">
        <v>24</v>
      </c>
      <c r="K6" s="1" t="str">
        <f>TEXT(BBDD_Usiarios_Netflix[[#This Row],[Fecha Suscripción]],"dddd")</f>
        <v>miércoles</v>
      </c>
      <c r="L6" s="1">
        <f>DATEVALUE(_xlfn.CONCAT(BBDD_Usiarios_Netflix[[#This Row],[Día Último Pago]],"/",BBDD_Usiarios_Netflix[[#This Row],[Mes Último Pago]],"/",BBDD_Usiarios_Netflix[[#This Row],[Año Último Pago]]))</f>
        <v>45471</v>
      </c>
      <c r="M6" s="4">
        <f>DATEDIF(BBDD_Usiarios_Netflix[[#This Row],[Fecha Suscripción]],BBDD_Usiarios_Netflix[[#This Row],[Fecha Último Pago]],"M")+1</f>
        <v>2</v>
      </c>
      <c r="N6" s="4">
        <f>BBDD_Usiarios_Netflix[[#This Row],[Ingresos Mensuales]]*BBDD_Usiarios_Netflix[[#This Row],[Meses contratados]]</f>
        <v>22</v>
      </c>
      <c r="O6" t="s">
        <v>29</v>
      </c>
      <c r="P6" t="str">
        <f>IF(BBDD_Usiarios_Netflix[[#This Row],[País]]="","Desconocido",BBDD_Usiarios_Netflix[[#This Row],[País]])</f>
        <v>EEUU</v>
      </c>
      <c r="Q6">
        <v>33</v>
      </c>
      <c r="R6" t="s">
        <v>25</v>
      </c>
      <c r="S6" t="s">
        <v>26</v>
      </c>
      <c r="T6" t="s">
        <v>27</v>
      </c>
      <c r="U6">
        <f>IF(IFERROR(VLOOKUP(BBDD_Usiarios_Netflix[[#This Row],[Identificador Usuario]],A7:$A$5870,1,FALSE),0)&lt;&gt;0,1,0)</f>
        <v>0</v>
      </c>
      <c r="V6" s="6" t="str">
        <f>IF(BBDD_Usiarios_Netflix[[#This Row],[Duración Plan]]="12 Meses",LEFT(BBDD_Usiarios_Netflix[[#This Row],[Duración Plan]],2),LEFT(BBDD_Usiarios_Netflix[[#This Row],[Duración Plan]],1))</f>
        <v>1</v>
      </c>
      <c r="W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" spans="1:23" x14ac:dyDescent="0.25">
      <c r="A7">
        <v>6</v>
      </c>
      <c r="B7" t="s">
        <v>28</v>
      </c>
      <c r="C7">
        <v>15</v>
      </c>
      <c r="D7" s="3">
        <v>18</v>
      </c>
      <c r="E7" s="3">
        <v>3</v>
      </c>
      <c r="F7">
        <v>23</v>
      </c>
      <c r="G7" s="1">
        <f>DATEVALUE(_xlfn.CONCAT(BBDD_Usiarios_Netflix[[#This Row],[Día Suscripción]],"/",BBDD_Usiarios_Netflix[[#This Row],[Mes Suscripción]],"/",BBDD_Usiarios_Netflix[[#This Row],[Año Suscripción]]))</f>
        <v>45003</v>
      </c>
      <c r="H7" s="1">
        <v>27</v>
      </c>
      <c r="I7" s="1">
        <v>6</v>
      </c>
      <c r="J7" s="1">
        <v>24</v>
      </c>
      <c r="K7" s="1" t="str">
        <f>TEXT(BBDD_Usiarios_Netflix[[#This Row],[Fecha Suscripción]],"dddd")</f>
        <v>sábado</v>
      </c>
      <c r="L7" s="1">
        <f>DATEVALUE(_xlfn.CONCAT(BBDD_Usiarios_Netflix[[#This Row],[Día Último Pago]],"/",BBDD_Usiarios_Netflix[[#This Row],[Mes Último Pago]],"/",BBDD_Usiarios_Netflix[[#This Row],[Año Último Pago]]))</f>
        <v>45470</v>
      </c>
      <c r="M7" s="4">
        <f>DATEDIF(BBDD_Usiarios_Netflix[[#This Row],[Fecha Suscripción]],BBDD_Usiarios_Netflix[[#This Row],[Fecha Último Pago]],"M")+1</f>
        <v>16</v>
      </c>
      <c r="N7" s="4">
        <f>BBDD_Usiarios_Netflix[[#This Row],[Ingresos Mensuales]]*BBDD_Usiarios_Netflix[[#This Row],[Meses contratados]]</f>
        <v>240</v>
      </c>
      <c r="O7" t="s">
        <v>37</v>
      </c>
      <c r="P7" t="str">
        <f>IF(BBDD_Usiarios_Netflix[[#This Row],[País]]="","Desconocido",BBDD_Usiarios_Netflix[[#This Row],[País]])</f>
        <v>Brasil</v>
      </c>
      <c r="Q7">
        <v>29</v>
      </c>
      <c r="R7" t="s">
        <v>30</v>
      </c>
      <c r="S7" t="s">
        <v>34</v>
      </c>
      <c r="T7" t="s">
        <v>38</v>
      </c>
      <c r="U7">
        <f>IF(IFERROR(VLOOKUP(BBDD_Usiarios_Netflix[[#This Row],[Identificador Usuario]],A8:$A$5870,1,FALSE),0)&lt;&gt;0,1,0)</f>
        <v>0</v>
      </c>
      <c r="V7" s="6" t="str">
        <f>IF(BBDD_Usiarios_Netflix[[#This Row],[Duración Plan]]="12 Meses",LEFT(BBDD_Usiarios_Netflix[[#This Row],[Duración Plan]],2),LEFT(BBDD_Usiarios_Netflix[[#This Row],[Duración Plan]],1))</f>
        <v>3</v>
      </c>
      <c r="W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" spans="1:23" x14ac:dyDescent="0.25">
      <c r="A8">
        <v>7</v>
      </c>
      <c r="B8" t="s">
        <v>32</v>
      </c>
      <c r="C8">
        <v>13</v>
      </c>
      <c r="D8" s="3">
        <v>9</v>
      </c>
      <c r="E8" s="3">
        <v>12</v>
      </c>
      <c r="F8">
        <v>22</v>
      </c>
      <c r="G8" s="1">
        <f>DATEVALUE(_xlfn.CONCAT(BBDD_Usiarios_Netflix[[#This Row],[Día Suscripción]],"/",BBDD_Usiarios_Netflix[[#This Row],[Mes Suscripción]],"/",BBDD_Usiarios_Netflix[[#This Row],[Año Suscripción]]))</f>
        <v>44904</v>
      </c>
      <c r="H8" s="1">
        <v>25</v>
      </c>
      <c r="I8" s="1">
        <v>6</v>
      </c>
      <c r="J8" s="1">
        <v>24</v>
      </c>
      <c r="K8" s="1" t="str">
        <f>TEXT(BBDD_Usiarios_Netflix[[#This Row],[Fecha Suscripción]],"dddd")</f>
        <v>viernes</v>
      </c>
      <c r="L8" s="1">
        <f>DATEVALUE(_xlfn.CONCAT(BBDD_Usiarios_Netflix[[#This Row],[Día Último Pago]],"/",BBDD_Usiarios_Netflix[[#This Row],[Mes Último Pago]],"/",BBDD_Usiarios_Netflix[[#This Row],[Año Último Pago]]))</f>
        <v>45468</v>
      </c>
      <c r="M8" s="4">
        <f>DATEDIF(BBDD_Usiarios_Netflix[[#This Row],[Fecha Suscripción]],BBDD_Usiarios_Netflix[[#This Row],[Fecha Último Pago]],"M")+1</f>
        <v>19</v>
      </c>
      <c r="N8" s="4">
        <f>BBDD_Usiarios_Netflix[[#This Row],[Ingresos Mensuales]]*BBDD_Usiarios_Netflix[[#This Row],[Meses contratados]]</f>
        <v>247</v>
      </c>
      <c r="O8" t="s">
        <v>39</v>
      </c>
      <c r="P8" t="str">
        <f>IF(BBDD_Usiarios_Netflix[[#This Row],[País]]="","Desconocido",BBDD_Usiarios_Netflix[[#This Row],[País]])</f>
        <v>Canadá</v>
      </c>
      <c r="Q8">
        <v>46</v>
      </c>
      <c r="R8" t="s">
        <v>25</v>
      </c>
      <c r="S8" t="s">
        <v>31</v>
      </c>
      <c r="T8" t="s">
        <v>35</v>
      </c>
      <c r="U8">
        <f>IF(IFERROR(VLOOKUP(BBDD_Usiarios_Netflix[[#This Row],[Identificador Usuario]],A9:$A$5870,1,FALSE),0)&lt;&gt;0,1,0)</f>
        <v>0</v>
      </c>
      <c r="V8" s="6" t="str">
        <f>IF(BBDD_Usiarios_Netflix[[#This Row],[Duración Plan]]="12 Meses",LEFT(BBDD_Usiarios_Netflix[[#This Row],[Duración Plan]],2),LEFT(BBDD_Usiarios_Netflix[[#This Row],[Duración Plan]],1))</f>
        <v>6</v>
      </c>
      <c r="W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" spans="1:23" x14ac:dyDescent="0.25">
      <c r="A9">
        <v>8</v>
      </c>
      <c r="B9" t="s">
        <v>23</v>
      </c>
      <c r="C9">
        <v>11</v>
      </c>
      <c r="D9" s="3">
        <v>2</v>
      </c>
      <c r="E9" s="3">
        <v>4</v>
      </c>
      <c r="F9">
        <v>24</v>
      </c>
      <c r="G9" s="1">
        <f>DATEVALUE(_xlfn.CONCAT(BBDD_Usiarios_Netflix[[#This Row],[Día Suscripción]],"/",BBDD_Usiarios_Netflix[[#This Row],[Mes Suscripción]],"/",BBDD_Usiarios_Netflix[[#This Row],[Año Suscripción]]))</f>
        <v>45384</v>
      </c>
      <c r="H9" s="1">
        <v>24</v>
      </c>
      <c r="I9" s="1">
        <v>6</v>
      </c>
      <c r="J9" s="1">
        <v>24</v>
      </c>
      <c r="K9" s="1" t="str">
        <f>TEXT(BBDD_Usiarios_Netflix[[#This Row],[Fecha Suscripción]],"dddd")</f>
        <v>martes</v>
      </c>
      <c r="L9" s="1">
        <f>DATEVALUE(_xlfn.CONCAT(BBDD_Usiarios_Netflix[[#This Row],[Día Último Pago]],"/",BBDD_Usiarios_Netflix[[#This Row],[Mes Último Pago]],"/",BBDD_Usiarios_Netflix[[#This Row],[Año Último Pago]]))</f>
        <v>45467</v>
      </c>
      <c r="M9" s="4">
        <f>DATEDIF(BBDD_Usiarios_Netflix[[#This Row],[Fecha Suscripción]],BBDD_Usiarios_Netflix[[#This Row],[Fecha Último Pago]],"M")+1</f>
        <v>3</v>
      </c>
      <c r="N9" s="4">
        <f>BBDD_Usiarios_Netflix[[#This Row],[Ingresos Mensuales]]*BBDD_Usiarios_Netflix[[#This Row],[Meses contratados]]</f>
        <v>33</v>
      </c>
      <c r="O9" t="s">
        <v>29</v>
      </c>
      <c r="P9" t="str">
        <f>IF(BBDD_Usiarios_Netflix[[#This Row],[País]]="","Desconocido",BBDD_Usiarios_Netflix[[#This Row],[País]])</f>
        <v>EEUU</v>
      </c>
      <c r="Q9">
        <v>39</v>
      </c>
      <c r="R9" t="s">
        <v>30</v>
      </c>
      <c r="S9" t="s">
        <v>36</v>
      </c>
      <c r="T9" t="s">
        <v>38</v>
      </c>
      <c r="U9">
        <f>IF(IFERROR(VLOOKUP(BBDD_Usiarios_Netflix[[#This Row],[Identificador Usuario]],A10:$A$5870,1,FALSE),0)&lt;&gt;0,1,0)</f>
        <v>0</v>
      </c>
      <c r="V9" s="6" t="str">
        <f>IF(BBDD_Usiarios_Netflix[[#This Row],[Duración Plan]]="12 Meses",LEFT(BBDD_Usiarios_Netflix[[#This Row],[Duración Plan]],2),LEFT(BBDD_Usiarios_Netflix[[#This Row],[Duración Plan]],1))</f>
        <v>3</v>
      </c>
      <c r="W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" spans="1:23" x14ac:dyDescent="0.25">
      <c r="A10">
        <v>9</v>
      </c>
      <c r="B10" t="s">
        <v>32</v>
      </c>
      <c r="C10">
        <v>12</v>
      </c>
      <c r="D10" s="3">
        <v>20</v>
      </c>
      <c r="E10" s="3">
        <v>10</v>
      </c>
      <c r="F10">
        <v>23</v>
      </c>
      <c r="G10" s="1">
        <f>DATEVALUE(_xlfn.CONCAT(BBDD_Usiarios_Netflix[[#This Row],[Día Suscripción]],"/",BBDD_Usiarios_Netflix[[#This Row],[Mes Suscripción]],"/",BBDD_Usiarios_Netflix[[#This Row],[Año Suscripción]]))</f>
        <v>45219</v>
      </c>
      <c r="H10" s="1">
        <v>23</v>
      </c>
      <c r="I10" s="1">
        <v>6</v>
      </c>
      <c r="J10" s="1">
        <v>24</v>
      </c>
      <c r="K10" s="1" t="str">
        <f>TEXT(BBDD_Usiarios_Netflix[[#This Row],[Fecha Suscripción]],"dddd")</f>
        <v>viernes</v>
      </c>
      <c r="L10" s="1">
        <f>DATEVALUE(_xlfn.CONCAT(BBDD_Usiarios_Netflix[[#This Row],[Día Último Pago]],"/",BBDD_Usiarios_Netflix[[#This Row],[Mes Último Pago]],"/",BBDD_Usiarios_Netflix[[#This Row],[Año Último Pago]]))</f>
        <v>45466</v>
      </c>
      <c r="M10" s="4">
        <f>DATEDIF(BBDD_Usiarios_Netflix[[#This Row],[Fecha Suscripción]],BBDD_Usiarios_Netflix[[#This Row],[Fecha Último Pago]],"M")+1</f>
        <v>9</v>
      </c>
      <c r="N10" s="4">
        <f>BBDD_Usiarios_Netflix[[#This Row],[Ingresos Mensuales]]*BBDD_Usiarios_Netflix[[#This Row],[Meses contratados]]</f>
        <v>108</v>
      </c>
      <c r="O10" t="s">
        <v>33</v>
      </c>
      <c r="P10" t="str">
        <f>IF(BBDD_Usiarios_Netflix[[#This Row],[País]]="","Desconocido",BBDD_Usiarios_Netflix[[#This Row],[País]])</f>
        <v>Francia</v>
      </c>
      <c r="Q10">
        <v>37</v>
      </c>
      <c r="R10" t="s">
        <v>25</v>
      </c>
      <c r="S10" t="s">
        <v>26</v>
      </c>
      <c r="T10" t="s">
        <v>27</v>
      </c>
      <c r="U10">
        <f>IF(IFERROR(VLOOKUP(BBDD_Usiarios_Netflix[[#This Row],[Identificador Usuario]],A11:$A$5870,1,FALSE),0)&lt;&gt;0,1,0)</f>
        <v>0</v>
      </c>
      <c r="V10" s="6" t="str">
        <f>IF(BBDD_Usiarios_Netflix[[#This Row],[Duración Plan]]="12 Meses",LEFT(BBDD_Usiarios_Netflix[[#This Row],[Duración Plan]],2),LEFT(BBDD_Usiarios_Netflix[[#This Row],[Duración Plan]],1))</f>
        <v>1</v>
      </c>
      <c r="W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" spans="1:23" x14ac:dyDescent="0.25">
      <c r="A11">
        <v>10</v>
      </c>
      <c r="B11" t="s">
        <v>28</v>
      </c>
      <c r="C11">
        <v>15</v>
      </c>
      <c r="D11" s="3">
        <v>7</v>
      </c>
      <c r="E11" s="3">
        <v>1</v>
      </c>
      <c r="F11">
        <v>24</v>
      </c>
      <c r="G11" s="1">
        <f>DATEVALUE(_xlfn.CONCAT(BBDD_Usiarios_Netflix[[#This Row],[Día Suscripción]],"/",BBDD_Usiarios_Netflix[[#This Row],[Mes Suscripción]],"/",BBDD_Usiarios_Netflix[[#This Row],[Año Suscripción]]))</f>
        <v>45298</v>
      </c>
      <c r="H11" s="1">
        <v>22</v>
      </c>
      <c r="I11" s="1">
        <v>6</v>
      </c>
      <c r="J11" s="1">
        <v>24</v>
      </c>
      <c r="K11" s="1" t="str">
        <f>TEXT(BBDD_Usiarios_Netflix[[#This Row],[Fecha Suscripción]],"dddd")</f>
        <v>domingo</v>
      </c>
      <c r="L11" s="1">
        <f>DATEVALUE(_xlfn.CONCAT(BBDD_Usiarios_Netflix[[#This Row],[Día Último Pago]],"/",BBDD_Usiarios_Netflix[[#This Row],[Mes Último Pago]],"/",BBDD_Usiarios_Netflix[[#This Row],[Año Último Pago]]))</f>
        <v>45465</v>
      </c>
      <c r="M11" s="4">
        <f>DATEDIF(BBDD_Usiarios_Netflix[[#This Row],[Fecha Suscripción]],BBDD_Usiarios_Netflix[[#This Row],[Fecha Último Pago]],"M")+1</f>
        <v>6</v>
      </c>
      <c r="N11" s="4">
        <f>BBDD_Usiarios_Netflix[[#This Row],[Ingresos Mensuales]]*BBDD_Usiarios_Netflix[[#This Row],[Meses contratados]]</f>
        <v>90</v>
      </c>
      <c r="O11" t="s">
        <v>40</v>
      </c>
      <c r="P11" t="str">
        <f>IF(BBDD_Usiarios_Netflix[[#This Row],[País]]="","Desconocido",BBDD_Usiarios_Netflix[[#This Row],[País]])</f>
        <v>Italia</v>
      </c>
      <c r="Q11">
        <v>44</v>
      </c>
      <c r="R11" t="s">
        <v>30</v>
      </c>
      <c r="S11" t="s">
        <v>34</v>
      </c>
      <c r="T11" t="s">
        <v>41</v>
      </c>
      <c r="U11">
        <f>IF(IFERROR(VLOOKUP(BBDD_Usiarios_Netflix[[#This Row],[Identificador Usuario]],A12:$A$5870,1,FALSE),0)&lt;&gt;0,1,0)</f>
        <v>0</v>
      </c>
      <c r="V11" s="6" t="str">
        <f>IF(BBDD_Usiarios_Netflix[[#This Row],[Duración Plan]]="12 Meses",LEFT(BBDD_Usiarios_Netflix[[#This Row],[Duración Plan]],2),LEFT(BBDD_Usiarios_Netflix[[#This Row],[Duración Plan]],1))</f>
        <v>12</v>
      </c>
      <c r="W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" spans="1:23" x14ac:dyDescent="0.25">
      <c r="A12">
        <v>11</v>
      </c>
      <c r="B12" t="s">
        <v>23</v>
      </c>
      <c r="C12">
        <v>11</v>
      </c>
      <c r="D12" s="3">
        <v>16</v>
      </c>
      <c r="E12" s="3">
        <v>5</v>
      </c>
      <c r="F12">
        <v>23</v>
      </c>
      <c r="G12" s="1">
        <f>DATEVALUE(_xlfn.CONCAT(BBDD_Usiarios_Netflix[[#This Row],[Día Suscripción]],"/",BBDD_Usiarios_Netflix[[#This Row],[Mes Suscripción]],"/",BBDD_Usiarios_Netflix[[#This Row],[Año Suscripción]]))</f>
        <v>45062</v>
      </c>
      <c r="H12" s="1">
        <v>22</v>
      </c>
      <c r="I12" s="1">
        <v>6</v>
      </c>
      <c r="J12" s="1">
        <v>24</v>
      </c>
      <c r="K12" s="1" t="str">
        <f>TEXT(BBDD_Usiarios_Netflix[[#This Row],[Fecha Suscripción]],"dddd")</f>
        <v>martes</v>
      </c>
      <c r="L12" s="1">
        <f>DATEVALUE(_xlfn.CONCAT(BBDD_Usiarios_Netflix[[#This Row],[Día Último Pago]],"/",BBDD_Usiarios_Netflix[[#This Row],[Mes Último Pago]],"/",BBDD_Usiarios_Netflix[[#This Row],[Año Último Pago]]))</f>
        <v>45465</v>
      </c>
      <c r="M12" s="4">
        <f>DATEDIF(BBDD_Usiarios_Netflix[[#This Row],[Fecha Suscripción]],BBDD_Usiarios_Netflix[[#This Row],[Fecha Último Pago]],"M")+1</f>
        <v>14</v>
      </c>
      <c r="N12" s="4">
        <f>BBDD_Usiarios_Netflix[[#This Row],[Ingresos Mensuales]]*BBDD_Usiarios_Netflix[[#This Row],[Meses contratados]]</f>
        <v>154</v>
      </c>
      <c r="O12" t="s">
        <v>42</v>
      </c>
      <c r="P12" t="str">
        <f>IF(BBDD_Usiarios_Netflix[[#This Row],[País]]="","Desconocido",BBDD_Usiarios_Netflix[[#This Row],[País]])</f>
        <v>Reino Unido</v>
      </c>
      <c r="Q12">
        <v>31</v>
      </c>
      <c r="R12" t="s">
        <v>30</v>
      </c>
      <c r="S12" t="s">
        <v>26</v>
      </c>
      <c r="T12" t="s">
        <v>38</v>
      </c>
      <c r="U12">
        <f>IF(IFERROR(VLOOKUP(BBDD_Usiarios_Netflix[[#This Row],[Identificador Usuario]],A13:$A$5870,1,FALSE),0)&lt;&gt;0,1,0)</f>
        <v>0</v>
      </c>
      <c r="V12" s="6" t="str">
        <f>IF(BBDD_Usiarios_Netflix[[#This Row],[Duración Plan]]="12 Meses",LEFT(BBDD_Usiarios_Netflix[[#This Row],[Duración Plan]],2),LEFT(BBDD_Usiarios_Netflix[[#This Row],[Duración Plan]],1))</f>
        <v>3</v>
      </c>
      <c r="W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" spans="1:23" x14ac:dyDescent="0.25">
      <c r="A13">
        <v>12</v>
      </c>
      <c r="B13" t="s">
        <v>28</v>
      </c>
      <c r="C13">
        <v>15</v>
      </c>
      <c r="D13" s="3">
        <v>23</v>
      </c>
      <c r="E13" s="3">
        <v>3</v>
      </c>
      <c r="F13">
        <v>24</v>
      </c>
      <c r="G13" s="1">
        <f>DATEVALUE(_xlfn.CONCAT(BBDD_Usiarios_Netflix[[#This Row],[Día Suscripción]],"/",BBDD_Usiarios_Netflix[[#This Row],[Mes Suscripción]],"/",BBDD_Usiarios_Netflix[[#This Row],[Año Suscripción]]))</f>
        <v>45374</v>
      </c>
      <c r="H13" s="1">
        <v>28</v>
      </c>
      <c r="I13" s="1">
        <v>6</v>
      </c>
      <c r="J13" s="1">
        <v>24</v>
      </c>
      <c r="K13" s="1" t="str">
        <f>TEXT(BBDD_Usiarios_Netflix[[#This Row],[Fecha Suscripción]],"dddd")</f>
        <v>sábado</v>
      </c>
      <c r="L13" s="1">
        <f>DATEVALUE(_xlfn.CONCAT(BBDD_Usiarios_Netflix[[#This Row],[Día Último Pago]],"/",BBDD_Usiarios_Netflix[[#This Row],[Mes Último Pago]],"/",BBDD_Usiarios_Netflix[[#This Row],[Año Último Pago]]))</f>
        <v>45471</v>
      </c>
      <c r="M13" s="4">
        <f>DATEDIF(BBDD_Usiarios_Netflix[[#This Row],[Fecha Suscripción]],BBDD_Usiarios_Netflix[[#This Row],[Fecha Último Pago]],"M")+1</f>
        <v>4</v>
      </c>
      <c r="N13" s="4">
        <f>BBDD_Usiarios_Netflix[[#This Row],[Ingresos Mensuales]]*BBDD_Usiarios_Netflix[[#This Row],[Meses contratados]]</f>
        <v>60</v>
      </c>
      <c r="O13" t="s">
        <v>24</v>
      </c>
      <c r="P13" t="str">
        <f>IF(BBDD_Usiarios_Netflix[[#This Row],[País]]="","Desconocido",BBDD_Usiarios_Netflix[[#This Row],[País]])</f>
        <v>Australia</v>
      </c>
      <c r="Q13">
        <v>45</v>
      </c>
      <c r="R13" t="s">
        <v>25</v>
      </c>
      <c r="S13" t="s">
        <v>31</v>
      </c>
      <c r="T13" t="s">
        <v>41</v>
      </c>
      <c r="U13">
        <f>IF(IFERROR(VLOOKUP(BBDD_Usiarios_Netflix[[#This Row],[Identificador Usuario]],A14:$A$5870,1,FALSE),0)&lt;&gt;0,1,0)</f>
        <v>0</v>
      </c>
      <c r="V13" s="6" t="str">
        <f>IF(BBDD_Usiarios_Netflix[[#This Row],[Duración Plan]]="12 Meses",LEFT(BBDD_Usiarios_Netflix[[#This Row],[Duración Plan]],2),LEFT(BBDD_Usiarios_Netflix[[#This Row],[Duración Plan]],1))</f>
        <v>12</v>
      </c>
      <c r="W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" spans="1:23" x14ac:dyDescent="0.25">
      <c r="A14">
        <v>13</v>
      </c>
      <c r="B14" t="s">
        <v>32</v>
      </c>
      <c r="C14">
        <v>13</v>
      </c>
      <c r="D14" s="3">
        <v>30</v>
      </c>
      <c r="E14" s="3">
        <v>11</v>
      </c>
      <c r="F14">
        <v>22</v>
      </c>
      <c r="G14" s="1">
        <f>DATEVALUE(_xlfn.CONCAT(BBDD_Usiarios_Netflix[[#This Row],[Día Suscripción]],"/",BBDD_Usiarios_Netflix[[#This Row],[Mes Suscripción]],"/",BBDD_Usiarios_Netflix[[#This Row],[Año Suscripción]]))</f>
        <v>44895</v>
      </c>
      <c r="H14" s="1">
        <v>27</v>
      </c>
      <c r="I14" s="1">
        <v>6</v>
      </c>
      <c r="J14" s="1">
        <v>24</v>
      </c>
      <c r="K14" s="1" t="str">
        <f>TEXT(BBDD_Usiarios_Netflix[[#This Row],[Fecha Suscripción]],"dddd")</f>
        <v>miércoles</v>
      </c>
      <c r="L14" s="1">
        <f>DATEVALUE(_xlfn.CONCAT(BBDD_Usiarios_Netflix[[#This Row],[Día Último Pago]],"/",BBDD_Usiarios_Netflix[[#This Row],[Mes Último Pago]],"/",BBDD_Usiarios_Netflix[[#This Row],[Año Último Pago]]))</f>
        <v>45470</v>
      </c>
      <c r="M14" s="4">
        <f>DATEDIF(BBDD_Usiarios_Netflix[[#This Row],[Fecha Suscripción]],BBDD_Usiarios_Netflix[[#This Row],[Fecha Último Pago]],"M")+1</f>
        <v>19</v>
      </c>
      <c r="N14" s="4">
        <f>BBDD_Usiarios_Netflix[[#This Row],[Ingresos Mensuales]]*BBDD_Usiarios_Netflix[[#This Row],[Meses contratados]]</f>
        <v>247</v>
      </c>
      <c r="O14" t="s">
        <v>43</v>
      </c>
      <c r="P14" t="str">
        <f>IF(BBDD_Usiarios_Netflix[[#This Row],[País]]="","Desconocido",BBDD_Usiarios_Netflix[[#This Row],[País]])</f>
        <v>Alemania</v>
      </c>
      <c r="Q14">
        <v>48</v>
      </c>
      <c r="R14" t="s">
        <v>30</v>
      </c>
      <c r="S14" t="s">
        <v>36</v>
      </c>
      <c r="T14" t="s">
        <v>38</v>
      </c>
      <c r="U14">
        <f>IF(IFERROR(VLOOKUP(BBDD_Usiarios_Netflix[[#This Row],[Identificador Usuario]],A15:$A$5870,1,FALSE),0)&lt;&gt;0,1,0)</f>
        <v>0</v>
      </c>
      <c r="V14" s="6" t="str">
        <f>IF(BBDD_Usiarios_Netflix[[#This Row],[Duración Plan]]="12 Meses",LEFT(BBDD_Usiarios_Netflix[[#This Row],[Duración Plan]],2),LEFT(BBDD_Usiarios_Netflix[[#This Row],[Duración Plan]],1))</f>
        <v>3</v>
      </c>
      <c r="W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" spans="1:23" x14ac:dyDescent="0.25">
      <c r="A15">
        <v>14</v>
      </c>
      <c r="B15" t="s">
        <v>23</v>
      </c>
      <c r="C15">
        <v>10</v>
      </c>
      <c r="D15" s="3">
        <v>1</v>
      </c>
      <c r="E15" s="3">
        <v>8</v>
      </c>
      <c r="F15">
        <v>23</v>
      </c>
      <c r="G15" s="1">
        <f>DATEVALUE(_xlfn.CONCAT(BBDD_Usiarios_Netflix[[#This Row],[Día Suscripción]],"/",BBDD_Usiarios_Netflix[[#This Row],[Mes Suscripción]],"/",BBDD_Usiarios_Netflix[[#This Row],[Año Suscripción]]))</f>
        <v>45139</v>
      </c>
      <c r="H15" s="1">
        <v>26</v>
      </c>
      <c r="I15" s="1">
        <v>6</v>
      </c>
      <c r="J15" s="1">
        <v>24</v>
      </c>
      <c r="K15" s="1" t="str">
        <f>TEXT(BBDD_Usiarios_Netflix[[#This Row],[Fecha Suscripción]],"dddd")</f>
        <v>martes</v>
      </c>
      <c r="L15" s="1">
        <f>DATEVALUE(_xlfn.CONCAT(BBDD_Usiarios_Netflix[[#This Row],[Día Último Pago]],"/",BBDD_Usiarios_Netflix[[#This Row],[Mes Último Pago]],"/",BBDD_Usiarios_Netflix[[#This Row],[Año Último Pago]]))</f>
        <v>45469</v>
      </c>
      <c r="M15" s="4">
        <f>DATEDIF(BBDD_Usiarios_Netflix[[#This Row],[Fecha Suscripción]],BBDD_Usiarios_Netflix[[#This Row],[Fecha Último Pago]],"M")+1</f>
        <v>11</v>
      </c>
      <c r="N15" s="4">
        <f>BBDD_Usiarios_Netflix[[#This Row],[Ingresos Mensuales]]*BBDD_Usiarios_Netflix[[#This Row],[Meses contratados]]</f>
        <v>110</v>
      </c>
      <c r="O15" t="s">
        <v>24</v>
      </c>
      <c r="P15" t="str">
        <f>IF(BBDD_Usiarios_Netflix[[#This Row],[País]]="","Desconocido",BBDD_Usiarios_Netflix[[#This Row],[País]])</f>
        <v>Australia</v>
      </c>
      <c r="Q15">
        <v>27</v>
      </c>
      <c r="R15" t="s">
        <v>25</v>
      </c>
      <c r="S15" t="s">
        <v>26</v>
      </c>
      <c r="T15" t="s">
        <v>38</v>
      </c>
      <c r="U15">
        <f>IF(IFERROR(VLOOKUP(BBDD_Usiarios_Netflix[[#This Row],[Identificador Usuario]],A16:$A$5870,1,FALSE),0)&lt;&gt;0,1,0)</f>
        <v>0</v>
      </c>
      <c r="V15" s="6" t="str">
        <f>IF(BBDD_Usiarios_Netflix[[#This Row],[Duración Plan]]="12 Meses",LEFT(BBDD_Usiarios_Netflix[[#This Row],[Duración Plan]],2),LEFT(BBDD_Usiarios_Netflix[[#This Row],[Duración Plan]],1))</f>
        <v>3</v>
      </c>
      <c r="W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" spans="1:23" x14ac:dyDescent="0.25">
      <c r="A16">
        <v>15</v>
      </c>
      <c r="B16" t="s">
        <v>32</v>
      </c>
      <c r="C16">
        <v>13</v>
      </c>
      <c r="D16" s="3">
        <v>9</v>
      </c>
      <c r="E16" s="3">
        <v>5</v>
      </c>
      <c r="F16">
        <v>24</v>
      </c>
      <c r="G16" s="1">
        <f>DATEVALUE(_xlfn.CONCAT(BBDD_Usiarios_Netflix[[#This Row],[Día Suscripción]],"/",BBDD_Usiarios_Netflix[[#This Row],[Mes Suscripción]],"/",BBDD_Usiarios_Netflix[[#This Row],[Año Suscripción]]))</f>
        <v>45421</v>
      </c>
      <c r="H16" s="1">
        <v>28</v>
      </c>
      <c r="I16" s="1">
        <v>6</v>
      </c>
      <c r="J16" s="1">
        <v>24</v>
      </c>
      <c r="K16" s="1" t="str">
        <f>TEXT(BBDD_Usiarios_Netflix[[#This Row],[Fecha Suscripción]],"dddd")</f>
        <v>jueves</v>
      </c>
      <c r="L16" s="1">
        <f>DATEVALUE(_xlfn.CONCAT(BBDD_Usiarios_Netflix[[#This Row],[Día Último Pago]],"/",BBDD_Usiarios_Netflix[[#This Row],[Mes Último Pago]],"/",BBDD_Usiarios_Netflix[[#This Row],[Año Último Pago]]))</f>
        <v>45471</v>
      </c>
      <c r="M16" s="4">
        <f>DATEDIF(BBDD_Usiarios_Netflix[[#This Row],[Fecha Suscripción]],BBDD_Usiarios_Netflix[[#This Row],[Fecha Último Pago]],"M")+1</f>
        <v>2</v>
      </c>
      <c r="N16" s="4">
        <f>BBDD_Usiarios_Netflix[[#This Row],[Ingresos Mensuales]]*BBDD_Usiarios_Netflix[[#This Row],[Meses contratados]]</f>
        <v>26</v>
      </c>
      <c r="O16" t="s">
        <v>29</v>
      </c>
      <c r="P16" t="str">
        <f>IF(BBDD_Usiarios_Netflix[[#This Row],[País]]="","Desconocido",BBDD_Usiarios_Netflix[[#This Row],[País]])</f>
        <v>EEUU</v>
      </c>
      <c r="Q16">
        <v>38</v>
      </c>
      <c r="R16" t="s">
        <v>30</v>
      </c>
      <c r="S16" t="s">
        <v>34</v>
      </c>
      <c r="T16" t="s">
        <v>41</v>
      </c>
      <c r="U16">
        <f>IF(IFERROR(VLOOKUP(BBDD_Usiarios_Netflix[[#This Row],[Identificador Usuario]],A17:$A$5870,1,FALSE),0)&lt;&gt;0,1,0)</f>
        <v>0</v>
      </c>
      <c r="V16" s="6" t="str">
        <f>IF(BBDD_Usiarios_Netflix[[#This Row],[Duración Plan]]="12 Meses",LEFT(BBDD_Usiarios_Netflix[[#This Row],[Duración Plan]],2),LEFT(BBDD_Usiarios_Netflix[[#This Row],[Duración Plan]],1))</f>
        <v>12</v>
      </c>
      <c r="W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" spans="1:23" x14ac:dyDescent="0.25">
      <c r="A17">
        <v>16</v>
      </c>
      <c r="B17" t="s">
        <v>28</v>
      </c>
      <c r="C17">
        <v>15</v>
      </c>
      <c r="D17" s="3">
        <v>7</v>
      </c>
      <c r="E17" s="3">
        <v>4</v>
      </c>
      <c r="F17">
        <v>23</v>
      </c>
      <c r="G17" s="1">
        <f>DATEVALUE(_xlfn.CONCAT(BBDD_Usiarios_Netflix[[#This Row],[Día Suscripción]],"/",BBDD_Usiarios_Netflix[[#This Row],[Mes Suscripción]],"/",BBDD_Usiarios_Netflix[[#This Row],[Año Suscripción]]))</f>
        <v>45023</v>
      </c>
      <c r="H17" s="1">
        <v>27</v>
      </c>
      <c r="I17" s="1">
        <v>6</v>
      </c>
      <c r="J17" s="1">
        <v>24</v>
      </c>
      <c r="K17" s="1" t="str">
        <f>TEXT(BBDD_Usiarios_Netflix[[#This Row],[Fecha Suscripción]],"dddd")</f>
        <v>viernes</v>
      </c>
      <c r="L17" s="1">
        <f>DATEVALUE(_xlfn.CONCAT(BBDD_Usiarios_Netflix[[#This Row],[Día Último Pago]],"/",BBDD_Usiarios_Netflix[[#This Row],[Mes Último Pago]],"/",BBDD_Usiarios_Netflix[[#This Row],[Año Último Pago]]))</f>
        <v>45470</v>
      </c>
      <c r="M17" s="4">
        <f>DATEDIF(BBDD_Usiarios_Netflix[[#This Row],[Fecha Suscripción]],BBDD_Usiarios_Netflix[[#This Row],[Fecha Último Pago]],"M")+1</f>
        <v>15</v>
      </c>
      <c r="N17" s="4">
        <f>BBDD_Usiarios_Netflix[[#This Row],[Ingresos Mensuales]]*BBDD_Usiarios_Netflix[[#This Row],[Meses contratados]]</f>
        <v>225</v>
      </c>
      <c r="O17" t="s">
        <v>24</v>
      </c>
      <c r="P17" t="str">
        <f>IF(BBDD_Usiarios_Netflix[[#This Row],[País]]="","Desconocido",BBDD_Usiarios_Netflix[[#This Row],[País]])</f>
        <v>Australia</v>
      </c>
      <c r="Q17">
        <v>36</v>
      </c>
      <c r="R17" t="s">
        <v>25</v>
      </c>
      <c r="S17" t="s">
        <v>31</v>
      </c>
      <c r="T17" t="s">
        <v>27</v>
      </c>
      <c r="U17">
        <f>IF(IFERROR(VLOOKUP(BBDD_Usiarios_Netflix[[#This Row],[Identificador Usuario]],A18:$A$5870,1,FALSE),0)&lt;&gt;0,1,0)</f>
        <v>0</v>
      </c>
      <c r="V17" s="6" t="str">
        <f>IF(BBDD_Usiarios_Netflix[[#This Row],[Duración Plan]]="12 Meses",LEFT(BBDD_Usiarios_Netflix[[#This Row],[Duración Plan]],2),LEFT(BBDD_Usiarios_Netflix[[#This Row],[Duración Plan]],1))</f>
        <v>1</v>
      </c>
      <c r="W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" spans="1:23" x14ac:dyDescent="0.25">
      <c r="A18">
        <v>17</v>
      </c>
      <c r="B18" t="s">
        <v>23</v>
      </c>
      <c r="C18">
        <v>11</v>
      </c>
      <c r="D18" s="3">
        <v>24</v>
      </c>
      <c r="E18" s="3">
        <v>1</v>
      </c>
      <c r="F18">
        <v>23</v>
      </c>
      <c r="G18" s="1">
        <f>DATEVALUE(_xlfn.CONCAT(BBDD_Usiarios_Netflix[[#This Row],[Día Suscripción]],"/",BBDD_Usiarios_Netflix[[#This Row],[Mes Suscripción]],"/",BBDD_Usiarios_Netflix[[#This Row],[Año Suscripción]]))</f>
        <v>44950</v>
      </c>
      <c r="H18" s="1">
        <v>25</v>
      </c>
      <c r="I18" s="1">
        <v>6</v>
      </c>
      <c r="J18" s="1">
        <v>24</v>
      </c>
      <c r="K18" s="1" t="str">
        <f>TEXT(BBDD_Usiarios_Netflix[[#This Row],[Fecha Suscripción]],"dddd")</f>
        <v>martes</v>
      </c>
      <c r="L18" s="1">
        <f>DATEVALUE(_xlfn.CONCAT(BBDD_Usiarios_Netflix[[#This Row],[Día Último Pago]],"/",BBDD_Usiarios_Netflix[[#This Row],[Mes Último Pago]],"/",BBDD_Usiarios_Netflix[[#This Row],[Año Último Pago]]))</f>
        <v>45468</v>
      </c>
      <c r="M18" s="4">
        <f>DATEDIF(BBDD_Usiarios_Netflix[[#This Row],[Fecha Suscripción]],BBDD_Usiarios_Netflix[[#This Row],[Fecha Último Pago]],"M")+1</f>
        <v>18</v>
      </c>
      <c r="N18" s="4">
        <f>BBDD_Usiarios_Netflix[[#This Row],[Ingresos Mensuales]]*BBDD_Usiarios_Netflix[[#This Row],[Meses contratados]]</f>
        <v>198</v>
      </c>
      <c r="O18" t="s">
        <v>44</v>
      </c>
      <c r="P18" t="str">
        <f>IF(BBDD_Usiarios_Netflix[[#This Row],[País]]="","Desconocido",BBDD_Usiarios_Netflix[[#This Row],[País]])</f>
        <v>Desconocido</v>
      </c>
      <c r="Q18">
        <v>30</v>
      </c>
      <c r="R18" t="s">
        <v>30</v>
      </c>
      <c r="S18" t="s">
        <v>36</v>
      </c>
      <c r="T18" t="s">
        <v>41</v>
      </c>
      <c r="U18">
        <f>IF(IFERROR(VLOOKUP(BBDD_Usiarios_Netflix[[#This Row],[Identificador Usuario]],A19:$A$5870,1,FALSE),0)&lt;&gt;0,1,0)</f>
        <v>0</v>
      </c>
      <c r="V18" s="6" t="str">
        <f>IF(BBDD_Usiarios_Netflix[[#This Row],[Duración Plan]]="12 Meses",LEFT(BBDD_Usiarios_Netflix[[#This Row],[Duración Plan]],2),LEFT(BBDD_Usiarios_Netflix[[#This Row],[Duración Plan]],1))</f>
        <v>12</v>
      </c>
      <c r="W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" spans="1:23" x14ac:dyDescent="0.25">
      <c r="A19">
        <v>18</v>
      </c>
      <c r="B19" t="s">
        <v>32</v>
      </c>
      <c r="C19">
        <v>13</v>
      </c>
      <c r="D19" s="3">
        <v>18</v>
      </c>
      <c r="E19" s="3">
        <v>10</v>
      </c>
      <c r="F19">
        <v>22</v>
      </c>
      <c r="G19" s="1">
        <f>DATEVALUE(_xlfn.CONCAT(BBDD_Usiarios_Netflix[[#This Row],[Día Suscripción]],"/",BBDD_Usiarios_Netflix[[#This Row],[Mes Suscripción]],"/",BBDD_Usiarios_Netflix[[#This Row],[Año Suscripción]]))</f>
        <v>44852</v>
      </c>
      <c r="H19" s="1">
        <v>24</v>
      </c>
      <c r="I19" s="1">
        <v>6</v>
      </c>
      <c r="J19" s="1">
        <v>24</v>
      </c>
      <c r="K19" s="1" t="str">
        <f>TEXT(BBDD_Usiarios_Netflix[[#This Row],[Fecha Suscripción]],"dddd")</f>
        <v>martes</v>
      </c>
      <c r="L19" s="1">
        <f>DATEVALUE(_xlfn.CONCAT(BBDD_Usiarios_Netflix[[#This Row],[Día Último Pago]],"/",BBDD_Usiarios_Netflix[[#This Row],[Mes Último Pago]],"/",BBDD_Usiarios_Netflix[[#This Row],[Año Último Pago]]))</f>
        <v>45467</v>
      </c>
      <c r="M19" s="4">
        <f>DATEDIF(BBDD_Usiarios_Netflix[[#This Row],[Fecha Suscripción]],BBDD_Usiarios_Netflix[[#This Row],[Fecha Último Pago]],"M")+1</f>
        <v>21</v>
      </c>
      <c r="N19" s="4">
        <f>BBDD_Usiarios_Netflix[[#This Row],[Ingresos Mensuales]]*BBDD_Usiarios_Netflix[[#This Row],[Meses contratados]]</f>
        <v>273</v>
      </c>
      <c r="O19" t="s">
        <v>44</v>
      </c>
      <c r="P19" t="str">
        <f>IF(BBDD_Usiarios_Netflix[[#This Row],[País]]="","Desconocido",BBDD_Usiarios_Netflix[[#This Row],[País]])</f>
        <v>Desconocido</v>
      </c>
      <c r="Q19">
        <v>43</v>
      </c>
      <c r="R19" t="s">
        <v>25</v>
      </c>
      <c r="S19" t="s">
        <v>26</v>
      </c>
      <c r="T19" t="s">
        <v>35</v>
      </c>
      <c r="U19">
        <f>IF(IFERROR(VLOOKUP(BBDD_Usiarios_Netflix[[#This Row],[Identificador Usuario]],A20:$A$5870,1,FALSE),0)&lt;&gt;0,1,0)</f>
        <v>0</v>
      </c>
      <c r="V19" s="6" t="str">
        <f>IF(BBDD_Usiarios_Netflix[[#This Row],[Duración Plan]]="12 Meses",LEFT(BBDD_Usiarios_Netflix[[#This Row],[Duración Plan]],2),LEFT(BBDD_Usiarios_Netflix[[#This Row],[Duración Plan]],1))</f>
        <v>6</v>
      </c>
      <c r="W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" spans="1:23" x14ac:dyDescent="0.25">
      <c r="A20">
        <v>19</v>
      </c>
      <c r="B20" t="s">
        <v>28</v>
      </c>
      <c r="C20">
        <v>15</v>
      </c>
      <c r="D20" s="3">
        <v>15</v>
      </c>
      <c r="E20" s="3">
        <v>2</v>
      </c>
      <c r="F20">
        <v>24</v>
      </c>
      <c r="G20" s="1">
        <f>DATEVALUE(_xlfn.CONCAT(BBDD_Usiarios_Netflix[[#This Row],[Día Suscripción]],"/",BBDD_Usiarios_Netflix[[#This Row],[Mes Suscripción]],"/",BBDD_Usiarios_Netflix[[#This Row],[Año Suscripción]]))</f>
        <v>45337</v>
      </c>
      <c r="H20" s="1">
        <v>23</v>
      </c>
      <c r="I20" s="1">
        <v>6</v>
      </c>
      <c r="J20" s="1">
        <v>24</v>
      </c>
      <c r="K20" s="1" t="str">
        <f>TEXT(BBDD_Usiarios_Netflix[[#This Row],[Fecha Suscripción]],"dddd")</f>
        <v>jueves</v>
      </c>
      <c r="L20" s="1">
        <f>DATEVALUE(_xlfn.CONCAT(BBDD_Usiarios_Netflix[[#This Row],[Día Último Pago]],"/",BBDD_Usiarios_Netflix[[#This Row],[Mes Último Pago]],"/",BBDD_Usiarios_Netflix[[#This Row],[Año Último Pago]]))</f>
        <v>45466</v>
      </c>
      <c r="M20" s="4">
        <f>DATEDIF(BBDD_Usiarios_Netflix[[#This Row],[Fecha Suscripción]],BBDD_Usiarios_Netflix[[#This Row],[Fecha Último Pago]],"M")+1</f>
        <v>5</v>
      </c>
      <c r="N20" s="4">
        <f>BBDD_Usiarios_Netflix[[#This Row],[Ingresos Mensuales]]*BBDD_Usiarios_Netflix[[#This Row],[Meses contratados]]</f>
        <v>75</v>
      </c>
      <c r="O20" t="s">
        <v>44</v>
      </c>
      <c r="P20" t="str">
        <f>IF(BBDD_Usiarios_Netflix[[#This Row],[País]]="","Desconocido",BBDD_Usiarios_Netflix[[#This Row],[País]])</f>
        <v>Desconocido</v>
      </c>
      <c r="Q20">
        <v>32</v>
      </c>
      <c r="R20" t="s">
        <v>30</v>
      </c>
      <c r="S20" t="s">
        <v>34</v>
      </c>
      <c r="T20" t="s">
        <v>27</v>
      </c>
      <c r="U20">
        <f>IF(IFERROR(VLOOKUP(BBDD_Usiarios_Netflix[[#This Row],[Identificador Usuario]],A21:$A$5870,1,FALSE),0)&lt;&gt;0,1,0)</f>
        <v>0</v>
      </c>
      <c r="V20" s="6" t="str">
        <f>IF(BBDD_Usiarios_Netflix[[#This Row],[Duración Plan]]="12 Meses",LEFT(BBDD_Usiarios_Netflix[[#This Row],[Duración Plan]],2),LEFT(BBDD_Usiarios_Netflix[[#This Row],[Duración Plan]],1))</f>
        <v>1</v>
      </c>
      <c r="W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" spans="1:23" x14ac:dyDescent="0.25">
      <c r="A21">
        <v>20</v>
      </c>
      <c r="B21" t="s">
        <v>23</v>
      </c>
      <c r="C21">
        <v>11</v>
      </c>
      <c r="D21" s="3">
        <v>27</v>
      </c>
      <c r="E21" s="3">
        <v>5</v>
      </c>
      <c r="F21">
        <v>24</v>
      </c>
      <c r="G21" s="1">
        <f>DATEVALUE(_xlfn.CONCAT(BBDD_Usiarios_Netflix[[#This Row],[Día Suscripción]],"/",BBDD_Usiarios_Netflix[[#This Row],[Mes Suscripción]],"/",BBDD_Usiarios_Netflix[[#This Row],[Año Suscripción]]))</f>
        <v>45439</v>
      </c>
      <c r="H21" s="1">
        <v>22</v>
      </c>
      <c r="I21" s="1">
        <v>6</v>
      </c>
      <c r="J21" s="1">
        <v>24</v>
      </c>
      <c r="K21" s="1" t="str">
        <f>TEXT(BBDD_Usiarios_Netflix[[#This Row],[Fecha Suscripción]],"dddd")</f>
        <v>lunes</v>
      </c>
      <c r="L21" s="1">
        <f>DATEVALUE(_xlfn.CONCAT(BBDD_Usiarios_Netflix[[#This Row],[Día Último Pago]],"/",BBDD_Usiarios_Netflix[[#This Row],[Mes Último Pago]],"/",BBDD_Usiarios_Netflix[[#This Row],[Año Último Pago]]))</f>
        <v>45465</v>
      </c>
      <c r="M21" s="4">
        <f>DATEDIF(BBDD_Usiarios_Netflix[[#This Row],[Fecha Suscripción]],BBDD_Usiarios_Netflix[[#This Row],[Fecha Último Pago]],"M")+1</f>
        <v>1</v>
      </c>
      <c r="N21" s="4">
        <f>BBDD_Usiarios_Netflix[[#This Row],[Ingresos Mensuales]]*BBDD_Usiarios_Netflix[[#This Row],[Meses contratados]]</f>
        <v>11</v>
      </c>
      <c r="O21" t="s">
        <v>40</v>
      </c>
      <c r="P21" t="str">
        <f>IF(BBDD_Usiarios_Netflix[[#This Row],[País]]="","Desconocido",BBDD_Usiarios_Netflix[[#This Row],[País]])</f>
        <v>Italia</v>
      </c>
      <c r="Q21">
        <v>41</v>
      </c>
      <c r="R21" t="s">
        <v>25</v>
      </c>
      <c r="S21" t="s">
        <v>31</v>
      </c>
      <c r="T21" t="s">
        <v>27</v>
      </c>
      <c r="U21">
        <f>IF(IFERROR(VLOOKUP(BBDD_Usiarios_Netflix[[#This Row],[Identificador Usuario]],A22:$A$5870,1,FALSE),0)&lt;&gt;0,1,0)</f>
        <v>0</v>
      </c>
      <c r="V21" s="6" t="str">
        <f>IF(BBDD_Usiarios_Netflix[[#This Row],[Duración Plan]]="12 Meses",LEFT(BBDD_Usiarios_Netflix[[#This Row],[Duración Plan]],2),LEFT(BBDD_Usiarios_Netflix[[#This Row],[Duración Plan]],1))</f>
        <v>1</v>
      </c>
      <c r="W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" spans="1:23" x14ac:dyDescent="0.25">
      <c r="A22">
        <v>21</v>
      </c>
      <c r="B22" t="s">
        <v>28</v>
      </c>
      <c r="C22">
        <v>15</v>
      </c>
      <c r="D22" s="3">
        <v>10</v>
      </c>
      <c r="E22" s="3">
        <v>6</v>
      </c>
      <c r="F22">
        <v>24</v>
      </c>
      <c r="G22" s="1">
        <f>DATEVALUE(_xlfn.CONCAT(BBDD_Usiarios_Netflix[[#This Row],[Día Suscripción]],"/",BBDD_Usiarios_Netflix[[#This Row],[Mes Suscripción]],"/",BBDD_Usiarios_Netflix[[#This Row],[Año Suscripción]]))</f>
        <v>45453</v>
      </c>
      <c r="H22" s="1">
        <v>22</v>
      </c>
      <c r="I22" s="1">
        <v>6</v>
      </c>
      <c r="J22" s="1">
        <v>24</v>
      </c>
      <c r="K22" s="1" t="str">
        <f>TEXT(BBDD_Usiarios_Netflix[[#This Row],[Fecha Suscripción]],"dddd")</f>
        <v>lunes</v>
      </c>
      <c r="L22" s="1">
        <f>DATEVALUE(_xlfn.CONCAT(BBDD_Usiarios_Netflix[[#This Row],[Día Último Pago]],"/",BBDD_Usiarios_Netflix[[#This Row],[Mes Último Pago]],"/",BBDD_Usiarios_Netflix[[#This Row],[Año Último Pago]]))</f>
        <v>45465</v>
      </c>
      <c r="M22" s="4">
        <f>DATEDIF(BBDD_Usiarios_Netflix[[#This Row],[Fecha Suscripción]],BBDD_Usiarios_Netflix[[#This Row],[Fecha Último Pago]],"M")+1</f>
        <v>1</v>
      </c>
      <c r="N22" s="4">
        <f>BBDD_Usiarios_Netflix[[#This Row],[Ingresos Mensuales]]*BBDD_Usiarios_Netflix[[#This Row],[Meses contratados]]</f>
        <v>15</v>
      </c>
      <c r="O22" t="s">
        <v>29</v>
      </c>
      <c r="P22" t="str">
        <f>IF(BBDD_Usiarios_Netflix[[#This Row],[País]]="","Desconocido",BBDD_Usiarios_Netflix[[#This Row],[País]])</f>
        <v>EEUU</v>
      </c>
      <c r="Q22">
        <v>26</v>
      </c>
      <c r="R22" t="s">
        <v>30</v>
      </c>
      <c r="S22" t="s">
        <v>36</v>
      </c>
      <c r="T22" t="s">
        <v>41</v>
      </c>
      <c r="U22">
        <f>IF(IFERROR(VLOOKUP(BBDD_Usiarios_Netflix[[#This Row],[Identificador Usuario]],A23:$A$5870,1,FALSE),0)&lt;&gt;0,1,0)</f>
        <v>0</v>
      </c>
      <c r="V22" s="6" t="str">
        <f>IF(BBDD_Usiarios_Netflix[[#This Row],[Duración Plan]]="12 Meses",LEFT(BBDD_Usiarios_Netflix[[#This Row],[Duración Plan]],2),LEFT(BBDD_Usiarios_Netflix[[#This Row],[Duración Plan]],1))</f>
        <v>12</v>
      </c>
      <c r="W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" spans="1:23" x14ac:dyDescent="0.25">
      <c r="A23">
        <v>22</v>
      </c>
      <c r="B23" t="s">
        <v>23</v>
      </c>
      <c r="C23">
        <v>10</v>
      </c>
      <c r="D23" s="3">
        <v>22</v>
      </c>
      <c r="E23" s="3">
        <v>7</v>
      </c>
      <c r="F23">
        <v>23</v>
      </c>
      <c r="G23" s="1">
        <f>DATEVALUE(_xlfn.CONCAT(BBDD_Usiarios_Netflix[[#This Row],[Día Suscripción]],"/",BBDD_Usiarios_Netflix[[#This Row],[Mes Suscripción]],"/",BBDD_Usiarios_Netflix[[#This Row],[Año Suscripción]]))</f>
        <v>45129</v>
      </c>
      <c r="H23" s="1">
        <v>28</v>
      </c>
      <c r="I23" s="1">
        <v>6</v>
      </c>
      <c r="J23" s="1">
        <v>24</v>
      </c>
      <c r="K23" s="1" t="str">
        <f>TEXT(BBDD_Usiarios_Netflix[[#This Row],[Fecha Suscripción]],"dddd")</f>
        <v>sábado</v>
      </c>
      <c r="L23" s="1">
        <f>DATEVALUE(_xlfn.CONCAT(BBDD_Usiarios_Netflix[[#This Row],[Día Último Pago]],"/",BBDD_Usiarios_Netflix[[#This Row],[Mes Último Pago]],"/",BBDD_Usiarios_Netflix[[#This Row],[Año Último Pago]]))</f>
        <v>45471</v>
      </c>
      <c r="M23" s="4">
        <f>DATEDIF(BBDD_Usiarios_Netflix[[#This Row],[Fecha Suscripción]],BBDD_Usiarios_Netflix[[#This Row],[Fecha Último Pago]],"M")+1</f>
        <v>12</v>
      </c>
      <c r="N23" s="4">
        <f>BBDD_Usiarios_Netflix[[#This Row],[Ingresos Mensuales]]*BBDD_Usiarios_Netflix[[#This Row],[Meses contratados]]</f>
        <v>120</v>
      </c>
      <c r="O23" t="s">
        <v>39</v>
      </c>
      <c r="P23" t="str">
        <f>IF(BBDD_Usiarios_Netflix[[#This Row],[País]]="","Desconocido",BBDD_Usiarios_Netflix[[#This Row],[País]])</f>
        <v>Canadá</v>
      </c>
      <c r="Q23">
        <v>34</v>
      </c>
      <c r="R23" t="s">
        <v>25</v>
      </c>
      <c r="S23" t="s">
        <v>26</v>
      </c>
      <c r="T23" t="s">
        <v>27</v>
      </c>
      <c r="U23">
        <f>IF(IFERROR(VLOOKUP(BBDD_Usiarios_Netflix[[#This Row],[Identificador Usuario]],A24:$A$5870,1,FALSE),0)&lt;&gt;0,1,0)</f>
        <v>0</v>
      </c>
      <c r="V23" s="6" t="str">
        <f>IF(BBDD_Usiarios_Netflix[[#This Row],[Duración Plan]]="12 Meses",LEFT(BBDD_Usiarios_Netflix[[#This Row],[Duración Plan]],2),LEFT(BBDD_Usiarios_Netflix[[#This Row],[Duración Plan]],1))</f>
        <v>1</v>
      </c>
      <c r="W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" spans="1:23" x14ac:dyDescent="0.25">
      <c r="A24">
        <v>23</v>
      </c>
      <c r="B24" t="s">
        <v>32</v>
      </c>
      <c r="C24">
        <v>13</v>
      </c>
      <c r="D24" s="3">
        <v>5</v>
      </c>
      <c r="E24" s="3">
        <v>12</v>
      </c>
      <c r="F24">
        <v>22</v>
      </c>
      <c r="G24" s="1">
        <f>DATEVALUE(_xlfn.CONCAT(BBDD_Usiarios_Netflix[[#This Row],[Día Suscripción]],"/",BBDD_Usiarios_Netflix[[#This Row],[Mes Suscripción]],"/",BBDD_Usiarios_Netflix[[#This Row],[Año Suscripción]]))</f>
        <v>44900</v>
      </c>
      <c r="H24" s="1">
        <v>27</v>
      </c>
      <c r="I24" s="1">
        <v>6</v>
      </c>
      <c r="J24" s="1">
        <v>24</v>
      </c>
      <c r="K24" s="1" t="str">
        <f>TEXT(BBDD_Usiarios_Netflix[[#This Row],[Fecha Suscripción]],"dddd")</f>
        <v>lunes</v>
      </c>
      <c r="L24" s="1">
        <f>DATEVALUE(_xlfn.CONCAT(BBDD_Usiarios_Netflix[[#This Row],[Día Último Pago]],"/",BBDD_Usiarios_Netflix[[#This Row],[Mes Último Pago]],"/",BBDD_Usiarios_Netflix[[#This Row],[Año Último Pago]]))</f>
        <v>45470</v>
      </c>
      <c r="M24" s="4">
        <f>DATEDIF(BBDD_Usiarios_Netflix[[#This Row],[Fecha Suscripción]],BBDD_Usiarios_Netflix[[#This Row],[Fecha Último Pago]],"M")+1</f>
        <v>19</v>
      </c>
      <c r="N24" s="4">
        <f>BBDD_Usiarios_Netflix[[#This Row],[Ingresos Mensuales]]*BBDD_Usiarios_Netflix[[#This Row],[Meses contratados]]</f>
        <v>247</v>
      </c>
      <c r="O24" t="s">
        <v>39</v>
      </c>
      <c r="P24" t="str">
        <f>IF(BBDD_Usiarios_Netflix[[#This Row],[País]]="","Desconocido",BBDD_Usiarios_Netflix[[#This Row],[País]])</f>
        <v>Canadá</v>
      </c>
      <c r="Q24">
        <v>49</v>
      </c>
      <c r="R24" t="s">
        <v>30</v>
      </c>
      <c r="S24" t="s">
        <v>34</v>
      </c>
      <c r="T24" t="s">
        <v>41</v>
      </c>
      <c r="U24">
        <f>IF(IFERROR(VLOOKUP(BBDD_Usiarios_Netflix[[#This Row],[Identificador Usuario]],A25:$A$5870,1,FALSE),0)&lt;&gt;0,1,0)</f>
        <v>0</v>
      </c>
      <c r="V24" s="6" t="str">
        <f>IF(BBDD_Usiarios_Netflix[[#This Row],[Duración Plan]]="12 Meses",LEFT(BBDD_Usiarios_Netflix[[#This Row],[Duración Plan]],2),LEFT(BBDD_Usiarios_Netflix[[#This Row],[Duración Plan]],1))</f>
        <v>12</v>
      </c>
      <c r="W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5" spans="1:23" x14ac:dyDescent="0.25">
      <c r="A25">
        <v>24</v>
      </c>
      <c r="B25" t="s">
        <v>32</v>
      </c>
      <c r="C25">
        <v>13</v>
      </c>
      <c r="D25" s="3">
        <v>3</v>
      </c>
      <c r="E25" s="3">
        <v>4</v>
      </c>
      <c r="F25">
        <v>23</v>
      </c>
      <c r="G25" s="1">
        <f>DATEVALUE(_xlfn.CONCAT(BBDD_Usiarios_Netflix[[#This Row],[Día Suscripción]],"/",BBDD_Usiarios_Netflix[[#This Row],[Mes Suscripción]],"/",BBDD_Usiarios_Netflix[[#This Row],[Año Suscripción]]))</f>
        <v>45019</v>
      </c>
      <c r="H25" s="1">
        <v>26</v>
      </c>
      <c r="I25" s="1">
        <v>6</v>
      </c>
      <c r="J25" s="1">
        <v>24</v>
      </c>
      <c r="K25" s="1" t="str">
        <f>TEXT(BBDD_Usiarios_Netflix[[#This Row],[Fecha Suscripción]],"dddd")</f>
        <v>lunes</v>
      </c>
      <c r="L25" s="1">
        <f>DATEVALUE(_xlfn.CONCAT(BBDD_Usiarios_Netflix[[#This Row],[Día Último Pago]],"/",BBDD_Usiarios_Netflix[[#This Row],[Mes Último Pago]],"/",BBDD_Usiarios_Netflix[[#This Row],[Año Último Pago]]))</f>
        <v>45469</v>
      </c>
      <c r="M25" s="4">
        <f>DATEDIF(BBDD_Usiarios_Netflix[[#This Row],[Fecha Suscripción]],BBDD_Usiarios_Netflix[[#This Row],[Fecha Último Pago]],"M")+1</f>
        <v>15</v>
      </c>
      <c r="N25" s="4">
        <f>BBDD_Usiarios_Netflix[[#This Row],[Ingresos Mensuales]]*BBDD_Usiarios_Netflix[[#This Row],[Meses contratados]]</f>
        <v>195</v>
      </c>
      <c r="O25" t="s">
        <v>39</v>
      </c>
      <c r="P25" t="str">
        <f>IF(BBDD_Usiarios_Netflix[[#This Row],[País]]="","Desconocido",BBDD_Usiarios_Netflix[[#This Row],[País]])</f>
        <v>Canadá</v>
      </c>
      <c r="Q25">
        <v>31</v>
      </c>
      <c r="R25" t="s">
        <v>25</v>
      </c>
      <c r="S25" t="s">
        <v>31</v>
      </c>
      <c r="T25" t="s">
        <v>27</v>
      </c>
      <c r="U25">
        <f>IF(IFERROR(VLOOKUP(BBDD_Usiarios_Netflix[[#This Row],[Identificador Usuario]],A26:$A$5870,1,FALSE),0)&lt;&gt;0,1,0)</f>
        <v>0</v>
      </c>
      <c r="V25" s="6" t="str">
        <f>IF(BBDD_Usiarios_Netflix[[#This Row],[Duración Plan]]="12 Meses",LEFT(BBDD_Usiarios_Netflix[[#This Row],[Duración Plan]],2),LEFT(BBDD_Usiarios_Netflix[[#This Row],[Duración Plan]],1))</f>
        <v>1</v>
      </c>
      <c r="W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6" spans="1:23" x14ac:dyDescent="0.25">
      <c r="A26">
        <v>25</v>
      </c>
      <c r="B26" t="s">
        <v>23</v>
      </c>
      <c r="C26">
        <v>11</v>
      </c>
      <c r="D26" s="3">
        <v>14</v>
      </c>
      <c r="E26" s="3">
        <v>3</v>
      </c>
      <c r="F26">
        <v>24</v>
      </c>
      <c r="G26" s="1">
        <f>DATEVALUE(_xlfn.CONCAT(BBDD_Usiarios_Netflix[[#This Row],[Día Suscripción]],"/",BBDD_Usiarios_Netflix[[#This Row],[Mes Suscripción]],"/",BBDD_Usiarios_Netflix[[#This Row],[Año Suscripción]]))</f>
        <v>45365</v>
      </c>
      <c r="H26" s="1">
        <v>28</v>
      </c>
      <c r="I26" s="1">
        <v>6</v>
      </c>
      <c r="J26" s="1">
        <v>24</v>
      </c>
      <c r="K26" s="1" t="str">
        <f>TEXT(BBDD_Usiarios_Netflix[[#This Row],[Fecha Suscripción]],"dddd")</f>
        <v>jueves</v>
      </c>
      <c r="L26" s="1">
        <f>DATEVALUE(_xlfn.CONCAT(BBDD_Usiarios_Netflix[[#This Row],[Día Último Pago]],"/",BBDD_Usiarios_Netflix[[#This Row],[Mes Último Pago]],"/",BBDD_Usiarios_Netflix[[#This Row],[Año Último Pago]]))</f>
        <v>45471</v>
      </c>
      <c r="M26" s="4">
        <f>DATEDIF(BBDD_Usiarios_Netflix[[#This Row],[Fecha Suscripción]],BBDD_Usiarios_Netflix[[#This Row],[Fecha Último Pago]],"M")+1</f>
        <v>4</v>
      </c>
      <c r="N26" s="4">
        <f>BBDD_Usiarios_Netflix[[#This Row],[Ingresos Mensuales]]*BBDD_Usiarios_Netflix[[#This Row],[Meses contratados]]</f>
        <v>44</v>
      </c>
      <c r="O26" t="s">
        <v>45</v>
      </c>
      <c r="P26" t="str">
        <f>IF(BBDD_Usiarios_Netflix[[#This Row],[País]]="","Desconocido",BBDD_Usiarios_Netflix[[#This Row],[País]])</f>
        <v>España</v>
      </c>
      <c r="Q26">
        <v>40</v>
      </c>
      <c r="R26" t="s">
        <v>30</v>
      </c>
      <c r="S26" t="s">
        <v>36</v>
      </c>
      <c r="T26" t="s">
        <v>27</v>
      </c>
      <c r="U26">
        <f>IF(IFERROR(VLOOKUP(BBDD_Usiarios_Netflix[[#This Row],[Identificador Usuario]],A27:$A$5870,1,FALSE),0)&lt;&gt;0,1,0)</f>
        <v>0</v>
      </c>
      <c r="V26" s="6" t="str">
        <f>IF(BBDD_Usiarios_Netflix[[#This Row],[Duración Plan]]="12 Meses",LEFT(BBDD_Usiarios_Netflix[[#This Row],[Duración Plan]],2),LEFT(BBDD_Usiarios_Netflix[[#This Row],[Duración Plan]],1))</f>
        <v>1</v>
      </c>
      <c r="W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7" spans="1:23" x14ac:dyDescent="0.25">
      <c r="A27">
        <v>26</v>
      </c>
      <c r="B27" t="s">
        <v>28</v>
      </c>
      <c r="C27">
        <v>15</v>
      </c>
      <c r="D27" s="3">
        <v>12</v>
      </c>
      <c r="E27" s="3">
        <v>1</v>
      </c>
      <c r="F27">
        <v>23</v>
      </c>
      <c r="G27" s="1">
        <f>DATEVALUE(_xlfn.CONCAT(BBDD_Usiarios_Netflix[[#This Row],[Día Suscripción]],"/",BBDD_Usiarios_Netflix[[#This Row],[Mes Suscripción]],"/",BBDD_Usiarios_Netflix[[#This Row],[Año Suscripción]]))</f>
        <v>44938</v>
      </c>
      <c r="H27" s="1">
        <v>27</v>
      </c>
      <c r="I27" s="1">
        <v>6</v>
      </c>
      <c r="J27" s="1">
        <v>24</v>
      </c>
      <c r="K27" s="1" t="str">
        <f>TEXT(BBDD_Usiarios_Netflix[[#This Row],[Fecha Suscripción]],"dddd")</f>
        <v>jueves</v>
      </c>
      <c r="L27" s="1">
        <f>DATEVALUE(_xlfn.CONCAT(BBDD_Usiarios_Netflix[[#This Row],[Día Último Pago]],"/",BBDD_Usiarios_Netflix[[#This Row],[Mes Último Pago]],"/",BBDD_Usiarios_Netflix[[#This Row],[Año Último Pago]]))</f>
        <v>45470</v>
      </c>
      <c r="M27" s="4">
        <f>DATEDIF(BBDD_Usiarios_Netflix[[#This Row],[Fecha Suscripción]],BBDD_Usiarios_Netflix[[#This Row],[Fecha Último Pago]],"M")+1</f>
        <v>18</v>
      </c>
      <c r="N27" s="4">
        <f>BBDD_Usiarios_Netflix[[#This Row],[Ingresos Mensuales]]*BBDD_Usiarios_Netflix[[#This Row],[Meses contratados]]</f>
        <v>270</v>
      </c>
      <c r="O27" t="s">
        <v>45</v>
      </c>
      <c r="P27" t="str">
        <f>IF(BBDD_Usiarios_Netflix[[#This Row],[País]]="","Desconocido",BBDD_Usiarios_Netflix[[#This Row],[País]])</f>
        <v>España</v>
      </c>
      <c r="Q27">
        <v>29</v>
      </c>
      <c r="R27" t="s">
        <v>25</v>
      </c>
      <c r="S27" t="s">
        <v>26</v>
      </c>
      <c r="T27" t="s">
        <v>27</v>
      </c>
      <c r="U27">
        <f>IF(IFERROR(VLOOKUP(BBDD_Usiarios_Netflix[[#This Row],[Identificador Usuario]],A28:$A$5870,1,FALSE),0)&lt;&gt;0,1,0)</f>
        <v>0</v>
      </c>
      <c r="V27" s="6" t="str">
        <f>IF(BBDD_Usiarios_Netflix[[#This Row],[Duración Plan]]="12 Meses",LEFT(BBDD_Usiarios_Netflix[[#This Row],[Duración Plan]],2),LEFT(BBDD_Usiarios_Netflix[[#This Row],[Duración Plan]],1))</f>
        <v>1</v>
      </c>
      <c r="W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" spans="1:23" x14ac:dyDescent="0.25">
      <c r="A28">
        <v>27</v>
      </c>
      <c r="B28" t="s">
        <v>23</v>
      </c>
      <c r="C28">
        <v>10</v>
      </c>
      <c r="D28" s="3">
        <v>29</v>
      </c>
      <c r="E28" s="3">
        <v>8</v>
      </c>
      <c r="F28">
        <v>23</v>
      </c>
      <c r="G28" s="1">
        <f>DATEVALUE(_xlfn.CONCAT(BBDD_Usiarios_Netflix[[#This Row],[Día Suscripción]],"/",BBDD_Usiarios_Netflix[[#This Row],[Mes Suscripción]],"/",BBDD_Usiarios_Netflix[[#This Row],[Año Suscripción]]))</f>
        <v>45167</v>
      </c>
      <c r="H28" s="1">
        <v>25</v>
      </c>
      <c r="I28" s="1">
        <v>6</v>
      </c>
      <c r="J28" s="1">
        <v>24</v>
      </c>
      <c r="K28" s="1" t="str">
        <f>TEXT(BBDD_Usiarios_Netflix[[#This Row],[Fecha Suscripción]],"dddd")</f>
        <v>martes</v>
      </c>
      <c r="L28" s="1">
        <f>DATEVALUE(_xlfn.CONCAT(BBDD_Usiarios_Netflix[[#This Row],[Día Último Pago]],"/",BBDD_Usiarios_Netflix[[#This Row],[Mes Último Pago]],"/",BBDD_Usiarios_Netflix[[#This Row],[Año Último Pago]]))</f>
        <v>45468</v>
      </c>
      <c r="M28" s="4">
        <f>DATEDIF(BBDD_Usiarios_Netflix[[#This Row],[Fecha Suscripción]],BBDD_Usiarios_Netflix[[#This Row],[Fecha Último Pago]],"M")+1</f>
        <v>10</v>
      </c>
      <c r="N28" s="4">
        <f>BBDD_Usiarios_Netflix[[#This Row],[Ingresos Mensuales]]*BBDD_Usiarios_Netflix[[#This Row],[Meses contratados]]</f>
        <v>100</v>
      </c>
      <c r="O28" t="s">
        <v>40</v>
      </c>
      <c r="P28" t="str">
        <f>IF(BBDD_Usiarios_Netflix[[#This Row],[País]]="","Desconocido",BBDD_Usiarios_Netflix[[#This Row],[País]])</f>
        <v>Italia</v>
      </c>
      <c r="Q28">
        <v>47</v>
      </c>
      <c r="R28" t="s">
        <v>30</v>
      </c>
      <c r="S28" t="s">
        <v>34</v>
      </c>
      <c r="T28" t="s">
        <v>41</v>
      </c>
      <c r="U28">
        <f>IF(IFERROR(VLOOKUP(BBDD_Usiarios_Netflix[[#This Row],[Identificador Usuario]],A29:$A$5870,1,FALSE),0)&lt;&gt;0,1,0)</f>
        <v>0</v>
      </c>
      <c r="V28" s="6" t="str">
        <f>IF(BBDD_Usiarios_Netflix[[#This Row],[Duración Plan]]="12 Meses",LEFT(BBDD_Usiarios_Netflix[[#This Row],[Duración Plan]],2),LEFT(BBDD_Usiarios_Netflix[[#This Row],[Duración Plan]],1))</f>
        <v>12</v>
      </c>
      <c r="W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9" spans="1:23" x14ac:dyDescent="0.25">
      <c r="A29">
        <v>28</v>
      </c>
      <c r="B29" t="s">
        <v>32</v>
      </c>
      <c r="C29">
        <v>13</v>
      </c>
      <c r="D29" s="3">
        <v>27</v>
      </c>
      <c r="E29" s="3">
        <v>9</v>
      </c>
      <c r="F29">
        <v>22</v>
      </c>
      <c r="G29" s="1">
        <f>DATEVALUE(_xlfn.CONCAT(BBDD_Usiarios_Netflix[[#This Row],[Día Suscripción]],"/",BBDD_Usiarios_Netflix[[#This Row],[Mes Suscripción]],"/",BBDD_Usiarios_Netflix[[#This Row],[Año Suscripción]]))</f>
        <v>44831</v>
      </c>
      <c r="H29" s="1">
        <v>24</v>
      </c>
      <c r="I29" s="1">
        <v>6</v>
      </c>
      <c r="J29" s="1">
        <v>24</v>
      </c>
      <c r="K29" s="1" t="str">
        <f>TEXT(BBDD_Usiarios_Netflix[[#This Row],[Fecha Suscripción]],"dddd")</f>
        <v>martes</v>
      </c>
      <c r="L29" s="1">
        <f>DATEVALUE(_xlfn.CONCAT(BBDD_Usiarios_Netflix[[#This Row],[Día Último Pago]],"/",BBDD_Usiarios_Netflix[[#This Row],[Mes Último Pago]],"/",BBDD_Usiarios_Netflix[[#This Row],[Año Último Pago]]))</f>
        <v>45467</v>
      </c>
      <c r="M29" s="4">
        <f>DATEDIF(BBDD_Usiarios_Netflix[[#This Row],[Fecha Suscripción]],BBDD_Usiarios_Netflix[[#This Row],[Fecha Último Pago]],"M")+1</f>
        <v>21</v>
      </c>
      <c r="N29" s="4">
        <f>BBDD_Usiarios_Netflix[[#This Row],[Ingresos Mensuales]]*BBDD_Usiarios_Netflix[[#This Row],[Meses contratados]]</f>
        <v>273</v>
      </c>
      <c r="O29" t="s">
        <v>33</v>
      </c>
      <c r="P29" t="str">
        <f>IF(BBDD_Usiarios_Netflix[[#This Row],[País]]="","Desconocido",BBDD_Usiarios_Netflix[[#This Row],[País]])</f>
        <v>Francia</v>
      </c>
      <c r="Q29">
        <v>33</v>
      </c>
      <c r="R29" t="s">
        <v>25</v>
      </c>
      <c r="S29" t="s">
        <v>31</v>
      </c>
      <c r="T29" t="s">
        <v>38</v>
      </c>
      <c r="U29">
        <f>IF(IFERROR(VLOOKUP(BBDD_Usiarios_Netflix[[#This Row],[Identificador Usuario]],A30:$A$5870,1,FALSE),0)&lt;&gt;0,1,0)</f>
        <v>0</v>
      </c>
      <c r="V29" s="6" t="str">
        <f>IF(BBDD_Usiarios_Netflix[[#This Row],[Duración Plan]]="12 Meses",LEFT(BBDD_Usiarios_Netflix[[#This Row],[Duración Plan]],2),LEFT(BBDD_Usiarios_Netflix[[#This Row],[Duración Plan]],1))</f>
        <v>3</v>
      </c>
      <c r="W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0" spans="1:23" x14ac:dyDescent="0.25">
      <c r="A30">
        <v>29</v>
      </c>
      <c r="B30" t="s">
        <v>28</v>
      </c>
      <c r="C30">
        <v>15</v>
      </c>
      <c r="D30" s="3">
        <v>19</v>
      </c>
      <c r="E30" s="3">
        <v>12</v>
      </c>
      <c r="F30">
        <v>23</v>
      </c>
      <c r="G30" s="1">
        <f>DATEVALUE(_xlfn.CONCAT(BBDD_Usiarios_Netflix[[#This Row],[Día Suscripción]],"/",BBDD_Usiarios_Netflix[[#This Row],[Mes Suscripción]],"/",BBDD_Usiarios_Netflix[[#This Row],[Año Suscripción]]))</f>
        <v>45279</v>
      </c>
      <c r="H30" s="1">
        <v>23</v>
      </c>
      <c r="I30" s="1">
        <v>6</v>
      </c>
      <c r="J30" s="1">
        <v>24</v>
      </c>
      <c r="K30" s="1" t="str">
        <f>TEXT(BBDD_Usiarios_Netflix[[#This Row],[Fecha Suscripción]],"dddd")</f>
        <v>martes</v>
      </c>
      <c r="L30" s="1">
        <f>DATEVALUE(_xlfn.CONCAT(BBDD_Usiarios_Netflix[[#This Row],[Día Último Pago]],"/",BBDD_Usiarios_Netflix[[#This Row],[Mes Último Pago]],"/",BBDD_Usiarios_Netflix[[#This Row],[Año Último Pago]]))</f>
        <v>45466</v>
      </c>
      <c r="M30" s="4">
        <f>DATEDIF(BBDD_Usiarios_Netflix[[#This Row],[Fecha Suscripción]],BBDD_Usiarios_Netflix[[#This Row],[Fecha Último Pago]],"M")+1</f>
        <v>7</v>
      </c>
      <c r="N30" s="4">
        <f>BBDD_Usiarios_Netflix[[#This Row],[Ingresos Mensuales]]*BBDD_Usiarios_Netflix[[#This Row],[Meses contratados]]</f>
        <v>105</v>
      </c>
      <c r="O30" t="s">
        <v>33</v>
      </c>
      <c r="P30" t="str">
        <f>IF(BBDD_Usiarios_Netflix[[#This Row],[País]]="","Desconocido",BBDD_Usiarios_Netflix[[#This Row],[País]])</f>
        <v>Francia</v>
      </c>
      <c r="Q30">
        <v>36</v>
      </c>
      <c r="R30" t="s">
        <v>30</v>
      </c>
      <c r="S30" t="s">
        <v>36</v>
      </c>
      <c r="T30" t="s">
        <v>27</v>
      </c>
      <c r="U30">
        <f>IF(IFERROR(VLOOKUP(BBDD_Usiarios_Netflix[[#This Row],[Identificador Usuario]],A31:$A$5870,1,FALSE),0)&lt;&gt;0,1,0)</f>
        <v>0</v>
      </c>
      <c r="V30" s="6" t="str">
        <f>IF(BBDD_Usiarios_Netflix[[#This Row],[Duración Plan]]="12 Meses",LEFT(BBDD_Usiarios_Netflix[[#This Row],[Duración Plan]],2),LEFT(BBDD_Usiarios_Netflix[[#This Row],[Duración Plan]],1))</f>
        <v>1</v>
      </c>
      <c r="W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" spans="1:23" x14ac:dyDescent="0.25">
      <c r="A31">
        <v>30</v>
      </c>
      <c r="B31" t="s">
        <v>23</v>
      </c>
      <c r="C31">
        <v>11</v>
      </c>
      <c r="D31" s="3">
        <v>17</v>
      </c>
      <c r="E31" s="3">
        <v>5</v>
      </c>
      <c r="F31">
        <v>24</v>
      </c>
      <c r="G31" s="1">
        <f>DATEVALUE(_xlfn.CONCAT(BBDD_Usiarios_Netflix[[#This Row],[Día Suscripción]],"/",BBDD_Usiarios_Netflix[[#This Row],[Mes Suscripción]],"/",BBDD_Usiarios_Netflix[[#This Row],[Año Suscripción]]))</f>
        <v>45429</v>
      </c>
      <c r="H31" s="1">
        <v>22</v>
      </c>
      <c r="I31" s="1">
        <v>6</v>
      </c>
      <c r="J31" s="1">
        <v>24</v>
      </c>
      <c r="K31" s="1" t="str">
        <f>TEXT(BBDD_Usiarios_Netflix[[#This Row],[Fecha Suscripción]],"dddd")</f>
        <v>viernes</v>
      </c>
      <c r="L31" s="1">
        <f>DATEVALUE(_xlfn.CONCAT(BBDD_Usiarios_Netflix[[#This Row],[Día Último Pago]],"/",BBDD_Usiarios_Netflix[[#This Row],[Mes Último Pago]],"/",BBDD_Usiarios_Netflix[[#This Row],[Año Último Pago]]))</f>
        <v>45465</v>
      </c>
      <c r="M31" s="4">
        <f>DATEDIF(BBDD_Usiarios_Netflix[[#This Row],[Fecha Suscripción]],BBDD_Usiarios_Netflix[[#This Row],[Fecha Último Pago]],"M")+1</f>
        <v>2</v>
      </c>
      <c r="N31" s="4">
        <f>BBDD_Usiarios_Netflix[[#This Row],[Ingresos Mensuales]]*BBDD_Usiarios_Netflix[[#This Row],[Meses contratados]]</f>
        <v>22</v>
      </c>
      <c r="O31" t="s">
        <v>33</v>
      </c>
      <c r="P31" t="str">
        <f>IF(BBDD_Usiarios_Netflix[[#This Row],[País]]="","Desconocido",BBDD_Usiarios_Netflix[[#This Row],[País]])</f>
        <v>Francia</v>
      </c>
      <c r="Q31">
        <v>42</v>
      </c>
      <c r="R31" t="s">
        <v>25</v>
      </c>
      <c r="S31" t="s">
        <v>26</v>
      </c>
      <c r="T31" t="s">
        <v>27</v>
      </c>
      <c r="U31">
        <f>IF(IFERROR(VLOOKUP(BBDD_Usiarios_Netflix[[#This Row],[Identificador Usuario]],A32:$A$5870,1,FALSE),0)&lt;&gt;0,1,0)</f>
        <v>0</v>
      </c>
      <c r="V31" s="6" t="str">
        <f>IF(BBDD_Usiarios_Netflix[[#This Row],[Duración Plan]]="12 Meses",LEFT(BBDD_Usiarios_Netflix[[#This Row],[Duración Plan]],2),LEFT(BBDD_Usiarios_Netflix[[#This Row],[Duración Plan]],1))</f>
        <v>1</v>
      </c>
      <c r="W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" spans="1:23" x14ac:dyDescent="0.25">
      <c r="A32">
        <v>31</v>
      </c>
      <c r="B32" t="s">
        <v>28</v>
      </c>
      <c r="C32">
        <v>15</v>
      </c>
      <c r="D32" s="3">
        <v>3</v>
      </c>
      <c r="E32" s="3">
        <v>2</v>
      </c>
      <c r="F32">
        <v>24</v>
      </c>
      <c r="G32" s="1">
        <f>DATEVALUE(_xlfn.CONCAT(BBDD_Usiarios_Netflix[[#This Row],[Día Suscripción]],"/",BBDD_Usiarios_Netflix[[#This Row],[Mes Suscripción]],"/",BBDD_Usiarios_Netflix[[#This Row],[Año Suscripción]]))</f>
        <v>45325</v>
      </c>
      <c r="H32" s="1">
        <v>22</v>
      </c>
      <c r="I32" s="1">
        <v>6</v>
      </c>
      <c r="J32" s="1">
        <v>24</v>
      </c>
      <c r="K32" s="1" t="str">
        <f>TEXT(BBDD_Usiarios_Netflix[[#This Row],[Fecha Suscripción]],"dddd")</f>
        <v>sábado</v>
      </c>
      <c r="L32" s="1">
        <f>DATEVALUE(_xlfn.CONCAT(BBDD_Usiarios_Netflix[[#This Row],[Día Último Pago]],"/",BBDD_Usiarios_Netflix[[#This Row],[Mes Último Pago]],"/",BBDD_Usiarios_Netflix[[#This Row],[Año Último Pago]]))</f>
        <v>45465</v>
      </c>
      <c r="M32" s="4">
        <f>DATEDIF(BBDD_Usiarios_Netflix[[#This Row],[Fecha Suscripción]],BBDD_Usiarios_Netflix[[#This Row],[Fecha Último Pago]],"M")+1</f>
        <v>5</v>
      </c>
      <c r="N32" s="4">
        <f>BBDD_Usiarios_Netflix[[#This Row],[Ingresos Mensuales]]*BBDD_Usiarios_Netflix[[#This Row],[Meses contratados]]</f>
        <v>75</v>
      </c>
      <c r="O32" t="s">
        <v>39</v>
      </c>
      <c r="P32" t="str">
        <f>IF(BBDD_Usiarios_Netflix[[#This Row],[País]]="","Desconocido",BBDD_Usiarios_Netflix[[#This Row],[País]])</f>
        <v>Canadá</v>
      </c>
      <c r="Q32">
        <v>28</v>
      </c>
      <c r="R32" t="s">
        <v>30</v>
      </c>
      <c r="S32" t="s">
        <v>34</v>
      </c>
      <c r="T32" t="s">
        <v>27</v>
      </c>
      <c r="U32">
        <f>IF(IFERROR(VLOOKUP(BBDD_Usiarios_Netflix[[#This Row],[Identificador Usuario]],A33:$A$5870,1,FALSE),0)&lt;&gt;0,1,0)</f>
        <v>0</v>
      </c>
      <c r="V32" s="6" t="str">
        <f>IF(BBDD_Usiarios_Netflix[[#This Row],[Duración Plan]]="12 Meses",LEFT(BBDD_Usiarios_Netflix[[#This Row],[Duración Plan]],2),LEFT(BBDD_Usiarios_Netflix[[#This Row],[Duración Plan]],1))</f>
        <v>1</v>
      </c>
      <c r="W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3" spans="1:23" x14ac:dyDescent="0.25">
      <c r="A33">
        <v>32</v>
      </c>
      <c r="B33" t="s">
        <v>23</v>
      </c>
      <c r="C33">
        <v>10</v>
      </c>
      <c r="D33" s="3">
        <v>7</v>
      </c>
      <c r="E33" s="3">
        <v>7</v>
      </c>
      <c r="F33">
        <v>23</v>
      </c>
      <c r="G33" s="1">
        <f>DATEVALUE(_xlfn.CONCAT(BBDD_Usiarios_Netflix[[#This Row],[Día Suscripción]],"/",BBDD_Usiarios_Netflix[[#This Row],[Mes Suscripción]],"/",BBDD_Usiarios_Netflix[[#This Row],[Año Suscripción]]))</f>
        <v>45114</v>
      </c>
      <c r="H33" s="1">
        <v>28</v>
      </c>
      <c r="I33" s="1">
        <v>6</v>
      </c>
      <c r="J33" s="1">
        <v>24</v>
      </c>
      <c r="K33" s="1" t="str">
        <f>TEXT(BBDD_Usiarios_Netflix[[#This Row],[Fecha Suscripción]],"dddd")</f>
        <v>viernes</v>
      </c>
      <c r="L33" s="1">
        <f>DATEVALUE(_xlfn.CONCAT(BBDD_Usiarios_Netflix[[#This Row],[Día Último Pago]],"/",BBDD_Usiarios_Netflix[[#This Row],[Mes Último Pago]],"/",BBDD_Usiarios_Netflix[[#This Row],[Año Último Pago]]))</f>
        <v>45471</v>
      </c>
      <c r="M33" s="4">
        <f>DATEDIF(BBDD_Usiarios_Netflix[[#This Row],[Fecha Suscripción]],BBDD_Usiarios_Netflix[[#This Row],[Fecha Último Pago]],"M")+1</f>
        <v>12</v>
      </c>
      <c r="N33" s="4">
        <f>BBDD_Usiarios_Netflix[[#This Row],[Ingresos Mensuales]]*BBDD_Usiarios_Netflix[[#This Row],[Meses contratados]]</f>
        <v>120</v>
      </c>
      <c r="O33" t="s">
        <v>43</v>
      </c>
      <c r="P33" t="str">
        <f>IF(BBDD_Usiarios_Netflix[[#This Row],[País]]="","Desconocido",BBDD_Usiarios_Netflix[[#This Row],[País]])</f>
        <v>Alemania</v>
      </c>
      <c r="Q33">
        <v>37</v>
      </c>
      <c r="R33" t="s">
        <v>25</v>
      </c>
      <c r="S33" t="s">
        <v>31</v>
      </c>
      <c r="T33" t="s">
        <v>27</v>
      </c>
      <c r="U33">
        <f>IF(IFERROR(VLOOKUP(BBDD_Usiarios_Netflix[[#This Row],[Identificador Usuario]],A34:$A$5870,1,FALSE),0)&lt;&gt;0,1,0)</f>
        <v>0</v>
      </c>
      <c r="V33" s="6" t="str">
        <f>IF(BBDD_Usiarios_Netflix[[#This Row],[Duración Plan]]="12 Meses",LEFT(BBDD_Usiarios_Netflix[[#This Row],[Duración Plan]],2),LEFT(BBDD_Usiarios_Netflix[[#This Row],[Duración Plan]],1))</f>
        <v>1</v>
      </c>
      <c r="W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4" spans="1:23" x14ac:dyDescent="0.25">
      <c r="A34">
        <v>33</v>
      </c>
      <c r="B34" t="s">
        <v>32</v>
      </c>
      <c r="C34">
        <v>13</v>
      </c>
      <c r="D34" s="3">
        <v>21</v>
      </c>
      <c r="E34" s="3">
        <v>1</v>
      </c>
      <c r="F34">
        <v>23</v>
      </c>
      <c r="G34" s="1">
        <f>DATEVALUE(_xlfn.CONCAT(BBDD_Usiarios_Netflix[[#This Row],[Día Suscripción]],"/",BBDD_Usiarios_Netflix[[#This Row],[Mes Suscripción]],"/",BBDD_Usiarios_Netflix[[#This Row],[Año Suscripción]]))</f>
        <v>44947</v>
      </c>
      <c r="H34" s="1">
        <v>27</v>
      </c>
      <c r="I34" s="1">
        <v>6</v>
      </c>
      <c r="J34" s="1">
        <v>24</v>
      </c>
      <c r="K34" s="1" t="str">
        <f>TEXT(BBDD_Usiarios_Netflix[[#This Row],[Fecha Suscripción]],"dddd")</f>
        <v>sábado</v>
      </c>
      <c r="L34" s="1">
        <f>DATEVALUE(_xlfn.CONCAT(BBDD_Usiarios_Netflix[[#This Row],[Día Último Pago]],"/",BBDD_Usiarios_Netflix[[#This Row],[Mes Último Pago]],"/",BBDD_Usiarios_Netflix[[#This Row],[Año Último Pago]]))</f>
        <v>45470</v>
      </c>
      <c r="M34" s="4">
        <f>DATEDIF(BBDD_Usiarios_Netflix[[#This Row],[Fecha Suscripción]],BBDD_Usiarios_Netflix[[#This Row],[Fecha Último Pago]],"M")+1</f>
        <v>18</v>
      </c>
      <c r="N34" s="4">
        <f>BBDD_Usiarios_Netflix[[#This Row],[Ingresos Mensuales]]*BBDD_Usiarios_Netflix[[#This Row],[Meses contratados]]</f>
        <v>234</v>
      </c>
      <c r="O34" t="s">
        <v>42</v>
      </c>
      <c r="P34" t="str">
        <f>IF(BBDD_Usiarios_Netflix[[#This Row],[País]]="","Desconocido",BBDD_Usiarios_Netflix[[#This Row],[País]])</f>
        <v>Reino Unido</v>
      </c>
      <c r="Q34">
        <v>41</v>
      </c>
      <c r="R34" t="s">
        <v>30</v>
      </c>
      <c r="S34" t="s">
        <v>36</v>
      </c>
      <c r="T34" t="s">
        <v>27</v>
      </c>
      <c r="U34">
        <f>IF(IFERROR(VLOOKUP(BBDD_Usiarios_Netflix[[#This Row],[Identificador Usuario]],A35:$A$5870,1,FALSE),0)&lt;&gt;0,1,0)</f>
        <v>0</v>
      </c>
      <c r="V34" s="6" t="str">
        <f>IF(BBDD_Usiarios_Netflix[[#This Row],[Duración Plan]]="12 Meses",LEFT(BBDD_Usiarios_Netflix[[#This Row],[Duración Plan]],2),LEFT(BBDD_Usiarios_Netflix[[#This Row],[Duración Plan]],1))</f>
        <v>1</v>
      </c>
      <c r="W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5" spans="1:23" x14ac:dyDescent="0.25">
      <c r="A35">
        <v>34</v>
      </c>
      <c r="B35" t="s">
        <v>32</v>
      </c>
      <c r="C35">
        <v>13</v>
      </c>
      <c r="D35" s="3">
        <v>25</v>
      </c>
      <c r="E35" s="3">
        <v>5</v>
      </c>
      <c r="F35">
        <v>23</v>
      </c>
      <c r="G35" s="1">
        <f>DATEVALUE(_xlfn.CONCAT(BBDD_Usiarios_Netflix[[#This Row],[Día Suscripción]],"/",BBDD_Usiarios_Netflix[[#This Row],[Mes Suscripción]],"/",BBDD_Usiarios_Netflix[[#This Row],[Año Suscripción]]))</f>
        <v>45071</v>
      </c>
      <c r="H35" s="1">
        <v>26</v>
      </c>
      <c r="I35" s="1">
        <v>6</v>
      </c>
      <c r="J35" s="1">
        <v>24</v>
      </c>
      <c r="K35" s="1" t="str">
        <f>TEXT(BBDD_Usiarios_Netflix[[#This Row],[Fecha Suscripción]],"dddd")</f>
        <v>jueves</v>
      </c>
      <c r="L35" s="1">
        <f>DATEVALUE(_xlfn.CONCAT(BBDD_Usiarios_Netflix[[#This Row],[Día Último Pago]],"/",BBDD_Usiarios_Netflix[[#This Row],[Mes Último Pago]],"/",BBDD_Usiarios_Netflix[[#This Row],[Año Último Pago]]))</f>
        <v>45469</v>
      </c>
      <c r="M35" s="4">
        <f>DATEDIF(BBDD_Usiarios_Netflix[[#This Row],[Fecha Suscripción]],BBDD_Usiarios_Netflix[[#This Row],[Fecha Último Pago]],"M")+1</f>
        <v>14</v>
      </c>
      <c r="N35" s="4">
        <f>BBDD_Usiarios_Netflix[[#This Row],[Ingresos Mensuales]]*BBDD_Usiarios_Netflix[[#This Row],[Meses contratados]]</f>
        <v>182</v>
      </c>
      <c r="O35" t="s">
        <v>24</v>
      </c>
      <c r="P35" t="str">
        <f>IF(BBDD_Usiarios_Netflix[[#This Row],[País]]="","Desconocido",BBDD_Usiarios_Netflix[[#This Row],[País]])</f>
        <v>Australia</v>
      </c>
      <c r="Q35">
        <v>29</v>
      </c>
      <c r="R35" t="s">
        <v>25</v>
      </c>
      <c r="S35" t="s">
        <v>26</v>
      </c>
      <c r="T35" t="s">
        <v>35</v>
      </c>
      <c r="U35">
        <f>IF(IFERROR(VLOOKUP(BBDD_Usiarios_Netflix[[#This Row],[Identificador Usuario]],A36:$A$5870,1,FALSE),0)&lt;&gt;0,1,0)</f>
        <v>0</v>
      </c>
      <c r="V35" s="6" t="str">
        <f>IF(BBDD_Usiarios_Netflix[[#This Row],[Duración Plan]]="12 Meses",LEFT(BBDD_Usiarios_Netflix[[#This Row],[Duración Plan]],2),LEFT(BBDD_Usiarios_Netflix[[#This Row],[Duración Plan]],1))</f>
        <v>6</v>
      </c>
      <c r="W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6" spans="1:23" x14ac:dyDescent="0.25">
      <c r="A36">
        <v>35</v>
      </c>
      <c r="B36" t="s">
        <v>23</v>
      </c>
      <c r="C36">
        <v>11</v>
      </c>
      <c r="D36" s="3">
        <v>11</v>
      </c>
      <c r="E36" s="3">
        <v>4</v>
      </c>
      <c r="F36">
        <v>24</v>
      </c>
      <c r="G36" s="1">
        <f>DATEVALUE(_xlfn.CONCAT(BBDD_Usiarios_Netflix[[#This Row],[Día Suscripción]],"/",BBDD_Usiarios_Netflix[[#This Row],[Mes Suscripción]],"/",BBDD_Usiarios_Netflix[[#This Row],[Año Suscripción]]))</f>
        <v>45393</v>
      </c>
      <c r="H36" s="1">
        <v>28</v>
      </c>
      <c r="I36" s="1">
        <v>6</v>
      </c>
      <c r="J36" s="1">
        <v>24</v>
      </c>
      <c r="K36" s="1" t="str">
        <f>TEXT(BBDD_Usiarios_Netflix[[#This Row],[Fecha Suscripción]],"dddd")</f>
        <v>jueves</v>
      </c>
      <c r="L36" s="1">
        <f>DATEVALUE(_xlfn.CONCAT(BBDD_Usiarios_Netflix[[#This Row],[Día Último Pago]],"/",BBDD_Usiarios_Netflix[[#This Row],[Mes Último Pago]],"/",BBDD_Usiarios_Netflix[[#This Row],[Año Último Pago]]))</f>
        <v>45471</v>
      </c>
      <c r="M36" s="4">
        <f>DATEDIF(BBDD_Usiarios_Netflix[[#This Row],[Fecha Suscripción]],BBDD_Usiarios_Netflix[[#This Row],[Fecha Último Pago]],"M")+1</f>
        <v>3</v>
      </c>
      <c r="N36" s="4">
        <f>BBDD_Usiarios_Netflix[[#This Row],[Ingresos Mensuales]]*BBDD_Usiarios_Netflix[[#This Row],[Meses contratados]]</f>
        <v>33</v>
      </c>
      <c r="O36" t="s">
        <v>40</v>
      </c>
      <c r="P36" t="str">
        <f>IF(BBDD_Usiarios_Netflix[[#This Row],[País]]="","Desconocido",BBDD_Usiarios_Netflix[[#This Row],[País]])</f>
        <v>Italia</v>
      </c>
      <c r="Q36">
        <v>39</v>
      </c>
      <c r="R36" t="s">
        <v>30</v>
      </c>
      <c r="S36" t="s">
        <v>34</v>
      </c>
      <c r="T36" t="s">
        <v>35</v>
      </c>
      <c r="U36">
        <f>IF(IFERROR(VLOOKUP(BBDD_Usiarios_Netflix[[#This Row],[Identificador Usuario]],A37:$A$5870,1,FALSE),0)&lt;&gt;0,1,0)</f>
        <v>0</v>
      </c>
      <c r="V36" s="6" t="str">
        <f>IF(BBDD_Usiarios_Netflix[[#This Row],[Duración Plan]]="12 Meses",LEFT(BBDD_Usiarios_Netflix[[#This Row],[Duración Plan]],2),LEFT(BBDD_Usiarios_Netflix[[#This Row],[Duración Plan]],1))</f>
        <v>6</v>
      </c>
      <c r="W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7" spans="1:23" x14ac:dyDescent="0.25">
      <c r="A37">
        <v>36</v>
      </c>
      <c r="B37" t="s">
        <v>28</v>
      </c>
      <c r="C37">
        <v>15</v>
      </c>
      <c r="D37" s="3">
        <v>1</v>
      </c>
      <c r="E37" s="3">
        <v>3</v>
      </c>
      <c r="F37">
        <v>23</v>
      </c>
      <c r="G37" s="1">
        <f>DATEVALUE(_xlfn.CONCAT(BBDD_Usiarios_Netflix[[#This Row],[Día Suscripción]],"/",BBDD_Usiarios_Netflix[[#This Row],[Mes Suscripción]],"/",BBDD_Usiarios_Netflix[[#This Row],[Año Suscripción]]))</f>
        <v>44986</v>
      </c>
      <c r="H37" s="1">
        <v>27</v>
      </c>
      <c r="I37" s="1">
        <v>6</v>
      </c>
      <c r="J37" s="1">
        <v>24</v>
      </c>
      <c r="K37" s="1" t="str">
        <f>TEXT(BBDD_Usiarios_Netflix[[#This Row],[Fecha Suscripción]],"dddd")</f>
        <v>miércoles</v>
      </c>
      <c r="L37" s="1">
        <f>DATEVALUE(_xlfn.CONCAT(BBDD_Usiarios_Netflix[[#This Row],[Día Último Pago]],"/",BBDD_Usiarios_Netflix[[#This Row],[Mes Último Pago]],"/",BBDD_Usiarios_Netflix[[#This Row],[Año Último Pago]]))</f>
        <v>45470</v>
      </c>
      <c r="M37" s="4">
        <f>DATEDIF(BBDD_Usiarios_Netflix[[#This Row],[Fecha Suscripción]],BBDD_Usiarios_Netflix[[#This Row],[Fecha Último Pago]],"M")+1</f>
        <v>16</v>
      </c>
      <c r="N37" s="4">
        <f>BBDD_Usiarios_Netflix[[#This Row],[Ingresos Mensuales]]*BBDD_Usiarios_Netflix[[#This Row],[Meses contratados]]</f>
        <v>240</v>
      </c>
      <c r="O37" t="s">
        <v>29</v>
      </c>
      <c r="P37" t="str">
        <f>IF(BBDD_Usiarios_Netflix[[#This Row],[País]]="","Desconocido",BBDD_Usiarios_Netflix[[#This Row],[País]])</f>
        <v>EEUU</v>
      </c>
      <c r="Q37">
        <v>35</v>
      </c>
      <c r="R37" t="s">
        <v>25</v>
      </c>
      <c r="S37" t="s">
        <v>31</v>
      </c>
      <c r="T37" t="s">
        <v>27</v>
      </c>
      <c r="U37">
        <f>IF(IFERROR(VLOOKUP(BBDD_Usiarios_Netflix[[#This Row],[Identificador Usuario]],A38:$A$5870,1,FALSE),0)&lt;&gt;0,1,0)</f>
        <v>0</v>
      </c>
      <c r="V37" s="6" t="str">
        <f>IF(BBDD_Usiarios_Netflix[[#This Row],[Duración Plan]]="12 Meses",LEFT(BBDD_Usiarios_Netflix[[#This Row],[Duración Plan]],2),LEFT(BBDD_Usiarios_Netflix[[#This Row],[Duración Plan]],1))</f>
        <v>1</v>
      </c>
      <c r="W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8" spans="1:23" x14ac:dyDescent="0.25">
      <c r="A38">
        <v>37</v>
      </c>
      <c r="B38" t="s">
        <v>23</v>
      </c>
      <c r="C38">
        <v>10</v>
      </c>
      <c r="D38" s="3">
        <v>14</v>
      </c>
      <c r="E38" s="3">
        <v>9</v>
      </c>
      <c r="F38">
        <v>23</v>
      </c>
      <c r="G38" s="1">
        <f>DATEVALUE(_xlfn.CONCAT(BBDD_Usiarios_Netflix[[#This Row],[Día Suscripción]],"/",BBDD_Usiarios_Netflix[[#This Row],[Mes Suscripción]],"/",BBDD_Usiarios_Netflix[[#This Row],[Año Suscripción]]))</f>
        <v>45183</v>
      </c>
      <c r="H38" s="1">
        <v>25</v>
      </c>
      <c r="I38" s="1">
        <v>6</v>
      </c>
      <c r="J38" s="1">
        <v>24</v>
      </c>
      <c r="K38" s="1" t="str">
        <f>TEXT(BBDD_Usiarios_Netflix[[#This Row],[Fecha Suscripción]],"dddd")</f>
        <v>jueves</v>
      </c>
      <c r="L38" s="1">
        <f>DATEVALUE(_xlfn.CONCAT(BBDD_Usiarios_Netflix[[#This Row],[Día Último Pago]],"/",BBDD_Usiarios_Netflix[[#This Row],[Mes Último Pago]],"/",BBDD_Usiarios_Netflix[[#This Row],[Año Último Pago]]))</f>
        <v>45468</v>
      </c>
      <c r="M38" s="4">
        <f>DATEDIF(BBDD_Usiarios_Netflix[[#This Row],[Fecha Suscripción]],BBDD_Usiarios_Netflix[[#This Row],[Fecha Último Pago]],"M")+1</f>
        <v>10</v>
      </c>
      <c r="N38" s="4">
        <f>BBDD_Usiarios_Netflix[[#This Row],[Ingresos Mensuales]]*BBDD_Usiarios_Netflix[[#This Row],[Meses contratados]]</f>
        <v>100</v>
      </c>
      <c r="O38" t="s">
        <v>29</v>
      </c>
      <c r="P38" t="str">
        <f>IF(BBDD_Usiarios_Netflix[[#This Row],[País]]="","Desconocido",BBDD_Usiarios_Netflix[[#This Row],[País]])</f>
        <v>EEUU</v>
      </c>
      <c r="Q38">
        <v>45</v>
      </c>
      <c r="R38" t="s">
        <v>30</v>
      </c>
      <c r="S38" t="s">
        <v>36</v>
      </c>
      <c r="T38" t="s">
        <v>38</v>
      </c>
      <c r="U38">
        <f>IF(IFERROR(VLOOKUP(BBDD_Usiarios_Netflix[[#This Row],[Identificador Usuario]],A39:$A$5870,1,FALSE),0)&lt;&gt;0,1,0)</f>
        <v>0</v>
      </c>
      <c r="V38" s="6" t="str">
        <f>IF(BBDD_Usiarios_Netflix[[#This Row],[Duración Plan]]="12 Meses",LEFT(BBDD_Usiarios_Netflix[[#This Row],[Duración Plan]],2),LEFT(BBDD_Usiarios_Netflix[[#This Row],[Duración Plan]],1))</f>
        <v>3</v>
      </c>
      <c r="W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9" spans="1:23" x14ac:dyDescent="0.25">
      <c r="A39">
        <v>38</v>
      </c>
      <c r="B39" t="s">
        <v>32</v>
      </c>
      <c r="C39">
        <v>13</v>
      </c>
      <c r="D39" s="3">
        <v>5</v>
      </c>
      <c r="E39" s="3">
        <v>11</v>
      </c>
      <c r="F39">
        <v>22</v>
      </c>
      <c r="G39" s="1">
        <f>DATEVALUE(_xlfn.CONCAT(BBDD_Usiarios_Netflix[[#This Row],[Día Suscripción]],"/",BBDD_Usiarios_Netflix[[#This Row],[Mes Suscripción]],"/",BBDD_Usiarios_Netflix[[#This Row],[Año Suscripción]]))</f>
        <v>44870</v>
      </c>
      <c r="H39" s="1">
        <v>24</v>
      </c>
      <c r="I39" s="1">
        <v>6</v>
      </c>
      <c r="J39" s="1">
        <v>24</v>
      </c>
      <c r="K39" s="1" t="str">
        <f>TEXT(BBDD_Usiarios_Netflix[[#This Row],[Fecha Suscripción]],"dddd")</f>
        <v>sábado</v>
      </c>
      <c r="L39" s="1">
        <f>DATEVALUE(_xlfn.CONCAT(BBDD_Usiarios_Netflix[[#This Row],[Día Último Pago]],"/",BBDD_Usiarios_Netflix[[#This Row],[Mes Último Pago]],"/",BBDD_Usiarios_Netflix[[#This Row],[Año Último Pago]]))</f>
        <v>45467</v>
      </c>
      <c r="M39" s="4">
        <f>DATEDIF(BBDD_Usiarios_Netflix[[#This Row],[Fecha Suscripción]],BBDD_Usiarios_Netflix[[#This Row],[Fecha Último Pago]],"M")+1</f>
        <v>20</v>
      </c>
      <c r="N39" s="4">
        <f>BBDD_Usiarios_Netflix[[#This Row],[Ingresos Mensuales]]*BBDD_Usiarios_Netflix[[#This Row],[Meses contratados]]</f>
        <v>260</v>
      </c>
      <c r="O39" t="s">
        <v>24</v>
      </c>
      <c r="P39" t="str">
        <f>IF(BBDD_Usiarios_Netflix[[#This Row],[País]]="","Desconocido",BBDD_Usiarios_Netflix[[#This Row],[País]])</f>
        <v>Australia</v>
      </c>
      <c r="Q39">
        <v>32</v>
      </c>
      <c r="R39" t="s">
        <v>25</v>
      </c>
      <c r="S39" t="s">
        <v>26</v>
      </c>
      <c r="T39" t="s">
        <v>27</v>
      </c>
      <c r="U39">
        <f>IF(IFERROR(VLOOKUP(BBDD_Usiarios_Netflix[[#This Row],[Identificador Usuario]],A40:$A$5870,1,FALSE),0)&lt;&gt;0,1,0)</f>
        <v>0</v>
      </c>
      <c r="V39" s="6" t="str">
        <f>IF(BBDD_Usiarios_Netflix[[#This Row],[Duración Plan]]="12 Meses",LEFT(BBDD_Usiarios_Netflix[[#This Row],[Duración Plan]],2),LEFT(BBDD_Usiarios_Netflix[[#This Row],[Duración Plan]],1))</f>
        <v>1</v>
      </c>
      <c r="W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0" spans="1:23" x14ac:dyDescent="0.25">
      <c r="A40">
        <v>39</v>
      </c>
      <c r="B40" t="s">
        <v>28</v>
      </c>
      <c r="C40">
        <v>15</v>
      </c>
      <c r="D40" s="3">
        <v>28</v>
      </c>
      <c r="E40" s="3">
        <v>12</v>
      </c>
      <c r="F40">
        <v>23</v>
      </c>
      <c r="G40" s="1">
        <f>DATEVALUE(_xlfn.CONCAT(BBDD_Usiarios_Netflix[[#This Row],[Día Suscripción]],"/",BBDD_Usiarios_Netflix[[#This Row],[Mes Suscripción]],"/",BBDD_Usiarios_Netflix[[#This Row],[Año Suscripción]]))</f>
        <v>45288</v>
      </c>
      <c r="H40" s="1">
        <v>23</v>
      </c>
      <c r="I40" s="1">
        <v>6</v>
      </c>
      <c r="J40" s="1">
        <v>24</v>
      </c>
      <c r="K40" s="1" t="str">
        <f>TEXT(BBDD_Usiarios_Netflix[[#This Row],[Fecha Suscripción]],"dddd")</f>
        <v>jueves</v>
      </c>
      <c r="L40" s="1">
        <f>DATEVALUE(_xlfn.CONCAT(BBDD_Usiarios_Netflix[[#This Row],[Día Último Pago]],"/",BBDD_Usiarios_Netflix[[#This Row],[Mes Último Pago]],"/",BBDD_Usiarios_Netflix[[#This Row],[Año Último Pago]]))</f>
        <v>45466</v>
      </c>
      <c r="M40" s="4">
        <f>DATEDIF(BBDD_Usiarios_Netflix[[#This Row],[Fecha Suscripción]],BBDD_Usiarios_Netflix[[#This Row],[Fecha Último Pago]],"M")+1</f>
        <v>6</v>
      </c>
      <c r="N40" s="4">
        <f>BBDD_Usiarios_Netflix[[#This Row],[Ingresos Mensuales]]*BBDD_Usiarios_Netflix[[#This Row],[Meses contratados]]</f>
        <v>90</v>
      </c>
      <c r="O40" t="s">
        <v>39</v>
      </c>
      <c r="P40" t="str">
        <f>IF(BBDD_Usiarios_Netflix[[#This Row],[País]]="","Desconocido",BBDD_Usiarios_Netflix[[#This Row],[País]])</f>
        <v>Canadá</v>
      </c>
      <c r="Q40">
        <v>27</v>
      </c>
      <c r="R40" t="s">
        <v>30</v>
      </c>
      <c r="S40" t="s">
        <v>34</v>
      </c>
      <c r="T40" t="s">
        <v>41</v>
      </c>
      <c r="U40">
        <f>IF(IFERROR(VLOOKUP(BBDD_Usiarios_Netflix[[#This Row],[Identificador Usuario]],A41:$A$5870,1,FALSE),0)&lt;&gt;0,1,0)</f>
        <v>0</v>
      </c>
      <c r="V40" s="6" t="str">
        <f>IF(BBDD_Usiarios_Netflix[[#This Row],[Duración Plan]]="12 Meses",LEFT(BBDD_Usiarios_Netflix[[#This Row],[Duración Plan]],2),LEFT(BBDD_Usiarios_Netflix[[#This Row],[Duración Plan]],1))</f>
        <v>12</v>
      </c>
      <c r="W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1" spans="1:23" x14ac:dyDescent="0.25">
      <c r="A41">
        <v>40</v>
      </c>
      <c r="B41" t="s">
        <v>23</v>
      </c>
      <c r="C41">
        <v>11</v>
      </c>
      <c r="D41" s="3">
        <v>7</v>
      </c>
      <c r="E41" s="3">
        <v>3</v>
      </c>
      <c r="F41">
        <v>24</v>
      </c>
      <c r="G41" s="1">
        <f>DATEVALUE(_xlfn.CONCAT(BBDD_Usiarios_Netflix[[#This Row],[Día Suscripción]],"/",BBDD_Usiarios_Netflix[[#This Row],[Mes Suscripción]],"/",BBDD_Usiarios_Netflix[[#This Row],[Año Suscripción]]))</f>
        <v>45358</v>
      </c>
      <c r="H41" s="1">
        <v>22</v>
      </c>
      <c r="I41" s="1">
        <v>6</v>
      </c>
      <c r="J41" s="1">
        <v>24</v>
      </c>
      <c r="K41" s="1" t="str">
        <f>TEXT(BBDD_Usiarios_Netflix[[#This Row],[Fecha Suscripción]],"dddd")</f>
        <v>jueves</v>
      </c>
      <c r="L41" s="1">
        <f>DATEVALUE(_xlfn.CONCAT(BBDD_Usiarios_Netflix[[#This Row],[Día Último Pago]],"/",BBDD_Usiarios_Netflix[[#This Row],[Mes Último Pago]],"/",BBDD_Usiarios_Netflix[[#This Row],[Año Último Pago]]))</f>
        <v>45465</v>
      </c>
      <c r="M41" s="4">
        <f>DATEDIF(BBDD_Usiarios_Netflix[[#This Row],[Fecha Suscripción]],BBDD_Usiarios_Netflix[[#This Row],[Fecha Último Pago]],"M")+1</f>
        <v>4</v>
      </c>
      <c r="N41" s="4">
        <f>BBDD_Usiarios_Netflix[[#This Row],[Ingresos Mensuales]]*BBDD_Usiarios_Netflix[[#This Row],[Meses contratados]]</f>
        <v>44</v>
      </c>
      <c r="O41" t="s">
        <v>40</v>
      </c>
      <c r="P41" t="str">
        <f>IF(BBDD_Usiarios_Netflix[[#This Row],[País]]="","Desconocido",BBDD_Usiarios_Netflix[[#This Row],[País]])</f>
        <v>Italia</v>
      </c>
      <c r="Q41">
        <v>48</v>
      </c>
      <c r="R41" t="s">
        <v>25</v>
      </c>
      <c r="S41" t="s">
        <v>31</v>
      </c>
      <c r="T41" t="s">
        <v>27</v>
      </c>
      <c r="U41">
        <f>IF(IFERROR(VLOOKUP(BBDD_Usiarios_Netflix[[#This Row],[Identificador Usuario]],A42:$A$5870,1,FALSE),0)&lt;&gt;0,1,0)</f>
        <v>0</v>
      </c>
      <c r="V41" s="6" t="str">
        <f>IF(BBDD_Usiarios_Netflix[[#This Row],[Duración Plan]]="12 Meses",LEFT(BBDD_Usiarios_Netflix[[#This Row],[Duración Plan]],2),LEFT(BBDD_Usiarios_Netflix[[#This Row],[Duración Plan]],1))</f>
        <v>1</v>
      </c>
      <c r="W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2" spans="1:23" x14ac:dyDescent="0.25">
      <c r="A42">
        <v>41</v>
      </c>
      <c r="B42" t="s">
        <v>28</v>
      </c>
      <c r="C42">
        <v>15</v>
      </c>
      <c r="D42" s="3">
        <v>20</v>
      </c>
      <c r="E42" s="3">
        <v>1</v>
      </c>
      <c r="F42">
        <v>24</v>
      </c>
      <c r="G42" s="1">
        <f>DATEVALUE(_xlfn.CONCAT(BBDD_Usiarios_Netflix[[#This Row],[Día Suscripción]],"/",BBDD_Usiarios_Netflix[[#This Row],[Mes Suscripción]],"/",BBDD_Usiarios_Netflix[[#This Row],[Año Suscripción]]))</f>
        <v>45311</v>
      </c>
      <c r="H42" s="1">
        <v>22</v>
      </c>
      <c r="I42" s="1">
        <v>6</v>
      </c>
      <c r="J42" s="1">
        <v>24</v>
      </c>
      <c r="K42" s="1" t="str">
        <f>TEXT(BBDD_Usiarios_Netflix[[#This Row],[Fecha Suscripción]],"dddd")</f>
        <v>sábado</v>
      </c>
      <c r="L42" s="1">
        <f>DATEVALUE(_xlfn.CONCAT(BBDD_Usiarios_Netflix[[#This Row],[Día Último Pago]],"/",BBDD_Usiarios_Netflix[[#This Row],[Mes Último Pago]],"/",BBDD_Usiarios_Netflix[[#This Row],[Año Último Pago]]))</f>
        <v>45465</v>
      </c>
      <c r="M42" s="4">
        <f>DATEDIF(BBDD_Usiarios_Netflix[[#This Row],[Fecha Suscripción]],BBDD_Usiarios_Netflix[[#This Row],[Fecha Último Pago]],"M")+1</f>
        <v>6</v>
      </c>
      <c r="N42" s="4">
        <f>BBDD_Usiarios_Netflix[[#This Row],[Ingresos Mensuales]]*BBDD_Usiarios_Netflix[[#This Row],[Meses contratados]]</f>
        <v>90</v>
      </c>
      <c r="O42" t="s">
        <v>40</v>
      </c>
      <c r="P42" t="str">
        <f>IF(BBDD_Usiarios_Netflix[[#This Row],[País]]="","Desconocido",BBDD_Usiarios_Netflix[[#This Row],[País]])</f>
        <v>Italia</v>
      </c>
      <c r="Q42">
        <v>31</v>
      </c>
      <c r="R42" t="s">
        <v>30</v>
      </c>
      <c r="S42" t="s">
        <v>36</v>
      </c>
      <c r="T42" t="s">
        <v>35</v>
      </c>
      <c r="U42">
        <f>IF(IFERROR(VLOOKUP(BBDD_Usiarios_Netflix[[#This Row],[Identificador Usuario]],A43:$A$5870,1,FALSE),0)&lt;&gt;0,1,0)</f>
        <v>0</v>
      </c>
      <c r="V42" s="6" t="str">
        <f>IF(BBDD_Usiarios_Netflix[[#This Row],[Duración Plan]]="12 Meses",LEFT(BBDD_Usiarios_Netflix[[#This Row],[Duración Plan]],2),LEFT(BBDD_Usiarios_Netflix[[#This Row],[Duración Plan]],1))</f>
        <v>6</v>
      </c>
      <c r="W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3" spans="1:23" x14ac:dyDescent="0.25">
      <c r="A43">
        <v>42</v>
      </c>
      <c r="B43" t="s">
        <v>23</v>
      </c>
      <c r="C43">
        <v>10</v>
      </c>
      <c r="D43" s="3">
        <v>15</v>
      </c>
      <c r="E43" s="3">
        <v>6</v>
      </c>
      <c r="F43">
        <v>23</v>
      </c>
      <c r="G43" s="1">
        <f>DATEVALUE(_xlfn.CONCAT(BBDD_Usiarios_Netflix[[#This Row],[Día Suscripción]],"/",BBDD_Usiarios_Netflix[[#This Row],[Mes Suscripción]],"/",BBDD_Usiarios_Netflix[[#This Row],[Año Suscripción]]))</f>
        <v>45092</v>
      </c>
      <c r="H43" s="1">
        <v>28</v>
      </c>
      <c r="I43" s="1">
        <v>6</v>
      </c>
      <c r="J43" s="1">
        <v>24</v>
      </c>
      <c r="K43" s="1" t="str">
        <f>TEXT(BBDD_Usiarios_Netflix[[#This Row],[Fecha Suscripción]],"dddd")</f>
        <v>jueves</v>
      </c>
      <c r="L43" s="1">
        <f>DATEVALUE(_xlfn.CONCAT(BBDD_Usiarios_Netflix[[#This Row],[Día Último Pago]],"/",BBDD_Usiarios_Netflix[[#This Row],[Mes Último Pago]],"/",BBDD_Usiarios_Netflix[[#This Row],[Año Último Pago]]))</f>
        <v>45471</v>
      </c>
      <c r="M43" s="4">
        <f>DATEDIF(BBDD_Usiarios_Netflix[[#This Row],[Fecha Suscripción]],BBDD_Usiarios_Netflix[[#This Row],[Fecha Último Pago]],"M")+1</f>
        <v>13</v>
      </c>
      <c r="N43" s="4">
        <f>BBDD_Usiarios_Netflix[[#This Row],[Ingresos Mensuales]]*BBDD_Usiarios_Netflix[[#This Row],[Meses contratados]]</f>
        <v>130</v>
      </c>
      <c r="O43" t="s">
        <v>39</v>
      </c>
      <c r="P43" t="str">
        <f>IF(BBDD_Usiarios_Netflix[[#This Row],[País]]="","Desconocido",BBDD_Usiarios_Netflix[[#This Row],[País]])</f>
        <v>Canadá</v>
      </c>
      <c r="Q43">
        <v>40</v>
      </c>
      <c r="R43" t="s">
        <v>25</v>
      </c>
      <c r="S43" t="s">
        <v>26</v>
      </c>
      <c r="T43" t="s">
        <v>38</v>
      </c>
      <c r="U43">
        <f>IF(IFERROR(VLOOKUP(BBDD_Usiarios_Netflix[[#This Row],[Identificador Usuario]],A44:$A$5870,1,FALSE),0)&lt;&gt;0,1,0)</f>
        <v>0</v>
      </c>
      <c r="V43" s="6" t="str">
        <f>IF(BBDD_Usiarios_Netflix[[#This Row],[Duración Plan]]="12 Meses",LEFT(BBDD_Usiarios_Netflix[[#This Row],[Duración Plan]],2),LEFT(BBDD_Usiarios_Netflix[[#This Row],[Duración Plan]],1))</f>
        <v>3</v>
      </c>
      <c r="W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" spans="1:23" x14ac:dyDescent="0.25">
      <c r="A44">
        <v>43</v>
      </c>
      <c r="B44" t="s">
        <v>32</v>
      </c>
      <c r="C44">
        <v>13</v>
      </c>
      <c r="D44" s="3">
        <v>7</v>
      </c>
      <c r="E44" s="3">
        <v>2</v>
      </c>
      <c r="F44">
        <v>23</v>
      </c>
      <c r="G44" s="1">
        <f>DATEVALUE(_xlfn.CONCAT(BBDD_Usiarios_Netflix[[#This Row],[Día Suscripción]],"/",BBDD_Usiarios_Netflix[[#This Row],[Mes Suscripción]],"/",BBDD_Usiarios_Netflix[[#This Row],[Año Suscripción]]))</f>
        <v>44964</v>
      </c>
      <c r="H44" s="1">
        <v>27</v>
      </c>
      <c r="I44" s="1">
        <v>6</v>
      </c>
      <c r="J44" s="1">
        <v>24</v>
      </c>
      <c r="K44" s="1" t="str">
        <f>TEXT(BBDD_Usiarios_Netflix[[#This Row],[Fecha Suscripción]],"dddd")</f>
        <v>martes</v>
      </c>
      <c r="L44" s="1">
        <f>DATEVALUE(_xlfn.CONCAT(BBDD_Usiarios_Netflix[[#This Row],[Día Último Pago]],"/",BBDD_Usiarios_Netflix[[#This Row],[Mes Último Pago]],"/",BBDD_Usiarios_Netflix[[#This Row],[Año Último Pago]]))</f>
        <v>45470</v>
      </c>
      <c r="M44" s="4">
        <f>DATEDIF(BBDD_Usiarios_Netflix[[#This Row],[Fecha Suscripción]],BBDD_Usiarios_Netflix[[#This Row],[Fecha Último Pago]],"M")+1</f>
        <v>17</v>
      </c>
      <c r="N44" s="4">
        <f>BBDD_Usiarios_Netflix[[#This Row],[Ingresos Mensuales]]*BBDD_Usiarios_Netflix[[#This Row],[Meses contratados]]</f>
        <v>221</v>
      </c>
      <c r="O44" t="s">
        <v>40</v>
      </c>
      <c r="P44" t="str">
        <f>IF(BBDD_Usiarios_Netflix[[#This Row],[País]]="","Desconocido",BBDD_Usiarios_Netflix[[#This Row],[País]])</f>
        <v>Italia</v>
      </c>
      <c r="Q44">
        <v>36</v>
      </c>
      <c r="R44" t="s">
        <v>30</v>
      </c>
      <c r="S44" t="s">
        <v>34</v>
      </c>
      <c r="T44" t="s">
        <v>27</v>
      </c>
      <c r="U44">
        <f>IF(IFERROR(VLOOKUP(BBDD_Usiarios_Netflix[[#This Row],[Identificador Usuario]],A45:$A$5870,1,FALSE),0)&lt;&gt;0,1,0)</f>
        <v>0</v>
      </c>
      <c r="V44" s="6" t="str">
        <f>IF(BBDD_Usiarios_Netflix[[#This Row],[Duración Plan]]="12 Meses",LEFT(BBDD_Usiarios_Netflix[[#This Row],[Duración Plan]],2),LEFT(BBDD_Usiarios_Netflix[[#This Row],[Duración Plan]],1))</f>
        <v>1</v>
      </c>
      <c r="W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5" spans="1:23" x14ac:dyDescent="0.25">
      <c r="A45">
        <v>44</v>
      </c>
      <c r="B45" t="s">
        <v>32</v>
      </c>
      <c r="C45">
        <v>13</v>
      </c>
      <c r="D45" s="3">
        <v>26</v>
      </c>
      <c r="E45" s="3">
        <v>4</v>
      </c>
      <c r="F45">
        <v>23</v>
      </c>
      <c r="G45" s="1">
        <f>DATEVALUE(_xlfn.CONCAT(BBDD_Usiarios_Netflix[[#This Row],[Día Suscripción]],"/",BBDD_Usiarios_Netflix[[#This Row],[Mes Suscripción]],"/",BBDD_Usiarios_Netflix[[#This Row],[Año Suscripción]]))</f>
        <v>45042</v>
      </c>
      <c r="H45" s="1">
        <v>26</v>
      </c>
      <c r="I45" s="1">
        <v>6</v>
      </c>
      <c r="J45" s="1">
        <v>24</v>
      </c>
      <c r="K45" s="1" t="str">
        <f>TEXT(BBDD_Usiarios_Netflix[[#This Row],[Fecha Suscripción]],"dddd")</f>
        <v>miércoles</v>
      </c>
      <c r="L45" s="1">
        <f>DATEVALUE(_xlfn.CONCAT(BBDD_Usiarios_Netflix[[#This Row],[Día Último Pago]],"/",BBDD_Usiarios_Netflix[[#This Row],[Mes Último Pago]],"/",BBDD_Usiarios_Netflix[[#This Row],[Año Último Pago]]))</f>
        <v>45469</v>
      </c>
      <c r="M45" s="4">
        <f>DATEDIF(BBDD_Usiarios_Netflix[[#This Row],[Fecha Suscripción]],BBDD_Usiarios_Netflix[[#This Row],[Fecha Último Pago]],"M")+1</f>
        <v>15</v>
      </c>
      <c r="N45" s="4">
        <f>BBDD_Usiarios_Netflix[[#This Row],[Ingresos Mensuales]]*BBDD_Usiarios_Netflix[[#This Row],[Meses contratados]]</f>
        <v>195</v>
      </c>
      <c r="O45" t="s">
        <v>29</v>
      </c>
      <c r="P45" t="str">
        <f>IF(BBDD_Usiarios_Netflix[[#This Row],[País]]="","Desconocido",BBDD_Usiarios_Netflix[[#This Row],[País]])</f>
        <v>EEUU</v>
      </c>
      <c r="Q45">
        <v>29</v>
      </c>
      <c r="R45" t="s">
        <v>25</v>
      </c>
      <c r="S45" t="s">
        <v>31</v>
      </c>
      <c r="T45" t="s">
        <v>27</v>
      </c>
      <c r="U45">
        <f>IF(IFERROR(VLOOKUP(BBDD_Usiarios_Netflix[[#This Row],[Identificador Usuario]],A46:$A$5870,1,FALSE),0)&lt;&gt;0,1,0)</f>
        <v>0</v>
      </c>
      <c r="V45" s="6" t="str">
        <f>IF(BBDD_Usiarios_Netflix[[#This Row],[Duración Plan]]="12 Meses",LEFT(BBDD_Usiarios_Netflix[[#This Row],[Duración Plan]],2),LEFT(BBDD_Usiarios_Netflix[[#This Row],[Duración Plan]],1))</f>
        <v>1</v>
      </c>
      <c r="W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6" spans="1:23" x14ac:dyDescent="0.25">
      <c r="A46">
        <v>45</v>
      </c>
      <c r="B46" t="s">
        <v>23</v>
      </c>
      <c r="C46">
        <v>11</v>
      </c>
      <c r="D46" s="3">
        <v>28</v>
      </c>
      <c r="E46" s="3">
        <v>1</v>
      </c>
      <c r="F46">
        <v>24</v>
      </c>
      <c r="G46" s="1">
        <f>DATEVALUE(_xlfn.CONCAT(BBDD_Usiarios_Netflix[[#This Row],[Día Suscripción]],"/",BBDD_Usiarios_Netflix[[#This Row],[Mes Suscripción]],"/",BBDD_Usiarios_Netflix[[#This Row],[Año Suscripción]]))</f>
        <v>45319</v>
      </c>
      <c r="H46" s="1">
        <v>28</v>
      </c>
      <c r="I46" s="1">
        <v>6</v>
      </c>
      <c r="J46" s="1">
        <v>24</v>
      </c>
      <c r="K46" s="1" t="str">
        <f>TEXT(BBDD_Usiarios_Netflix[[#This Row],[Fecha Suscripción]],"dddd")</f>
        <v>domingo</v>
      </c>
      <c r="L46" s="1">
        <f>DATEVALUE(_xlfn.CONCAT(BBDD_Usiarios_Netflix[[#This Row],[Día Último Pago]],"/",BBDD_Usiarios_Netflix[[#This Row],[Mes Último Pago]],"/",BBDD_Usiarios_Netflix[[#This Row],[Año Último Pago]]))</f>
        <v>45471</v>
      </c>
      <c r="M46" s="4">
        <f>DATEDIF(BBDD_Usiarios_Netflix[[#This Row],[Fecha Suscripción]],BBDD_Usiarios_Netflix[[#This Row],[Fecha Último Pago]],"M")+1</f>
        <v>6</v>
      </c>
      <c r="N46" s="4">
        <f>BBDD_Usiarios_Netflix[[#This Row],[Ingresos Mensuales]]*BBDD_Usiarios_Netflix[[#This Row],[Meses contratados]]</f>
        <v>66</v>
      </c>
      <c r="O46" t="s">
        <v>29</v>
      </c>
      <c r="P46" t="str">
        <f>IF(BBDD_Usiarios_Netflix[[#This Row],[País]]="","Desconocido",BBDD_Usiarios_Netflix[[#This Row],[País]])</f>
        <v>EEUU</v>
      </c>
      <c r="Q46">
        <v>43</v>
      </c>
      <c r="R46" t="s">
        <v>30</v>
      </c>
      <c r="S46" t="s">
        <v>36</v>
      </c>
      <c r="T46" t="s">
        <v>38</v>
      </c>
      <c r="U46">
        <f>IF(IFERROR(VLOOKUP(BBDD_Usiarios_Netflix[[#This Row],[Identificador Usuario]],A47:$A$5870,1,FALSE),0)&lt;&gt;0,1,0)</f>
        <v>0</v>
      </c>
      <c r="V46" s="6" t="str">
        <f>IF(BBDD_Usiarios_Netflix[[#This Row],[Duración Plan]]="12 Meses",LEFT(BBDD_Usiarios_Netflix[[#This Row],[Duración Plan]],2),LEFT(BBDD_Usiarios_Netflix[[#This Row],[Duración Plan]],1))</f>
        <v>3</v>
      </c>
      <c r="W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7" spans="1:23" x14ac:dyDescent="0.25">
      <c r="A47">
        <v>46</v>
      </c>
      <c r="B47" t="s">
        <v>28</v>
      </c>
      <c r="C47">
        <v>15</v>
      </c>
      <c r="D47" s="3">
        <v>23</v>
      </c>
      <c r="E47" s="3">
        <v>2</v>
      </c>
      <c r="F47">
        <v>23</v>
      </c>
      <c r="G47" s="1">
        <f>DATEVALUE(_xlfn.CONCAT(BBDD_Usiarios_Netflix[[#This Row],[Día Suscripción]],"/",BBDD_Usiarios_Netflix[[#This Row],[Mes Suscripción]],"/",BBDD_Usiarios_Netflix[[#This Row],[Año Suscripción]]))</f>
        <v>44980</v>
      </c>
      <c r="H47" s="1">
        <v>27</v>
      </c>
      <c r="I47" s="1">
        <v>6</v>
      </c>
      <c r="J47" s="1">
        <v>24</v>
      </c>
      <c r="K47" s="1" t="str">
        <f>TEXT(BBDD_Usiarios_Netflix[[#This Row],[Fecha Suscripción]],"dddd")</f>
        <v>jueves</v>
      </c>
      <c r="L47" s="1">
        <f>DATEVALUE(_xlfn.CONCAT(BBDD_Usiarios_Netflix[[#This Row],[Día Último Pago]],"/",BBDD_Usiarios_Netflix[[#This Row],[Mes Último Pago]],"/",BBDD_Usiarios_Netflix[[#This Row],[Año Último Pago]]))</f>
        <v>45470</v>
      </c>
      <c r="M47" s="4">
        <f>DATEDIF(BBDD_Usiarios_Netflix[[#This Row],[Fecha Suscripción]],BBDD_Usiarios_Netflix[[#This Row],[Fecha Último Pago]],"M")+1</f>
        <v>17</v>
      </c>
      <c r="N47" s="4">
        <f>BBDD_Usiarios_Netflix[[#This Row],[Ingresos Mensuales]]*BBDD_Usiarios_Netflix[[#This Row],[Meses contratados]]</f>
        <v>255</v>
      </c>
      <c r="O47" t="s">
        <v>33</v>
      </c>
      <c r="P47" t="str">
        <f>IF(BBDD_Usiarios_Netflix[[#This Row],[País]]="","Desconocido",BBDD_Usiarios_Netflix[[#This Row],[País]])</f>
        <v>Francia</v>
      </c>
      <c r="Q47">
        <v>34</v>
      </c>
      <c r="R47" t="s">
        <v>25</v>
      </c>
      <c r="S47" t="s">
        <v>26</v>
      </c>
      <c r="T47" t="s">
        <v>27</v>
      </c>
      <c r="U47">
        <f>IF(IFERROR(VLOOKUP(BBDD_Usiarios_Netflix[[#This Row],[Identificador Usuario]],A48:$A$5870,1,FALSE),0)&lt;&gt;0,1,0)</f>
        <v>0</v>
      </c>
      <c r="V47" s="6" t="str">
        <f>IF(BBDD_Usiarios_Netflix[[#This Row],[Duración Plan]]="12 Meses",LEFT(BBDD_Usiarios_Netflix[[#This Row],[Duración Plan]],2),LEFT(BBDD_Usiarios_Netflix[[#This Row],[Duración Plan]],1))</f>
        <v>1</v>
      </c>
      <c r="W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8" spans="1:23" x14ac:dyDescent="0.25">
      <c r="A48">
        <v>47</v>
      </c>
      <c r="B48" t="s">
        <v>23</v>
      </c>
      <c r="C48">
        <v>10</v>
      </c>
      <c r="D48" s="3">
        <v>5</v>
      </c>
      <c r="E48" s="3">
        <v>10</v>
      </c>
      <c r="F48">
        <v>23</v>
      </c>
      <c r="G48" s="1">
        <f>DATEVALUE(_xlfn.CONCAT(BBDD_Usiarios_Netflix[[#This Row],[Día Suscripción]],"/",BBDD_Usiarios_Netflix[[#This Row],[Mes Suscripción]],"/",BBDD_Usiarios_Netflix[[#This Row],[Año Suscripción]]))</f>
        <v>45204</v>
      </c>
      <c r="H48" s="1">
        <v>25</v>
      </c>
      <c r="I48" s="1">
        <v>6</v>
      </c>
      <c r="J48" s="1">
        <v>24</v>
      </c>
      <c r="K48" s="1" t="str">
        <f>TEXT(BBDD_Usiarios_Netflix[[#This Row],[Fecha Suscripción]],"dddd")</f>
        <v>jueves</v>
      </c>
      <c r="L48" s="1">
        <f>DATEVALUE(_xlfn.CONCAT(BBDD_Usiarios_Netflix[[#This Row],[Día Último Pago]],"/",BBDD_Usiarios_Netflix[[#This Row],[Mes Último Pago]],"/",BBDD_Usiarios_Netflix[[#This Row],[Año Último Pago]]))</f>
        <v>45468</v>
      </c>
      <c r="M48" s="4">
        <f>DATEDIF(BBDD_Usiarios_Netflix[[#This Row],[Fecha Suscripción]],BBDD_Usiarios_Netflix[[#This Row],[Fecha Último Pago]],"M")+1</f>
        <v>9</v>
      </c>
      <c r="N48" s="4">
        <f>BBDD_Usiarios_Netflix[[#This Row],[Ingresos Mensuales]]*BBDD_Usiarios_Netflix[[#This Row],[Meses contratados]]</f>
        <v>90</v>
      </c>
      <c r="O48" t="s">
        <v>33</v>
      </c>
      <c r="P48" t="str">
        <f>IF(BBDD_Usiarios_Netflix[[#This Row],[País]]="","Desconocido",BBDD_Usiarios_Netflix[[#This Row],[País]])</f>
        <v>Francia</v>
      </c>
      <c r="Q48">
        <v>39</v>
      </c>
      <c r="R48" t="s">
        <v>30</v>
      </c>
      <c r="S48" t="s">
        <v>34</v>
      </c>
      <c r="T48" t="s">
        <v>41</v>
      </c>
      <c r="U48">
        <f>IF(IFERROR(VLOOKUP(BBDD_Usiarios_Netflix[[#This Row],[Identificador Usuario]],A49:$A$5870,1,FALSE),0)&lt;&gt;0,1,0)</f>
        <v>0</v>
      </c>
      <c r="V48" s="6" t="str">
        <f>IF(BBDD_Usiarios_Netflix[[#This Row],[Duración Plan]]="12 Meses",LEFT(BBDD_Usiarios_Netflix[[#This Row],[Duración Plan]],2),LEFT(BBDD_Usiarios_Netflix[[#This Row],[Duración Plan]],1))</f>
        <v>12</v>
      </c>
      <c r="W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9" spans="1:23" x14ac:dyDescent="0.25">
      <c r="A49">
        <v>48</v>
      </c>
      <c r="B49" t="s">
        <v>32</v>
      </c>
      <c r="C49">
        <v>13</v>
      </c>
      <c r="D49" s="3">
        <v>15</v>
      </c>
      <c r="E49" s="3">
        <v>9</v>
      </c>
      <c r="F49">
        <v>22</v>
      </c>
      <c r="G49" s="1">
        <f>DATEVALUE(_xlfn.CONCAT(BBDD_Usiarios_Netflix[[#This Row],[Día Suscripción]],"/",BBDD_Usiarios_Netflix[[#This Row],[Mes Suscripción]],"/",BBDD_Usiarios_Netflix[[#This Row],[Año Suscripción]]))</f>
        <v>44819</v>
      </c>
      <c r="H49" s="1">
        <v>24</v>
      </c>
      <c r="I49" s="1">
        <v>6</v>
      </c>
      <c r="J49" s="1">
        <v>24</v>
      </c>
      <c r="K49" s="1" t="str">
        <f>TEXT(BBDD_Usiarios_Netflix[[#This Row],[Fecha Suscripción]],"dddd")</f>
        <v>jueves</v>
      </c>
      <c r="L49" s="1">
        <f>DATEVALUE(_xlfn.CONCAT(BBDD_Usiarios_Netflix[[#This Row],[Día Último Pago]],"/",BBDD_Usiarios_Netflix[[#This Row],[Mes Último Pago]],"/",BBDD_Usiarios_Netflix[[#This Row],[Año Último Pago]]))</f>
        <v>45467</v>
      </c>
      <c r="M49" s="4">
        <f>DATEDIF(BBDD_Usiarios_Netflix[[#This Row],[Fecha Suscripción]],BBDD_Usiarios_Netflix[[#This Row],[Fecha Último Pago]],"M")+1</f>
        <v>22</v>
      </c>
      <c r="N49" s="4">
        <f>BBDD_Usiarios_Netflix[[#This Row],[Ingresos Mensuales]]*BBDD_Usiarios_Netflix[[#This Row],[Meses contratados]]</f>
        <v>286</v>
      </c>
      <c r="O49" t="s">
        <v>45</v>
      </c>
      <c r="P49" t="str">
        <f>IF(BBDD_Usiarios_Netflix[[#This Row],[País]]="","Desconocido",BBDD_Usiarios_Netflix[[#This Row],[País]])</f>
        <v>España</v>
      </c>
      <c r="Q49">
        <v>32</v>
      </c>
      <c r="R49" t="s">
        <v>25</v>
      </c>
      <c r="S49" t="s">
        <v>31</v>
      </c>
      <c r="T49" t="s">
        <v>27</v>
      </c>
      <c r="U49">
        <f>IF(IFERROR(VLOOKUP(BBDD_Usiarios_Netflix[[#This Row],[Identificador Usuario]],A50:$A$5870,1,FALSE),0)&lt;&gt;0,1,0)</f>
        <v>0</v>
      </c>
      <c r="V49" s="6" t="str">
        <f>IF(BBDD_Usiarios_Netflix[[#This Row],[Duración Plan]]="12 Meses",LEFT(BBDD_Usiarios_Netflix[[#This Row],[Duración Plan]],2),LEFT(BBDD_Usiarios_Netflix[[#This Row],[Duración Plan]],1))</f>
        <v>1</v>
      </c>
      <c r="W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0" spans="1:23" x14ac:dyDescent="0.25">
      <c r="A50">
        <v>49</v>
      </c>
      <c r="B50" t="s">
        <v>28</v>
      </c>
      <c r="C50">
        <v>14</v>
      </c>
      <c r="D50" s="3">
        <v>10</v>
      </c>
      <c r="E50" s="3">
        <v>11</v>
      </c>
      <c r="F50">
        <v>23</v>
      </c>
      <c r="G50" s="1">
        <f>DATEVALUE(_xlfn.CONCAT(BBDD_Usiarios_Netflix[[#This Row],[Día Suscripción]],"/",BBDD_Usiarios_Netflix[[#This Row],[Mes Suscripción]],"/",BBDD_Usiarios_Netflix[[#This Row],[Año Suscripción]]))</f>
        <v>45240</v>
      </c>
      <c r="H50" s="1">
        <v>23</v>
      </c>
      <c r="I50" s="1">
        <v>6</v>
      </c>
      <c r="J50" s="1">
        <v>24</v>
      </c>
      <c r="K50" s="1" t="str">
        <f>TEXT(BBDD_Usiarios_Netflix[[#This Row],[Fecha Suscripción]],"dddd")</f>
        <v>viernes</v>
      </c>
      <c r="L50" s="1">
        <f>DATEVALUE(_xlfn.CONCAT(BBDD_Usiarios_Netflix[[#This Row],[Día Último Pago]],"/",BBDD_Usiarios_Netflix[[#This Row],[Mes Último Pago]],"/",BBDD_Usiarios_Netflix[[#This Row],[Año Último Pago]]))</f>
        <v>45466</v>
      </c>
      <c r="M50" s="4">
        <f>DATEDIF(BBDD_Usiarios_Netflix[[#This Row],[Fecha Suscripción]],BBDD_Usiarios_Netflix[[#This Row],[Fecha Último Pago]],"M")+1</f>
        <v>8</v>
      </c>
      <c r="N50" s="4">
        <f>BBDD_Usiarios_Netflix[[#This Row],[Ingresos Mensuales]]*BBDD_Usiarios_Netflix[[#This Row],[Meses contratados]]</f>
        <v>112</v>
      </c>
      <c r="O50" t="s">
        <v>43</v>
      </c>
      <c r="P50" t="str">
        <f>IF(BBDD_Usiarios_Netflix[[#This Row],[País]]="","Desconocido",BBDD_Usiarios_Netflix[[#This Row],[País]])</f>
        <v>Alemania</v>
      </c>
      <c r="Q50">
        <v>28</v>
      </c>
      <c r="R50" t="s">
        <v>30</v>
      </c>
      <c r="S50" t="s">
        <v>36</v>
      </c>
      <c r="T50" t="s">
        <v>38</v>
      </c>
      <c r="U50">
        <f>IF(IFERROR(VLOOKUP(BBDD_Usiarios_Netflix[[#This Row],[Identificador Usuario]],A51:$A$5870,1,FALSE),0)&lt;&gt;0,1,0)</f>
        <v>0</v>
      </c>
      <c r="V50" s="6" t="str">
        <f>IF(BBDD_Usiarios_Netflix[[#This Row],[Duración Plan]]="12 Meses",LEFT(BBDD_Usiarios_Netflix[[#This Row],[Duración Plan]],2),LEFT(BBDD_Usiarios_Netflix[[#This Row],[Duración Plan]],1))</f>
        <v>3</v>
      </c>
      <c r="W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1" spans="1:23" x14ac:dyDescent="0.25">
      <c r="A51">
        <v>50</v>
      </c>
      <c r="B51" t="s">
        <v>23</v>
      </c>
      <c r="C51">
        <v>11</v>
      </c>
      <c r="D51" s="3">
        <v>2</v>
      </c>
      <c r="E51" s="3">
        <v>6</v>
      </c>
      <c r="F51">
        <v>24</v>
      </c>
      <c r="G51" s="1">
        <f>DATEVALUE(_xlfn.CONCAT(BBDD_Usiarios_Netflix[[#This Row],[Día Suscripción]],"/",BBDD_Usiarios_Netflix[[#This Row],[Mes Suscripción]],"/",BBDD_Usiarios_Netflix[[#This Row],[Año Suscripción]]))</f>
        <v>45445</v>
      </c>
      <c r="H51" s="1">
        <v>22</v>
      </c>
      <c r="I51" s="1">
        <v>6</v>
      </c>
      <c r="J51" s="1">
        <v>24</v>
      </c>
      <c r="K51" s="1" t="str">
        <f>TEXT(BBDD_Usiarios_Netflix[[#This Row],[Fecha Suscripción]],"dddd")</f>
        <v>domingo</v>
      </c>
      <c r="L51" s="1">
        <f>DATEVALUE(_xlfn.CONCAT(BBDD_Usiarios_Netflix[[#This Row],[Día Último Pago]],"/",BBDD_Usiarios_Netflix[[#This Row],[Mes Último Pago]],"/",BBDD_Usiarios_Netflix[[#This Row],[Año Último Pago]]))</f>
        <v>45465</v>
      </c>
      <c r="M51" s="4">
        <f>DATEDIF(BBDD_Usiarios_Netflix[[#This Row],[Fecha Suscripción]],BBDD_Usiarios_Netflix[[#This Row],[Fecha Último Pago]],"M")+1</f>
        <v>1</v>
      </c>
      <c r="N51" s="4">
        <f>BBDD_Usiarios_Netflix[[#This Row],[Ingresos Mensuales]]*BBDD_Usiarios_Netflix[[#This Row],[Meses contratados]]</f>
        <v>11</v>
      </c>
      <c r="O51" t="s">
        <v>46</v>
      </c>
      <c r="P51" t="str">
        <f>IF(BBDD_Usiarios_Netflix[[#This Row],[País]]="","Desconocido",BBDD_Usiarios_Netflix[[#This Row],[País]])</f>
        <v>Méjico</v>
      </c>
      <c r="Q51">
        <v>45</v>
      </c>
      <c r="R51" t="s">
        <v>25</v>
      </c>
      <c r="S51" t="s">
        <v>26</v>
      </c>
      <c r="T51" t="s">
        <v>41</v>
      </c>
      <c r="U51">
        <f>IF(IFERROR(VLOOKUP(BBDD_Usiarios_Netflix[[#This Row],[Identificador Usuario]],A52:$A$5870,1,FALSE),0)&lt;&gt;0,1,0)</f>
        <v>0</v>
      </c>
      <c r="V51" s="6" t="str">
        <f>IF(BBDD_Usiarios_Netflix[[#This Row],[Duración Plan]]="12 Meses",LEFT(BBDD_Usiarios_Netflix[[#This Row],[Duración Plan]],2),LEFT(BBDD_Usiarios_Netflix[[#This Row],[Duración Plan]],1))</f>
        <v>12</v>
      </c>
      <c r="W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2" spans="1:23" x14ac:dyDescent="0.25">
      <c r="A52">
        <v>51</v>
      </c>
      <c r="B52" t="s">
        <v>28</v>
      </c>
      <c r="C52">
        <v>15</v>
      </c>
      <c r="D52" s="3">
        <v>27</v>
      </c>
      <c r="E52" s="3">
        <v>2</v>
      </c>
      <c r="F52">
        <v>24</v>
      </c>
      <c r="G52" s="1">
        <f>DATEVALUE(_xlfn.CONCAT(BBDD_Usiarios_Netflix[[#This Row],[Día Suscripción]],"/",BBDD_Usiarios_Netflix[[#This Row],[Mes Suscripción]],"/",BBDD_Usiarios_Netflix[[#This Row],[Año Suscripción]]))</f>
        <v>45349</v>
      </c>
      <c r="H52" s="1">
        <v>22</v>
      </c>
      <c r="I52" s="1">
        <v>6</v>
      </c>
      <c r="J52" s="1">
        <v>24</v>
      </c>
      <c r="K52" s="1" t="str">
        <f>TEXT(BBDD_Usiarios_Netflix[[#This Row],[Fecha Suscripción]],"dddd")</f>
        <v>martes</v>
      </c>
      <c r="L52" s="1">
        <f>DATEVALUE(_xlfn.CONCAT(BBDD_Usiarios_Netflix[[#This Row],[Día Último Pago]],"/",BBDD_Usiarios_Netflix[[#This Row],[Mes Último Pago]],"/",BBDD_Usiarios_Netflix[[#This Row],[Año Último Pago]]))</f>
        <v>45465</v>
      </c>
      <c r="M52" s="4">
        <f>DATEDIF(BBDD_Usiarios_Netflix[[#This Row],[Fecha Suscripción]],BBDD_Usiarios_Netflix[[#This Row],[Fecha Último Pago]],"M")+1</f>
        <v>4</v>
      </c>
      <c r="N52" s="4">
        <f>BBDD_Usiarios_Netflix[[#This Row],[Ingresos Mensuales]]*BBDD_Usiarios_Netflix[[#This Row],[Meses contratados]]</f>
        <v>60</v>
      </c>
      <c r="O52" t="s">
        <v>33</v>
      </c>
      <c r="P52" t="str">
        <f>IF(BBDD_Usiarios_Netflix[[#This Row],[País]]="","Desconocido",BBDD_Usiarios_Netflix[[#This Row],[País]])</f>
        <v>Francia</v>
      </c>
      <c r="Q52">
        <v>30</v>
      </c>
      <c r="R52" t="s">
        <v>30</v>
      </c>
      <c r="S52" t="s">
        <v>34</v>
      </c>
      <c r="T52" t="s">
        <v>27</v>
      </c>
      <c r="U52">
        <f>IF(IFERROR(VLOOKUP(BBDD_Usiarios_Netflix[[#This Row],[Identificador Usuario]],A53:$A$5870,1,FALSE),0)&lt;&gt;0,1,0)</f>
        <v>0</v>
      </c>
      <c r="V52" s="6" t="str">
        <f>IF(BBDD_Usiarios_Netflix[[#This Row],[Duración Plan]]="12 Meses",LEFT(BBDD_Usiarios_Netflix[[#This Row],[Duración Plan]],2),LEFT(BBDD_Usiarios_Netflix[[#This Row],[Duración Plan]],1))</f>
        <v>1</v>
      </c>
      <c r="W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" spans="1:23" x14ac:dyDescent="0.25">
      <c r="A53">
        <v>52</v>
      </c>
      <c r="B53" t="s">
        <v>23</v>
      </c>
      <c r="C53">
        <v>10</v>
      </c>
      <c r="D53" s="3">
        <v>29</v>
      </c>
      <c r="E53" s="3">
        <v>8</v>
      </c>
      <c r="F53">
        <v>23</v>
      </c>
      <c r="G53" s="1">
        <f>DATEVALUE(_xlfn.CONCAT(BBDD_Usiarios_Netflix[[#This Row],[Día Suscripción]],"/",BBDD_Usiarios_Netflix[[#This Row],[Mes Suscripción]],"/",BBDD_Usiarios_Netflix[[#This Row],[Año Suscripción]]))</f>
        <v>45167</v>
      </c>
      <c r="H53" s="1">
        <v>28</v>
      </c>
      <c r="I53" s="1">
        <v>6</v>
      </c>
      <c r="J53" s="1">
        <v>24</v>
      </c>
      <c r="K53" s="1" t="str">
        <f>TEXT(BBDD_Usiarios_Netflix[[#This Row],[Fecha Suscripción]],"dddd")</f>
        <v>martes</v>
      </c>
      <c r="L53" s="1">
        <f>DATEVALUE(_xlfn.CONCAT(BBDD_Usiarios_Netflix[[#This Row],[Día Último Pago]],"/",BBDD_Usiarios_Netflix[[#This Row],[Mes Último Pago]],"/",BBDD_Usiarios_Netflix[[#This Row],[Año Último Pago]]))</f>
        <v>45471</v>
      </c>
      <c r="M53" s="4">
        <f>DATEDIF(BBDD_Usiarios_Netflix[[#This Row],[Fecha Suscripción]],BBDD_Usiarios_Netflix[[#This Row],[Fecha Último Pago]],"M")+1</f>
        <v>10</v>
      </c>
      <c r="N53" s="4">
        <f>BBDD_Usiarios_Netflix[[#This Row],[Ingresos Mensuales]]*BBDD_Usiarios_Netflix[[#This Row],[Meses contratados]]</f>
        <v>100</v>
      </c>
      <c r="O53" t="s">
        <v>45</v>
      </c>
      <c r="P53" t="str">
        <f>IF(BBDD_Usiarios_Netflix[[#This Row],[País]]="","Desconocido",BBDD_Usiarios_Netflix[[#This Row],[País]])</f>
        <v>España</v>
      </c>
      <c r="Q53">
        <v>37</v>
      </c>
      <c r="R53" t="s">
        <v>25</v>
      </c>
      <c r="S53" t="s">
        <v>31</v>
      </c>
      <c r="T53" t="s">
        <v>35</v>
      </c>
      <c r="U53">
        <f>IF(IFERROR(VLOOKUP(BBDD_Usiarios_Netflix[[#This Row],[Identificador Usuario]],A54:$A$5870,1,FALSE),0)&lt;&gt;0,1,0)</f>
        <v>0</v>
      </c>
      <c r="V53" s="6" t="str">
        <f>IF(BBDD_Usiarios_Netflix[[#This Row],[Duración Plan]]="12 Meses",LEFT(BBDD_Usiarios_Netflix[[#This Row],[Duración Plan]],2),LEFT(BBDD_Usiarios_Netflix[[#This Row],[Duración Plan]],1))</f>
        <v>6</v>
      </c>
      <c r="W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4" spans="1:23" x14ac:dyDescent="0.25">
      <c r="A54">
        <v>53</v>
      </c>
      <c r="B54" t="s">
        <v>32</v>
      </c>
      <c r="C54">
        <v>13</v>
      </c>
      <c r="D54" s="3">
        <v>13</v>
      </c>
      <c r="E54" s="3">
        <v>1</v>
      </c>
      <c r="F54">
        <v>23</v>
      </c>
      <c r="G54" s="1">
        <f>DATEVALUE(_xlfn.CONCAT(BBDD_Usiarios_Netflix[[#This Row],[Día Suscripción]],"/",BBDD_Usiarios_Netflix[[#This Row],[Mes Suscripción]],"/",BBDD_Usiarios_Netflix[[#This Row],[Año Suscripción]]))</f>
        <v>44939</v>
      </c>
      <c r="H54" s="1">
        <v>27</v>
      </c>
      <c r="I54" s="1">
        <v>6</v>
      </c>
      <c r="J54" s="1">
        <v>24</v>
      </c>
      <c r="K54" s="1" t="str">
        <f>TEXT(BBDD_Usiarios_Netflix[[#This Row],[Fecha Suscripción]],"dddd")</f>
        <v>viernes</v>
      </c>
      <c r="L54" s="1">
        <f>DATEVALUE(_xlfn.CONCAT(BBDD_Usiarios_Netflix[[#This Row],[Día Último Pago]],"/",BBDD_Usiarios_Netflix[[#This Row],[Mes Último Pago]],"/",BBDD_Usiarios_Netflix[[#This Row],[Año Último Pago]]))</f>
        <v>45470</v>
      </c>
      <c r="M54" s="4">
        <f>DATEDIF(BBDD_Usiarios_Netflix[[#This Row],[Fecha Suscripción]],BBDD_Usiarios_Netflix[[#This Row],[Fecha Último Pago]],"M")+1</f>
        <v>18</v>
      </c>
      <c r="N54" s="4">
        <f>BBDD_Usiarios_Netflix[[#This Row],[Ingresos Mensuales]]*BBDD_Usiarios_Netflix[[#This Row],[Meses contratados]]</f>
        <v>234</v>
      </c>
      <c r="O54" t="s">
        <v>29</v>
      </c>
      <c r="P54" t="str">
        <f>IF(BBDD_Usiarios_Netflix[[#This Row],[País]]="","Desconocido",BBDD_Usiarios_Netflix[[#This Row],[País]])</f>
        <v>EEUU</v>
      </c>
      <c r="Q54">
        <v>41</v>
      </c>
      <c r="R54" t="s">
        <v>30</v>
      </c>
      <c r="S54" t="s">
        <v>36</v>
      </c>
      <c r="T54" t="s">
        <v>27</v>
      </c>
      <c r="U54">
        <f>IF(IFERROR(VLOOKUP(BBDD_Usiarios_Netflix[[#This Row],[Identificador Usuario]],A55:$A$5870,1,FALSE),0)&lt;&gt;0,1,0)</f>
        <v>0</v>
      </c>
      <c r="V54" s="6" t="str">
        <f>IF(BBDD_Usiarios_Netflix[[#This Row],[Duración Plan]]="12 Meses",LEFT(BBDD_Usiarios_Netflix[[#This Row],[Duración Plan]],2),LEFT(BBDD_Usiarios_Netflix[[#This Row],[Duración Plan]],1))</f>
        <v>1</v>
      </c>
      <c r="W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" spans="1:23" x14ac:dyDescent="0.25">
      <c r="A55">
        <v>54</v>
      </c>
      <c r="B55" t="s">
        <v>32</v>
      </c>
      <c r="C55">
        <v>12</v>
      </c>
      <c r="D55" s="3">
        <v>30</v>
      </c>
      <c r="E55" s="3">
        <v>6</v>
      </c>
      <c r="F55">
        <v>23</v>
      </c>
      <c r="G55" s="1">
        <f>DATEVALUE(_xlfn.CONCAT(BBDD_Usiarios_Netflix[[#This Row],[Día Suscripción]],"/",BBDD_Usiarios_Netflix[[#This Row],[Mes Suscripción]],"/",BBDD_Usiarios_Netflix[[#This Row],[Año Suscripción]]))</f>
        <v>45107</v>
      </c>
      <c r="H55" s="1">
        <v>26</v>
      </c>
      <c r="I55" s="1">
        <v>6</v>
      </c>
      <c r="J55" s="1">
        <v>24</v>
      </c>
      <c r="K55" s="1" t="str">
        <f>TEXT(BBDD_Usiarios_Netflix[[#This Row],[Fecha Suscripción]],"dddd")</f>
        <v>viernes</v>
      </c>
      <c r="L55" s="1">
        <f>DATEVALUE(_xlfn.CONCAT(BBDD_Usiarios_Netflix[[#This Row],[Día Último Pago]],"/",BBDD_Usiarios_Netflix[[#This Row],[Mes Último Pago]],"/",BBDD_Usiarios_Netflix[[#This Row],[Año Último Pago]]))</f>
        <v>45469</v>
      </c>
      <c r="M55" s="4">
        <f>DATEDIF(BBDD_Usiarios_Netflix[[#This Row],[Fecha Suscripción]],BBDD_Usiarios_Netflix[[#This Row],[Fecha Último Pago]],"M")+1</f>
        <v>12</v>
      </c>
      <c r="N55" s="4">
        <f>BBDD_Usiarios_Netflix[[#This Row],[Ingresos Mensuales]]*BBDD_Usiarios_Netflix[[#This Row],[Meses contratados]]</f>
        <v>144</v>
      </c>
      <c r="O55" t="s">
        <v>43</v>
      </c>
      <c r="P55" t="str">
        <f>IF(BBDD_Usiarios_Netflix[[#This Row],[País]]="","Desconocido",BBDD_Usiarios_Netflix[[#This Row],[País]])</f>
        <v>Alemania</v>
      </c>
      <c r="Q55">
        <v>29</v>
      </c>
      <c r="R55" t="s">
        <v>25</v>
      </c>
      <c r="S55" t="s">
        <v>26</v>
      </c>
      <c r="T55" t="s">
        <v>27</v>
      </c>
      <c r="U55">
        <f>IF(IFERROR(VLOOKUP(BBDD_Usiarios_Netflix[[#This Row],[Identificador Usuario]],A56:$A$5870,1,FALSE),0)&lt;&gt;0,1,0)</f>
        <v>0</v>
      </c>
      <c r="V55" s="6" t="str">
        <f>IF(BBDD_Usiarios_Netflix[[#This Row],[Duración Plan]]="12 Meses",LEFT(BBDD_Usiarios_Netflix[[#This Row],[Duración Plan]],2),LEFT(BBDD_Usiarios_Netflix[[#This Row],[Duración Plan]],1))</f>
        <v>1</v>
      </c>
      <c r="W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" spans="1:23" x14ac:dyDescent="0.25">
      <c r="A56">
        <v>55</v>
      </c>
      <c r="B56" t="s">
        <v>23</v>
      </c>
      <c r="C56">
        <v>11</v>
      </c>
      <c r="D56" s="3">
        <v>20</v>
      </c>
      <c r="E56" s="3">
        <v>4</v>
      </c>
      <c r="F56">
        <v>24</v>
      </c>
      <c r="G56" s="1">
        <f>DATEVALUE(_xlfn.CONCAT(BBDD_Usiarios_Netflix[[#This Row],[Día Suscripción]],"/",BBDD_Usiarios_Netflix[[#This Row],[Mes Suscripción]],"/",BBDD_Usiarios_Netflix[[#This Row],[Año Suscripción]]))</f>
        <v>45402</v>
      </c>
      <c r="H56" s="1">
        <v>28</v>
      </c>
      <c r="I56" s="1">
        <v>6</v>
      </c>
      <c r="J56" s="1">
        <v>24</v>
      </c>
      <c r="K56" s="1" t="str">
        <f>TEXT(BBDD_Usiarios_Netflix[[#This Row],[Fecha Suscripción]],"dddd")</f>
        <v>sábado</v>
      </c>
      <c r="L56" s="1">
        <f>DATEVALUE(_xlfn.CONCAT(BBDD_Usiarios_Netflix[[#This Row],[Día Último Pago]],"/",BBDD_Usiarios_Netflix[[#This Row],[Mes Último Pago]],"/",BBDD_Usiarios_Netflix[[#This Row],[Año Último Pago]]))</f>
        <v>45471</v>
      </c>
      <c r="M56" s="4">
        <f>DATEDIF(BBDD_Usiarios_Netflix[[#This Row],[Fecha Suscripción]],BBDD_Usiarios_Netflix[[#This Row],[Fecha Último Pago]],"M")+1</f>
        <v>3</v>
      </c>
      <c r="N56" s="4">
        <f>BBDD_Usiarios_Netflix[[#This Row],[Ingresos Mensuales]]*BBDD_Usiarios_Netflix[[#This Row],[Meses contratados]]</f>
        <v>33</v>
      </c>
      <c r="O56" t="s">
        <v>24</v>
      </c>
      <c r="P56" t="str">
        <f>IF(BBDD_Usiarios_Netflix[[#This Row],[País]]="","Desconocido",BBDD_Usiarios_Netflix[[#This Row],[País]])</f>
        <v>Australia</v>
      </c>
      <c r="Q56">
        <v>39</v>
      </c>
      <c r="R56" t="s">
        <v>30</v>
      </c>
      <c r="S56" t="s">
        <v>34</v>
      </c>
      <c r="T56" t="s">
        <v>27</v>
      </c>
      <c r="U56">
        <f>IF(IFERROR(VLOOKUP(BBDD_Usiarios_Netflix[[#This Row],[Identificador Usuario]],A57:$A$5870,1,FALSE),0)&lt;&gt;0,1,0)</f>
        <v>0</v>
      </c>
      <c r="V56" s="6" t="str">
        <f>IF(BBDD_Usiarios_Netflix[[#This Row],[Duración Plan]]="12 Meses",LEFT(BBDD_Usiarios_Netflix[[#This Row],[Duración Plan]],2),LEFT(BBDD_Usiarios_Netflix[[#This Row],[Duración Plan]],1))</f>
        <v>1</v>
      </c>
      <c r="W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7" spans="1:23" x14ac:dyDescent="0.25">
      <c r="A57">
        <v>56</v>
      </c>
      <c r="B57" t="s">
        <v>28</v>
      </c>
      <c r="C57">
        <v>15</v>
      </c>
      <c r="D57" s="3">
        <v>15</v>
      </c>
      <c r="E57" s="3">
        <v>3</v>
      </c>
      <c r="F57">
        <v>23</v>
      </c>
      <c r="G57" s="1">
        <f>DATEVALUE(_xlfn.CONCAT(BBDD_Usiarios_Netflix[[#This Row],[Día Suscripción]],"/",BBDD_Usiarios_Netflix[[#This Row],[Mes Suscripción]],"/",BBDD_Usiarios_Netflix[[#This Row],[Año Suscripción]]))</f>
        <v>45000</v>
      </c>
      <c r="H57" s="1">
        <v>27</v>
      </c>
      <c r="I57" s="1">
        <v>6</v>
      </c>
      <c r="J57" s="1">
        <v>24</v>
      </c>
      <c r="K57" s="1" t="str">
        <f>TEXT(BBDD_Usiarios_Netflix[[#This Row],[Fecha Suscripción]],"dddd")</f>
        <v>miércoles</v>
      </c>
      <c r="L57" s="1">
        <f>DATEVALUE(_xlfn.CONCAT(BBDD_Usiarios_Netflix[[#This Row],[Día Último Pago]],"/",BBDD_Usiarios_Netflix[[#This Row],[Mes Último Pago]],"/",BBDD_Usiarios_Netflix[[#This Row],[Año Último Pago]]))</f>
        <v>45470</v>
      </c>
      <c r="M57" s="4">
        <f>DATEDIF(BBDD_Usiarios_Netflix[[#This Row],[Fecha Suscripción]],BBDD_Usiarios_Netflix[[#This Row],[Fecha Último Pago]],"M")+1</f>
        <v>16</v>
      </c>
      <c r="N57" s="4">
        <f>BBDD_Usiarios_Netflix[[#This Row],[Ingresos Mensuales]]*BBDD_Usiarios_Netflix[[#This Row],[Meses contratados]]</f>
        <v>240</v>
      </c>
      <c r="O57" t="s">
        <v>39</v>
      </c>
      <c r="P57" t="str">
        <f>IF(BBDD_Usiarios_Netflix[[#This Row],[País]]="","Desconocido",BBDD_Usiarios_Netflix[[#This Row],[País]])</f>
        <v>Canadá</v>
      </c>
      <c r="Q57">
        <v>36</v>
      </c>
      <c r="R57" t="s">
        <v>25</v>
      </c>
      <c r="S57" t="s">
        <v>31</v>
      </c>
      <c r="T57" t="s">
        <v>38</v>
      </c>
      <c r="U57">
        <f>IF(IFERROR(VLOOKUP(BBDD_Usiarios_Netflix[[#This Row],[Identificador Usuario]],A58:$A$5870,1,FALSE),0)&lt;&gt;0,1,0)</f>
        <v>0</v>
      </c>
      <c r="V57" s="6" t="str">
        <f>IF(BBDD_Usiarios_Netflix[[#This Row],[Duración Plan]]="12 Meses",LEFT(BBDD_Usiarios_Netflix[[#This Row],[Duración Plan]],2),LEFT(BBDD_Usiarios_Netflix[[#This Row],[Duración Plan]],1))</f>
        <v>3</v>
      </c>
      <c r="W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8" spans="1:23" x14ac:dyDescent="0.25">
      <c r="A58">
        <v>57</v>
      </c>
      <c r="B58" t="s">
        <v>23</v>
      </c>
      <c r="C58">
        <v>10</v>
      </c>
      <c r="D58" s="3">
        <v>1</v>
      </c>
      <c r="E58" s="3">
        <v>10</v>
      </c>
      <c r="F58">
        <v>23</v>
      </c>
      <c r="G58" s="1">
        <f>DATEVALUE(_xlfn.CONCAT(BBDD_Usiarios_Netflix[[#This Row],[Día Suscripción]],"/",BBDD_Usiarios_Netflix[[#This Row],[Mes Suscripción]],"/",BBDD_Usiarios_Netflix[[#This Row],[Año Suscripción]]))</f>
        <v>45200</v>
      </c>
      <c r="H58" s="1">
        <v>25</v>
      </c>
      <c r="I58" s="1">
        <v>6</v>
      </c>
      <c r="J58" s="1">
        <v>24</v>
      </c>
      <c r="K58" s="1" t="str">
        <f>TEXT(BBDD_Usiarios_Netflix[[#This Row],[Fecha Suscripción]],"dddd")</f>
        <v>domingo</v>
      </c>
      <c r="L58" s="1">
        <f>DATEVALUE(_xlfn.CONCAT(BBDD_Usiarios_Netflix[[#This Row],[Día Último Pago]],"/",BBDD_Usiarios_Netflix[[#This Row],[Mes Último Pago]],"/",BBDD_Usiarios_Netflix[[#This Row],[Año Último Pago]]))</f>
        <v>45468</v>
      </c>
      <c r="M58" s="4">
        <f>DATEDIF(BBDD_Usiarios_Netflix[[#This Row],[Fecha Suscripción]],BBDD_Usiarios_Netflix[[#This Row],[Fecha Último Pago]],"M")+1</f>
        <v>9</v>
      </c>
      <c r="N58" s="4">
        <f>BBDD_Usiarios_Netflix[[#This Row],[Ingresos Mensuales]]*BBDD_Usiarios_Netflix[[#This Row],[Meses contratados]]</f>
        <v>90</v>
      </c>
      <c r="O58" t="s">
        <v>24</v>
      </c>
      <c r="P58" t="str">
        <f>IF(BBDD_Usiarios_Netflix[[#This Row],[País]]="","Desconocido",BBDD_Usiarios_Netflix[[#This Row],[País]])</f>
        <v>Australia</v>
      </c>
      <c r="Q58">
        <v>46</v>
      </c>
      <c r="R58" t="s">
        <v>30</v>
      </c>
      <c r="S58" t="s">
        <v>36</v>
      </c>
      <c r="T58" t="s">
        <v>27</v>
      </c>
      <c r="U58">
        <f>IF(IFERROR(VLOOKUP(BBDD_Usiarios_Netflix[[#This Row],[Identificador Usuario]],A59:$A$5870,1,FALSE),0)&lt;&gt;0,1,0)</f>
        <v>0</v>
      </c>
      <c r="V58" s="6" t="str">
        <f>IF(BBDD_Usiarios_Netflix[[#This Row],[Duración Plan]]="12 Meses",LEFT(BBDD_Usiarios_Netflix[[#This Row],[Duración Plan]],2),LEFT(BBDD_Usiarios_Netflix[[#This Row],[Duración Plan]],1))</f>
        <v>1</v>
      </c>
      <c r="W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9" spans="1:23" x14ac:dyDescent="0.25">
      <c r="A59">
        <v>58</v>
      </c>
      <c r="B59" t="s">
        <v>32</v>
      </c>
      <c r="C59">
        <v>13</v>
      </c>
      <c r="D59" s="3">
        <v>8</v>
      </c>
      <c r="E59" s="3">
        <v>10</v>
      </c>
      <c r="F59">
        <v>22</v>
      </c>
      <c r="G59" s="1">
        <f>DATEVALUE(_xlfn.CONCAT(BBDD_Usiarios_Netflix[[#This Row],[Día Suscripción]],"/",BBDD_Usiarios_Netflix[[#This Row],[Mes Suscripción]],"/",BBDD_Usiarios_Netflix[[#This Row],[Año Suscripción]]))</f>
        <v>44842</v>
      </c>
      <c r="H59" s="1">
        <v>24</v>
      </c>
      <c r="I59" s="1">
        <v>6</v>
      </c>
      <c r="J59" s="1">
        <v>24</v>
      </c>
      <c r="K59" s="1" t="str">
        <f>TEXT(BBDD_Usiarios_Netflix[[#This Row],[Fecha Suscripción]],"dddd")</f>
        <v>sábado</v>
      </c>
      <c r="L59" s="1">
        <f>DATEVALUE(_xlfn.CONCAT(BBDD_Usiarios_Netflix[[#This Row],[Día Último Pago]],"/",BBDD_Usiarios_Netflix[[#This Row],[Mes Último Pago]],"/",BBDD_Usiarios_Netflix[[#This Row],[Año Último Pago]]))</f>
        <v>45467</v>
      </c>
      <c r="M59" s="4">
        <f>DATEDIF(BBDD_Usiarios_Netflix[[#This Row],[Fecha Suscripción]],BBDD_Usiarios_Netflix[[#This Row],[Fecha Último Pago]],"M")+1</f>
        <v>21</v>
      </c>
      <c r="N59" s="4">
        <f>BBDD_Usiarios_Netflix[[#This Row],[Ingresos Mensuales]]*BBDD_Usiarios_Netflix[[#This Row],[Meses contratados]]</f>
        <v>273</v>
      </c>
      <c r="O59" t="s">
        <v>44</v>
      </c>
      <c r="P59" t="str">
        <f>IF(BBDD_Usiarios_Netflix[[#This Row],[País]]="","Desconocido",BBDD_Usiarios_Netflix[[#This Row],[País]])</f>
        <v>Desconocido</v>
      </c>
      <c r="Q59">
        <v>34</v>
      </c>
      <c r="R59" t="s">
        <v>25</v>
      </c>
      <c r="S59" t="s">
        <v>26</v>
      </c>
      <c r="T59" t="s">
        <v>38</v>
      </c>
      <c r="U59">
        <f>IF(IFERROR(VLOOKUP(BBDD_Usiarios_Netflix[[#This Row],[Identificador Usuario]],A60:$A$5870,1,FALSE),0)&lt;&gt;0,1,0)</f>
        <v>0</v>
      </c>
      <c r="V59" s="6" t="str">
        <f>IF(BBDD_Usiarios_Netflix[[#This Row],[Duración Plan]]="12 Meses",LEFT(BBDD_Usiarios_Netflix[[#This Row],[Duración Plan]],2),LEFT(BBDD_Usiarios_Netflix[[#This Row],[Duración Plan]],1))</f>
        <v>3</v>
      </c>
      <c r="W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0" spans="1:23" x14ac:dyDescent="0.25">
      <c r="A60">
        <v>59</v>
      </c>
      <c r="B60" t="s">
        <v>28</v>
      </c>
      <c r="C60">
        <v>15</v>
      </c>
      <c r="D60" s="3">
        <v>3</v>
      </c>
      <c r="E60" s="3">
        <v>12</v>
      </c>
      <c r="F60">
        <v>23</v>
      </c>
      <c r="G60" s="1">
        <f>DATEVALUE(_xlfn.CONCAT(BBDD_Usiarios_Netflix[[#This Row],[Día Suscripción]],"/",BBDD_Usiarios_Netflix[[#This Row],[Mes Suscripción]],"/",BBDD_Usiarios_Netflix[[#This Row],[Año Suscripción]]))</f>
        <v>45263</v>
      </c>
      <c r="H60" s="1">
        <v>23</v>
      </c>
      <c r="I60" s="1">
        <v>6</v>
      </c>
      <c r="J60" s="1">
        <v>24</v>
      </c>
      <c r="K60" s="1" t="str">
        <f>TEXT(BBDD_Usiarios_Netflix[[#This Row],[Fecha Suscripción]],"dddd")</f>
        <v>domingo</v>
      </c>
      <c r="L60" s="1">
        <f>DATEVALUE(_xlfn.CONCAT(BBDD_Usiarios_Netflix[[#This Row],[Día Último Pago]],"/",BBDD_Usiarios_Netflix[[#This Row],[Mes Último Pago]],"/",BBDD_Usiarios_Netflix[[#This Row],[Año Último Pago]]))</f>
        <v>45466</v>
      </c>
      <c r="M60" s="4">
        <f>DATEDIF(BBDD_Usiarios_Netflix[[#This Row],[Fecha Suscripción]],BBDD_Usiarios_Netflix[[#This Row],[Fecha Último Pago]],"M")+1</f>
        <v>7</v>
      </c>
      <c r="N60" s="4">
        <f>BBDD_Usiarios_Netflix[[#This Row],[Ingresos Mensuales]]*BBDD_Usiarios_Netflix[[#This Row],[Meses contratados]]</f>
        <v>105</v>
      </c>
      <c r="O60" t="s">
        <v>24</v>
      </c>
      <c r="P60" t="str">
        <f>IF(BBDD_Usiarios_Netflix[[#This Row],[País]]="","Desconocido",BBDD_Usiarios_Netflix[[#This Row],[País]])</f>
        <v>Australia</v>
      </c>
      <c r="Q60">
        <v>27</v>
      </c>
      <c r="R60" t="s">
        <v>30</v>
      </c>
      <c r="S60" t="s">
        <v>34</v>
      </c>
      <c r="T60" t="s">
        <v>35</v>
      </c>
      <c r="U60">
        <f>IF(IFERROR(VLOOKUP(BBDD_Usiarios_Netflix[[#This Row],[Identificador Usuario]],A61:$A$5870,1,FALSE),0)&lt;&gt;0,1,0)</f>
        <v>0</v>
      </c>
      <c r="V60" s="6" t="str">
        <f>IF(BBDD_Usiarios_Netflix[[#This Row],[Duración Plan]]="12 Meses",LEFT(BBDD_Usiarios_Netflix[[#This Row],[Duración Plan]],2),LEFT(BBDD_Usiarios_Netflix[[#This Row],[Duración Plan]],1))</f>
        <v>6</v>
      </c>
      <c r="W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1" spans="1:23" x14ac:dyDescent="0.25">
      <c r="A61">
        <v>60</v>
      </c>
      <c r="B61" t="s">
        <v>23</v>
      </c>
      <c r="C61">
        <v>11</v>
      </c>
      <c r="D61" s="3">
        <v>14</v>
      </c>
      <c r="E61" s="3">
        <v>6</v>
      </c>
      <c r="F61">
        <v>24</v>
      </c>
      <c r="G61" s="1">
        <f>DATEVALUE(_xlfn.CONCAT(BBDD_Usiarios_Netflix[[#This Row],[Día Suscripción]],"/",BBDD_Usiarios_Netflix[[#This Row],[Mes Suscripción]],"/",BBDD_Usiarios_Netflix[[#This Row],[Año Suscripción]]))</f>
        <v>45457</v>
      </c>
      <c r="H61" s="1">
        <v>22</v>
      </c>
      <c r="I61" s="1">
        <v>6</v>
      </c>
      <c r="J61" s="1">
        <v>24</v>
      </c>
      <c r="K61" s="1" t="str">
        <f>TEXT(BBDD_Usiarios_Netflix[[#This Row],[Fecha Suscripción]],"dddd")</f>
        <v>viernes</v>
      </c>
      <c r="L61" s="1">
        <f>DATEVALUE(_xlfn.CONCAT(BBDD_Usiarios_Netflix[[#This Row],[Día Último Pago]],"/",BBDD_Usiarios_Netflix[[#This Row],[Mes Último Pago]],"/",BBDD_Usiarios_Netflix[[#This Row],[Año Último Pago]]))</f>
        <v>45465</v>
      </c>
      <c r="M61" s="4">
        <f>DATEDIF(BBDD_Usiarios_Netflix[[#This Row],[Fecha Suscripción]],BBDD_Usiarios_Netflix[[#This Row],[Fecha Último Pago]],"M")+1</f>
        <v>1</v>
      </c>
      <c r="N61" s="4">
        <f>BBDD_Usiarios_Netflix[[#This Row],[Ingresos Mensuales]]*BBDD_Usiarios_Netflix[[#This Row],[Meses contratados]]</f>
        <v>11</v>
      </c>
      <c r="O61" t="s">
        <v>40</v>
      </c>
      <c r="P61" t="str">
        <f>IF(BBDD_Usiarios_Netflix[[#This Row],[País]]="","Desconocido",BBDD_Usiarios_Netflix[[#This Row],[País]])</f>
        <v>Italia</v>
      </c>
      <c r="Q61">
        <v>42</v>
      </c>
      <c r="R61" t="s">
        <v>25</v>
      </c>
      <c r="S61" t="s">
        <v>31</v>
      </c>
      <c r="T61" t="s">
        <v>27</v>
      </c>
      <c r="U61">
        <f>IF(IFERROR(VLOOKUP(BBDD_Usiarios_Netflix[[#This Row],[Identificador Usuario]],A62:$A$5870,1,FALSE),0)&lt;&gt;0,1,0)</f>
        <v>0</v>
      </c>
      <c r="V61" s="6" t="str">
        <f>IF(BBDD_Usiarios_Netflix[[#This Row],[Duración Plan]]="12 Meses",LEFT(BBDD_Usiarios_Netflix[[#This Row],[Duración Plan]],2),LEFT(BBDD_Usiarios_Netflix[[#This Row],[Duración Plan]],1))</f>
        <v>1</v>
      </c>
      <c r="W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2" spans="1:23" x14ac:dyDescent="0.25">
      <c r="A62">
        <v>61</v>
      </c>
      <c r="B62" t="s">
        <v>28</v>
      </c>
      <c r="C62">
        <v>15</v>
      </c>
      <c r="D62" s="3">
        <v>8</v>
      </c>
      <c r="E62" s="3">
        <v>2</v>
      </c>
      <c r="F62">
        <v>24</v>
      </c>
      <c r="G62" s="1">
        <f>DATEVALUE(_xlfn.CONCAT(BBDD_Usiarios_Netflix[[#This Row],[Día Suscripción]],"/",BBDD_Usiarios_Netflix[[#This Row],[Mes Suscripción]],"/",BBDD_Usiarios_Netflix[[#This Row],[Año Suscripción]]))</f>
        <v>45330</v>
      </c>
      <c r="H62" s="1">
        <v>22</v>
      </c>
      <c r="I62" s="1">
        <v>6</v>
      </c>
      <c r="J62" s="1">
        <v>24</v>
      </c>
      <c r="K62" s="1" t="str">
        <f>TEXT(BBDD_Usiarios_Netflix[[#This Row],[Fecha Suscripción]],"dddd")</f>
        <v>jueves</v>
      </c>
      <c r="L62" s="1">
        <f>DATEVALUE(_xlfn.CONCAT(BBDD_Usiarios_Netflix[[#This Row],[Día Último Pago]],"/",BBDD_Usiarios_Netflix[[#This Row],[Mes Último Pago]],"/",BBDD_Usiarios_Netflix[[#This Row],[Año Último Pago]]))</f>
        <v>45465</v>
      </c>
      <c r="M62" s="4">
        <f>DATEDIF(BBDD_Usiarios_Netflix[[#This Row],[Fecha Suscripción]],BBDD_Usiarios_Netflix[[#This Row],[Fecha Último Pago]],"M")+1</f>
        <v>5</v>
      </c>
      <c r="N62" s="4">
        <f>BBDD_Usiarios_Netflix[[#This Row],[Ingresos Mensuales]]*BBDD_Usiarios_Netflix[[#This Row],[Meses contratados]]</f>
        <v>75</v>
      </c>
      <c r="O62" t="s">
        <v>29</v>
      </c>
      <c r="P62" t="str">
        <f>IF(BBDD_Usiarios_Netflix[[#This Row],[País]]="","Desconocido",BBDD_Usiarios_Netflix[[#This Row],[País]])</f>
        <v>EEUU</v>
      </c>
      <c r="Q62">
        <v>28</v>
      </c>
      <c r="R62" t="s">
        <v>30</v>
      </c>
      <c r="S62" t="s">
        <v>36</v>
      </c>
      <c r="T62" t="s">
        <v>41</v>
      </c>
      <c r="U62">
        <f>IF(IFERROR(VLOOKUP(BBDD_Usiarios_Netflix[[#This Row],[Identificador Usuario]],A63:$A$5870,1,FALSE),0)&lt;&gt;0,1,0)</f>
        <v>0</v>
      </c>
      <c r="V62" s="6" t="str">
        <f>IF(BBDD_Usiarios_Netflix[[#This Row],[Duración Plan]]="12 Meses",LEFT(BBDD_Usiarios_Netflix[[#This Row],[Duración Plan]],2),LEFT(BBDD_Usiarios_Netflix[[#This Row],[Duración Plan]],1))</f>
        <v>12</v>
      </c>
      <c r="W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3" spans="1:23" x14ac:dyDescent="0.25">
      <c r="A63">
        <v>62</v>
      </c>
      <c r="B63" t="s">
        <v>23</v>
      </c>
      <c r="C63">
        <v>10</v>
      </c>
      <c r="D63" s="3">
        <v>3</v>
      </c>
      <c r="E63" s="3">
        <v>8</v>
      </c>
      <c r="F63">
        <v>23</v>
      </c>
      <c r="G63" s="1">
        <f>DATEVALUE(_xlfn.CONCAT(BBDD_Usiarios_Netflix[[#This Row],[Día Suscripción]],"/",BBDD_Usiarios_Netflix[[#This Row],[Mes Suscripción]],"/",BBDD_Usiarios_Netflix[[#This Row],[Año Suscripción]]))</f>
        <v>45141</v>
      </c>
      <c r="H63" s="1">
        <v>28</v>
      </c>
      <c r="I63" s="1">
        <v>6</v>
      </c>
      <c r="J63" s="1">
        <v>24</v>
      </c>
      <c r="K63" s="1" t="str">
        <f>TEXT(BBDD_Usiarios_Netflix[[#This Row],[Fecha Suscripción]],"dddd")</f>
        <v>jueves</v>
      </c>
      <c r="L63" s="1">
        <f>DATEVALUE(_xlfn.CONCAT(BBDD_Usiarios_Netflix[[#This Row],[Día Último Pago]],"/",BBDD_Usiarios_Netflix[[#This Row],[Mes Último Pago]],"/",BBDD_Usiarios_Netflix[[#This Row],[Año Último Pago]]))</f>
        <v>45471</v>
      </c>
      <c r="M63" s="4">
        <f>DATEDIF(BBDD_Usiarios_Netflix[[#This Row],[Fecha Suscripción]],BBDD_Usiarios_Netflix[[#This Row],[Fecha Último Pago]],"M")+1</f>
        <v>11</v>
      </c>
      <c r="N63" s="4">
        <f>BBDD_Usiarios_Netflix[[#This Row],[Ingresos Mensuales]]*BBDD_Usiarios_Netflix[[#This Row],[Meses contratados]]</f>
        <v>110</v>
      </c>
      <c r="O63" t="s">
        <v>24</v>
      </c>
      <c r="P63" t="str">
        <f>IF(BBDD_Usiarios_Netflix[[#This Row],[País]]="","Desconocido",BBDD_Usiarios_Netflix[[#This Row],[País]])</f>
        <v>Australia</v>
      </c>
      <c r="Q63">
        <v>37</v>
      </c>
      <c r="R63" t="s">
        <v>25</v>
      </c>
      <c r="S63" t="s">
        <v>26</v>
      </c>
      <c r="T63" t="s">
        <v>35</v>
      </c>
      <c r="U63">
        <f>IF(IFERROR(VLOOKUP(BBDD_Usiarios_Netflix[[#This Row],[Identificador Usuario]],A64:$A$5870,1,FALSE),0)&lt;&gt;0,1,0)</f>
        <v>0</v>
      </c>
      <c r="V63" s="6" t="str">
        <f>IF(BBDD_Usiarios_Netflix[[#This Row],[Duración Plan]]="12 Meses",LEFT(BBDD_Usiarios_Netflix[[#This Row],[Duración Plan]],2),LEFT(BBDD_Usiarios_Netflix[[#This Row],[Duración Plan]],1))</f>
        <v>6</v>
      </c>
      <c r="W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4" spans="1:23" x14ac:dyDescent="0.25">
      <c r="A64">
        <v>63</v>
      </c>
      <c r="B64" t="s">
        <v>32</v>
      </c>
      <c r="C64">
        <v>13</v>
      </c>
      <c r="D64" s="3">
        <v>23</v>
      </c>
      <c r="E64" s="3">
        <v>2</v>
      </c>
      <c r="F64">
        <v>23</v>
      </c>
      <c r="G64" s="1">
        <f>DATEVALUE(_xlfn.CONCAT(BBDD_Usiarios_Netflix[[#This Row],[Día Suscripción]],"/",BBDD_Usiarios_Netflix[[#This Row],[Mes Suscripción]],"/",BBDD_Usiarios_Netflix[[#This Row],[Año Suscripción]]))</f>
        <v>44980</v>
      </c>
      <c r="H64" s="1">
        <v>27</v>
      </c>
      <c r="I64" s="1">
        <v>6</v>
      </c>
      <c r="J64" s="1">
        <v>24</v>
      </c>
      <c r="K64" s="1" t="str">
        <f>TEXT(BBDD_Usiarios_Netflix[[#This Row],[Fecha Suscripción]],"dddd")</f>
        <v>jueves</v>
      </c>
      <c r="L64" s="1">
        <f>DATEVALUE(_xlfn.CONCAT(BBDD_Usiarios_Netflix[[#This Row],[Día Último Pago]],"/",BBDD_Usiarios_Netflix[[#This Row],[Mes Último Pago]],"/",BBDD_Usiarios_Netflix[[#This Row],[Año Último Pago]]))</f>
        <v>45470</v>
      </c>
      <c r="M64" s="4">
        <f>DATEDIF(BBDD_Usiarios_Netflix[[#This Row],[Fecha Suscripción]],BBDD_Usiarios_Netflix[[#This Row],[Fecha Último Pago]],"M")+1</f>
        <v>17</v>
      </c>
      <c r="N64" s="4">
        <f>BBDD_Usiarios_Netflix[[#This Row],[Ingresos Mensuales]]*BBDD_Usiarios_Netflix[[#This Row],[Meses contratados]]</f>
        <v>221</v>
      </c>
      <c r="O64" t="s">
        <v>40</v>
      </c>
      <c r="P64" t="str">
        <f>IF(BBDD_Usiarios_Netflix[[#This Row],[País]]="","Desconocido",BBDD_Usiarios_Netflix[[#This Row],[País]])</f>
        <v>Italia</v>
      </c>
      <c r="Q64">
        <v>41</v>
      </c>
      <c r="R64" t="s">
        <v>30</v>
      </c>
      <c r="S64" t="s">
        <v>34</v>
      </c>
      <c r="T64" t="s">
        <v>27</v>
      </c>
      <c r="U64">
        <f>IF(IFERROR(VLOOKUP(BBDD_Usiarios_Netflix[[#This Row],[Identificador Usuario]],A65:$A$5870,1,FALSE),0)&lt;&gt;0,1,0)</f>
        <v>0</v>
      </c>
      <c r="V64" s="6" t="str">
        <f>IF(BBDD_Usiarios_Netflix[[#This Row],[Duración Plan]]="12 Meses",LEFT(BBDD_Usiarios_Netflix[[#This Row],[Duración Plan]],2),LEFT(BBDD_Usiarios_Netflix[[#This Row],[Duración Plan]],1))</f>
        <v>1</v>
      </c>
      <c r="W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5" spans="1:23" x14ac:dyDescent="0.25">
      <c r="A65">
        <v>64</v>
      </c>
      <c r="B65" t="s">
        <v>32</v>
      </c>
      <c r="C65">
        <v>12</v>
      </c>
      <c r="D65" s="3">
        <v>20</v>
      </c>
      <c r="E65" s="3">
        <v>6</v>
      </c>
      <c r="F65">
        <v>23</v>
      </c>
      <c r="G65" s="1">
        <f>DATEVALUE(_xlfn.CONCAT(BBDD_Usiarios_Netflix[[#This Row],[Día Suscripción]],"/",BBDD_Usiarios_Netflix[[#This Row],[Mes Suscripción]],"/",BBDD_Usiarios_Netflix[[#This Row],[Año Suscripción]]))</f>
        <v>45097</v>
      </c>
      <c r="H65" s="1">
        <v>26</v>
      </c>
      <c r="I65" s="1">
        <v>6</v>
      </c>
      <c r="J65" s="1">
        <v>24</v>
      </c>
      <c r="K65" s="1" t="str">
        <f>TEXT(BBDD_Usiarios_Netflix[[#This Row],[Fecha Suscripción]],"dddd")</f>
        <v>martes</v>
      </c>
      <c r="L65" s="1">
        <f>DATEVALUE(_xlfn.CONCAT(BBDD_Usiarios_Netflix[[#This Row],[Día Último Pago]],"/",BBDD_Usiarios_Netflix[[#This Row],[Mes Último Pago]],"/",BBDD_Usiarios_Netflix[[#This Row],[Año Último Pago]]))</f>
        <v>45469</v>
      </c>
      <c r="M65" s="4">
        <f>DATEDIF(BBDD_Usiarios_Netflix[[#This Row],[Fecha Suscripción]],BBDD_Usiarios_Netflix[[#This Row],[Fecha Último Pago]],"M")+1</f>
        <v>13</v>
      </c>
      <c r="N65" s="4">
        <f>BBDD_Usiarios_Netflix[[#This Row],[Ingresos Mensuales]]*BBDD_Usiarios_Netflix[[#This Row],[Meses contratados]]</f>
        <v>156</v>
      </c>
      <c r="O65" t="s">
        <v>40</v>
      </c>
      <c r="P65" t="str">
        <f>IF(BBDD_Usiarios_Netflix[[#This Row],[País]]="","Desconocido",BBDD_Usiarios_Netflix[[#This Row],[País]])</f>
        <v>Italia</v>
      </c>
      <c r="Q65">
        <v>29</v>
      </c>
      <c r="R65" t="s">
        <v>25</v>
      </c>
      <c r="S65" t="s">
        <v>31</v>
      </c>
      <c r="T65" t="s">
        <v>27</v>
      </c>
      <c r="U65">
        <f>IF(IFERROR(VLOOKUP(BBDD_Usiarios_Netflix[[#This Row],[Identificador Usuario]],A66:$A$5870,1,FALSE),0)&lt;&gt;0,1,0)</f>
        <v>0</v>
      </c>
      <c r="V65" s="6" t="str">
        <f>IF(BBDD_Usiarios_Netflix[[#This Row],[Duración Plan]]="12 Meses",LEFT(BBDD_Usiarios_Netflix[[#This Row],[Duración Plan]],2),LEFT(BBDD_Usiarios_Netflix[[#This Row],[Duración Plan]],1))</f>
        <v>1</v>
      </c>
      <c r="W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6" spans="1:23" x14ac:dyDescent="0.25">
      <c r="A66">
        <v>65</v>
      </c>
      <c r="B66" t="s">
        <v>23</v>
      </c>
      <c r="C66">
        <v>11</v>
      </c>
      <c r="D66" s="3">
        <v>29</v>
      </c>
      <c r="E66" s="3">
        <v>3</v>
      </c>
      <c r="F66">
        <v>24</v>
      </c>
      <c r="G66" s="1">
        <f>DATEVALUE(_xlfn.CONCAT(BBDD_Usiarios_Netflix[[#This Row],[Día Suscripción]],"/",BBDD_Usiarios_Netflix[[#This Row],[Mes Suscripción]],"/",BBDD_Usiarios_Netflix[[#This Row],[Año Suscripción]]))</f>
        <v>45380</v>
      </c>
      <c r="H66" s="1">
        <v>28</v>
      </c>
      <c r="I66" s="1">
        <v>6</v>
      </c>
      <c r="J66" s="1">
        <v>24</v>
      </c>
      <c r="K66" s="1" t="str">
        <f>TEXT(BBDD_Usiarios_Netflix[[#This Row],[Fecha Suscripción]],"dddd")</f>
        <v>viernes</v>
      </c>
      <c r="L66" s="1">
        <f>DATEVALUE(_xlfn.CONCAT(BBDD_Usiarios_Netflix[[#This Row],[Día Último Pago]],"/",BBDD_Usiarios_Netflix[[#This Row],[Mes Último Pago]],"/",BBDD_Usiarios_Netflix[[#This Row],[Año Último Pago]]))</f>
        <v>45471</v>
      </c>
      <c r="M66" s="4">
        <f>DATEDIF(BBDD_Usiarios_Netflix[[#This Row],[Fecha Suscripción]],BBDD_Usiarios_Netflix[[#This Row],[Fecha Último Pago]],"M")+1</f>
        <v>3</v>
      </c>
      <c r="N66" s="4">
        <f>BBDD_Usiarios_Netflix[[#This Row],[Ingresos Mensuales]]*BBDD_Usiarios_Netflix[[#This Row],[Meses contratados]]</f>
        <v>33</v>
      </c>
      <c r="O66" t="s">
        <v>45</v>
      </c>
      <c r="P66" t="str">
        <f>IF(BBDD_Usiarios_Netflix[[#This Row],[País]]="","Desconocido",BBDD_Usiarios_Netflix[[#This Row],[País]])</f>
        <v>España</v>
      </c>
      <c r="Q66">
        <v>40</v>
      </c>
      <c r="R66" t="s">
        <v>30</v>
      </c>
      <c r="S66" t="s">
        <v>36</v>
      </c>
      <c r="T66" t="s">
        <v>38</v>
      </c>
      <c r="U66">
        <f>IF(IFERROR(VLOOKUP(BBDD_Usiarios_Netflix[[#This Row],[Identificador Usuario]],A67:$A$5870,1,FALSE),0)&lt;&gt;0,1,0)</f>
        <v>0</v>
      </c>
      <c r="V66" s="6" t="str">
        <f>IF(BBDD_Usiarios_Netflix[[#This Row],[Duración Plan]]="12 Meses",LEFT(BBDD_Usiarios_Netflix[[#This Row],[Duración Plan]],2),LEFT(BBDD_Usiarios_Netflix[[#This Row],[Duración Plan]],1))</f>
        <v>3</v>
      </c>
      <c r="W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7" spans="1:23" x14ac:dyDescent="0.25">
      <c r="A67">
        <v>66</v>
      </c>
      <c r="B67" t="s">
        <v>28</v>
      </c>
      <c r="C67">
        <v>15</v>
      </c>
      <c r="D67" s="3">
        <v>30</v>
      </c>
      <c r="E67" s="3">
        <v>1</v>
      </c>
      <c r="F67">
        <v>23</v>
      </c>
      <c r="G67" s="1">
        <f>DATEVALUE(_xlfn.CONCAT(BBDD_Usiarios_Netflix[[#This Row],[Día Suscripción]],"/",BBDD_Usiarios_Netflix[[#This Row],[Mes Suscripción]],"/",BBDD_Usiarios_Netflix[[#This Row],[Año Suscripción]]))</f>
        <v>44956</v>
      </c>
      <c r="H67" s="1">
        <v>27</v>
      </c>
      <c r="I67" s="1">
        <v>6</v>
      </c>
      <c r="J67" s="1">
        <v>24</v>
      </c>
      <c r="K67" s="1" t="str">
        <f>TEXT(BBDD_Usiarios_Netflix[[#This Row],[Fecha Suscripción]],"dddd")</f>
        <v>lunes</v>
      </c>
      <c r="L67" s="1">
        <f>DATEVALUE(_xlfn.CONCAT(BBDD_Usiarios_Netflix[[#This Row],[Día Último Pago]],"/",BBDD_Usiarios_Netflix[[#This Row],[Mes Último Pago]],"/",BBDD_Usiarios_Netflix[[#This Row],[Año Último Pago]]))</f>
        <v>45470</v>
      </c>
      <c r="M67" s="4">
        <f>DATEDIF(BBDD_Usiarios_Netflix[[#This Row],[Fecha Suscripción]],BBDD_Usiarios_Netflix[[#This Row],[Fecha Último Pago]],"M")+1</f>
        <v>17</v>
      </c>
      <c r="N67" s="4">
        <f>BBDD_Usiarios_Netflix[[#This Row],[Ingresos Mensuales]]*BBDD_Usiarios_Netflix[[#This Row],[Meses contratados]]</f>
        <v>255</v>
      </c>
      <c r="O67" t="s">
        <v>29</v>
      </c>
      <c r="P67" t="str">
        <f>IF(BBDD_Usiarios_Netflix[[#This Row],[País]]="","Desconocido",BBDD_Usiarios_Netflix[[#This Row],[País]])</f>
        <v>EEUU</v>
      </c>
      <c r="Q67">
        <v>29</v>
      </c>
      <c r="R67" t="s">
        <v>25</v>
      </c>
      <c r="S67" t="s">
        <v>26</v>
      </c>
      <c r="T67" t="s">
        <v>27</v>
      </c>
      <c r="U67">
        <f>IF(IFERROR(VLOOKUP(BBDD_Usiarios_Netflix[[#This Row],[Identificador Usuario]],A68:$A$5870,1,FALSE),0)&lt;&gt;0,1,0)</f>
        <v>0</v>
      </c>
      <c r="V67" s="6" t="str">
        <f>IF(BBDD_Usiarios_Netflix[[#This Row],[Duración Plan]]="12 Meses",LEFT(BBDD_Usiarios_Netflix[[#This Row],[Duración Plan]],2),LEFT(BBDD_Usiarios_Netflix[[#This Row],[Duración Plan]],1))</f>
        <v>1</v>
      </c>
      <c r="W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8" spans="1:23" x14ac:dyDescent="0.25">
      <c r="A68">
        <v>67</v>
      </c>
      <c r="B68" t="s">
        <v>23</v>
      </c>
      <c r="C68">
        <v>10</v>
      </c>
      <c r="D68" s="3">
        <v>18</v>
      </c>
      <c r="E68" s="3">
        <v>9</v>
      </c>
      <c r="F68">
        <v>23</v>
      </c>
      <c r="G68" s="1">
        <f>DATEVALUE(_xlfn.CONCAT(BBDD_Usiarios_Netflix[[#This Row],[Día Suscripción]],"/",BBDD_Usiarios_Netflix[[#This Row],[Mes Suscripción]],"/",BBDD_Usiarios_Netflix[[#This Row],[Año Suscripción]]))</f>
        <v>45187</v>
      </c>
      <c r="H68" s="1">
        <v>25</v>
      </c>
      <c r="I68" s="1">
        <v>6</v>
      </c>
      <c r="J68" s="1">
        <v>24</v>
      </c>
      <c r="K68" s="1" t="str">
        <f>TEXT(BBDD_Usiarios_Netflix[[#This Row],[Fecha Suscripción]],"dddd")</f>
        <v>lunes</v>
      </c>
      <c r="L68" s="1">
        <f>DATEVALUE(_xlfn.CONCAT(BBDD_Usiarios_Netflix[[#This Row],[Día Último Pago]],"/",BBDD_Usiarios_Netflix[[#This Row],[Mes Último Pago]],"/",BBDD_Usiarios_Netflix[[#This Row],[Año Último Pago]]))</f>
        <v>45468</v>
      </c>
      <c r="M68" s="4">
        <f>DATEDIF(BBDD_Usiarios_Netflix[[#This Row],[Fecha Suscripción]],BBDD_Usiarios_Netflix[[#This Row],[Fecha Último Pago]],"M")+1</f>
        <v>10</v>
      </c>
      <c r="N68" s="4">
        <f>BBDD_Usiarios_Netflix[[#This Row],[Ingresos Mensuales]]*BBDD_Usiarios_Netflix[[#This Row],[Meses contratados]]</f>
        <v>100</v>
      </c>
      <c r="O68" t="s">
        <v>40</v>
      </c>
      <c r="P68" t="str">
        <f>IF(BBDD_Usiarios_Netflix[[#This Row],[País]]="","Desconocido",BBDD_Usiarios_Netflix[[#This Row],[País]])</f>
        <v>Italia</v>
      </c>
      <c r="Q68">
        <v>47</v>
      </c>
      <c r="R68" t="s">
        <v>30</v>
      </c>
      <c r="S68" t="s">
        <v>34</v>
      </c>
      <c r="T68" t="s">
        <v>38</v>
      </c>
      <c r="U68">
        <f>IF(IFERROR(VLOOKUP(BBDD_Usiarios_Netflix[[#This Row],[Identificador Usuario]],A69:$A$5870,1,FALSE),0)&lt;&gt;0,1,0)</f>
        <v>0</v>
      </c>
      <c r="V68" s="6" t="str">
        <f>IF(BBDD_Usiarios_Netflix[[#This Row],[Duración Plan]]="12 Meses",LEFT(BBDD_Usiarios_Netflix[[#This Row],[Duración Plan]],2),LEFT(BBDD_Usiarios_Netflix[[#This Row],[Duración Plan]],1))</f>
        <v>3</v>
      </c>
      <c r="W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9" spans="1:23" x14ac:dyDescent="0.25">
      <c r="A69">
        <v>68</v>
      </c>
      <c r="B69" t="s">
        <v>32</v>
      </c>
      <c r="C69">
        <v>13</v>
      </c>
      <c r="D69" s="3">
        <v>9</v>
      </c>
      <c r="E69" s="3">
        <v>11</v>
      </c>
      <c r="F69">
        <v>22</v>
      </c>
      <c r="G69" s="1">
        <f>DATEVALUE(_xlfn.CONCAT(BBDD_Usiarios_Netflix[[#This Row],[Día Suscripción]],"/",BBDD_Usiarios_Netflix[[#This Row],[Mes Suscripción]],"/",BBDD_Usiarios_Netflix[[#This Row],[Año Suscripción]]))</f>
        <v>44874</v>
      </c>
      <c r="H69" s="1">
        <v>24</v>
      </c>
      <c r="I69" s="1">
        <v>6</v>
      </c>
      <c r="J69" s="1">
        <v>24</v>
      </c>
      <c r="K69" s="1" t="str">
        <f>TEXT(BBDD_Usiarios_Netflix[[#This Row],[Fecha Suscripción]],"dddd")</f>
        <v>miércoles</v>
      </c>
      <c r="L69" s="1">
        <f>DATEVALUE(_xlfn.CONCAT(BBDD_Usiarios_Netflix[[#This Row],[Día Último Pago]],"/",BBDD_Usiarios_Netflix[[#This Row],[Mes Último Pago]],"/",BBDD_Usiarios_Netflix[[#This Row],[Año Último Pago]]))</f>
        <v>45467</v>
      </c>
      <c r="M69" s="4">
        <f>DATEDIF(BBDD_Usiarios_Netflix[[#This Row],[Fecha Suscripción]],BBDD_Usiarios_Netflix[[#This Row],[Fecha Último Pago]],"M")+1</f>
        <v>20</v>
      </c>
      <c r="N69" s="4">
        <f>BBDD_Usiarios_Netflix[[#This Row],[Ingresos Mensuales]]*BBDD_Usiarios_Netflix[[#This Row],[Meses contratados]]</f>
        <v>260</v>
      </c>
      <c r="O69" t="s">
        <v>24</v>
      </c>
      <c r="P69" t="str">
        <f>IF(BBDD_Usiarios_Netflix[[#This Row],[País]]="","Desconocido",BBDD_Usiarios_Netflix[[#This Row],[País]])</f>
        <v>Australia</v>
      </c>
      <c r="Q69">
        <v>33</v>
      </c>
      <c r="R69" t="s">
        <v>25</v>
      </c>
      <c r="S69" t="s">
        <v>31</v>
      </c>
      <c r="T69" t="s">
        <v>27</v>
      </c>
      <c r="U69">
        <f>IF(IFERROR(VLOOKUP(BBDD_Usiarios_Netflix[[#This Row],[Identificador Usuario]],A70:$A$5870,1,FALSE),0)&lt;&gt;0,1,0)</f>
        <v>0</v>
      </c>
      <c r="V69" s="6" t="str">
        <f>IF(BBDD_Usiarios_Netflix[[#This Row],[Duración Plan]]="12 Meses",LEFT(BBDD_Usiarios_Netflix[[#This Row],[Duración Plan]],2),LEFT(BBDD_Usiarios_Netflix[[#This Row],[Duración Plan]],1))</f>
        <v>1</v>
      </c>
      <c r="W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" spans="1:23" x14ac:dyDescent="0.25">
      <c r="A70">
        <v>69</v>
      </c>
      <c r="B70" t="s">
        <v>28</v>
      </c>
      <c r="C70">
        <v>15</v>
      </c>
      <c r="D70" s="3">
        <v>23</v>
      </c>
      <c r="E70" s="3">
        <v>12</v>
      </c>
      <c r="F70">
        <v>23</v>
      </c>
      <c r="G70" s="1">
        <f>DATEVALUE(_xlfn.CONCAT(BBDD_Usiarios_Netflix[[#This Row],[Día Suscripción]],"/",BBDD_Usiarios_Netflix[[#This Row],[Mes Suscripción]],"/",BBDD_Usiarios_Netflix[[#This Row],[Año Suscripción]]))</f>
        <v>45283</v>
      </c>
      <c r="H70" s="1">
        <v>23</v>
      </c>
      <c r="I70" s="1">
        <v>6</v>
      </c>
      <c r="J70" s="1">
        <v>24</v>
      </c>
      <c r="K70" s="1" t="str">
        <f>TEXT(BBDD_Usiarios_Netflix[[#This Row],[Fecha Suscripción]],"dddd")</f>
        <v>sábado</v>
      </c>
      <c r="L70" s="1">
        <f>DATEVALUE(_xlfn.CONCAT(BBDD_Usiarios_Netflix[[#This Row],[Día Último Pago]],"/",BBDD_Usiarios_Netflix[[#This Row],[Mes Último Pago]],"/",BBDD_Usiarios_Netflix[[#This Row],[Año Último Pago]]))</f>
        <v>45466</v>
      </c>
      <c r="M70" s="4">
        <f>DATEDIF(BBDD_Usiarios_Netflix[[#This Row],[Fecha Suscripción]],BBDD_Usiarios_Netflix[[#This Row],[Fecha Último Pago]],"M")+1</f>
        <v>7</v>
      </c>
      <c r="N70" s="4">
        <f>BBDD_Usiarios_Netflix[[#This Row],[Ingresos Mensuales]]*BBDD_Usiarios_Netflix[[#This Row],[Meses contratados]]</f>
        <v>105</v>
      </c>
      <c r="O70" t="s">
        <v>24</v>
      </c>
      <c r="P70" t="str">
        <f>IF(BBDD_Usiarios_Netflix[[#This Row],[País]]="","Desconocido",BBDD_Usiarios_Netflix[[#This Row],[País]])</f>
        <v>Australia</v>
      </c>
      <c r="Q70">
        <v>36</v>
      </c>
      <c r="R70" t="s">
        <v>30</v>
      </c>
      <c r="S70" t="s">
        <v>36</v>
      </c>
      <c r="T70" t="s">
        <v>27</v>
      </c>
      <c r="U70">
        <f>IF(IFERROR(VLOOKUP(BBDD_Usiarios_Netflix[[#This Row],[Identificador Usuario]],A71:$A$5870,1,FALSE),0)&lt;&gt;0,1,0)</f>
        <v>0</v>
      </c>
      <c r="V70" s="6" t="str">
        <f>IF(BBDD_Usiarios_Netflix[[#This Row],[Duración Plan]]="12 Meses",LEFT(BBDD_Usiarios_Netflix[[#This Row],[Duración Plan]],2),LEFT(BBDD_Usiarios_Netflix[[#This Row],[Duración Plan]],1))</f>
        <v>1</v>
      </c>
      <c r="W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1" spans="1:23" x14ac:dyDescent="0.25">
      <c r="A71">
        <v>70</v>
      </c>
      <c r="B71" t="s">
        <v>23</v>
      </c>
      <c r="C71">
        <v>11</v>
      </c>
      <c r="D71" s="3">
        <v>8</v>
      </c>
      <c r="E71" s="3">
        <v>5</v>
      </c>
      <c r="F71">
        <v>24</v>
      </c>
      <c r="G71" s="1">
        <f>DATEVALUE(_xlfn.CONCAT(BBDD_Usiarios_Netflix[[#This Row],[Día Suscripción]],"/",BBDD_Usiarios_Netflix[[#This Row],[Mes Suscripción]],"/",BBDD_Usiarios_Netflix[[#This Row],[Año Suscripción]]))</f>
        <v>45420</v>
      </c>
      <c r="H71" s="1">
        <v>22</v>
      </c>
      <c r="I71" s="1">
        <v>6</v>
      </c>
      <c r="J71" s="1">
        <v>24</v>
      </c>
      <c r="K71" s="1" t="str">
        <f>TEXT(BBDD_Usiarios_Netflix[[#This Row],[Fecha Suscripción]],"dddd")</f>
        <v>miércoles</v>
      </c>
      <c r="L71" s="1">
        <f>DATEVALUE(_xlfn.CONCAT(BBDD_Usiarios_Netflix[[#This Row],[Día Último Pago]],"/",BBDD_Usiarios_Netflix[[#This Row],[Mes Último Pago]],"/",BBDD_Usiarios_Netflix[[#This Row],[Año Último Pago]]))</f>
        <v>45465</v>
      </c>
      <c r="M71" s="4">
        <f>DATEDIF(BBDD_Usiarios_Netflix[[#This Row],[Fecha Suscripción]],BBDD_Usiarios_Netflix[[#This Row],[Fecha Último Pago]],"M")+1</f>
        <v>2</v>
      </c>
      <c r="N71" s="4">
        <f>BBDD_Usiarios_Netflix[[#This Row],[Ingresos Mensuales]]*BBDD_Usiarios_Netflix[[#This Row],[Meses contratados]]</f>
        <v>22</v>
      </c>
      <c r="O71" t="s">
        <v>39</v>
      </c>
      <c r="P71" t="str">
        <f>IF(BBDD_Usiarios_Netflix[[#This Row],[País]]="","Desconocido",BBDD_Usiarios_Netflix[[#This Row],[País]])</f>
        <v>Canadá</v>
      </c>
      <c r="Q71">
        <v>41</v>
      </c>
      <c r="R71" t="s">
        <v>25</v>
      </c>
      <c r="S71" t="s">
        <v>26</v>
      </c>
      <c r="T71" t="s">
        <v>35</v>
      </c>
      <c r="U71">
        <f>IF(IFERROR(VLOOKUP(BBDD_Usiarios_Netflix[[#This Row],[Identificador Usuario]],A72:$A$5870,1,FALSE),0)&lt;&gt;0,1,0)</f>
        <v>0</v>
      </c>
      <c r="V71" s="6" t="str">
        <f>IF(BBDD_Usiarios_Netflix[[#This Row],[Duración Plan]]="12 Meses",LEFT(BBDD_Usiarios_Netflix[[#This Row],[Duración Plan]],2),LEFT(BBDD_Usiarios_Netflix[[#This Row],[Duración Plan]],1))</f>
        <v>6</v>
      </c>
      <c r="W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2" spans="1:23" x14ac:dyDescent="0.25">
      <c r="A72">
        <v>71</v>
      </c>
      <c r="B72" t="s">
        <v>23</v>
      </c>
      <c r="C72">
        <v>11</v>
      </c>
      <c r="D72" s="3">
        <v>26</v>
      </c>
      <c r="E72" s="3">
        <v>1</v>
      </c>
      <c r="F72">
        <v>23</v>
      </c>
      <c r="G72" s="1">
        <f>DATEVALUE(_xlfn.CONCAT(BBDD_Usiarios_Netflix[[#This Row],[Día Suscripción]],"/",BBDD_Usiarios_Netflix[[#This Row],[Mes Suscripción]],"/",BBDD_Usiarios_Netflix[[#This Row],[Año Suscripción]]))</f>
        <v>44952</v>
      </c>
      <c r="H72" s="1">
        <v>20</v>
      </c>
      <c r="I72" s="1">
        <v>6</v>
      </c>
      <c r="J72" s="1">
        <v>24</v>
      </c>
      <c r="K72" s="1" t="str">
        <f>TEXT(BBDD_Usiarios_Netflix[[#This Row],[Fecha Suscripción]],"dddd")</f>
        <v>jueves</v>
      </c>
      <c r="L72" s="1">
        <f>DATEVALUE(_xlfn.CONCAT(BBDD_Usiarios_Netflix[[#This Row],[Día Último Pago]],"/",BBDD_Usiarios_Netflix[[#This Row],[Mes Último Pago]],"/",BBDD_Usiarios_Netflix[[#This Row],[Año Último Pago]]))</f>
        <v>45463</v>
      </c>
      <c r="M72" s="4">
        <f>DATEDIF(BBDD_Usiarios_Netflix[[#This Row],[Fecha Suscripción]],BBDD_Usiarios_Netflix[[#This Row],[Fecha Último Pago]],"M")+1</f>
        <v>17</v>
      </c>
      <c r="N72" s="4">
        <f>BBDD_Usiarios_Netflix[[#This Row],[Ingresos Mensuales]]*BBDD_Usiarios_Netflix[[#This Row],[Meses contratados]]</f>
        <v>187</v>
      </c>
      <c r="O72" t="s">
        <v>24</v>
      </c>
      <c r="P72" t="str">
        <f>IF(BBDD_Usiarios_Netflix[[#This Row],[País]]="","Desconocido",BBDD_Usiarios_Netflix[[#This Row],[País]])</f>
        <v>Australia</v>
      </c>
      <c r="Q72">
        <v>27</v>
      </c>
      <c r="R72" t="s">
        <v>25</v>
      </c>
      <c r="S72" t="s">
        <v>26</v>
      </c>
      <c r="T72" t="s">
        <v>41</v>
      </c>
      <c r="U72">
        <f>IF(IFERROR(VLOOKUP(BBDD_Usiarios_Netflix[[#This Row],[Identificador Usuario]],A73:$A$5870,1,FALSE),0)&lt;&gt;0,1,0)</f>
        <v>0</v>
      </c>
      <c r="V72" s="6" t="str">
        <f>IF(BBDD_Usiarios_Netflix[[#This Row],[Duración Plan]]="12 Meses",LEFT(BBDD_Usiarios_Netflix[[#This Row],[Duración Plan]],2),LEFT(BBDD_Usiarios_Netflix[[#This Row],[Duración Plan]],1))</f>
        <v>12</v>
      </c>
      <c r="W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3" spans="1:23" x14ac:dyDescent="0.25">
      <c r="A73">
        <v>72</v>
      </c>
      <c r="B73" t="s">
        <v>23</v>
      </c>
      <c r="C73">
        <v>10</v>
      </c>
      <c r="D73" s="3">
        <v>11</v>
      </c>
      <c r="E73" s="3">
        <v>10</v>
      </c>
      <c r="F73">
        <v>23</v>
      </c>
      <c r="G73" s="1">
        <f>DATEVALUE(_xlfn.CONCAT(BBDD_Usiarios_Netflix[[#This Row],[Día Suscripción]],"/",BBDD_Usiarios_Netflix[[#This Row],[Mes Suscripción]],"/",BBDD_Usiarios_Netflix[[#This Row],[Año Suscripción]]))</f>
        <v>45210</v>
      </c>
      <c r="H73" s="1">
        <v>22</v>
      </c>
      <c r="I73" s="1">
        <v>6</v>
      </c>
      <c r="J73" s="1">
        <v>24</v>
      </c>
      <c r="K73" s="1" t="str">
        <f>TEXT(BBDD_Usiarios_Netflix[[#This Row],[Fecha Suscripción]],"dddd")</f>
        <v>miércoles</v>
      </c>
      <c r="L73" s="1">
        <f>DATEVALUE(_xlfn.CONCAT(BBDD_Usiarios_Netflix[[#This Row],[Día Último Pago]],"/",BBDD_Usiarios_Netflix[[#This Row],[Mes Último Pago]],"/",BBDD_Usiarios_Netflix[[#This Row],[Año Último Pago]]))</f>
        <v>45465</v>
      </c>
      <c r="M73" s="4">
        <f>DATEDIF(BBDD_Usiarios_Netflix[[#This Row],[Fecha Suscripción]],BBDD_Usiarios_Netflix[[#This Row],[Fecha Último Pago]],"M")+1</f>
        <v>9</v>
      </c>
      <c r="N73" s="4">
        <f>BBDD_Usiarios_Netflix[[#This Row],[Ingresos Mensuales]]*BBDD_Usiarios_Netflix[[#This Row],[Meses contratados]]</f>
        <v>90</v>
      </c>
      <c r="O73" t="s">
        <v>24</v>
      </c>
      <c r="P73" t="str">
        <f>IF(BBDD_Usiarios_Netflix[[#This Row],[País]]="","Desconocido",BBDD_Usiarios_Netflix[[#This Row],[País]])</f>
        <v>Australia</v>
      </c>
      <c r="Q73">
        <v>31</v>
      </c>
      <c r="R73" t="s">
        <v>30</v>
      </c>
      <c r="S73" t="s">
        <v>26</v>
      </c>
      <c r="T73" t="s">
        <v>27</v>
      </c>
      <c r="U73">
        <f>IF(IFERROR(VLOOKUP(BBDD_Usiarios_Netflix[[#This Row],[Identificador Usuario]],A74:$A$5870,1,FALSE),0)&lt;&gt;0,1,0)</f>
        <v>0</v>
      </c>
      <c r="V73" s="6" t="str">
        <f>IF(BBDD_Usiarios_Netflix[[#This Row],[Duración Plan]]="12 Meses",LEFT(BBDD_Usiarios_Netflix[[#This Row],[Duración Plan]],2),LEFT(BBDD_Usiarios_Netflix[[#This Row],[Duración Plan]],1))</f>
        <v>1</v>
      </c>
      <c r="W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4" spans="1:23" x14ac:dyDescent="0.25">
      <c r="A74">
        <v>73</v>
      </c>
      <c r="B74" t="s">
        <v>32</v>
      </c>
      <c r="C74">
        <v>12</v>
      </c>
      <c r="D74" s="3">
        <v>27</v>
      </c>
      <c r="E74" s="3">
        <v>9</v>
      </c>
      <c r="F74">
        <v>23</v>
      </c>
      <c r="G74" s="1">
        <f>DATEVALUE(_xlfn.CONCAT(BBDD_Usiarios_Netflix[[#This Row],[Día Suscripción]],"/",BBDD_Usiarios_Netflix[[#This Row],[Mes Suscripción]],"/",BBDD_Usiarios_Netflix[[#This Row],[Año Suscripción]]))</f>
        <v>45196</v>
      </c>
      <c r="H74" s="1">
        <v>26</v>
      </c>
      <c r="I74" s="1">
        <v>6</v>
      </c>
      <c r="J74" s="1">
        <v>24</v>
      </c>
      <c r="K74" s="1" t="str">
        <f>TEXT(BBDD_Usiarios_Netflix[[#This Row],[Fecha Suscripción]],"dddd")</f>
        <v>miércoles</v>
      </c>
      <c r="L74" s="1">
        <f>DATEVALUE(_xlfn.CONCAT(BBDD_Usiarios_Netflix[[#This Row],[Día Último Pago]],"/",BBDD_Usiarios_Netflix[[#This Row],[Mes Último Pago]],"/",BBDD_Usiarios_Netflix[[#This Row],[Año Último Pago]]))</f>
        <v>45469</v>
      </c>
      <c r="M74" s="4">
        <f>DATEDIF(BBDD_Usiarios_Netflix[[#This Row],[Fecha Suscripción]],BBDD_Usiarios_Netflix[[#This Row],[Fecha Último Pago]],"M")+1</f>
        <v>9</v>
      </c>
      <c r="N74" s="4">
        <f>BBDD_Usiarios_Netflix[[#This Row],[Ingresos Mensuales]]*BBDD_Usiarios_Netflix[[#This Row],[Meses contratados]]</f>
        <v>108</v>
      </c>
      <c r="O74" t="s">
        <v>29</v>
      </c>
      <c r="P74" t="str">
        <f>IF(BBDD_Usiarios_Netflix[[#This Row],[País]]="","Desconocido",BBDD_Usiarios_Netflix[[#This Row],[País]])</f>
        <v>EEUU</v>
      </c>
      <c r="Q74">
        <v>28</v>
      </c>
      <c r="R74" t="s">
        <v>30</v>
      </c>
      <c r="S74" t="s">
        <v>36</v>
      </c>
      <c r="T74" t="s">
        <v>35</v>
      </c>
      <c r="U74">
        <f>IF(IFERROR(VLOOKUP(BBDD_Usiarios_Netflix[[#This Row],[Identificador Usuario]],A75:$A$5870,1,FALSE),0)&lt;&gt;0,1,0)</f>
        <v>0</v>
      </c>
      <c r="V74" s="6" t="str">
        <f>IF(BBDD_Usiarios_Netflix[[#This Row],[Duración Plan]]="12 Meses",LEFT(BBDD_Usiarios_Netflix[[#This Row],[Duración Plan]],2),LEFT(BBDD_Usiarios_Netflix[[#This Row],[Duración Plan]],1))</f>
        <v>6</v>
      </c>
      <c r="W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5" spans="1:23" x14ac:dyDescent="0.25">
      <c r="A75">
        <v>74</v>
      </c>
      <c r="B75" t="s">
        <v>28</v>
      </c>
      <c r="C75">
        <v>15</v>
      </c>
      <c r="D75" s="3">
        <v>14</v>
      </c>
      <c r="E75" s="3">
        <v>12</v>
      </c>
      <c r="F75">
        <v>23</v>
      </c>
      <c r="G75" s="1">
        <f>DATEVALUE(_xlfn.CONCAT(BBDD_Usiarios_Netflix[[#This Row],[Día Suscripción]],"/",BBDD_Usiarios_Netflix[[#This Row],[Mes Suscripción]],"/",BBDD_Usiarios_Netflix[[#This Row],[Año Suscripción]]))</f>
        <v>45274</v>
      </c>
      <c r="H75" s="1">
        <v>25</v>
      </c>
      <c r="I75" s="1">
        <v>6</v>
      </c>
      <c r="J75" s="1">
        <v>24</v>
      </c>
      <c r="K75" s="1" t="str">
        <f>TEXT(BBDD_Usiarios_Netflix[[#This Row],[Fecha Suscripción]],"dddd")</f>
        <v>jueves</v>
      </c>
      <c r="L75" s="1">
        <f>DATEVALUE(_xlfn.CONCAT(BBDD_Usiarios_Netflix[[#This Row],[Día Último Pago]],"/",BBDD_Usiarios_Netflix[[#This Row],[Mes Último Pago]],"/",BBDD_Usiarios_Netflix[[#This Row],[Año Último Pago]]))</f>
        <v>45468</v>
      </c>
      <c r="M75" s="4">
        <f>DATEDIF(BBDD_Usiarios_Netflix[[#This Row],[Fecha Suscripción]],BBDD_Usiarios_Netflix[[#This Row],[Fecha Último Pago]],"M")+1</f>
        <v>7</v>
      </c>
      <c r="N75" s="4">
        <f>BBDD_Usiarios_Netflix[[#This Row],[Ingresos Mensuales]]*BBDD_Usiarios_Netflix[[#This Row],[Meses contratados]]</f>
        <v>105</v>
      </c>
      <c r="O75" t="s">
        <v>29</v>
      </c>
      <c r="P75" t="str">
        <f>IF(BBDD_Usiarios_Netflix[[#This Row],[País]]="","Desconocido",BBDD_Usiarios_Netflix[[#This Row],[País]])</f>
        <v>EEUU</v>
      </c>
      <c r="Q75">
        <v>41</v>
      </c>
      <c r="R75" t="s">
        <v>30</v>
      </c>
      <c r="S75" t="s">
        <v>26</v>
      </c>
      <c r="T75" t="s">
        <v>27</v>
      </c>
      <c r="U75">
        <f>IF(IFERROR(VLOOKUP(BBDD_Usiarios_Netflix[[#This Row],[Identificador Usuario]],A76:$A$5870,1,FALSE),0)&lt;&gt;0,1,0)</f>
        <v>0</v>
      </c>
      <c r="V75" s="6" t="str">
        <f>IF(BBDD_Usiarios_Netflix[[#This Row],[Duración Plan]]="12 Meses",LEFT(BBDD_Usiarios_Netflix[[#This Row],[Duración Plan]],2),LEFT(BBDD_Usiarios_Netflix[[#This Row],[Duración Plan]],1))</f>
        <v>1</v>
      </c>
      <c r="W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6" spans="1:23" x14ac:dyDescent="0.25">
      <c r="A76">
        <v>75</v>
      </c>
      <c r="B76" t="s">
        <v>23</v>
      </c>
      <c r="C76">
        <v>11</v>
      </c>
      <c r="D76" s="3">
        <v>28</v>
      </c>
      <c r="E76" s="3">
        <v>5</v>
      </c>
      <c r="F76">
        <v>23</v>
      </c>
      <c r="G76" s="1">
        <f>DATEVALUE(_xlfn.CONCAT(BBDD_Usiarios_Netflix[[#This Row],[Día Suscripción]],"/",BBDD_Usiarios_Netflix[[#This Row],[Mes Suscripción]],"/",BBDD_Usiarios_Netflix[[#This Row],[Año Suscripción]]))</f>
        <v>45074</v>
      </c>
      <c r="H76" s="1">
        <v>26</v>
      </c>
      <c r="I76" s="1">
        <v>6</v>
      </c>
      <c r="J76" s="1">
        <v>24</v>
      </c>
      <c r="K76" s="1" t="str">
        <f>TEXT(BBDD_Usiarios_Netflix[[#This Row],[Fecha Suscripción]],"dddd")</f>
        <v>domingo</v>
      </c>
      <c r="L76" s="1">
        <f>DATEVALUE(_xlfn.CONCAT(BBDD_Usiarios_Netflix[[#This Row],[Día Último Pago]],"/",BBDD_Usiarios_Netflix[[#This Row],[Mes Último Pago]],"/",BBDD_Usiarios_Netflix[[#This Row],[Año Último Pago]]))</f>
        <v>45469</v>
      </c>
      <c r="M76" s="4">
        <f>DATEDIF(BBDD_Usiarios_Netflix[[#This Row],[Fecha Suscripción]],BBDD_Usiarios_Netflix[[#This Row],[Fecha Último Pago]],"M")+1</f>
        <v>13</v>
      </c>
      <c r="N76" s="4">
        <f>BBDD_Usiarios_Netflix[[#This Row],[Ingresos Mensuales]]*BBDD_Usiarios_Netflix[[#This Row],[Meses contratados]]</f>
        <v>143</v>
      </c>
      <c r="O76" t="s">
        <v>24</v>
      </c>
      <c r="P76" t="str">
        <f>IF(BBDD_Usiarios_Netflix[[#This Row],[País]]="","Desconocido",BBDD_Usiarios_Netflix[[#This Row],[País]])</f>
        <v>Australia</v>
      </c>
      <c r="Q76">
        <v>28</v>
      </c>
      <c r="R76" t="s">
        <v>30</v>
      </c>
      <c r="S76" t="s">
        <v>36</v>
      </c>
      <c r="T76" t="s">
        <v>41</v>
      </c>
      <c r="U76">
        <f>IF(IFERROR(VLOOKUP(BBDD_Usiarios_Netflix[[#This Row],[Identificador Usuario]],A77:$A$5870,1,FALSE),0)&lt;&gt;0,1,0)</f>
        <v>0</v>
      </c>
      <c r="V76" s="6" t="str">
        <f>IF(BBDD_Usiarios_Netflix[[#This Row],[Duración Plan]]="12 Meses",LEFT(BBDD_Usiarios_Netflix[[#This Row],[Duración Plan]],2),LEFT(BBDD_Usiarios_Netflix[[#This Row],[Duración Plan]],1))</f>
        <v>12</v>
      </c>
      <c r="W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7" spans="1:23" x14ac:dyDescent="0.25">
      <c r="A77">
        <v>76</v>
      </c>
      <c r="B77" t="s">
        <v>23</v>
      </c>
      <c r="C77">
        <v>11</v>
      </c>
      <c r="D77" s="3">
        <v>29</v>
      </c>
      <c r="E77" s="3">
        <v>12</v>
      </c>
      <c r="F77">
        <v>22</v>
      </c>
      <c r="G77" s="1">
        <f>DATEVALUE(_xlfn.CONCAT(BBDD_Usiarios_Netflix[[#This Row],[Día Suscripción]],"/",BBDD_Usiarios_Netflix[[#This Row],[Mes Suscripción]],"/",BBDD_Usiarios_Netflix[[#This Row],[Año Suscripción]]))</f>
        <v>44924</v>
      </c>
      <c r="H77" s="1">
        <v>26</v>
      </c>
      <c r="I77" s="1">
        <v>6</v>
      </c>
      <c r="J77" s="1">
        <v>24</v>
      </c>
      <c r="K77" s="1" t="str">
        <f>TEXT(BBDD_Usiarios_Netflix[[#This Row],[Fecha Suscripción]],"dddd")</f>
        <v>jueves</v>
      </c>
      <c r="L77" s="1">
        <f>DATEVALUE(_xlfn.CONCAT(BBDD_Usiarios_Netflix[[#This Row],[Día Último Pago]],"/",BBDD_Usiarios_Netflix[[#This Row],[Mes Último Pago]],"/",BBDD_Usiarios_Netflix[[#This Row],[Año Último Pago]]))</f>
        <v>45469</v>
      </c>
      <c r="M77" s="4">
        <f>DATEDIF(BBDD_Usiarios_Netflix[[#This Row],[Fecha Suscripción]],BBDD_Usiarios_Netflix[[#This Row],[Fecha Último Pago]],"M")+1</f>
        <v>18</v>
      </c>
      <c r="N77" s="4">
        <f>BBDD_Usiarios_Netflix[[#This Row],[Ingresos Mensuales]]*BBDD_Usiarios_Netflix[[#This Row],[Meses contratados]]</f>
        <v>198</v>
      </c>
      <c r="O77" t="s">
        <v>29</v>
      </c>
      <c r="P77" t="str">
        <f>IF(BBDD_Usiarios_Netflix[[#This Row],[País]]="","Desconocido",BBDD_Usiarios_Netflix[[#This Row],[País]])</f>
        <v>EEUU</v>
      </c>
      <c r="Q77">
        <v>51</v>
      </c>
      <c r="R77" t="s">
        <v>30</v>
      </c>
      <c r="S77" t="s">
        <v>36</v>
      </c>
      <c r="T77" t="s">
        <v>27</v>
      </c>
      <c r="U77">
        <f>IF(IFERROR(VLOOKUP(BBDD_Usiarios_Netflix[[#This Row],[Identificador Usuario]],A78:$A$5870,1,FALSE),0)&lt;&gt;0,1,0)</f>
        <v>0</v>
      </c>
      <c r="V77" s="6" t="str">
        <f>IF(BBDD_Usiarios_Netflix[[#This Row],[Duración Plan]]="12 Meses",LEFT(BBDD_Usiarios_Netflix[[#This Row],[Duración Plan]],2),LEFT(BBDD_Usiarios_Netflix[[#This Row],[Duración Plan]],1))</f>
        <v>1</v>
      </c>
      <c r="W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" spans="1:23" x14ac:dyDescent="0.25">
      <c r="A78">
        <v>77</v>
      </c>
      <c r="B78" t="s">
        <v>28</v>
      </c>
      <c r="C78">
        <v>15</v>
      </c>
      <c r="D78" s="3">
        <v>25</v>
      </c>
      <c r="E78" s="3">
        <v>12</v>
      </c>
      <c r="F78">
        <v>23</v>
      </c>
      <c r="G78" s="1">
        <f>DATEVALUE(_xlfn.CONCAT(BBDD_Usiarios_Netflix[[#This Row],[Día Suscripción]],"/",BBDD_Usiarios_Netflix[[#This Row],[Mes Suscripción]],"/",BBDD_Usiarios_Netflix[[#This Row],[Año Suscripción]]))</f>
        <v>45285</v>
      </c>
      <c r="H78" s="1">
        <v>23</v>
      </c>
      <c r="I78" s="1">
        <v>6</v>
      </c>
      <c r="J78" s="1">
        <v>24</v>
      </c>
      <c r="K78" s="1" t="str">
        <f>TEXT(BBDD_Usiarios_Netflix[[#This Row],[Fecha Suscripción]],"dddd")</f>
        <v>lunes</v>
      </c>
      <c r="L78" s="1">
        <f>DATEVALUE(_xlfn.CONCAT(BBDD_Usiarios_Netflix[[#This Row],[Día Último Pago]],"/",BBDD_Usiarios_Netflix[[#This Row],[Mes Último Pago]],"/",BBDD_Usiarios_Netflix[[#This Row],[Año Último Pago]]))</f>
        <v>45466</v>
      </c>
      <c r="M78" s="4">
        <f>DATEDIF(BBDD_Usiarios_Netflix[[#This Row],[Fecha Suscripción]],BBDD_Usiarios_Netflix[[#This Row],[Fecha Último Pago]],"M")+1</f>
        <v>6</v>
      </c>
      <c r="N78" s="4">
        <f>BBDD_Usiarios_Netflix[[#This Row],[Ingresos Mensuales]]*BBDD_Usiarios_Netflix[[#This Row],[Meses contratados]]</f>
        <v>90</v>
      </c>
      <c r="O78" t="s">
        <v>29</v>
      </c>
      <c r="P78" t="str">
        <f>IF(BBDD_Usiarios_Netflix[[#This Row],[País]]="","Desconocido",BBDD_Usiarios_Netflix[[#This Row],[País]])</f>
        <v>EEUU</v>
      </c>
      <c r="Q78">
        <v>45</v>
      </c>
      <c r="R78" t="s">
        <v>30</v>
      </c>
      <c r="S78" t="s">
        <v>26</v>
      </c>
      <c r="T78" t="s">
        <v>41</v>
      </c>
      <c r="U78">
        <f>IF(IFERROR(VLOOKUP(BBDD_Usiarios_Netflix[[#This Row],[Identificador Usuario]],A79:$A$5870,1,FALSE),0)&lt;&gt;0,1,0)</f>
        <v>0</v>
      </c>
      <c r="V78" s="6" t="str">
        <f>IF(BBDD_Usiarios_Netflix[[#This Row],[Duración Plan]]="12 Meses",LEFT(BBDD_Usiarios_Netflix[[#This Row],[Duración Plan]],2),LEFT(BBDD_Usiarios_Netflix[[#This Row],[Duración Plan]],1))</f>
        <v>12</v>
      </c>
      <c r="W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9" spans="1:23" x14ac:dyDescent="0.25">
      <c r="A79">
        <v>78</v>
      </c>
      <c r="B79" t="s">
        <v>32</v>
      </c>
      <c r="C79">
        <v>12</v>
      </c>
      <c r="D79" s="3">
        <v>18</v>
      </c>
      <c r="E79" s="3">
        <v>11</v>
      </c>
      <c r="F79">
        <v>23</v>
      </c>
      <c r="G79" s="1">
        <f>DATEVALUE(_xlfn.CONCAT(BBDD_Usiarios_Netflix[[#This Row],[Día Suscripción]],"/",BBDD_Usiarios_Netflix[[#This Row],[Mes Suscripción]],"/",BBDD_Usiarios_Netflix[[#This Row],[Año Suscripción]]))</f>
        <v>45248</v>
      </c>
      <c r="H79" s="1">
        <v>28</v>
      </c>
      <c r="I79" s="1">
        <v>6</v>
      </c>
      <c r="J79" s="1">
        <v>24</v>
      </c>
      <c r="K79" s="1" t="str">
        <f>TEXT(BBDD_Usiarios_Netflix[[#This Row],[Fecha Suscripción]],"dddd")</f>
        <v>sábado</v>
      </c>
      <c r="L79" s="1">
        <f>DATEVALUE(_xlfn.CONCAT(BBDD_Usiarios_Netflix[[#This Row],[Día Último Pago]],"/",BBDD_Usiarios_Netflix[[#This Row],[Mes Último Pago]],"/",BBDD_Usiarios_Netflix[[#This Row],[Año Último Pago]]))</f>
        <v>45471</v>
      </c>
      <c r="M79" s="4">
        <f>DATEDIF(BBDD_Usiarios_Netflix[[#This Row],[Fecha Suscripción]],BBDD_Usiarios_Netflix[[#This Row],[Fecha Último Pago]],"M")+1</f>
        <v>8</v>
      </c>
      <c r="N79" s="4">
        <f>BBDD_Usiarios_Netflix[[#This Row],[Ingresos Mensuales]]*BBDD_Usiarios_Netflix[[#This Row],[Meses contratados]]</f>
        <v>96</v>
      </c>
      <c r="O79" t="s">
        <v>24</v>
      </c>
      <c r="P79" t="str">
        <f>IF(BBDD_Usiarios_Netflix[[#This Row],[País]]="","Desconocido",BBDD_Usiarios_Netflix[[#This Row],[País]])</f>
        <v>Australia</v>
      </c>
      <c r="Q79">
        <v>49</v>
      </c>
      <c r="R79" t="s">
        <v>25</v>
      </c>
      <c r="S79" t="s">
        <v>31</v>
      </c>
      <c r="T79" t="s">
        <v>27</v>
      </c>
      <c r="U79">
        <f>IF(IFERROR(VLOOKUP(BBDD_Usiarios_Netflix[[#This Row],[Identificador Usuario]],A80:$A$5870,1,FALSE),0)&lt;&gt;0,1,0)</f>
        <v>0</v>
      </c>
      <c r="V79" s="6" t="str">
        <f>IF(BBDD_Usiarios_Netflix[[#This Row],[Duración Plan]]="12 Meses",LEFT(BBDD_Usiarios_Netflix[[#This Row],[Duración Plan]],2),LEFT(BBDD_Usiarios_Netflix[[#This Row],[Duración Plan]],1))</f>
        <v>1</v>
      </c>
      <c r="W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0" spans="1:23" x14ac:dyDescent="0.25">
      <c r="A80">
        <v>79</v>
      </c>
      <c r="B80" t="s">
        <v>32</v>
      </c>
      <c r="C80">
        <v>13</v>
      </c>
      <c r="D80" s="3">
        <v>3</v>
      </c>
      <c r="E80" s="3">
        <v>12</v>
      </c>
      <c r="F80">
        <v>23</v>
      </c>
      <c r="G80" s="1">
        <f>DATEVALUE(_xlfn.CONCAT(BBDD_Usiarios_Netflix[[#This Row],[Día Suscripción]],"/",BBDD_Usiarios_Netflix[[#This Row],[Mes Suscripción]],"/",BBDD_Usiarios_Netflix[[#This Row],[Año Suscripción]]))</f>
        <v>45263</v>
      </c>
      <c r="H80" s="1">
        <v>25</v>
      </c>
      <c r="I80" s="1">
        <v>6</v>
      </c>
      <c r="J80" s="1">
        <v>24</v>
      </c>
      <c r="K80" s="1" t="str">
        <f>TEXT(BBDD_Usiarios_Netflix[[#This Row],[Fecha Suscripción]],"dddd")</f>
        <v>domingo</v>
      </c>
      <c r="L80" s="1">
        <f>DATEVALUE(_xlfn.CONCAT(BBDD_Usiarios_Netflix[[#This Row],[Día Último Pago]],"/",BBDD_Usiarios_Netflix[[#This Row],[Mes Último Pago]],"/",BBDD_Usiarios_Netflix[[#This Row],[Año Último Pago]]))</f>
        <v>45468</v>
      </c>
      <c r="M80" s="4">
        <f>DATEDIF(BBDD_Usiarios_Netflix[[#This Row],[Fecha Suscripción]],BBDD_Usiarios_Netflix[[#This Row],[Fecha Último Pago]],"M")+1</f>
        <v>7</v>
      </c>
      <c r="N80" s="4">
        <f>BBDD_Usiarios_Netflix[[#This Row],[Ingresos Mensuales]]*BBDD_Usiarios_Netflix[[#This Row],[Meses contratados]]</f>
        <v>91</v>
      </c>
      <c r="O80" t="s">
        <v>42</v>
      </c>
      <c r="P80" t="str">
        <f>IF(BBDD_Usiarios_Netflix[[#This Row],[País]]="","Desconocido",BBDD_Usiarios_Netflix[[#This Row],[País]])</f>
        <v>Reino Unido</v>
      </c>
      <c r="Q80">
        <v>43</v>
      </c>
      <c r="R80" t="s">
        <v>30</v>
      </c>
      <c r="S80" t="s">
        <v>36</v>
      </c>
      <c r="T80" t="s">
        <v>35</v>
      </c>
      <c r="U80">
        <f>IF(IFERROR(VLOOKUP(BBDD_Usiarios_Netflix[[#This Row],[Identificador Usuario]],A81:$A$5870,1,FALSE),0)&lt;&gt;0,1,0)</f>
        <v>0</v>
      </c>
      <c r="V80" s="6" t="str">
        <f>IF(BBDD_Usiarios_Netflix[[#This Row],[Duración Plan]]="12 Meses",LEFT(BBDD_Usiarios_Netflix[[#This Row],[Duración Plan]],2),LEFT(BBDD_Usiarios_Netflix[[#This Row],[Duración Plan]],1))</f>
        <v>6</v>
      </c>
      <c r="W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1" spans="1:23" x14ac:dyDescent="0.25">
      <c r="A81">
        <v>80</v>
      </c>
      <c r="B81" t="s">
        <v>23</v>
      </c>
      <c r="C81">
        <v>10</v>
      </c>
      <c r="D81" s="3">
        <v>8</v>
      </c>
      <c r="E81" s="3">
        <v>11</v>
      </c>
      <c r="F81">
        <v>23</v>
      </c>
      <c r="G81" s="1">
        <f>DATEVALUE(_xlfn.CONCAT(BBDD_Usiarios_Netflix[[#This Row],[Día Suscripción]],"/",BBDD_Usiarios_Netflix[[#This Row],[Mes Suscripción]],"/",BBDD_Usiarios_Netflix[[#This Row],[Año Suscripción]]))</f>
        <v>45238</v>
      </c>
      <c r="H81" s="1">
        <v>22</v>
      </c>
      <c r="I81" s="1">
        <v>6</v>
      </c>
      <c r="J81" s="1">
        <v>24</v>
      </c>
      <c r="K81" s="1" t="str">
        <f>TEXT(BBDD_Usiarios_Netflix[[#This Row],[Fecha Suscripción]],"dddd")</f>
        <v>miércoles</v>
      </c>
      <c r="L81" s="1">
        <f>DATEVALUE(_xlfn.CONCAT(BBDD_Usiarios_Netflix[[#This Row],[Día Último Pago]],"/",BBDD_Usiarios_Netflix[[#This Row],[Mes Último Pago]],"/",BBDD_Usiarios_Netflix[[#This Row],[Año Último Pago]]))</f>
        <v>45465</v>
      </c>
      <c r="M81" s="4">
        <f>DATEDIF(BBDD_Usiarios_Netflix[[#This Row],[Fecha Suscripción]],BBDD_Usiarios_Netflix[[#This Row],[Fecha Último Pago]],"M")+1</f>
        <v>8</v>
      </c>
      <c r="N81" s="4">
        <f>BBDD_Usiarios_Netflix[[#This Row],[Ingresos Mensuales]]*BBDD_Usiarios_Netflix[[#This Row],[Meses contratados]]</f>
        <v>80</v>
      </c>
      <c r="O81" t="s">
        <v>29</v>
      </c>
      <c r="P81" t="str">
        <f>IF(BBDD_Usiarios_Netflix[[#This Row],[País]]="","Desconocido",BBDD_Usiarios_Netflix[[#This Row],[País]])</f>
        <v>EEUU</v>
      </c>
      <c r="Q81">
        <v>43</v>
      </c>
      <c r="R81" t="s">
        <v>25</v>
      </c>
      <c r="S81" t="s">
        <v>31</v>
      </c>
      <c r="T81" t="s">
        <v>38</v>
      </c>
      <c r="U81">
        <f>IF(IFERROR(VLOOKUP(BBDD_Usiarios_Netflix[[#This Row],[Identificador Usuario]],A82:$A$5870,1,FALSE),0)&lt;&gt;0,1,0)</f>
        <v>0</v>
      </c>
      <c r="V81" s="6" t="str">
        <f>IF(BBDD_Usiarios_Netflix[[#This Row],[Duración Plan]]="12 Meses",LEFT(BBDD_Usiarios_Netflix[[#This Row],[Duración Plan]],2),LEFT(BBDD_Usiarios_Netflix[[#This Row],[Duración Plan]],1))</f>
        <v>3</v>
      </c>
      <c r="W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2" spans="1:23" x14ac:dyDescent="0.25">
      <c r="A82">
        <v>81</v>
      </c>
      <c r="B82" t="s">
        <v>28</v>
      </c>
      <c r="C82">
        <v>15</v>
      </c>
      <c r="D82" s="3">
        <v>11</v>
      </c>
      <c r="E82" s="3">
        <v>1</v>
      </c>
      <c r="F82">
        <v>24</v>
      </c>
      <c r="G82" s="1">
        <f>DATEVALUE(_xlfn.CONCAT(BBDD_Usiarios_Netflix[[#This Row],[Día Suscripción]],"/",BBDD_Usiarios_Netflix[[#This Row],[Mes Suscripción]],"/",BBDD_Usiarios_Netflix[[#This Row],[Año Suscripción]]))</f>
        <v>45302</v>
      </c>
      <c r="H82" s="1">
        <v>24</v>
      </c>
      <c r="I82" s="1">
        <v>6</v>
      </c>
      <c r="J82" s="1">
        <v>24</v>
      </c>
      <c r="K82" s="1" t="str">
        <f>TEXT(BBDD_Usiarios_Netflix[[#This Row],[Fecha Suscripción]],"dddd")</f>
        <v>jueves</v>
      </c>
      <c r="L82" s="1">
        <f>DATEVALUE(_xlfn.CONCAT(BBDD_Usiarios_Netflix[[#This Row],[Día Último Pago]],"/",BBDD_Usiarios_Netflix[[#This Row],[Mes Último Pago]],"/",BBDD_Usiarios_Netflix[[#This Row],[Año Último Pago]]))</f>
        <v>45467</v>
      </c>
      <c r="M82" s="4">
        <f>DATEDIF(BBDD_Usiarios_Netflix[[#This Row],[Fecha Suscripción]],BBDD_Usiarios_Netflix[[#This Row],[Fecha Último Pago]],"M")+1</f>
        <v>6</v>
      </c>
      <c r="N82" s="4">
        <f>BBDD_Usiarios_Netflix[[#This Row],[Ingresos Mensuales]]*BBDD_Usiarios_Netflix[[#This Row],[Meses contratados]]</f>
        <v>90</v>
      </c>
      <c r="O82" t="s">
        <v>42</v>
      </c>
      <c r="P82" t="str">
        <f>IF(BBDD_Usiarios_Netflix[[#This Row],[País]]="","Desconocido",BBDD_Usiarios_Netflix[[#This Row],[País]])</f>
        <v>Reino Unido</v>
      </c>
      <c r="Q82">
        <v>37</v>
      </c>
      <c r="R82" t="s">
        <v>25</v>
      </c>
      <c r="S82" t="s">
        <v>31</v>
      </c>
      <c r="T82" t="s">
        <v>35</v>
      </c>
      <c r="U82">
        <f>IF(IFERROR(VLOOKUP(BBDD_Usiarios_Netflix[[#This Row],[Identificador Usuario]],A83:$A$5870,1,FALSE),0)&lt;&gt;0,1,0)</f>
        <v>0</v>
      </c>
      <c r="V82" s="6" t="str">
        <f>IF(BBDD_Usiarios_Netflix[[#This Row],[Duración Plan]]="12 Meses",LEFT(BBDD_Usiarios_Netflix[[#This Row],[Duración Plan]],2),LEFT(BBDD_Usiarios_Netflix[[#This Row],[Duración Plan]],1))</f>
        <v>6</v>
      </c>
      <c r="W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3" spans="1:23" x14ac:dyDescent="0.25">
      <c r="A83">
        <v>82</v>
      </c>
      <c r="B83" t="s">
        <v>32</v>
      </c>
      <c r="C83">
        <v>13</v>
      </c>
      <c r="D83" s="3">
        <v>7</v>
      </c>
      <c r="E83" s="3">
        <v>12</v>
      </c>
      <c r="F83">
        <v>23</v>
      </c>
      <c r="G83" s="1">
        <f>DATEVALUE(_xlfn.CONCAT(BBDD_Usiarios_Netflix[[#This Row],[Día Suscripción]],"/",BBDD_Usiarios_Netflix[[#This Row],[Mes Suscripción]],"/",BBDD_Usiarios_Netflix[[#This Row],[Año Suscripción]]))</f>
        <v>45267</v>
      </c>
      <c r="H83" s="1">
        <v>28</v>
      </c>
      <c r="I83" s="1">
        <v>6</v>
      </c>
      <c r="J83" s="1">
        <v>24</v>
      </c>
      <c r="K83" s="1" t="str">
        <f>TEXT(BBDD_Usiarios_Netflix[[#This Row],[Fecha Suscripción]],"dddd")</f>
        <v>jueves</v>
      </c>
      <c r="L83" s="1">
        <f>DATEVALUE(_xlfn.CONCAT(BBDD_Usiarios_Netflix[[#This Row],[Día Último Pago]],"/",BBDD_Usiarios_Netflix[[#This Row],[Mes Último Pago]],"/",BBDD_Usiarios_Netflix[[#This Row],[Año Último Pago]]))</f>
        <v>45471</v>
      </c>
      <c r="M83" s="4">
        <f>DATEDIF(BBDD_Usiarios_Netflix[[#This Row],[Fecha Suscripción]],BBDD_Usiarios_Netflix[[#This Row],[Fecha Último Pago]],"M")+1</f>
        <v>7</v>
      </c>
      <c r="N83" s="4">
        <f>BBDD_Usiarios_Netflix[[#This Row],[Ingresos Mensuales]]*BBDD_Usiarios_Netflix[[#This Row],[Meses contratados]]</f>
        <v>91</v>
      </c>
      <c r="O83" t="s">
        <v>42</v>
      </c>
      <c r="P83" t="str">
        <f>IF(BBDD_Usiarios_Netflix[[#This Row],[País]]="","Desconocido",BBDD_Usiarios_Netflix[[#This Row],[País]])</f>
        <v>Reino Unido</v>
      </c>
      <c r="Q83">
        <v>35</v>
      </c>
      <c r="R83" t="s">
        <v>25</v>
      </c>
      <c r="S83" t="s">
        <v>36</v>
      </c>
      <c r="T83" t="s">
        <v>41</v>
      </c>
      <c r="U83">
        <f>IF(IFERROR(VLOOKUP(BBDD_Usiarios_Netflix[[#This Row],[Identificador Usuario]],A84:$A$5870,1,FALSE),0)&lt;&gt;0,1,0)</f>
        <v>0</v>
      </c>
      <c r="V83" s="6" t="str">
        <f>IF(BBDD_Usiarios_Netflix[[#This Row],[Duración Plan]]="12 Meses",LEFT(BBDD_Usiarios_Netflix[[#This Row],[Duración Plan]],2),LEFT(BBDD_Usiarios_Netflix[[#This Row],[Duración Plan]],1))</f>
        <v>12</v>
      </c>
      <c r="W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4" spans="1:23" x14ac:dyDescent="0.25">
      <c r="A84">
        <v>83</v>
      </c>
      <c r="B84" t="s">
        <v>23</v>
      </c>
      <c r="C84">
        <v>10</v>
      </c>
      <c r="D84" s="3">
        <v>20</v>
      </c>
      <c r="E84" s="3">
        <v>10</v>
      </c>
      <c r="F84">
        <v>23</v>
      </c>
      <c r="G84" s="1">
        <f>DATEVALUE(_xlfn.CONCAT(BBDD_Usiarios_Netflix[[#This Row],[Día Suscripción]],"/",BBDD_Usiarios_Netflix[[#This Row],[Mes Suscripción]],"/",BBDD_Usiarios_Netflix[[#This Row],[Año Suscripción]]))</f>
        <v>45219</v>
      </c>
      <c r="H84" s="1">
        <v>26</v>
      </c>
      <c r="I84" s="1">
        <v>6</v>
      </c>
      <c r="J84" s="1">
        <v>24</v>
      </c>
      <c r="K84" s="1" t="str">
        <f>TEXT(BBDD_Usiarios_Netflix[[#This Row],[Fecha Suscripción]],"dddd")</f>
        <v>viernes</v>
      </c>
      <c r="L84" s="1">
        <f>DATEVALUE(_xlfn.CONCAT(BBDD_Usiarios_Netflix[[#This Row],[Día Último Pago]],"/",BBDD_Usiarios_Netflix[[#This Row],[Mes Último Pago]],"/",BBDD_Usiarios_Netflix[[#This Row],[Año Último Pago]]))</f>
        <v>45469</v>
      </c>
      <c r="M84" s="4">
        <f>DATEDIF(BBDD_Usiarios_Netflix[[#This Row],[Fecha Suscripción]],BBDD_Usiarios_Netflix[[#This Row],[Fecha Último Pago]],"M")+1</f>
        <v>9</v>
      </c>
      <c r="N84" s="4">
        <f>BBDD_Usiarios_Netflix[[#This Row],[Ingresos Mensuales]]*BBDD_Usiarios_Netflix[[#This Row],[Meses contratados]]</f>
        <v>90</v>
      </c>
      <c r="O84" t="s">
        <v>39</v>
      </c>
      <c r="P84" t="str">
        <f>IF(BBDD_Usiarios_Netflix[[#This Row],[País]]="","Desconocido",BBDD_Usiarios_Netflix[[#This Row],[País]])</f>
        <v>Canadá</v>
      </c>
      <c r="Q84">
        <v>46</v>
      </c>
      <c r="R84" t="s">
        <v>30</v>
      </c>
      <c r="S84" t="s">
        <v>26</v>
      </c>
      <c r="T84" t="s">
        <v>38</v>
      </c>
      <c r="U84">
        <f>IF(IFERROR(VLOOKUP(BBDD_Usiarios_Netflix[[#This Row],[Identificador Usuario]],A85:$A$5870,1,FALSE),0)&lt;&gt;0,1,0)</f>
        <v>0</v>
      </c>
      <c r="V84" s="6" t="str">
        <f>IF(BBDD_Usiarios_Netflix[[#This Row],[Duración Plan]]="12 Meses",LEFT(BBDD_Usiarios_Netflix[[#This Row],[Duración Plan]],2),LEFT(BBDD_Usiarios_Netflix[[#This Row],[Duración Plan]],1))</f>
        <v>3</v>
      </c>
      <c r="W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5" spans="1:23" x14ac:dyDescent="0.25">
      <c r="A85">
        <v>84</v>
      </c>
      <c r="B85" t="s">
        <v>32</v>
      </c>
      <c r="C85">
        <v>13</v>
      </c>
      <c r="D85" s="3">
        <v>13</v>
      </c>
      <c r="E85" s="3">
        <v>4</v>
      </c>
      <c r="F85">
        <v>24</v>
      </c>
      <c r="G85" s="1">
        <f>DATEVALUE(_xlfn.CONCAT(BBDD_Usiarios_Netflix[[#This Row],[Día Suscripción]],"/",BBDD_Usiarios_Netflix[[#This Row],[Mes Suscripción]],"/",BBDD_Usiarios_Netflix[[#This Row],[Año Suscripción]]))</f>
        <v>45395</v>
      </c>
      <c r="H85" s="1">
        <v>25</v>
      </c>
      <c r="I85" s="1">
        <v>6</v>
      </c>
      <c r="J85" s="1">
        <v>24</v>
      </c>
      <c r="K85" s="1" t="str">
        <f>TEXT(BBDD_Usiarios_Netflix[[#This Row],[Fecha Suscripción]],"dddd")</f>
        <v>sábado</v>
      </c>
      <c r="L85" s="1">
        <f>DATEVALUE(_xlfn.CONCAT(BBDD_Usiarios_Netflix[[#This Row],[Día Último Pago]],"/",BBDD_Usiarios_Netflix[[#This Row],[Mes Último Pago]],"/",BBDD_Usiarios_Netflix[[#This Row],[Año Último Pago]]))</f>
        <v>45468</v>
      </c>
      <c r="M85" s="4">
        <f>DATEDIF(BBDD_Usiarios_Netflix[[#This Row],[Fecha Suscripción]],BBDD_Usiarios_Netflix[[#This Row],[Fecha Último Pago]],"M")+1</f>
        <v>3</v>
      </c>
      <c r="N85" s="4">
        <f>BBDD_Usiarios_Netflix[[#This Row],[Ingresos Mensuales]]*BBDD_Usiarios_Netflix[[#This Row],[Meses contratados]]</f>
        <v>39</v>
      </c>
      <c r="O85" t="s">
        <v>29</v>
      </c>
      <c r="P85" t="str">
        <f>IF(BBDD_Usiarios_Netflix[[#This Row],[País]]="","Desconocido",BBDD_Usiarios_Netflix[[#This Row],[País]])</f>
        <v>EEUU</v>
      </c>
      <c r="Q85">
        <v>32</v>
      </c>
      <c r="R85" t="s">
        <v>25</v>
      </c>
      <c r="S85" t="s">
        <v>26</v>
      </c>
      <c r="T85" t="s">
        <v>41</v>
      </c>
      <c r="U85">
        <f>IF(IFERROR(VLOOKUP(BBDD_Usiarios_Netflix[[#This Row],[Identificador Usuario]],A86:$A$5870,1,FALSE),0)&lt;&gt;0,1,0)</f>
        <v>0</v>
      </c>
      <c r="V85" s="6" t="str">
        <f>IF(BBDD_Usiarios_Netflix[[#This Row],[Duración Plan]]="12 Meses",LEFT(BBDD_Usiarios_Netflix[[#This Row],[Duración Plan]],2),LEFT(BBDD_Usiarios_Netflix[[#This Row],[Duración Plan]],1))</f>
        <v>12</v>
      </c>
      <c r="W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6" spans="1:23" x14ac:dyDescent="0.25">
      <c r="A86">
        <v>85</v>
      </c>
      <c r="B86" t="s">
        <v>28</v>
      </c>
      <c r="C86">
        <v>15</v>
      </c>
      <c r="D86" s="3">
        <v>6</v>
      </c>
      <c r="E86" s="3">
        <v>4</v>
      </c>
      <c r="F86">
        <v>24</v>
      </c>
      <c r="G86" s="1">
        <f>DATEVALUE(_xlfn.CONCAT(BBDD_Usiarios_Netflix[[#This Row],[Día Suscripción]],"/",BBDD_Usiarios_Netflix[[#This Row],[Mes Suscripción]],"/",BBDD_Usiarios_Netflix[[#This Row],[Año Suscripción]]))</f>
        <v>45388</v>
      </c>
      <c r="H86" s="1">
        <v>27</v>
      </c>
      <c r="I86" s="1">
        <v>6</v>
      </c>
      <c r="J86" s="1">
        <v>24</v>
      </c>
      <c r="K86" s="1" t="str">
        <f>TEXT(BBDD_Usiarios_Netflix[[#This Row],[Fecha Suscripción]],"dddd")</f>
        <v>sábado</v>
      </c>
      <c r="L86" s="1">
        <f>DATEVALUE(_xlfn.CONCAT(BBDD_Usiarios_Netflix[[#This Row],[Día Último Pago]],"/",BBDD_Usiarios_Netflix[[#This Row],[Mes Último Pago]],"/",BBDD_Usiarios_Netflix[[#This Row],[Año Último Pago]]))</f>
        <v>45470</v>
      </c>
      <c r="M86" s="4">
        <f>DATEDIF(BBDD_Usiarios_Netflix[[#This Row],[Fecha Suscripción]],BBDD_Usiarios_Netflix[[#This Row],[Fecha Último Pago]],"M")+1</f>
        <v>3</v>
      </c>
      <c r="N86" s="4">
        <f>BBDD_Usiarios_Netflix[[#This Row],[Ingresos Mensuales]]*BBDD_Usiarios_Netflix[[#This Row],[Meses contratados]]</f>
        <v>45</v>
      </c>
      <c r="O86" t="s">
        <v>43</v>
      </c>
      <c r="P86" t="str">
        <f>IF(BBDD_Usiarios_Netflix[[#This Row],[País]]="","Desconocido",BBDD_Usiarios_Netflix[[#This Row],[País]])</f>
        <v>Alemania</v>
      </c>
      <c r="Q86">
        <v>37</v>
      </c>
      <c r="R86" t="s">
        <v>30</v>
      </c>
      <c r="S86" t="s">
        <v>36</v>
      </c>
      <c r="T86" t="s">
        <v>38</v>
      </c>
      <c r="U86">
        <f>IF(IFERROR(VLOOKUP(BBDD_Usiarios_Netflix[[#This Row],[Identificador Usuario]],A87:$A$5870,1,FALSE),0)&lt;&gt;0,1,0)</f>
        <v>0</v>
      </c>
      <c r="V86" s="6" t="str">
        <f>IF(BBDD_Usiarios_Netflix[[#This Row],[Duración Plan]]="12 Meses",LEFT(BBDD_Usiarios_Netflix[[#This Row],[Duración Plan]],2),LEFT(BBDD_Usiarios_Netflix[[#This Row],[Duración Plan]],1))</f>
        <v>3</v>
      </c>
      <c r="W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7" spans="1:23" x14ac:dyDescent="0.25">
      <c r="A87">
        <v>86</v>
      </c>
      <c r="B87" t="s">
        <v>23</v>
      </c>
      <c r="C87">
        <v>11</v>
      </c>
      <c r="D87" s="3">
        <v>4</v>
      </c>
      <c r="E87" s="3">
        <v>3</v>
      </c>
      <c r="F87">
        <v>23</v>
      </c>
      <c r="G87" s="1">
        <f>DATEVALUE(_xlfn.CONCAT(BBDD_Usiarios_Netflix[[#This Row],[Día Suscripción]],"/",BBDD_Usiarios_Netflix[[#This Row],[Mes Suscripción]],"/",BBDD_Usiarios_Netflix[[#This Row],[Año Suscripción]]))</f>
        <v>44989</v>
      </c>
      <c r="H87" s="1">
        <v>25</v>
      </c>
      <c r="I87" s="1">
        <v>6</v>
      </c>
      <c r="J87" s="1">
        <v>24</v>
      </c>
      <c r="K87" s="1" t="str">
        <f>TEXT(BBDD_Usiarios_Netflix[[#This Row],[Fecha Suscripción]],"dddd")</f>
        <v>sábado</v>
      </c>
      <c r="L87" s="1">
        <f>DATEVALUE(_xlfn.CONCAT(BBDD_Usiarios_Netflix[[#This Row],[Día Último Pago]],"/",BBDD_Usiarios_Netflix[[#This Row],[Mes Último Pago]],"/",BBDD_Usiarios_Netflix[[#This Row],[Año Último Pago]]))</f>
        <v>45468</v>
      </c>
      <c r="M87" s="4">
        <f>DATEDIF(BBDD_Usiarios_Netflix[[#This Row],[Fecha Suscripción]],BBDD_Usiarios_Netflix[[#This Row],[Fecha Último Pago]],"M")+1</f>
        <v>16</v>
      </c>
      <c r="N87" s="4">
        <f>BBDD_Usiarios_Netflix[[#This Row],[Ingresos Mensuales]]*BBDD_Usiarios_Netflix[[#This Row],[Meses contratados]]</f>
        <v>176</v>
      </c>
      <c r="O87" t="s">
        <v>29</v>
      </c>
      <c r="P87" t="str">
        <f>IF(BBDD_Usiarios_Netflix[[#This Row],[País]]="","Desconocido",BBDD_Usiarios_Netflix[[#This Row],[País]])</f>
        <v>EEUU</v>
      </c>
      <c r="Q87">
        <v>29</v>
      </c>
      <c r="R87" t="s">
        <v>30</v>
      </c>
      <c r="S87" t="s">
        <v>26</v>
      </c>
      <c r="T87" t="s">
        <v>35</v>
      </c>
      <c r="U87">
        <f>IF(IFERROR(VLOOKUP(BBDD_Usiarios_Netflix[[#This Row],[Identificador Usuario]],A88:$A$5870,1,FALSE),0)&lt;&gt;0,1,0)</f>
        <v>0</v>
      </c>
      <c r="V87" s="6" t="str">
        <f>IF(BBDD_Usiarios_Netflix[[#This Row],[Duración Plan]]="12 Meses",LEFT(BBDD_Usiarios_Netflix[[#This Row],[Duración Plan]],2),LEFT(BBDD_Usiarios_Netflix[[#This Row],[Duración Plan]],1))</f>
        <v>6</v>
      </c>
      <c r="W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8" spans="1:23" x14ac:dyDescent="0.25">
      <c r="A88">
        <v>87</v>
      </c>
      <c r="B88" t="s">
        <v>28</v>
      </c>
      <c r="C88">
        <v>15</v>
      </c>
      <c r="D88" s="3">
        <v>28</v>
      </c>
      <c r="E88" s="3">
        <v>12</v>
      </c>
      <c r="F88">
        <v>22</v>
      </c>
      <c r="G88" s="1">
        <f>DATEVALUE(_xlfn.CONCAT(BBDD_Usiarios_Netflix[[#This Row],[Día Suscripción]],"/",BBDD_Usiarios_Netflix[[#This Row],[Mes Suscripción]],"/",BBDD_Usiarios_Netflix[[#This Row],[Año Suscripción]]))</f>
        <v>44923</v>
      </c>
      <c r="H88" s="1">
        <v>23</v>
      </c>
      <c r="I88" s="1">
        <v>6</v>
      </c>
      <c r="J88" s="1">
        <v>24</v>
      </c>
      <c r="K88" s="1" t="str">
        <f>TEXT(BBDD_Usiarios_Netflix[[#This Row],[Fecha Suscripción]],"dddd")</f>
        <v>miércoles</v>
      </c>
      <c r="L88" s="1">
        <f>DATEVALUE(_xlfn.CONCAT(BBDD_Usiarios_Netflix[[#This Row],[Día Último Pago]],"/",BBDD_Usiarios_Netflix[[#This Row],[Mes Último Pago]],"/",BBDD_Usiarios_Netflix[[#This Row],[Año Último Pago]]))</f>
        <v>45466</v>
      </c>
      <c r="M88" s="4">
        <f>DATEDIF(BBDD_Usiarios_Netflix[[#This Row],[Fecha Suscripción]],BBDD_Usiarios_Netflix[[#This Row],[Fecha Último Pago]],"M")+1</f>
        <v>18</v>
      </c>
      <c r="N88" s="4">
        <f>BBDD_Usiarios_Netflix[[#This Row],[Ingresos Mensuales]]*BBDD_Usiarios_Netflix[[#This Row],[Meses contratados]]</f>
        <v>270</v>
      </c>
      <c r="O88" t="s">
        <v>33</v>
      </c>
      <c r="P88" t="str">
        <f>IF(BBDD_Usiarios_Netflix[[#This Row],[País]]="","Desconocido",BBDD_Usiarios_Netflix[[#This Row],[País]])</f>
        <v>Francia</v>
      </c>
      <c r="Q88">
        <v>45</v>
      </c>
      <c r="R88" t="s">
        <v>25</v>
      </c>
      <c r="S88" t="s">
        <v>34</v>
      </c>
      <c r="T88" t="s">
        <v>38</v>
      </c>
      <c r="U88">
        <f>IF(IFERROR(VLOOKUP(BBDD_Usiarios_Netflix[[#This Row],[Identificador Usuario]],A89:$A$5870,1,FALSE),0)&lt;&gt;0,1,0)</f>
        <v>0</v>
      </c>
      <c r="V88" s="6" t="str">
        <f>IF(BBDD_Usiarios_Netflix[[#This Row],[Duración Plan]]="12 Meses",LEFT(BBDD_Usiarios_Netflix[[#This Row],[Duración Plan]],2),LEFT(BBDD_Usiarios_Netflix[[#This Row],[Duración Plan]],1))</f>
        <v>3</v>
      </c>
      <c r="W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9" spans="1:23" x14ac:dyDescent="0.25">
      <c r="A89">
        <v>88</v>
      </c>
      <c r="B89" t="s">
        <v>32</v>
      </c>
      <c r="C89">
        <v>12</v>
      </c>
      <c r="D89" s="3">
        <v>27</v>
      </c>
      <c r="E89" s="3">
        <v>9</v>
      </c>
      <c r="F89">
        <v>23</v>
      </c>
      <c r="G89" s="1">
        <f>DATEVALUE(_xlfn.CONCAT(BBDD_Usiarios_Netflix[[#This Row],[Día Suscripción]],"/",BBDD_Usiarios_Netflix[[#This Row],[Mes Suscripción]],"/",BBDD_Usiarios_Netflix[[#This Row],[Año Suscripción]]))</f>
        <v>45196</v>
      </c>
      <c r="H89" s="1">
        <v>28</v>
      </c>
      <c r="I89" s="1">
        <v>6</v>
      </c>
      <c r="J89" s="1">
        <v>24</v>
      </c>
      <c r="K89" s="1" t="str">
        <f>TEXT(BBDD_Usiarios_Netflix[[#This Row],[Fecha Suscripción]],"dddd")</f>
        <v>miércoles</v>
      </c>
      <c r="L89" s="1">
        <f>DATEVALUE(_xlfn.CONCAT(BBDD_Usiarios_Netflix[[#This Row],[Día Último Pago]],"/",BBDD_Usiarios_Netflix[[#This Row],[Mes Último Pago]],"/",BBDD_Usiarios_Netflix[[#This Row],[Año Último Pago]]))</f>
        <v>45471</v>
      </c>
      <c r="M89" s="4">
        <f>DATEDIF(BBDD_Usiarios_Netflix[[#This Row],[Fecha Suscripción]],BBDD_Usiarios_Netflix[[#This Row],[Fecha Último Pago]],"M")+1</f>
        <v>10</v>
      </c>
      <c r="N89" s="4">
        <f>BBDD_Usiarios_Netflix[[#This Row],[Ingresos Mensuales]]*BBDD_Usiarios_Netflix[[#This Row],[Meses contratados]]</f>
        <v>120</v>
      </c>
      <c r="O89" t="s">
        <v>29</v>
      </c>
      <c r="P89" t="str">
        <f>IF(BBDD_Usiarios_Netflix[[#This Row],[País]]="","Desconocido",BBDD_Usiarios_Netflix[[#This Row],[País]])</f>
        <v>EEUU</v>
      </c>
      <c r="Q89">
        <v>47</v>
      </c>
      <c r="R89" t="s">
        <v>25</v>
      </c>
      <c r="S89" t="s">
        <v>31</v>
      </c>
      <c r="T89" t="s">
        <v>38</v>
      </c>
      <c r="U89">
        <f>IF(IFERROR(VLOOKUP(BBDD_Usiarios_Netflix[[#This Row],[Identificador Usuario]],A90:$A$5870,1,FALSE),0)&lt;&gt;0,1,0)</f>
        <v>0</v>
      </c>
      <c r="V89" s="6" t="str">
        <f>IF(BBDD_Usiarios_Netflix[[#This Row],[Duración Plan]]="12 Meses",LEFT(BBDD_Usiarios_Netflix[[#This Row],[Duración Plan]],2),LEFT(BBDD_Usiarios_Netflix[[#This Row],[Duración Plan]],1))</f>
        <v>3</v>
      </c>
      <c r="W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0" spans="1:23" x14ac:dyDescent="0.25">
      <c r="A90">
        <v>89</v>
      </c>
      <c r="B90" t="s">
        <v>23</v>
      </c>
      <c r="C90">
        <v>10</v>
      </c>
      <c r="D90" s="3">
        <v>20</v>
      </c>
      <c r="E90" s="3">
        <v>10</v>
      </c>
      <c r="F90">
        <v>23</v>
      </c>
      <c r="G90" s="1">
        <f>DATEVALUE(_xlfn.CONCAT(BBDD_Usiarios_Netflix[[#This Row],[Día Suscripción]],"/",BBDD_Usiarios_Netflix[[#This Row],[Mes Suscripción]],"/",BBDD_Usiarios_Netflix[[#This Row],[Año Suscripción]]))</f>
        <v>45219</v>
      </c>
      <c r="H90" s="1">
        <v>26</v>
      </c>
      <c r="I90" s="1">
        <v>6</v>
      </c>
      <c r="J90" s="1">
        <v>24</v>
      </c>
      <c r="K90" s="1" t="str">
        <f>TEXT(BBDD_Usiarios_Netflix[[#This Row],[Fecha Suscripción]],"dddd")</f>
        <v>viernes</v>
      </c>
      <c r="L90" s="1">
        <f>DATEVALUE(_xlfn.CONCAT(BBDD_Usiarios_Netflix[[#This Row],[Día Último Pago]],"/",BBDD_Usiarios_Netflix[[#This Row],[Mes Último Pago]],"/",BBDD_Usiarios_Netflix[[#This Row],[Año Último Pago]]))</f>
        <v>45469</v>
      </c>
      <c r="M90" s="4">
        <f>DATEDIF(BBDD_Usiarios_Netflix[[#This Row],[Fecha Suscripción]],BBDD_Usiarios_Netflix[[#This Row],[Fecha Último Pago]],"M")+1</f>
        <v>9</v>
      </c>
      <c r="N90" s="4">
        <f>BBDD_Usiarios_Netflix[[#This Row],[Ingresos Mensuales]]*BBDD_Usiarios_Netflix[[#This Row],[Meses contratados]]</f>
        <v>90</v>
      </c>
      <c r="O90" t="s">
        <v>40</v>
      </c>
      <c r="P90" t="str">
        <f>IF(BBDD_Usiarios_Netflix[[#This Row],[País]]="","Desconocido",BBDD_Usiarios_Netflix[[#This Row],[País]])</f>
        <v>Italia</v>
      </c>
      <c r="Q90">
        <v>39</v>
      </c>
      <c r="R90" t="s">
        <v>25</v>
      </c>
      <c r="S90" t="s">
        <v>26</v>
      </c>
      <c r="T90" t="s">
        <v>41</v>
      </c>
      <c r="U90">
        <f>IF(IFERROR(VLOOKUP(BBDD_Usiarios_Netflix[[#This Row],[Identificador Usuario]],A91:$A$5870,1,FALSE),0)&lt;&gt;0,1,0)</f>
        <v>0</v>
      </c>
      <c r="V90" s="6" t="str">
        <f>IF(BBDD_Usiarios_Netflix[[#This Row],[Duración Plan]]="12 Meses",LEFT(BBDD_Usiarios_Netflix[[#This Row],[Duración Plan]],2),LEFT(BBDD_Usiarios_Netflix[[#This Row],[Duración Plan]],1))</f>
        <v>12</v>
      </c>
      <c r="W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1" spans="1:23" x14ac:dyDescent="0.25">
      <c r="A91">
        <v>90</v>
      </c>
      <c r="B91" t="s">
        <v>32</v>
      </c>
      <c r="C91">
        <v>13</v>
      </c>
      <c r="D91" s="3">
        <v>3</v>
      </c>
      <c r="E91" s="3">
        <v>2</v>
      </c>
      <c r="F91">
        <v>24</v>
      </c>
      <c r="G91" s="1">
        <f>DATEVALUE(_xlfn.CONCAT(BBDD_Usiarios_Netflix[[#This Row],[Día Suscripción]],"/",BBDD_Usiarios_Netflix[[#This Row],[Mes Suscripción]],"/",BBDD_Usiarios_Netflix[[#This Row],[Año Suscripción]]))</f>
        <v>45325</v>
      </c>
      <c r="H91" s="1">
        <v>23</v>
      </c>
      <c r="I91" s="1">
        <v>6</v>
      </c>
      <c r="J91" s="1">
        <v>24</v>
      </c>
      <c r="K91" s="1" t="str">
        <f>TEXT(BBDD_Usiarios_Netflix[[#This Row],[Fecha Suscripción]],"dddd")</f>
        <v>sábado</v>
      </c>
      <c r="L91" s="1">
        <f>DATEVALUE(_xlfn.CONCAT(BBDD_Usiarios_Netflix[[#This Row],[Día Último Pago]],"/",BBDD_Usiarios_Netflix[[#This Row],[Mes Último Pago]],"/",BBDD_Usiarios_Netflix[[#This Row],[Año Último Pago]]))</f>
        <v>45466</v>
      </c>
      <c r="M91" s="4">
        <f>DATEDIF(BBDD_Usiarios_Netflix[[#This Row],[Fecha Suscripción]],BBDD_Usiarios_Netflix[[#This Row],[Fecha Último Pago]],"M")+1</f>
        <v>5</v>
      </c>
      <c r="N91" s="4">
        <f>BBDD_Usiarios_Netflix[[#This Row],[Ingresos Mensuales]]*BBDD_Usiarios_Netflix[[#This Row],[Meses contratados]]</f>
        <v>65</v>
      </c>
      <c r="O91" t="s">
        <v>42</v>
      </c>
      <c r="P91" t="str">
        <f>IF(BBDD_Usiarios_Netflix[[#This Row],[País]]="","Desconocido",BBDD_Usiarios_Netflix[[#This Row],[País]])</f>
        <v>Reino Unido</v>
      </c>
      <c r="Q91">
        <v>49</v>
      </c>
      <c r="R91" t="s">
        <v>30</v>
      </c>
      <c r="S91" t="s">
        <v>26</v>
      </c>
      <c r="T91" t="s">
        <v>35</v>
      </c>
      <c r="U91">
        <f>IF(IFERROR(VLOOKUP(BBDD_Usiarios_Netflix[[#This Row],[Identificador Usuario]],A92:$A$5870,1,FALSE),0)&lt;&gt;0,1,0)</f>
        <v>0</v>
      </c>
      <c r="V91" s="6" t="str">
        <f>IF(BBDD_Usiarios_Netflix[[#This Row],[Duración Plan]]="12 Meses",LEFT(BBDD_Usiarios_Netflix[[#This Row],[Duración Plan]],2),LEFT(BBDD_Usiarios_Netflix[[#This Row],[Duración Plan]],1))</f>
        <v>6</v>
      </c>
      <c r="W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2" spans="1:23" x14ac:dyDescent="0.25">
      <c r="A92">
        <v>91</v>
      </c>
      <c r="B92" t="s">
        <v>28</v>
      </c>
      <c r="C92">
        <v>14</v>
      </c>
      <c r="D92" s="3">
        <v>3</v>
      </c>
      <c r="E92" s="3">
        <v>10</v>
      </c>
      <c r="F92">
        <v>23</v>
      </c>
      <c r="G92" s="1">
        <f>DATEVALUE(_xlfn.CONCAT(BBDD_Usiarios_Netflix[[#This Row],[Día Suscripción]],"/",BBDD_Usiarios_Netflix[[#This Row],[Mes Suscripción]],"/",BBDD_Usiarios_Netflix[[#This Row],[Año Suscripción]]))</f>
        <v>45202</v>
      </c>
      <c r="H92" s="1">
        <v>23</v>
      </c>
      <c r="I92" s="1">
        <v>6</v>
      </c>
      <c r="J92" s="1">
        <v>24</v>
      </c>
      <c r="K92" s="1" t="str">
        <f>TEXT(BBDD_Usiarios_Netflix[[#This Row],[Fecha Suscripción]],"dddd")</f>
        <v>martes</v>
      </c>
      <c r="L92" s="1">
        <f>DATEVALUE(_xlfn.CONCAT(BBDD_Usiarios_Netflix[[#This Row],[Día Último Pago]],"/",BBDD_Usiarios_Netflix[[#This Row],[Mes Último Pago]],"/",BBDD_Usiarios_Netflix[[#This Row],[Año Último Pago]]))</f>
        <v>45466</v>
      </c>
      <c r="M92" s="4">
        <f>DATEDIF(BBDD_Usiarios_Netflix[[#This Row],[Fecha Suscripción]],BBDD_Usiarios_Netflix[[#This Row],[Fecha Último Pago]],"M")+1</f>
        <v>9</v>
      </c>
      <c r="N92" s="4">
        <f>BBDD_Usiarios_Netflix[[#This Row],[Ingresos Mensuales]]*BBDD_Usiarios_Netflix[[#This Row],[Meses contratados]]</f>
        <v>126</v>
      </c>
      <c r="O92" t="s">
        <v>24</v>
      </c>
      <c r="P92" t="str">
        <f>IF(BBDD_Usiarios_Netflix[[#This Row],[País]]="","Desconocido",BBDD_Usiarios_Netflix[[#This Row],[País]])</f>
        <v>Australia</v>
      </c>
      <c r="Q92">
        <v>39</v>
      </c>
      <c r="R92" t="s">
        <v>25</v>
      </c>
      <c r="S92" t="s">
        <v>31</v>
      </c>
      <c r="T92" t="s">
        <v>35</v>
      </c>
      <c r="U92">
        <f>IF(IFERROR(VLOOKUP(BBDD_Usiarios_Netflix[[#This Row],[Identificador Usuario]],A93:$A$5870,1,FALSE),0)&lt;&gt;0,1,0)</f>
        <v>0</v>
      </c>
      <c r="V92" s="6" t="str">
        <f>IF(BBDD_Usiarios_Netflix[[#This Row],[Duración Plan]]="12 Meses",LEFT(BBDD_Usiarios_Netflix[[#This Row],[Duración Plan]],2),LEFT(BBDD_Usiarios_Netflix[[#This Row],[Duración Plan]],1))</f>
        <v>6</v>
      </c>
      <c r="W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3" spans="1:23" x14ac:dyDescent="0.25">
      <c r="A93">
        <v>92</v>
      </c>
      <c r="B93" t="s">
        <v>23</v>
      </c>
      <c r="C93">
        <v>11</v>
      </c>
      <c r="D93" s="3">
        <v>5</v>
      </c>
      <c r="E93" s="3">
        <v>1</v>
      </c>
      <c r="F93">
        <v>23</v>
      </c>
      <c r="G93" s="1">
        <f>DATEVALUE(_xlfn.CONCAT(BBDD_Usiarios_Netflix[[#This Row],[Día Suscripción]],"/",BBDD_Usiarios_Netflix[[#This Row],[Mes Suscripción]],"/",BBDD_Usiarios_Netflix[[#This Row],[Año Suscripción]]))</f>
        <v>44931</v>
      </c>
      <c r="H93" s="1">
        <v>28</v>
      </c>
      <c r="I93" s="1">
        <v>6</v>
      </c>
      <c r="J93" s="1">
        <v>24</v>
      </c>
      <c r="K93" s="1" t="str">
        <f>TEXT(BBDD_Usiarios_Netflix[[#This Row],[Fecha Suscripción]],"dddd")</f>
        <v>jueves</v>
      </c>
      <c r="L93" s="1">
        <f>DATEVALUE(_xlfn.CONCAT(BBDD_Usiarios_Netflix[[#This Row],[Día Último Pago]],"/",BBDD_Usiarios_Netflix[[#This Row],[Mes Último Pago]],"/",BBDD_Usiarios_Netflix[[#This Row],[Año Último Pago]]))</f>
        <v>45471</v>
      </c>
      <c r="M93" s="4">
        <f>DATEDIF(BBDD_Usiarios_Netflix[[#This Row],[Fecha Suscripción]],BBDD_Usiarios_Netflix[[#This Row],[Fecha Último Pago]],"M")+1</f>
        <v>18</v>
      </c>
      <c r="N93" s="4">
        <f>BBDD_Usiarios_Netflix[[#This Row],[Ingresos Mensuales]]*BBDD_Usiarios_Netflix[[#This Row],[Meses contratados]]</f>
        <v>198</v>
      </c>
      <c r="O93" t="s">
        <v>33</v>
      </c>
      <c r="P93" t="str">
        <f>IF(BBDD_Usiarios_Netflix[[#This Row],[País]]="","Desconocido",BBDD_Usiarios_Netflix[[#This Row],[País]])</f>
        <v>Francia</v>
      </c>
      <c r="Q93">
        <v>39</v>
      </c>
      <c r="R93" t="s">
        <v>25</v>
      </c>
      <c r="S93" t="s">
        <v>34</v>
      </c>
      <c r="T93" t="s">
        <v>35</v>
      </c>
      <c r="U93">
        <f>IF(IFERROR(VLOOKUP(BBDD_Usiarios_Netflix[[#This Row],[Identificador Usuario]],A94:$A$5870,1,FALSE),0)&lt;&gt;0,1,0)</f>
        <v>0</v>
      </c>
      <c r="V93" s="6" t="str">
        <f>IF(BBDD_Usiarios_Netflix[[#This Row],[Duración Plan]]="12 Meses",LEFT(BBDD_Usiarios_Netflix[[#This Row],[Duración Plan]],2),LEFT(BBDD_Usiarios_Netflix[[#This Row],[Duración Plan]],1))</f>
        <v>6</v>
      </c>
      <c r="W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4" spans="1:23" x14ac:dyDescent="0.25">
      <c r="A94">
        <v>93</v>
      </c>
      <c r="B94" t="s">
        <v>32</v>
      </c>
      <c r="C94">
        <v>13</v>
      </c>
      <c r="D94" s="3">
        <v>5</v>
      </c>
      <c r="E94" s="3">
        <v>2</v>
      </c>
      <c r="F94">
        <v>23</v>
      </c>
      <c r="G94" s="1">
        <f>DATEVALUE(_xlfn.CONCAT(BBDD_Usiarios_Netflix[[#This Row],[Día Suscripción]],"/",BBDD_Usiarios_Netflix[[#This Row],[Mes Suscripción]],"/",BBDD_Usiarios_Netflix[[#This Row],[Año Suscripción]]))</f>
        <v>44962</v>
      </c>
      <c r="H94" s="1">
        <v>26</v>
      </c>
      <c r="I94" s="1">
        <v>6</v>
      </c>
      <c r="J94" s="1">
        <v>24</v>
      </c>
      <c r="K94" s="1" t="str">
        <f>TEXT(BBDD_Usiarios_Netflix[[#This Row],[Fecha Suscripción]],"dddd")</f>
        <v>domingo</v>
      </c>
      <c r="L94" s="1">
        <f>DATEVALUE(_xlfn.CONCAT(BBDD_Usiarios_Netflix[[#This Row],[Día Último Pago]],"/",BBDD_Usiarios_Netflix[[#This Row],[Mes Último Pago]],"/",BBDD_Usiarios_Netflix[[#This Row],[Año Último Pago]]))</f>
        <v>45469</v>
      </c>
      <c r="M94" s="4">
        <f>DATEDIF(BBDD_Usiarios_Netflix[[#This Row],[Fecha Suscripción]],BBDD_Usiarios_Netflix[[#This Row],[Fecha Último Pago]],"M")+1</f>
        <v>17</v>
      </c>
      <c r="N94" s="4">
        <f>BBDD_Usiarios_Netflix[[#This Row],[Ingresos Mensuales]]*BBDD_Usiarios_Netflix[[#This Row],[Meses contratados]]</f>
        <v>221</v>
      </c>
      <c r="O94" t="s">
        <v>33</v>
      </c>
      <c r="P94" t="str">
        <f>IF(BBDD_Usiarios_Netflix[[#This Row],[País]]="","Desconocido",BBDD_Usiarios_Netflix[[#This Row],[País]])</f>
        <v>Francia</v>
      </c>
      <c r="Q94">
        <v>35</v>
      </c>
      <c r="R94" t="s">
        <v>25</v>
      </c>
      <c r="S94" t="s">
        <v>26</v>
      </c>
      <c r="T94" t="s">
        <v>27</v>
      </c>
      <c r="U94">
        <f>IF(IFERROR(VLOOKUP(BBDD_Usiarios_Netflix[[#This Row],[Identificador Usuario]],A95:$A$5870,1,FALSE),0)&lt;&gt;0,1,0)</f>
        <v>0</v>
      </c>
      <c r="V94" s="6" t="str">
        <f>IF(BBDD_Usiarios_Netflix[[#This Row],[Duración Plan]]="12 Meses",LEFT(BBDD_Usiarios_Netflix[[#This Row],[Duración Plan]],2),LEFT(BBDD_Usiarios_Netflix[[#This Row],[Duración Plan]],1))</f>
        <v>1</v>
      </c>
      <c r="W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5" spans="1:23" x14ac:dyDescent="0.25">
      <c r="A95">
        <v>94</v>
      </c>
      <c r="B95" t="s">
        <v>28</v>
      </c>
      <c r="C95">
        <v>15</v>
      </c>
      <c r="D95" s="3">
        <v>19</v>
      </c>
      <c r="E95" s="3">
        <v>3</v>
      </c>
      <c r="F95">
        <v>23</v>
      </c>
      <c r="G95" s="1">
        <f>DATEVALUE(_xlfn.CONCAT(BBDD_Usiarios_Netflix[[#This Row],[Día Suscripción]],"/",BBDD_Usiarios_Netflix[[#This Row],[Mes Suscripción]],"/",BBDD_Usiarios_Netflix[[#This Row],[Año Suscripción]]))</f>
        <v>45004</v>
      </c>
      <c r="H95" s="1">
        <v>25</v>
      </c>
      <c r="I95" s="1">
        <v>6</v>
      </c>
      <c r="J95" s="1">
        <v>24</v>
      </c>
      <c r="K95" s="1" t="str">
        <f>TEXT(BBDD_Usiarios_Netflix[[#This Row],[Fecha Suscripción]],"dddd")</f>
        <v>domingo</v>
      </c>
      <c r="L95" s="1">
        <f>DATEVALUE(_xlfn.CONCAT(BBDD_Usiarios_Netflix[[#This Row],[Día Último Pago]],"/",BBDD_Usiarios_Netflix[[#This Row],[Mes Último Pago]],"/",BBDD_Usiarios_Netflix[[#This Row],[Año Último Pago]]))</f>
        <v>45468</v>
      </c>
      <c r="M95" s="4">
        <f>DATEDIF(BBDD_Usiarios_Netflix[[#This Row],[Fecha Suscripción]],BBDD_Usiarios_Netflix[[#This Row],[Fecha Último Pago]],"M")+1</f>
        <v>16</v>
      </c>
      <c r="N95" s="4">
        <f>BBDD_Usiarios_Netflix[[#This Row],[Ingresos Mensuales]]*BBDD_Usiarios_Netflix[[#This Row],[Meses contratados]]</f>
        <v>240</v>
      </c>
      <c r="O95" t="s">
        <v>45</v>
      </c>
      <c r="P95" t="str">
        <f>IF(BBDD_Usiarios_Netflix[[#This Row],[País]]="","Desconocido",BBDD_Usiarios_Netflix[[#This Row],[País]])</f>
        <v>España</v>
      </c>
      <c r="Q95">
        <v>44</v>
      </c>
      <c r="R95" t="s">
        <v>25</v>
      </c>
      <c r="S95" t="s">
        <v>26</v>
      </c>
      <c r="T95" t="s">
        <v>41</v>
      </c>
      <c r="U95">
        <f>IF(IFERROR(VLOOKUP(BBDD_Usiarios_Netflix[[#This Row],[Identificador Usuario]],A96:$A$5870,1,FALSE),0)&lt;&gt;0,1,0)</f>
        <v>0</v>
      </c>
      <c r="V95" s="6" t="str">
        <f>IF(BBDD_Usiarios_Netflix[[#This Row],[Duración Plan]]="12 Meses",LEFT(BBDD_Usiarios_Netflix[[#This Row],[Duración Plan]],2),LEFT(BBDD_Usiarios_Netflix[[#This Row],[Duración Plan]],1))</f>
        <v>12</v>
      </c>
      <c r="W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6" spans="1:23" x14ac:dyDescent="0.25">
      <c r="A96">
        <v>95</v>
      </c>
      <c r="B96" t="s">
        <v>23</v>
      </c>
      <c r="C96">
        <v>11</v>
      </c>
      <c r="D96" s="3">
        <v>28</v>
      </c>
      <c r="E96" s="3">
        <v>2</v>
      </c>
      <c r="F96">
        <v>23</v>
      </c>
      <c r="G96" s="1">
        <f>DATEVALUE(_xlfn.CONCAT(BBDD_Usiarios_Netflix[[#This Row],[Día Suscripción]],"/",BBDD_Usiarios_Netflix[[#This Row],[Mes Suscripción]],"/",BBDD_Usiarios_Netflix[[#This Row],[Año Suscripción]]))</f>
        <v>44985</v>
      </c>
      <c r="H96" s="1">
        <v>25</v>
      </c>
      <c r="I96" s="1">
        <v>6</v>
      </c>
      <c r="J96" s="1">
        <v>24</v>
      </c>
      <c r="K96" s="1" t="str">
        <f>TEXT(BBDD_Usiarios_Netflix[[#This Row],[Fecha Suscripción]],"dddd")</f>
        <v>martes</v>
      </c>
      <c r="L96" s="1">
        <f>DATEVALUE(_xlfn.CONCAT(BBDD_Usiarios_Netflix[[#This Row],[Día Último Pago]],"/",BBDD_Usiarios_Netflix[[#This Row],[Mes Último Pago]],"/",BBDD_Usiarios_Netflix[[#This Row],[Año Último Pago]]))</f>
        <v>45468</v>
      </c>
      <c r="M96" s="4">
        <f>DATEDIF(BBDD_Usiarios_Netflix[[#This Row],[Fecha Suscripción]],BBDD_Usiarios_Netflix[[#This Row],[Fecha Último Pago]],"M")+1</f>
        <v>16</v>
      </c>
      <c r="N96" s="4">
        <f>BBDD_Usiarios_Netflix[[#This Row],[Ingresos Mensuales]]*BBDD_Usiarios_Netflix[[#This Row],[Meses contratados]]</f>
        <v>176</v>
      </c>
      <c r="O96" t="s">
        <v>33</v>
      </c>
      <c r="P96" t="str">
        <f>IF(BBDD_Usiarios_Netflix[[#This Row],[País]]="","Desconocido",BBDD_Usiarios_Netflix[[#This Row],[País]])</f>
        <v>Francia</v>
      </c>
      <c r="Q96">
        <v>34</v>
      </c>
      <c r="R96" t="s">
        <v>25</v>
      </c>
      <c r="S96" t="s">
        <v>36</v>
      </c>
      <c r="T96" t="s">
        <v>27</v>
      </c>
      <c r="U96">
        <f>IF(IFERROR(VLOOKUP(BBDD_Usiarios_Netflix[[#This Row],[Identificador Usuario]],A97:$A$5870,1,FALSE),0)&lt;&gt;0,1,0)</f>
        <v>0</v>
      </c>
      <c r="V96" s="6" t="str">
        <f>IF(BBDD_Usiarios_Netflix[[#This Row],[Duración Plan]]="12 Meses",LEFT(BBDD_Usiarios_Netflix[[#This Row],[Duración Plan]],2),LEFT(BBDD_Usiarios_Netflix[[#This Row],[Duración Plan]],1))</f>
        <v>1</v>
      </c>
      <c r="W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7" spans="1:23" x14ac:dyDescent="0.25">
      <c r="A97">
        <v>96</v>
      </c>
      <c r="B97" t="s">
        <v>28</v>
      </c>
      <c r="C97">
        <v>14</v>
      </c>
      <c r="D97" s="3">
        <v>26</v>
      </c>
      <c r="E97" s="3">
        <v>7</v>
      </c>
      <c r="F97">
        <v>23</v>
      </c>
      <c r="G97" s="1">
        <f>DATEVALUE(_xlfn.CONCAT(BBDD_Usiarios_Netflix[[#This Row],[Día Suscripción]],"/",BBDD_Usiarios_Netflix[[#This Row],[Mes Suscripción]],"/",BBDD_Usiarios_Netflix[[#This Row],[Año Suscripción]]))</f>
        <v>45133</v>
      </c>
      <c r="H97" s="1">
        <v>24</v>
      </c>
      <c r="I97" s="1">
        <v>6</v>
      </c>
      <c r="J97" s="1">
        <v>24</v>
      </c>
      <c r="K97" s="1" t="str">
        <f>TEXT(BBDD_Usiarios_Netflix[[#This Row],[Fecha Suscripción]],"dddd")</f>
        <v>miércoles</v>
      </c>
      <c r="L97" s="1">
        <f>DATEVALUE(_xlfn.CONCAT(BBDD_Usiarios_Netflix[[#This Row],[Día Último Pago]],"/",BBDD_Usiarios_Netflix[[#This Row],[Mes Último Pago]],"/",BBDD_Usiarios_Netflix[[#This Row],[Año Último Pago]]))</f>
        <v>45467</v>
      </c>
      <c r="M97" s="4">
        <f>DATEDIF(BBDD_Usiarios_Netflix[[#This Row],[Fecha Suscripción]],BBDD_Usiarios_Netflix[[#This Row],[Fecha Último Pago]],"M")+1</f>
        <v>11</v>
      </c>
      <c r="N97" s="4">
        <f>BBDD_Usiarios_Netflix[[#This Row],[Ingresos Mensuales]]*BBDD_Usiarios_Netflix[[#This Row],[Meses contratados]]</f>
        <v>154</v>
      </c>
      <c r="O97" t="s">
        <v>29</v>
      </c>
      <c r="P97" t="str">
        <f>IF(BBDD_Usiarios_Netflix[[#This Row],[País]]="","Desconocido",BBDD_Usiarios_Netflix[[#This Row],[País]])</f>
        <v>EEUU</v>
      </c>
      <c r="Q97">
        <v>32</v>
      </c>
      <c r="R97" t="s">
        <v>25</v>
      </c>
      <c r="S97" t="s">
        <v>36</v>
      </c>
      <c r="T97" t="s">
        <v>27</v>
      </c>
      <c r="U97">
        <f>IF(IFERROR(VLOOKUP(BBDD_Usiarios_Netflix[[#This Row],[Identificador Usuario]],A98:$A$5870,1,FALSE),0)&lt;&gt;0,1,0)</f>
        <v>0</v>
      </c>
      <c r="V97" s="6" t="str">
        <f>IF(BBDD_Usiarios_Netflix[[#This Row],[Duración Plan]]="12 Meses",LEFT(BBDD_Usiarios_Netflix[[#This Row],[Duración Plan]],2),LEFT(BBDD_Usiarios_Netflix[[#This Row],[Duración Plan]],1))</f>
        <v>1</v>
      </c>
      <c r="W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8" spans="1:23" x14ac:dyDescent="0.25">
      <c r="A98">
        <v>97</v>
      </c>
      <c r="B98" t="s">
        <v>23</v>
      </c>
      <c r="C98">
        <v>11</v>
      </c>
      <c r="D98" s="3">
        <v>5</v>
      </c>
      <c r="E98" s="3">
        <v>3</v>
      </c>
      <c r="F98">
        <v>23</v>
      </c>
      <c r="G98" s="1">
        <f>DATEVALUE(_xlfn.CONCAT(BBDD_Usiarios_Netflix[[#This Row],[Día Suscripción]],"/",BBDD_Usiarios_Netflix[[#This Row],[Mes Suscripción]],"/",BBDD_Usiarios_Netflix[[#This Row],[Año Suscripción]]))</f>
        <v>44990</v>
      </c>
      <c r="H98" s="1">
        <v>24</v>
      </c>
      <c r="I98" s="1">
        <v>6</v>
      </c>
      <c r="J98" s="1">
        <v>24</v>
      </c>
      <c r="K98" s="1" t="str">
        <f>TEXT(BBDD_Usiarios_Netflix[[#This Row],[Fecha Suscripción]],"dddd")</f>
        <v>domingo</v>
      </c>
      <c r="L98" s="1">
        <f>DATEVALUE(_xlfn.CONCAT(BBDD_Usiarios_Netflix[[#This Row],[Día Último Pago]],"/",BBDD_Usiarios_Netflix[[#This Row],[Mes Último Pago]],"/",BBDD_Usiarios_Netflix[[#This Row],[Año Último Pago]]))</f>
        <v>45467</v>
      </c>
      <c r="M98" s="4">
        <f>DATEDIF(BBDD_Usiarios_Netflix[[#This Row],[Fecha Suscripción]],BBDD_Usiarios_Netflix[[#This Row],[Fecha Último Pago]],"M")+1</f>
        <v>16</v>
      </c>
      <c r="N98" s="4">
        <f>BBDD_Usiarios_Netflix[[#This Row],[Ingresos Mensuales]]*BBDD_Usiarios_Netflix[[#This Row],[Meses contratados]]</f>
        <v>176</v>
      </c>
      <c r="O98" t="s">
        <v>42</v>
      </c>
      <c r="P98" t="str">
        <f>IF(BBDD_Usiarios_Netflix[[#This Row],[País]]="","Desconocido",BBDD_Usiarios_Netflix[[#This Row],[País]])</f>
        <v>Reino Unido</v>
      </c>
      <c r="Q98">
        <v>29</v>
      </c>
      <c r="R98" t="s">
        <v>30</v>
      </c>
      <c r="S98" t="s">
        <v>31</v>
      </c>
      <c r="T98" t="s">
        <v>38</v>
      </c>
      <c r="U98">
        <f>IF(IFERROR(VLOOKUP(BBDD_Usiarios_Netflix[[#This Row],[Identificador Usuario]],A99:$A$5870,1,FALSE),0)&lt;&gt;0,1,0)</f>
        <v>0</v>
      </c>
      <c r="V98" s="6" t="str">
        <f>IF(BBDD_Usiarios_Netflix[[#This Row],[Duración Plan]]="12 Meses",LEFT(BBDD_Usiarios_Netflix[[#This Row],[Duración Plan]],2),LEFT(BBDD_Usiarios_Netflix[[#This Row],[Duración Plan]],1))</f>
        <v>3</v>
      </c>
      <c r="W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9" spans="1:23" x14ac:dyDescent="0.25">
      <c r="A99">
        <v>98</v>
      </c>
      <c r="B99" t="s">
        <v>32</v>
      </c>
      <c r="C99">
        <v>13</v>
      </c>
      <c r="D99" s="3">
        <v>7</v>
      </c>
      <c r="E99" s="3">
        <v>3</v>
      </c>
      <c r="F99">
        <v>23</v>
      </c>
      <c r="G99" s="1">
        <f>DATEVALUE(_xlfn.CONCAT(BBDD_Usiarios_Netflix[[#This Row],[Día Suscripción]],"/",BBDD_Usiarios_Netflix[[#This Row],[Mes Suscripción]],"/",BBDD_Usiarios_Netflix[[#This Row],[Año Suscripción]]))</f>
        <v>44992</v>
      </c>
      <c r="H99" s="1">
        <v>28</v>
      </c>
      <c r="I99" s="1">
        <v>6</v>
      </c>
      <c r="J99" s="1">
        <v>24</v>
      </c>
      <c r="K99" s="1" t="str">
        <f>TEXT(BBDD_Usiarios_Netflix[[#This Row],[Fecha Suscripción]],"dddd")</f>
        <v>martes</v>
      </c>
      <c r="L99" s="1">
        <f>DATEVALUE(_xlfn.CONCAT(BBDD_Usiarios_Netflix[[#This Row],[Día Último Pago]],"/",BBDD_Usiarios_Netflix[[#This Row],[Mes Último Pago]],"/",BBDD_Usiarios_Netflix[[#This Row],[Año Último Pago]]))</f>
        <v>45471</v>
      </c>
      <c r="M99" s="4">
        <f>DATEDIF(BBDD_Usiarios_Netflix[[#This Row],[Fecha Suscripción]],BBDD_Usiarios_Netflix[[#This Row],[Fecha Último Pago]],"M")+1</f>
        <v>16</v>
      </c>
      <c r="N99" s="4">
        <f>BBDD_Usiarios_Netflix[[#This Row],[Ingresos Mensuales]]*BBDD_Usiarios_Netflix[[#This Row],[Meses contratados]]</f>
        <v>208</v>
      </c>
      <c r="O99" t="s">
        <v>29</v>
      </c>
      <c r="P99" t="str">
        <f>IF(BBDD_Usiarios_Netflix[[#This Row],[País]]="","Desconocido",BBDD_Usiarios_Netflix[[#This Row],[País]])</f>
        <v>EEUU</v>
      </c>
      <c r="Q99">
        <v>31</v>
      </c>
      <c r="R99" t="s">
        <v>30</v>
      </c>
      <c r="S99" t="s">
        <v>31</v>
      </c>
      <c r="T99" t="s">
        <v>41</v>
      </c>
      <c r="U99">
        <f>IF(IFERROR(VLOOKUP(BBDD_Usiarios_Netflix[[#This Row],[Identificador Usuario]],A100:$A$5870,1,FALSE),0)&lt;&gt;0,1,0)</f>
        <v>0</v>
      </c>
      <c r="V99" s="6" t="str">
        <f>IF(BBDD_Usiarios_Netflix[[#This Row],[Duración Plan]]="12 Meses",LEFT(BBDD_Usiarios_Netflix[[#This Row],[Duración Plan]],2),LEFT(BBDD_Usiarios_Netflix[[#This Row],[Duración Plan]],1))</f>
        <v>12</v>
      </c>
      <c r="W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0" spans="1:23" x14ac:dyDescent="0.25">
      <c r="A100">
        <v>99</v>
      </c>
      <c r="B100" t="s">
        <v>32</v>
      </c>
      <c r="C100">
        <v>13</v>
      </c>
      <c r="D100" s="3">
        <v>13</v>
      </c>
      <c r="E100" s="3">
        <v>1</v>
      </c>
      <c r="F100">
        <v>24</v>
      </c>
      <c r="G100" s="1">
        <f>DATEVALUE(_xlfn.CONCAT(BBDD_Usiarios_Netflix[[#This Row],[Día Suscripción]],"/",BBDD_Usiarios_Netflix[[#This Row],[Mes Suscripción]],"/",BBDD_Usiarios_Netflix[[#This Row],[Año Suscripción]]))</f>
        <v>45304</v>
      </c>
      <c r="H100" s="1">
        <v>24</v>
      </c>
      <c r="I100" s="1">
        <v>6</v>
      </c>
      <c r="J100" s="1">
        <v>24</v>
      </c>
      <c r="K100" s="1" t="str">
        <f>TEXT(BBDD_Usiarios_Netflix[[#This Row],[Fecha Suscripción]],"dddd")</f>
        <v>sábado</v>
      </c>
      <c r="L100" s="1">
        <f>DATEVALUE(_xlfn.CONCAT(BBDD_Usiarios_Netflix[[#This Row],[Día Último Pago]],"/",BBDD_Usiarios_Netflix[[#This Row],[Mes Último Pago]],"/",BBDD_Usiarios_Netflix[[#This Row],[Año Último Pago]]))</f>
        <v>45467</v>
      </c>
      <c r="M100" s="4">
        <f>DATEDIF(BBDD_Usiarios_Netflix[[#This Row],[Fecha Suscripción]],BBDD_Usiarios_Netflix[[#This Row],[Fecha Último Pago]],"M")+1</f>
        <v>6</v>
      </c>
      <c r="N100" s="4">
        <f>BBDD_Usiarios_Netflix[[#This Row],[Ingresos Mensuales]]*BBDD_Usiarios_Netflix[[#This Row],[Meses contratados]]</f>
        <v>78</v>
      </c>
      <c r="O100" t="s">
        <v>43</v>
      </c>
      <c r="P100" t="str">
        <f>IF(BBDD_Usiarios_Netflix[[#This Row],[País]]="","Desconocido",BBDD_Usiarios_Netflix[[#This Row],[País]])</f>
        <v>Alemania</v>
      </c>
      <c r="Q100">
        <v>29</v>
      </c>
      <c r="R100" t="s">
        <v>30</v>
      </c>
      <c r="S100" t="s">
        <v>31</v>
      </c>
      <c r="T100" t="s">
        <v>35</v>
      </c>
      <c r="U100">
        <f>IF(IFERROR(VLOOKUP(BBDD_Usiarios_Netflix[[#This Row],[Identificador Usuario]],A101:$A$5870,1,FALSE),0)&lt;&gt;0,1,0)</f>
        <v>0</v>
      </c>
      <c r="V100" s="6" t="str">
        <f>IF(BBDD_Usiarios_Netflix[[#This Row],[Duración Plan]]="12 Meses",LEFT(BBDD_Usiarios_Netflix[[#This Row],[Duración Plan]],2),LEFT(BBDD_Usiarios_Netflix[[#This Row],[Duración Plan]],1))</f>
        <v>6</v>
      </c>
      <c r="W1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1" spans="1:23" x14ac:dyDescent="0.25">
      <c r="A101">
        <v>100</v>
      </c>
      <c r="B101" t="s">
        <v>23</v>
      </c>
      <c r="C101">
        <v>11</v>
      </c>
      <c r="D101" s="3">
        <v>22</v>
      </c>
      <c r="E101" s="3">
        <v>1</v>
      </c>
      <c r="F101">
        <v>24</v>
      </c>
      <c r="G101" s="1">
        <f>DATEVALUE(_xlfn.CONCAT(BBDD_Usiarios_Netflix[[#This Row],[Día Suscripción]],"/",BBDD_Usiarios_Netflix[[#This Row],[Mes Suscripción]],"/",BBDD_Usiarios_Netflix[[#This Row],[Año Suscripción]]))</f>
        <v>45313</v>
      </c>
      <c r="H101" s="1">
        <v>25</v>
      </c>
      <c r="I101" s="1">
        <v>6</v>
      </c>
      <c r="J101" s="1">
        <v>24</v>
      </c>
      <c r="K101" s="1" t="str">
        <f>TEXT(BBDD_Usiarios_Netflix[[#This Row],[Fecha Suscripción]],"dddd")</f>
        <v>lunes</v>
      </c>
      <c r="L101" s="1">
        <f>DATEVALUE(_xlfn.CONCAT(BBDD_Usiarios_Netflix[[#This Row],[Día Último Pago]],"/",BBDD_Usiarios_Netflix[[#This Row],[Mes Último Pago]],"/",BBDD_Usiarios_Netflix[[#This Row],[Año Último Pago]]))</f>
        <v>45468</v>
      </c>
      <c r="M101" s="4">
        <f>DATEDIF(BBDD_Usiarios_Netflix[[#This Row],[Fecha Suscripción]],BBDD_Usiarios_Netflix[[#This Row],[Fecha Último Pago]],"M")+1</f>
        <v>6</v>
      </c>
      <c r="N101" s="4">
        <f>BBDD_Usiarios_Netflix[[#This Row],[Ingresos Mensuales]]*BBDD_Usiarios_Netflix[[#This Row],[Meses contratados]]</f>
        <v>66</v>
      </c>
      <c r="O101" t="s">
        <v>24</v>
      </c>
      <c r="P101" t="str">
        <f>IF(BBDD_Usiarios_Netflix[[#This Row],[País]]="","Desconocido",BBDD_Usiarios_Netflix[[#This Row],[País]])</f>
        <v>Australia</v>
      </c>
      <c r="Q101">
        <v>35</v>
      </c>
      <c r="R101" t="s">
        <v>25</v>
      </c>
      <c r="S101" t="s">
        <v>36</v>
      </c>
      <c r="T101" t="s">
        <v>35</v>
      </c>
      <c r="U101">
        <f>IF(IFERROR(VLOOKUP(BBDD_Usiarios_Netflix[[#This Row],[Identificador Usuario]],A102:$A$5870,1,FALSE),0)&lt;&gt;0,1,0)</f>
        <v>0</v>
      </c>
      <c r="V101" s="6" t="str">
        <f>IF(BBDD_Usiarios_Netflix[[#This Row],[Duración Plan]]="12 Meses",LEFT(BBDD_Usiarios_Netflix[[#This Row],[Duración Plan]],2),LEFT(BBDD_Usiarios_Netflix[[#This Row],[Duración Plan]],1))</f>
        <v>6</v>
      </c>
      <c r="W1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2" spans="1:23" x14ac:dyDescent="0.25">
      <c r="A102">
        <v>101</v>
      </c>
      <c r="B102" t="s">
        <v>28</v>
      </c>
      <c r="C102">
        <v>14</v>
      </c>
      <c r="D102" s="3">
        <v>17</v>
      </c>
      <c r="E102" s="3">
        <v>10</v>
      </c>
      <c r="F102">
        <v>23</v>
      </c>
      <c r="G102" s="1">
        <f>DATEVALUE(_xlfn.CONCAT(BBDD_Usiarios_Netflix[[#This Row],[Día Suscripción]],"/",BBDD_Usiarios_Netflix[[#This Row],[Mes Suscripción]],"/",BBDD_Usiarios_Netflix[[#This Row],[Año Suscripción]]))</f>
        <v>45216</v>
      </c>
      <c r="H102" s="1">
        <v>24</v>
      </c>
      <c r="I102" s="1">
        <v>6</v>
      </c>
      <c r="J102" s="1">
        <v>24</v>
      </c>
      <c r="K102" s="1" t="str">
        <f>TEXT(BBDD_Usiarios_Netflix[[#This Row],[Fecha Suscripción]],"dddd")</f>
        <v>martes</v>
      </c>
      <c r="L102" s="1">
        <f>DATEVALUE(_xlfn.CONCAT(BBDD_Usiarios_Netflix[[#This Row],[Día Último Pago]],"/",BBDD_Usiarios_Netflix[[#This Row],[Mes Último Pago]],"/",BBDD_Usiarios_Netflix[[#This Row],[Año Último Pago]]))</f>
        <v>45467</v>
      </c>
      <c r="M102" s="4">
        <f>DATEDIF(BBDD_Usiarios_Netflix[[#This Row],[Fecha Suscripción]],BBDD_Usiarios_Netflix[[#This Row],[Fecha Último Pago]],"M")+1</f>
        <v>9</v>
      </c>
      <c r="N102" s="4">
        <f>BBDD_Usiarios_Netflix[[#This Row],[Ingresos Mensuales]]*BBDD_Usiarios_Netflix[[#This Row],[Meses contratados]]</f>
        <v>126</v>
      </c>
      <c r="O102" t="s">
        <v>39</v>
      </c>
      <c r="P102" t="str">
        <f>IF(BBDD_Usiarios_Netflix[[#This Row],[País]]="","Desconocido",BBDD_Usiarios_Netflix[[#This Row],[País]])</f>
        <v>Canadá</v>
      </c>
      <c r="Q102">
        <v>46</v>
      </c>
      <c r="R102" t="s">
        <v>30</v>
      </c>
      <c r="S102" t="s">
        <v>31</v>
      </c>
      <c r="T102" t="s">
        <v>27</v>
      </c>
      <c r="U102">
        <f>IF(IFERROR(VLOOKUP(BBDD_Usiarios_Netflix[[#This Row],[Identificador Usuario]],A103:$A$5870,1,FALSE),0)&lt;&gt;0,1,0)</f>
        <v>0</v>
      </c>
      <c r="V102" s="6" t="str">
        <f>IF(BBDD_Usiarios_Netflix[[#This Row],[Duración Plan]]="12 Meses",LEFT(BBDD_Usiarios_Netflix[[#This Row],[Duración Plan]],2),LEFT(BBDD_Usiarios_Netflix[[#This Row],[Duración Plan]],1))</f>
        <v>1</v>
      </c>
      <c r="W1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3" spans="1:23" x14ac:dyDescent="0.25">
      <c r="A103">
        <v>102</v>
      </c>
      <c r="B103" t="s">
        <v>23</v>
      </c>
      <c r="C103">
        <v>11</v>
      </c>
      <c r="D103" s="3">
        <v>29</v>
      </c>
      <c r="E103" s="3">
        <v>3</v>
      </c>
      <c r="F103">
        <v>23</v>
      </c>
      <c r="G103" s="1">
        <f>DATEVALUE(_xlfn.CONCAT(BBDD_Usiarios_Netflix[[#This Row],[Día Suscripción]],"/",BBDD_Usiarios_Netflix[[#This Row],[Mes Suscripción]],"/",BBDD_Usiarios_Netflix[[#This Row],[Año Suscripción]]))</f>
        <v>45014</v>
      </c>
      <c r="H103" s="1">
        <v>28</v>
      </c>
      <c r="I103" s="1">
        <v>6</v>
      </c>
      <c r="J103" s="1">
        <v>24</v>
      </c>
      <c r="K103" s="1" t="str">
        <f>TEXT(BBDD_Usiarios_Netflix[[#This Row],[Fecha Suscripción]],"dddd")</f>
        <v>miércoles</v>
      </c>
      <c r="L103" s="1">
        <f>DATEVALUE(_xlfn.CONCAT(BBDD_Usiarios_Netflix[[#This Row],[Día Último Pago]],"/",BBDD_Usiarios_Netflix[[#This Row],[Mes Último Pago]],"/",BBDD_Usiarios_Netflix[[#This Row],[Año Último Pago]]))</f>
        <v>45471</v>
      </c>
      <c r="M103" s="4">
        <f>DATEDIF(BBDD_Usiarios_Netflix[[#This Row],[Fecha Suscripción]],BBDD_Usiarios_Netflix[[#This Row],[Fecha Último Pago]],"M")+1</f>
        <v>15</v>
      </c>
      <c r="N103" s="4">
        <f>BBDD_Usiarios_Netflix[[#This Row],[Ingresos Mensuales]]*BBDD_Usiarios_Netflix[[#This Row],[Meses contratados]]</f>
        <v>165</v>
      </c>
      <c r="O103" t="s">
        <v>42</v>
      </c>
      <c r="P103" t="str">
        <f>IF(BBDD_Usiarios_Netflix[[#This Row],[País]]="","Desconocido",BBDD_Usiarios_Netflix[[#This Row],[País]])</f>
        <v>Reino Unido</v>
      </c>
      <c r="Q103">
        <v>31</v>
      </c>
      <c r="R103" t="s">
        <v>25</v>
      </c>
      <c r="S103" t="s">
        <v>31</v>
      </c>
      <c r="T103" t="s">
        <v>27</v>
      </c>
      <c r="U103">
        <f>IF(IFERROR(VLOOKUP(BBDD_Usiarios_Netflix[[#This Row],[Identificador Usuario]],A104:$A$5870,1,FALSE),0)&lt;&gt;0,1,0)</f>
        <v>0</v>
      </c>
      <c r="V103" s="6" t="str">
        <f>IF(BBDD_Usiarios_Netflix[[#This Row],[Duración Plan]]="12 Meses",LEFT(BBDD_Usiarios_Netflix[[#This Row],[Duración Plan]],2),LEFT(BBDD_Usiarios_Netflix[[#This Row],[Duración Plan]],1))</f>
        <v>1</v>
      </c>
      <c r="W1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4" spans="1:23" x14ac:dyDescent="0.25">
      <c r="A104">
        <v>103</v>
      </c>
      <c r="B104" t="s">
        <v>32</v>
      </c>
      <c r="C104">
        <v>13</v>
      </c>
      <c r="D104" s="3">
        <v>4</v>
      </c>
      <c r="E104" s="3">
        <v>4</v>
      </c>
      <c r="F104">
        <v>23</v>
      </c>
      <c r="G104" s="1">
        <f>DATEVALUE(_xlfn.CONCAT(BBDD_Usiarios_Netflix[[#This Row],[Día Suscripción]],"/",BBDD_Usiarios_Netflix[[#This Row],[Mes Suscripción]],"/",BBDD_Usiarios_Netflix[[#This Row],[Año Suscripción]]))</f>
        <v>45020</v>
      </c>
      <c r="H104" s="1">
        <v>26</v>
      </c>
      <c r="I104" s="1">
        <v>6</v>
      </c>
      <c r="J104" s="1">
        <v>24</v>
      </c>
      <c r="K104" s="1" t="str">
        <f>TEXT(BBDD_Usiarios_Netflix[[#This Row],[Fecha Suscripción]],"dddd")</f>
        <v>martes</v>
      </c>
      <c r="L104" s="1">
        <f>DATEVALUE(_xlfn.CONCAT(BBDD_Usiarios_Netflix[[#This Row],[Día Último Pago]],"/",BBDD_Usiarios_Netflix[[#This Row],[Mes Último Pago]],"/",BBDD_Usiarios_Netflix[[#This Row],[Año Último Pago]]))</f>
        <v>45469</v>
      </c>
      <c r="M104" s="4">
        <f>DATEDIF(BBDD_Usiarios_Netflix[[#This Row],[Fecha Suscripción]],BBDD_Usiarios_Netflix[[#This Row],[Fecha Último Pago]],"M")+1</f>
        <v>15</v>
      </c>
      <c r="N104" s="4">
        <f>BBDD_Usiarios_Netflix[[#This Row],[Ingresos Mensuales]]*BBDD_Usiarios_Netflix[[#This Row],[Meses contratados]]</f>
        <v>195</v>
      </c>
      <c r="O104" t="s">
        <v>24</v>
      </c>
      <c r="P104" t="str">
        <f>IF(BBDD_Usiarios_Netflix[[#This Row],[País]]="","Desconocido",BBDD_Usiarios_Netflix[[#This Row],[País]])</f>
        <v>Australia</v>
      </c>
      <c r="Q104">
        <v>36</v>
      </c>
      <c r="R104" t="s">
        <v>25</v>
      </c>
      <c r="S104" t="s">
        <v>36</v>
      </c>
      <c r="T104" t="s">
        <v>35</v>
      </c>
      <c r="U104">
        <f>IF(IFERROR(VLOOKUP(BBDD_Usiarios_Netflix[[#This Row],[Identificador Usuario]],A105:$A$5870,1,FALSE),0)&lt;&gt;0,1,0)</f>
        <v>0</v>
      </c>
      <c r="V104" s="6" t="str">
        <f>IF(BBDD_Usiarios_Netflix[[#This Row],[Duración Plan]]="12 Meses",LEFT(BBDD_Usiarios_Netflix[[#This Row],[Duración Plan]],2),LEFT(BBDD_Usiarios_Netflix[[#This Row],[Duración Plan]],1))</f>
        <v>6</v>
      </c>
      <c r="W1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5" spans="1:23" x14ac:dyDescent="0.25">
      <c r="A105">
        <v>104</v>
      </c>
      <c r="B105" t="s">
        <v>28</v>
      </c>
      <c r="C105">
        <v>14</v>
      </c>
      <c r="D105" s="3">
        <v>8</v>
      </c>
      <c r="E105" s="3">
        <v>6</v>
      </c>
      <c r="F105">
        <v>23</v>
      </c>
      <c r="G105" s="1">
        <f>DATEVALUE(_xlfn.CONCAT(BBDD_Usiarios_Netflix[[#This Row],[Día Suscripción]],"/",BBDD_Usiarios_Netflix[[#This Row],[Mes Suscripción]],"/",BBDD_Usiarios_Netflix[[#This Row],[Año Suscripción]]))</f>
        <v>45085</v>
      </c>
      <c r="H105" s="1">
        <v>25</v>
      </c>
      <c r="I105" s="1">
        <v>6</v>
      </c>
      <c r="J105" s="1">
        <v>24</v>
      </c>
      <c r="K105" s="1" t="str">
        <f>TEXT(BBDD_Usiarios_Netflix[[#This Row],[Fecha Suscripción]],"dddd")</f>
        <v>jueves</v>
      </c>
      <c r="L105" s="1">
        <f>DATEVALUE(_xlfn.CONCAT(BBDD_Usiarios_Netflix[[#This Row],[Día Último Pago]],"/",BBDD_Usiarios_Netflix[[#This Row],[Mes Último Pago]],"/",BBDD_Usiarios_Netflix[[#This Row],[Año Último Pago]]))</f>
        <v>45468</v>
      </c>
      <c r="M105" s="4">
        <f>DATEDIF(BBDD_Usiarios_Netflix[[#This Row],[Fecha Suscripción]],BBDD_Usiarios_Netflix[[#This Row],[Fecha Último Pago]],"M")+1</f>
        <v>13</v>
      </c>
      <c r="N105" s="4">
        <f>BBDD_Usiarios_Netflix[[#This Row],[Ingresos Mensuales]]*BBDD_Usiarios_Netflix[[#This Row],[Meses contratados]]</f>
        <v>182</v>
      </c>
      <c r="O105" t="s">
        <v>37</v>
      </c>
      <c r="P105" t="str">
        <f>IF(BBDD_Usiarios_Netflix[[#This Row],[País]]="","Desconocido",BBDD_Usiarios_Netflix[[#This Row],[País]])</f>
        <v>Brasil</v>
      </c>
      <c r="Q105">
        <v>38</v>
      </c>
      <c r="R105" t="s">
        <v>25</v>
      </c>
      <c r="S105" t="s">
        <v>36</v>
      </c>
      <c r="T105" t="s">
        <v>35</v>
      </c>
      <c r="U105">
        <f>IF(IFERROR(VLOOKUP(BBDD_Usiarios_Netflix[[#This Row],[Identificador Usuario]],A106:$A$5870,1,FALSE),0)&lt;&gt;0,1,0)</f>
        <v>0</v>
      </c>
      <c r="V105" s="6" t="str">
        <f>IF(BBDD_Usiarios_Netflix[[#This Row],[Duración Plan]]="12 Meses",LEFT(BBDD_Usiarios_Netflix[[#This Row],[Duración Plan]],2),LEFT(BBDD_Usiarios_Netflix[[#This Row],[Duración Plan]],1))</f>
        <v>6</v>
      </c>
      <c r="W1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6" spans="1:23" x14ac:dyDescent="0.25">
      <c r="A106">
        <v>105</v>
      </c>
      <c r="B106" t="s">
        <v>23</v>
      </c>
      <c r="C106">
        <v>11</v>
      </c>
      <c r="D106" s="3">
        <v>4</v>
      </c>
      <c r="E106" s="3">
        <v>3</v>
      </c>
      <c r="F106">
        <v>23</v>
      </c>
      <c r="G106" s="1">
        <f>DATEVALUE(_xlfn.CONCAT(BBDD_Usiarios_Netflix[[#This Row],[Día Suscripción]],"/",BBDD_Usiarios_Netflix[[#This Row],[Mes Suscripción]],"/",BBDD_Usiarios_Netflix[[#This Row],[Año Suscripción]]))</f>
        <v>44989</v>
      </c>
      <c r="H106" s="1">
        <v>27</v>
      </c>
      <c r="I106" s="1">
        <v>6</v>
      </c>
      <c r="J106" s="1">
        <v>24</v>
      </c>
      <c r="K106" s="1" t="str">
        <f>TEXT(BBDD_Usiarios_Netflix[[#This Row],[Fecha Suscripción]],"dddd")</f>
        <v>sábado</v>
      </c>
      <c r="L106" s="1">
        <f>DATEVALUE(_xlfn.CONCAT(BBDD_Usiarios_Netflix[[#This Row],[Día Último Pago]],"/",BBDD_Usiarios_Netflix[[#This Row],[Mes Último Pago]],"/",BBDD_Usiarios_Netflix[[#This Row],[Año Último Pago]]))</f>
        <v>45470</v>
      </c>
      <c r="M106" s="4">
        <f>DATEDIF(BBDD_Usiarios_Netflix[[#This Row],[Fecha Suscripción]],BBDD_Usiarios_Netflix[[#This Row],[Fecha Último Pago]],"M")+1</f>
        <v>16</v>
      </c>
      <c r="N106" s="4">
        <f>BBDD_Usiarios_Netflix[[#This Row],[Ingresos Mensuales]]*BBDD_Usiarios_Netflix[[#This Row],[Meses contratados]]</f>
        <v>176</v>
      </c>
      <c r="O106" t="s">
        <v>39</v>
      </c>
      <c r="P106" t="str">
        <f>IF(BBDD_Usiarios_Netflix[[#This Row],[País]]="","Desconocido",BBDD_Usiarios_Netflix[[#This Row],[País]])</f>
        <v>Canadá</v>
      </c>
      <c r="Q106">
        <v>46</v>
      </c>
      <c r="R106" t="s">
        <v>30</v>
      </c>
      <c r="S106" t="s">
        <v>36</v>
      </c>
      <c r="T106" t="s">
        <v>38</v>
      </c>
      <c r="U106">
        <f>IF(IFERROR(VLOOKUP(BBDD_Usiarios_Netflix[[#This Row],[Identificador Usuario]],A107:$A$5870,1,FALSE),0)&lt;&gt;0,1,0)</f>
        <v>0</v>
      </c>
      <c r="V106" s="6" t="str">
        <f>IF(BBDD_Usiarios_Netflix[[#This Row],[Duración Plan]]="12 Meses",LEFT(BBDD_Usiarios_Netflix[[#This Row],[Duración Plan]],2),LEFT(BBDD_Usiarios_Netflix[[#This Row],[Duración Plan]],1))</f>
        <v>3</v>
      </c>
      <c r="W1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7" spans="1:23" x14ac:dyDescent="0.25">
      <c r="A107">
        <v>106</v>
      </c>
      <c r="B107" t="s">
        <v>28</v>
      </c>
      <c r="C107">
        <v>15</v>
      </c>
      <c r="D107" s="3">
        <v>18</v>
      </c>
      <c r="E107" s="3">
        <v>3</v>
      </c>
      <c r="F107">
        <v>23</v>
      </c>
      <c r="G107" s="1">
        <f>DATEVALUE(_xlfn.CONCAT(BBDD_Usiarios_Netflix[[#This Row],[Día Suscripción]],"/",BBDD_Usiarios_Netflix[[#This Row],[Mes Suscripción]],"/",BBDD_Usiarios_Netflix[[#This Row],[Año Suscripción]]))</f>
        <v>45003</v>
      </c>
      <c r="H107" s="1">
        <v>24</v>
      </c>
      <c r="I107" s="1">
        <v>6</v>
      </c>
      <c r="J107" s="1">
        <v>24</v>
      </c>
      <c r="K107" s="1" t="str">
        <f>TEXT(BBDD_Usiarios_Netflix[[#This Row],[Fecha Suscripción]],"dddd")</f>
        <v>sábado</v>
      </c>
      <c r="L107" s="1">
        <f>DATEVALUE(_xlfn.CONCAT(BBDD_Usiarios_Netflix[[#This Row],[Día Último Pago]],"/",BBDD_Usiarios_Netflix[[#This Row],[Mes Último Pago]],"/",BBDD_Usiarios_Netflix[[#This Row],[Año Último Pago]]))</f>
        <v>45467</v>
      </c>
      <c r="M107" s="4">
        <f>DATEDIF(BBDD_Usiarios_Netflix[[#This Row],[Fecha Suscripción]],BBDD_Usiarios_Netflix[[#This Row],[Fecha Último Pago]],"M")+1</f>
        <v>16</v>
      </c>
      <c r="N107" s="4">
        <f>BBDD_Usiarios_Netflix[[#This Row],[Ingresos Mensuales]]*BBDD_Usiarios_Netflix[[#This Row],[Meses contratados]]</f>
        <v>240</v>
      </c>
      <c r="O107" t="s">
        <v>40</v>
      </c>
      <c r="P107" t="str">
        <f>IF(BBDD_Usiarios_Netflix[[#This Row],[País]]="","Desconocido",BBDD_Usiarios_Netflix[[#This Row],[País]])</f>
        <v>Italia</v>
      </c>
      <c r="Q107">
        <v>49</v>
      </c>
      <c r="R107" t="s">
        <v>30</v>
      </c>
      <c r="S107" t="s">
        <v>31</v>
      </c>
      <c r="T107" t="s">
        <v>35</v>
      </c>
      <c r="U107">
        <f>IF(IFERROR(VLOOKUP(BBDD_Usiarios_Netflix[[#This Row],[Identificador Usuario]],A108:$A$5870,1,FALSE),0)&lt;&gt;0,1,0)</f>
        <v>0</v>
      </c>
      <c r="V107" s="6" t="str">
        <f>IF(BBDD_Usiarios_Netflix[[#This Row],[Duración Plan]]="12 Meses",LEFT(BBDD_Usiarios_Netflix[[#This Row],[Duración Plan]],2),LEFT(BBDD_Usiarios_Netflix[[#This Row],[Duración Plan]],1))</f>
        <v>6</v>
      </c>
      <c r="W1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8" spans="1:23" x14ac:dyDescent="0.25">
      <c r="A108">
        <v>107</v>
      </c>
      <c r="B108" t="s">
        <v>23</v>
      </c>
      <c r="C108">
        <v>11</v>
      </c>
      <c r="D108" s="3">
        <v>7</v>
      </c>
      <c r="E108" s="3">
        <v>3</v>
      </c>
      <c r="F108">
        <v>23</v>
      </c>
      <c r="G108" s="1">
        <f>DATEVALUE(_xlfn.CONCAT(BBDD_Usiarios_Netflix[[#This Row],[Día Suscripción]],"/",BBDD_Usiarios_Netflix[[#This Row],[Mes Suscripción]],"/",BBDD_Usiarios_Netflix[[#This Row],[Año Suscripción]]))</f>
        <v>44992</v>
      </c>
      <c r="H108" s="1">
        <v>24</v>
      </c>
      <c r="I108" s="1">
        <v>6</v>
      </c>
      <c r="J108" s="1">
        <v>24</v>
      </c>
      <c r="K108" s="1" t="str">
        <f>TEXT(BBDD_Usiarios_Netflix[[#This Row],[Fecha Suscripción]],"dddd")</f>
        <v>martes</v>
      </c>
      <c r="L108" s="1">
        <f>DATEVALUE(_xlfn.CONCAT(BBDD_Usiarios_Netflix[[#This Row],[Día Último Pago]],"/",BBDD_Usiarios_Netflix[[#This Row],[Mes Último Pago]],"/",BBDD_Usiarios_Netflix[[#This Row],[Año Último Pago]]))</f>
        <v>45467</v>
      </c>
      <c r="M108" s="4">
        <f>DATEDIF(BBDD_Usiarios_Netflix[[#This Row],[Fecha Suscripción]],BBDD_Usiarios_Netflix[[#This Row],[Fecha Último Pago]],"M")+1</f>
        <v>16</v>
      </c>
      <c r="N108" s="4">
        <f>BBDD_Usiarios_Netflix[[#This Row],[Ingresos Mensuales]]*BBDD_Usiarios_Netflix[[#This Row],[Meses contratados]]</f>
        <v>176</v>
      </c>
      <c r="O108" t="s">
        <v>40</v>
      </c>
      <c r="P108" t="str">
        <f>IF(BBDD_Usiarios_Netflix[[#This Row],[País]]="","Desconocido",BBDD_Usiarios_Netflix[[#This Row],[País]])</f>
        <v>Italia</v>
      </c>
      <c r="Q108">
        <v>29</v>
      </c>
      <c r="R108" t="s">
        <v>30</v>
      </c>
      <c r="S108" t="s">
        <v>34</v>
      </c>
      <c r="T108" t="s">
        <v>38</v>
      </c>
      <c r="U108">
        <f>IF(IFERROR(VLOOKUP(BBDD_Usiarios_Netflix[[#This Row],[Identificador Usuario]],A109:$A$5870,1,FALSE),0)&lt;&gt;0,1,0)</f>
        <v>0</v>
      </c>
      <c r="V108" s="6" t="str">
        <f>IF(BBDD_Usiarios_Netflix[[#This Row],[Duración Plan]]="12 Meses",LEFT(BBDD_Usiarios_Netflix[[#This Row],[Duración Plan]],2),LEFT(BBDD_Usiarios_Netflix[[#This Row],[Duración Plan]],1))</f>
        <v>3</v>
      </c>
      <c r="W1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9" spans="1:23" x14ac:dyDescent="0.25">
      <c r="A109">
        <v>108</v>
      </c>
      <c r="B109" t="s">
        <v>32</v>
      </c>
      <c r="C109">
        <v>13</v>
      </c>
      <c r="D109" s="3">
        <v>24</v>
      </c>
      <c r="E109" s="3">
        <v>5</v>
      </c>
      <c r="F109">
        <v>23</v>
      </c>
      <c r="G109" s="1">
        <f>DATEVALUE(_xlfn.CONCAT(BBDD_Usiarios_Netflix[[#This Row],[Día Suscripción]],"/",BBDD_Usiarios_Netflix[[#This Row],[Mes Suscripción]],"/",BBDD_Usiarios_Netflix[[#This Row],[Año Suscripción]]))</f>
        <v>45070</v>
      </c>
      <c r="H109" s="1">
        <v>25</v>
      </c>
      <c r="I109" s="1">
        <v>6</v>
      </c>
      <c r="J109" s="1">
        <v>24</v>
      </c>
      <c r="K109" s="1" t="str">
        <f>TEXT(BBDD_Usiarios_Netflix[[#This Row],[Fecha Suscripción]],"dddd")</f>
        <v>miércoles</v>
      </c>
      <c r="L109" s="1">
        <f>DATEVALUE(_xlfn.CONCAT(BBDD_Usiarios_Netflix[[#This Row],[Día Último Pago]],"/",BBDD_Usiarios_Netflix[[#This Row],[Mes Último Pago]],"/",BBDD_Usiarios_Netflix[[#This Row],[Año Último Pago]]))</f>
        <v>45468</v>
      </c>
      <c r="M109" s="4">
        <f>DATEDIF(BBDD_Usiarios_Netflix[[#This Row],[Fecha Suscripción]],BBDD_Usiarios_Netflix[[#This Row],[Fecha Último Pago]],"M")+1</f>
        <v>14</v>
      </c>
      <c r="N109" s="4">
        <f>BBDD_Usiarios_Netflix[[#This Row],[Ingresos Mensuales]]*BBDD_Usiarios_Netflix[[#This Row],[Meses contratados]]</f>
        <v>182</v>
      </c>
      <c r="O109" t="s">
        <v>42</v>
      </c>
      <c r="P109" t="str">
        <f>IF(BBDD_Usiarios_Netflix[[#This Row],[País]]="","Desconocido",BBDD_Usiarios_Netflix[[#This Row],[País]])</f>
        <v>Reino Unido</v>
      </c>
      <c r="Q109">
        <v>27</v>
      </c>
      <c r="R109" t="s">
        <v>30</v>
      </c>
      <c r="S109" t="s">
        <v>34</v>
      </c>
      <c r="T109" t="s">
        <v>41</v>
      </c>
      <c r="U109">
        <f>IF(IFERROR(VLOOKUP(BBDD_Usiarios_Netflix[[#This Row],[Identificador Usuario]],A110:$A$5870,1,FALSE),0)&lt;&gt;0,1,0)</f>
        <v>0</v>
      </c>
      <c r="V109" s="6" t="str">
        <f>IF(BBDD_Usiarios_Netflix[[#This Row],[Duración Plan]]="12 Meses",LEFT(BBDD_Usiarios_Netflix[[#This Row],[Duración Plan]],2),LEFT(BBDD_Usiarios_Netflix[[#This Row],[Duración Plan]],1))</f>
        <v>12</v>
      </c>
      <c r="W1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0" spans="1:23" x14ac:dyDescent="0.25">
      <c r="A110">
        <v>109</v>
      </c>
      <c r="B110" t="s">
        <v>32</v>
      </c>
      <c r="C110">
        <v>13</v>
      </c>
      <c r="D110" s="3">
        <v>8</v>
      </c>
      <c r="E110" s="3">
        <v>2</v>
      </c>
      <c r="F110">
        <v>24</v>
      </c>
      <c r="G110" s="1">
        <f>DATEVALUE(_xlfn.CONCAT(BBDD_Usiarios_Netflix[[#This Row],[Día Suscripción]],"/",BBDD_Usiarios_Netflix[[#This Row],[Mes Suscripción]],"/",BBDD_Usiarios_Netflix[[#This Row],[Año Suscripción]]))</f>
        <v>45330</v>
      </c>
      <c r="H110" s="1">
        <v>25</v>
      </c>
      <c r="I110" s="1">
        <v>6</v>
      </c>
      <c r="J110" s="1">
        <v>24</v>
      </c>
      <c r="K110" s="1" t="str">
        <f>TEXT(BBDD_Usiarios_Netflix[[#This Row],[Fecha Suscripción]],"dddd")</f>
        <v>jueves</v>
      </c>
      <c r="L110" s="1">
        <f>DATEVALUE(_xlfn.CONCAT(BBDD_Usiarios_Netflix[[#This Row],[Día Último Pago]],"/",BBDD_Usiarios_Netflix[[#This Row],[Mes Último Pago]],"/",BBDD_Usiarios_Netflix[[#This Row],[Año Último Pago]]))</f>
        <v>45468</v>
      </c>
      <c r="M110" s="4">
        <f>DATEDIF(BBDD_Usiarios_Netflix[[#This Row],[Fecha Suscripción]],BBDD_Usiarios_Netflix[[#This Row],[Fecha Último Pago]],"M")+1</f>
        <v>5</v>
      </c>
      <c r="N110" s="4">
        <f>BBDD_Usiarios_Netflix[[#This Row],[Ingresos Mensuales]]*BBDD_Usiarios_Netflix[[#This Row],[Meses contratados]]</f>
        <v>65</v>
      </c>
      <c r="O110" t="s">
        <v>39</v>
      </c>
      <c r="P110" t="str">
        <f>IF(BBDD_Usiarios_Netflix[[#This Row],[País]]="","Desconocido",BBDD_Usiarios_Netflix[[#This Row],[País]])</f>
        <v>Canadá</v>
      </c>
      <c r="Q110">
        <v>35</v>
      </c>
      <c r="R110" t="s">
        <v>30</v>
      </c>
      <c r="S110" t="s">
        <v>31</v>
      </c>
      <c r="T110" t="s">
        <v>41</v>
      </c>
      <c r="U110">
        <f>IF(IFERROR(VLOOKUP(BBDD_Usiarios_Netflix[[#This Row],[Identificador Usuario]],A111:$A$5870,1,FALSE),0)&lt;&gt;0,1,0)</f>
        <v>0</v>
      </c>
      <c r="V110" s="6" t="str">
        <f>IF(BBDD_Usiarios_Netflix[[#This Row],[Duración Plan]]="12 Meses",LEFT(BBDD_Usiarios_Netflix[[#This Row],[Duración Plan]],2),LEFT(BBDD_Usiarios_Netflix[[#This Row],[Duración Plan]],1))</f>
        <v>12</v>
      </c>
      <c r="W1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1" spans="1:23" x14ac:dyDescent="0.25">
      <c r="A111">
        <v>110</v>
      </c>
      <c r="B111" t="s">
        <v>23</v>
      </c>
      <c r="C111">
        <v>11</v>
      </c>
      <c r="D111" s="3">
        <v>26</v>
      </c>
      <c r="E111" s="3">
        <v>1</v>
      </c>
      <c r="F111">
        <v>24</v>
      </c>
      <c r="G111" s="1">
        <f>DATEVALUE(_xlfn.CONCAT(BBDD_Usiarios_Netflix[[#This Row],[Día Suscripción]],"/",BBDD_Usiarios_Netflix[[#This Row],[Mes Suscripción]],"/",BBDD_Usiarios_Netflix[[#This Row],[Año Suscripción]]))</f>
        <v>45317</v>
      </c>
      <c r="H111" s="1">
        <v>24</v>
      </c>
      <c r="I111" s="1">
        <v>6</v>
      </c>
      <c r="J111" s="1">
        <v>24</v>
      </c>
      <c r="K111" s="1" t="str">
        <f>TEXT(BBDD_Usiarios_Netflix[[#This Row],[Fecha Suscripción]],"dddd")</f>
        <v>viernes</v>
      </c>
      <c r="L111" s="1">
        <f>DATEVALUE(_xlfn.CONCAT(BBDD_Usiarios_Netflix[[#This Row],[Día Último Pago]],"/",BBDD_Usiarios_Netflix[[#This Row],[Mes Último Pago]],"/",BBDD_Usiarios_Netflix[[#This Row],[Año Último Pago]]))</f>
        <v>45467</v>
      </c>
      <c r="M111" s="4">
        <f>DATEDIF(BBDD_Usiarios_Netflix[[#This Row],[Fecha Suscripción]],BBDD_Usiarios_Netflix[[#This Row],[Fecha Último Pago]],"M")+1</f>
        <v>5</v>
      </c>
      <c r="N111" s="4">
        <f>BBDD_Usiarios_Netflix[[#This Row],[Ingresos Mensuales]]*BBDD_Usiarios_Netflix[[#This Row],[Meses contratados]]</f>
        <v>55</v>
      </c>
      <c r="O111" t="s">
        <v>42</v>
      </c>
      <c r="P111" t="str">
        <f>IF(BBDD_Usiarios_Netflix[[#This Row],[País]]="","Desconocido",BBDD_Usiarios_Netflix[[#This Row],[País]])</f>
        <v>Reino Unido</v>
      </c>
      <c r="Q111">
        <v>37</v>
      </c>
      <c r="R111" t="s">
        <v>30</v>
      </c>
      <c r="S111" t="s">
        <v>36</v>
      </c>
      <c r="T111" t="s">
        <v>41</v>
      </c>
      <c r="U111">
        <f>IF(IFERROR(VLOOKUP(BBDD_Usiarios_Netflix[[#This Row],[Identificador Usuario]],A112:$A$5870,1,FALSE),0)&lt;&gt;0,1,0)</f>
        <v>0</v>
      </c>
      <c r="V111" s="6" t="str">
        <f>IF(BBDD_Usiarios_Netflix[[#This Row],[Duración Plan]]="12 Meses",LEFT(BBDD_Usiarios_Netflix[[#This Row],[Duración Plan]],2),LEFT(BBDD_Usiarios_Netflix[[#This Row],[Duración Plan]],1))</f>
        <v>12</v>
      </c>
      <c r="W1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2" spans="1:23" x14ac:dyDescent="0.25">
      <c r="A112">
        <v>111</v>
      </c>
      <c r="B112" t="s">
        <v>28</v>
      </c>
      <c r="C112">
        <v>14</v>
      </c>
      <c r="D112" s="3">
        <v>14</v>
      </c>
      <c r="E112" s="3">
        <v>7</v>
      </c>
      <c r="F112">
        <v>23</v>
      </c>
      <c r="G112" s="1">
        <f>DATEVALUE(_xlfn.CONCAT(BBDD_Usiarios_Netflix[[#This Row],[Día Suscripción]],"/",BBDD_Usiarios_Netflix[[#This Row],[Mes Suscripción]],"/",BBDD_Usiarios_Netflix[[#This Row],[Año Suscripción]]))</f>
        <v>45121</v>
      </c>
      <c r="H112" s="1">
        <v>27</v>
      </c>
      <c r="I112" s="1">
        <v>6</v>
      </c>
      <c r="J112" s="1">
        <v>24</v>
      </c>
      <c r="K112" s="1" t="str">
        <f>TEXT(BBDD_Usiarios_Netflix[[#This Row],[Fecha Suscripción]],"dddd")</f>
        <v>viernes</v>
      </c>
      <c r="L112" s="1">
        <f>DATEVALUE(_xlfn.CONCAT(BBDD_Usiarios_Netflix[[#This Row],[Día Último Pago]],"/",BBDD_Usiarios_Netflix[[#This Row],[Mes Último Pago]],"/",BBDD_Usiarios_Netflix[[#This Row],[Año Último Pago]]))</f>
        <v>45470</v>
      </c>
      <c r="M112" s="4">
        <f>DATEDIF(BBDD_Usiarios_Netflix[[#This Row],[Fecha Suscripción]],BBDD_Usiarios_Netflix[[#This Row],[Fecha Último Pago]],"M")+1</f>
        <v>12</v>
      </c>
      <c r="N112" s="4">
        <f>BBDD_Usiarios_Netflix[[#This Row],[Ingresos Mensuales]]*BBDD_Usiarios_Netflix[[#This Row],[Meses contratados]]</f>
        <v>168</v>
      </c>
      <c r="O112" t="s">
        <v>24</v>
      </c>
      <c r="P112" t="str">
        <f>IF(BBDD_Usiarios_Netflix[[#This Row],[País]]="","Desconocido",BBDD_Usiarios_Netflix[[#This Row],[País]])</f>
        <v>Australia</v>
      </c>
      <c r="Q112">
        <v>40</v>
      </c>
      <c r="R112" t="s">
        <v>25</v>
      </c>
      <c r="S112" t="s">
        <v>31</v>
      </c>
      <c r="T112" t="s">
        <v>41</v>
      </c>
      <c r="U112">
        <f>IF(IFERROR(VLOOKUP(BBDD_Usiarios_Netflix[[#This Row],[Identificador Usuario]],A113:$A$5870,1,FALSE),0)&lt;&gt;0,1,0)</f>
        <v>0</v>
      </c>
      <c r="V112" s="6" t="str">
        <f>IF(BBDD_Usiarios_Netflix[[#This Row],[Duración Plan]]="12 Meses",LEFT(BBDD_Usiarios_Netflix[[#This Row],[Duración Plan]],2),LEFT(BBDD_Usiarios_Netflix[[#This Row],[Duración Plan]],1))</f>
        <v>12</v>
      </c>
      <c r="W1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3" spans="1:23" x14ac:dyDescent="0.25">
      <c r="A113">
        <v>112</v>
      </c>
      <c r="B113" t="s">
        <v>23</v>
      </c>
      <c r="C113">
        <v>10</v>
      </c>
      <c r="D113" s="3">
        <v>1</v>
      </c>
      <c r="E113" s="3">
        <v>6</v>
      </c>
      <c r="F113">
        <v>23</v>
      </c>
      <c r="G113" s="1">
        <f>DATEVALUE(_xlfn.CONCAT(BBDD_Usiarios_Netflix[[#This Row],[Día Suscripción]],"/",BBDD_Usiarios_Netflix[[#This Row],[Mes Suscripción]],"/",BBDD_Usiarios_Netflix[[#This Row],[Año Suscripción]]))</f>
        <v>45078</v>
      </c>
      <c r="H113" s="1">
        <v>28</v>
      </c>
      <c r="I113" s="1">
        <v>6</v>
      </c>
      <c r="J113" s="1">
        <v>24</v>
      </c>
      <c r="K113" s="1" t="str">
        <f>TEXT(BBDD_Usiarios_Netflix[[#This Row],[Fecha Suscripción]],"dddd")</f>
        <v>jueves</v>
      </c>
      <c r="L113" s="1">
        <f>DATEVALUE(_xlfn.CONCAT(BBDD_Usiarios_Netflix[[#This Row],[Día Último Pago]],"/",BBDD_Usiarios_Netflix[[#This Row],[Mes Último Pago]],"/",BBDD_Usiarios_Netflix[[#This Row],[Año Último Pago]]))</f>
        <v>45471</v>
      </c>
      <c r="M113" s="4">
        <f>DATEDIF(BBDD_Usiarios_Netflix[[#This Row],[Fecha Suscripción]],BBDD_Usiarios_Netflix[[#This Row],[Fecha Último Pago]],"M")+1</f>
        <v>13</v>
      </c>
      <c r="N113" s="4">
        <f>BBDD_Usiarios_Netflix[[#This Row],[Ingresos Mensuales]]*BBDD_Usiarios_Netflix[[#This Row],[Meses contratados]]</f>
        <v>130</v>
      </c>
      <c r="O113" t="s">
        <v>39</v>
      </c>
      <c r="P113" t="str">
        <f>IF(BBDD_Usiarios_Netflix[[#This Row],[País]]="","Desconocido",BBDD_Usiarios_Netflix[[#This Row],[País]])</f>
        <v>Canadá</v>
      </c>
      <c r="Q113">
        <v>33</v>
      </c>
      <c r="R113" t="s">
        <v>30</v>
      </c>
      <c r="S113" t="s">
        <v>36</v>
      </c>
      <c r="T113" t="s">
        <v>27</v>
      </c>
      <c r="U113">
        <f>IF(IFERROR(VLOOKUP(BBDD_Usiarios_Netflix[[#This Row],[Identificador Usuario]],A114:$A$5870,1,FALSE),0)&lt;&gt;0,1,0)</f>
        <v>0</v>
      </c>
      <c r="V113" s="6" t="str">
        <f>IF(BBDD_Usiarios_Netflix[[#This Row],[Duración Plan]]="12 Meses",LEFT(BBDD_Usiarios_Netflix[[#This Row],[Duración Plan]],2),LEFT(BBDD_Usiarios_Netflix[[#This Row],[Duración Plan]],1))</f>
        <v>1</v>
      </c>
      <c r="W1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4" spans="1:23" x14ac:dyDescent="0.25">
      <c r="A114">
        <v>113</v>
      </c>
      <c r="B114" t="s">
        <v>32</v>
      </c>
      <c r="C114">
        <v>13</v>
      </c>
      <c r="D114" s="3">
        <v>7</v>
      </c>
      <c r="E114" s="3">
        <v>5</v>
      </c>
      <c r="F114">
        <v>23</v>
      </c>
      <c r="G114" s="1">
        <f>DATEVALUE(_xlfn.CONCAT(BBDD_Usiarios_Netflix[[#This Row],[Día Suscripción]],"/",BBDD_Usiarios_Netflix[[#This Row],[Mes Suscripción]],"/",BBDD_Usiarios_Netflix[[#This Row],[Año Suscripción]]))</f>
        <v>45053</v>
      </c>
      <c r="H114" s="1">
        <v>26</v>
      </c>
      <c r="I114" s="1">
        <v>6</v>
      </c>
      <c r="J114" s="1">
        <v>24</v>
      </c>
      <c r="K114" s="1" t="str">
        <f>TEXT(BBDD_Usiarios_Netflix[[#This Row],[Fecha Suscripción]],"dddd")</f>
        <v>domingo</v>
      </c>
      <c r="L114" s="1">
        <f>DATEVALUE(_xlfn.CONCAT(BBDD_Usiarios_Netflix[[#This Row],[Día Último Pago]],"/",BBDD_Usiarios_Netflix[[#This Row],[Mes Último Pago]],"/",BBDD_Usiarios_Netflix[[#This Row],[Año Último Pago]]))</f>
        <v>45469</v>
      </c>
      <c r="M114" s="4">
        <f>DATEDIF(BBDD_Usiarios_Netflix[[#This Row],[Fecha Suscripción]],BBDD_Usiarios_Netflix[[#This Row],[Fecha Último Pago]],"M")+1</f>
        <v>14</v>
      </c>
      <c r="N114" s="4">
        <f>BBDD_Usiarios_Netflix[[#This Row],[Ingresos Mensuales]]*BBDD_Usiarios_Netflix[[#This Row],[Meses contratados]]</f>
        <v>182</v>
      </c>
      <c r="O114" t="s">
        <v>39</v>
      </c>
      <c r="P114" t="str">
        <f>IF(BBDD_Usiarios_Netflix[[#This Row],[País]]="","Desconocido",BBDD_Usiarios_Netflix[[#This Row],[País]])</f>
        <v>Canadá</v>
      </c>
      <c r="Q114">
        <v>37</v>
      </c>
      <c r="R114" t="s">
        <v>25</v>
      </c>
      <c r="S114" t="s">
        <v>31</v>
      </c>
      <c r="T114" t="s">
        <v>27</v>
      </c>
      <c r="U114">
        <f>IF(IFERROR(VLOOKUP(BBDD_Usiarios_Netflix[[#This Row],[Identificador Usuario]],A115:$A$5870,1,FALSE),0)&lt;&gt;0,1,0)</f>
        <v>0</v>
      </c>
      <c r="V114" s="6" t="str">
        <f>IF(BBDD_Usiarios_Netflix[[#This Row],[Duración Plan]]="12 Meses",LEFT(BBDD_Usiarios_Netflix[[#This Row],[Duración Plan]],2),LEFT(BBDD_Usiarios_Netflix[[#This Row],[Duración Plan]],1))</f>
        <v>1</v>
      </c>
      <c r="W1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5" spans="1:23" x14ac:dyDescent="0.25">
      <c r="A115">
        <v>114</v>
      </c>
      <c r="B115" t="s">
        <v>28</v>
      </c>
      <c r="C115">
        <v>14</v>
      </c>
      <c r="D115" s="3">
        <v>18</v>
      </c>
      <c r="E115" s="3">
        <v>11</v>
      </c>
      <c r="F115">
        <v>23</v>
      </c>
      <c r="G115" s="1">
        <f>DATEVALUE(_xlfn.CONCAT(BBDD_Usiarios_Netflix[[#This Row],[Día Suscripción]],"/",BBDD_Usiarios_Netflix[[#This Row],[Mes Suscripción]],"/",BBDD_Usiarios_Netflix[[#This Row],[Año Suscripción]]))</f>
        <v>45248</v>
      </c>
      <c r="H115" s="1">
        <v>25</v>
      </c>
      <c r="I115" s="1">
        <v>6</v>
      </c>
      <c r="J115" s="1">
        <v>24</v>
      </c>
      <c r="K115" s="1" t="str">
        <f>TEXT(BBDD_Usiarios_Netflix[[#This Row],[Fecha Suscripción]],"dddd")</f>
        <v>sábado</v>
      </c>
      <c r="L115" s="1">
        <f>DATEVALUE(_xlfn.CONCAT(BBDD_Usiarios_Netflix[[#This Row],[Día Último Pago]],"/",BBDD_Usiarios_Netflix[[#This Row],[Mes Último Pago]],"/",BBDD_Usiarios_Netflix[[#This Row],[Año Último Pago]]))</f>
        <v>45468</v>
      </c>
      <c r="M115" s="4">
        <f>DATEDIF(BBDD_Usiarios_Netflix[[#This Row],[Fecha Suscripción]],BBDD_Usiarios_Netflix[[#This Row],[Fecha Último Pago]],"M")+1</f>
        <v>8</v>
      </c>
      <c r="N115" s="4">
        <f>BBDD_Usiarios_Netflix[[#This Row],[Ingresos Mensuales]]*BBDD_Usiarios_Netflix[[#This Row],[Meses contratados]]</f>
        <v>112</v>
      </c>
      <c r="O115" t="s">
        <v>44</v>
      </c>
      <c r="P115" t="str">
        <f>IF(BBDD_Usiarios_Netflix[[#This Row],[País]]="","Desconocido",BBDD_Usiarios_Netflix[[#This Row],[País]])</f>
        <v>Desconocido</v>
      </c>
      <c r="Q115">
        <v>48</v>
      </c>
      <c r="R115" t="s">
        <v>25</v>
      </c>
      <c r="S115" t="s">
        <v>26</v>
      </c>
      <c r="T115" t="s">
        <v>27</v>
      </c>
      <c r="U115">
        <f>IF(IFERROR(VLOOKUP(BBDD_Usiarios_Netflix[[#This Row],[Identificador Usuario]],A116:$A$5870,1,FALSE),0)&lt;&gt;0,1,0)</f>
        <v>0</v>
      </c>
      <c r="V115" s="6" t="str">
        <f>IF(BBDD_Usiarios_Netflix[[#This Row],[Duración Plan]]="12 Meses",LEFT(BBDD_Usiarios_Netflix[[#This Row],[Duración Plan]],2),LEFT(BBDD_Usiarios_Netflix[[#This Row],[Duración Plan]],1))</f>
        <v>1</v>
      </c>
      <c r="W1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6" spans="1:23" x14ac:dyDescent="0.25">
      <c r="A116">
        <v>115</v>
      </c>
      <c r="B116" t="s">
        <v>23</v>
      </c>
      <c r="C116">
        <v>11</v>
      </c>
      <c r="D116" s="3">
        <v>5</v>
      </c>
      <c r="E116" s="3">
        <v>4</v>
      </c>
      <c r="F116">
        <v>23</v>
      </c>
      <c r="G116" s="1">
        <f>DATEVALUE(_xlfn.CONCAT(BBDD_Usiarios_Netflix[[#This Row],[Día Suscripción]],"/",BBDD_Usiarios_Netflix[[#This Row],[Mes Suscripción]],"/",BBDD_Usiarios_Netflix[[#This Row],[Año Suscripción]]))</f>
        <v>45021</v>
      </c>
      <c r="H116" s="1">
        <v>25</v>
      </c>
      <c r="I116" s="1">
        <v>6</v>
      </c>
      <c r="J116" s="1">
        <v>24</v>
      </c>
      <c r="K116" s="1" t="str">
        <f>TEXT(BBDD_Usiarios_Netflix[[#This Row],[Fecha Suscripción]],"dddd")</f>
        <v>miércoles</v>
      </c>
      <c r="L116" s="1">
        <f>DATEVALUE(_xlfn.CONCAT(BBDD_Usiarios_Netflix[[#This Row],[Día Último Pago]],"/",BBDD_Usiarios_Netflix[[#This Row],[Mes Último Pago]],"/",BBDD_Usiarios_Netflix[[#This Row],[Año Último Pago]]))</f>
        <v>45468</v>
      </c>
      <c r="M116" s="4">
        <f>DATEDIF(BBDD_Usiarios_Netflix[[#This Row],[Fecha Suscripción]],BBDD_Usiarios_Netflix[[#This Row],[Fecha Último Pago]],"M")+1</f>
        <v>15</v>
      </c>
      <c r="N116" s="4">
        <f>BBDD_Usiarios_Netflix[[#This Row],[Ingresos Mensuales]]*BBDD_Usiarios_Netflix[[#This Row],[Meses contratados]]</f>
        <v>165</v>
      </c>
      <c r="O116" t="s">
        <v>40</v>
      </c>
      <c r="P116" t="str">
        <f>IF(BBDD_Usiarios_Netflix[[#This Row],[País]]="","Desconocido",BBDD_Usiarios_Netflix[[#This Row],[País]])</f>
        <v>Italia</v>
      </c>
      <c r="Q116">
        <v>50</v>
      </c>
      <c r="R116" t="s">
        <v>30</v>
      </c>
      <c r="S116" t="s">
        <v>36</v>
      </c>
      <c r="T116" t="s">
        <v>41</v>
      </c>
      <c r="U116">
        <f>IF(IFERROR(VLOOKUP(BBDD_Usiarios_Netflix[[#This Row],[Identificador Usuario]],A117:$A$5870,1,FALSE),0)&lt;&gt;0,1,0)</f>
        <v>0</v>
      </c>
      <c r="V116" s="6" t="str">
        <f>IF(BBDD_Usiarios_Netflix[[#This Row],[Duración Plan]]="12 Meses",LEFT(BBDD_Usiarios_Netflix[[#This Row],[Duración Plan]],2),LEFT(BBDD_Usiarios_Netflix[[#This Row],[Duración Plan]],1))</f>
        <v>12</v>
      </c>
      <c r="W1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7" spans="1:23" x14ac:dyDescent="0.25">
      <c r="A117">
        <v>116</v>
      </c>
      <c r="B117" t="s">
        <v>28</v>
      </c>
      <c r="C117">
        <v>15</v>
      </c>
      <c r="D117" s="3">
        <v>19</v>
      </c>
      <c r="E117" s="3">
        <v>5</v>
      </c>
      <c r="F117">
        <v>23</v>
      </c>
      <c r="G117" s="1">
        <f>DATEVALUE(_xlfn.CONCAT(BBDD_Usiarios_Netflix[[#This Row],[Día Suscripción]],"/",BBDD_Usiarios_Netflix[[#This Row],[Mes Suscripción]],"/",BBDD_Usiarios_Netflix[[#This Row],[Año Suscripción]]))</f>
        <v>45065</v>
      </c>
      <c r="H117" s="1">
        <v>23</v>
      </c>
      <c r="I117" s="1">
        <v>6</v>
      </c>
      <c r="J117" s="1">
        <v>24</v>
      </c>
      <c r="K117" s="1" t="str">
        <f>TEXT(BBDD_Usiarios_Netflix[[#This Row],[Fecha Suscripción]],"dddd")</f>
        <v>viernes</v>
      </c>
      <c r="L117" s="1">
        <f>DATEVALUE(_xlfn.CONCAT(BBDD_Usiarios_Netflix[[#This Row],[Día Último Pago]],"/",BBDD_Usiarios_Netflix[[#This Row],[Mes Último Pago]],"/",BBDD_Usiarios_Netflix[[#This Row],[Año Último Pago]]))</f>
        <v>45466</v>
      </c>
      <c r="M117" s="4">
        <f>DATEDIF(BBDD_Usiarios_Netflix[[#This Row],[Fecha Suscripción]],BBDD_Usiarios_Netflix[[#This Row],[Fecha Último Pago]],"M")+1</f>
        <v>14</v>
      </c>
      <c r="N117" s="4">
        <f>BBDD_Usiarios_Netflix[[#This Row],[Ingresos Mensuales]]*BBDD_Usiarios_Netflix[[#This Row],[Meses contratados]]</f>
        <v>210</v>
      </c>
      <c r="O117" t="s">
        <v>29</v>
      </c>
      <c r="P117" t="str">
        <f>IF(BBDD_Usiarios_Netflix[[#This Row],[País]]="","Desconocido",BBDD_Usiarios_Netflix[[#This Row],[País]])</f>
        <v>EEUU</v>
      </c>
      <c r="Q117">
        <v>45</v>
      </c>
      <c r="R117" t="s">
        <v>30</v>
      </c>
      <c r="S117" t="s">
        <v>34</v>
      </c>
      <c r="T117" t="s">
        <v>35</v>
      </c>
      <c r="U117">
        <f>IF(IFERROR(VLOOKUP(BBDD_Usiarios_Netflix[[#This Row],[Identificador Usuario]],A118:$A$5870,1,FALSE),0)&lt;&gt;0,1,0)</f>
        <v>0</v>
      </c>
      <c r="V117" s="6" t="str">
        <f>IF(BBDD_Usiarios_Netflix[[#This Row],[Duración Plan]]="12 Meses",LEFT(BBDD_Usiarios_Netflix[[#This Row],[Duración Plan]],2),LEFT(BBDD_Usiarios_Netflix[[#This Row],[Duración Plan]],1))</f>
        <v>6</v>
      </c>
      <c r="W1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8" spans="1:23" x14ac:dyDescent="0.25">
      <c r="A118">
        <v>117</v>
      </c>
      <c r="B118" t="s">
        <v>23</v>
      </c>
      <c r="C118">
        <v>11</v>
      </c>
      <c r="D118" s="3">
        <v>30</v>
      </c>
      <c r="E118" s="3">
        <v>10</v>
      </c>
      <c r="F118">
        <v>22</v>
      </c>
      <c r="G118" s="1">
        <f>DATEVALUE(_xlfn.CONCAT(BBDD_Usiarios_Netflix[[#This Row],[Día Suscripción]],"/",BBDD_Usiarios_Netflix[[#This Row],[Mes Suscripción]],"/",BBDD_Usiarios_Netflix[[#This Row],[Año Suscripción]]))</f>
        <v>44864</v>
      </c>
      <c r="H118" s="1">
        <v>23</v>
      </c>
      <c r="I118" s="1">
        <v>6</v>
      </c>
      <c r="J118" s="1">
        <v>24</v>
      </c>
      <c r="K118" s="1" t="str">
        <f>TEXT(BBDD_Usiarios_Netflix[[#This Row],[Fecha Suscripción]],"dddd")</f>
        <v>domingo</v>
      </c>
      <c r="L118" s="1">
        <f>DATEVALUE(_xlfn.CONCAT(BBDD_Usiarios_Netflix[[#This Row],[Día Último Pago]],"/",BBDD_Usiarios_Netflix[[#This Row],[Mes Último Pago]],"/",BBDD_Usiarios_Netflix[[#This Row],[Año Último Pago]]))</f>
        <v>45466</v>
      </c>
      <c r="M118" s="4">
        <f>DATEDIF(BBDD_Usiarios_Netflix[[#This Row],[Fecha Suscripción]],BBDD_Usiarios_Netflix[[#This Row],[Fecha Último Pago]],"M")+1</f>
        <v>20</v>
      </c>
      <c r="N118" s="4">
        <f>BBDD_Usiarios_Netflix[[#This Row],[Ingresos Mensuales]]*BBDD_Usiarios_Netflix[[#This Row],[Meses contratados]]</f>
        <v>220</v>
      </c>
      <c r="O118" t="s">
        <v>37</v>
      </c>
      <c r="P118" t="str">
        <f>IF(BBDD_Usiarios_Netflix[[#This Row],[País]]="","Desconocido",BBDD_Usiarios_Netflix[[#This Row],[País]])</f>
        <v>Brasil</v>
      </c>
      <c r="Q118">
        <v>40</v>
      </c>
      <c r="R118" t="s">
        <v>30</v>
      </c>
      <c r="S118" t="s">
        <v>31</v>
      </c>
      <c r="T118" t="s">
        <v>41</v>
      </c>
      <c r="U118">
        <f>IF(IFERROR(VLOOKUP(BBDD_Usiarios_Netflix[[#This Row],[Identificador Usuario]],A119:$A$5870,1,FALSE),0)&lt;&gt;0,1,0)</f>
        <v>0</v>
      </c>
      <c r="V118" s="6" t="str">
        <f>IF(BBDD_Usiarios_Netflix[[#This Row],[Duración Plan]]="12 Meses",LEFT(BBDD_Usiarios_Netflix[[#This Row],[Duración Plan]],2),LEFT(BBDD_Usiarios_Netflix[[#This Row],[Duración Plan]],1))</f>
        <v>12</v>
      </c>
      <c r="W1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9" spans="1:23" x14ac:dyDescent="0.25">
      <c r="A119">
        <v>118</v>
      </c>
      <c r="B119" t="s">
        <v>32</v>
      </c>
      <c r="C119">
        <v>12</v>
      </c>
      <c r="D119" s="3">
        <v>7</v>
      </c>
      <c r="E119" s="3">
        <v>8</v>
      </c>
      <c r="F119">
        <v>23</v>
      </c>
      <c r="G119" s="1">
        <f>DATEVALUE(_xlfn.CONCAT(BBDD_Usiarios_Netflix[[#This Row],[Día Suscripción]],"/",BBDD_Usiarios_Netflix[[#This Row],[Mes Suscripción]],"/",BBDD_Usiarios_Netflix[[#This Row],[Año Suscripción]]))</f>
        <v>45145</v>
      </c>
      <c r="H119" s="1">
        <v>27</v>
      </c>
      <c r="I119" s="1">
        <v>6</v>
      </c>
      <c r="J119" s="1">
        <v>24</v>
      </c>
      <c r="K119" s="1" t="str">
        <f>TEXT(BBDD_Usiarios_Netflix[[#This Row],[Fecha Suscripción]],"dddd")</f>
        <v>lunes</v>
      </c>
      <c r="L119" s="1">
        <f>DATEVALUE(_xlfn.CONCAT(BBDD_Usiarios_Netflix[[#This Row],[Día Último Pago]],"/",BBDD_Usiarios_Netflix[[#This Row],[Mes Último Pago]],"/",BBDD_Usiarios_Netflix[[#This Row],[Año Último Pago]]))</f>
        <v>45470</v>
      </c>
      <c r="M119" s="4">
        <f>DATEDIF(BBDD_Usiarios_Netflix[[#This Row],[Fecha Suscripción]],BBDD_Usiarios_Netflix[[#This Row],[Fecha Último Pago]],"M")+1</f>
        <v>11</v>
      </c>
      <c r="N119" s="4">
        <f>BBDD_Usiarios_Netflix[[#This Row],[Ingresos Mensuales]]*BBDD_Usiarios_Netflix[[#This Row],[Meses contratados]]</f>
        <v>132</v>
      </c>
      <c r="O119" t="s">
        <v>24</v>
      </c>
      <c r="P119" t="str">
        <f>IF(BBDD_Usiarios_Netflix[[#This Row],[País]]="","Desconocido",BBDD_Usiarios_Netflix[[#This Row],[País]])</f>
        <v>Australia</v>
      </c>
      <c r="Q119">
        <v>33</v>
      </c>
      <c r="R119" t="s">
        <v>25</v>
      </c>
      <c r="S119" t="s">
        <v>26</v>
      </c>
      <c r="T119" t="s">
        <v>38</v>
      </c>
      <c r="U119">
        <f>IF(IFERROR(VLOOKUP(BBDD_Usiarios_Netflix[[#This Row],[Identificador Usuario]],A120:$A$5870,1,FALSE),0)&lt;&gt;0,1,0)</f>
        <v>0</v>
      </c>
      <c r="V119" s="6" t="str">
        <f>IF(BBDD_Usiarios_Netflix[[#This Row],[Duración Plan]]="12 Meses",LEFT(BBDD_Usiarios_Netflix[[#This Row],[Duración Plan]],2),LEFT(BBDD_Usiarios_Netflix[[#This Row],[Duración Plan]],1))</f>
        <v>3</v>
      </c>
      <c r="W1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0" spans="1:23" x14ac:dyDescent="0.25">
      <c r="A120">
        <v>119</v>
      </c>
      <c r="B120" t="s">
        <v>32</v>
      </c>
      <c r="C120">
        <v>12</v>
      </c>
      <c r="D120" s="3">
        <v>20</v>
      </c>
      <c r="E120" s="3">
        <v>9</v>
      </c>
      <c r="F120">
        <v>23</v>
      </c>
      <c r="G120" s="1">
        <f>DATEVALUE(_xlfn.CONCAT(BBDD_Usiarios_Netflix[[#This Row],[Día Suscripción]],"/",BBDD_Usiarios_Netflix[[#This Row],[Mes Suscripción]],"/",BBDD_Usiarios_Netflix[[#This Row],[Año Suscripción]]))</f>
        <v>45189</v>
      </c>
      <c r="H120" s="1">
        <v>25</v>
      </c>
      <c r="I120" s="1">
        <v>6</v>
      </c>
      <c r="J120" s="1">
        <v>24</v>
      </c>
      <c r="K120" s="1" t="str">
        <f>TEXT(BBDD_Usiarios_Netflix[[#This Row],[Fecha Suscripción]],"dddd")</f>
        <v>miércoles</v>
      </c>
      <c r="L120" s="1">
        <f>DATEVALUE(_xlfn.CONCAT(BBDD_Usiarios_Netflix[[#This Row],[Día Último Pago]],"/",BBDD_Usiarios_Netflix[[#This Row],[Mes Último Pago]],"/",BBDD_Usiarios_Netflix[[#This Row],[Año Último Pago]]))</f>
        <v>45468</v>
      </c>
      <c r="M120" s="4">
        <f>DATEDIF(BBDD_Usiarios_Netflix[[#This Row],[Fecha Suscripción]],BBDD_Usiarios_Netflix[[#This Row],[Fecha Último Pago]],"M")+1</f>
        <v>10</v>
      </c>
      <c r="N120" s="4">
        <f>BBDD_Usiarios_Netflix[[#This Row],[Ingresos Mensuales]]*BBDD_Usiarios_Netflix[[#This Row],[Meses contratados]]</f>
        <v>120</v>
      </c>
      <c r="O120" t="s">
        <v>29</v>
      </c>
      <c r="P120" t="str">
        <f>IF(BBDD_Usiarios_Netflix[[#This Row],[País]]="","Desconocido",BBDD_Usiarios_Netflix[[#This Row],[País]])</f>
        <v>EEUU</v>
      </c>
      <c r="Q120">
        <v>44</v>
      </c>
      <c r="R120" t="s">
        <v>30</v>
      </c>
      <c r="S120" t="s">
        <v>26</v>
      </c>
      <c r="T120" t="s">
        <v>38</v>
      </c>
      <c r="U120">
        <f>IF(IFERROR(VLOOKUP(BBDD_Usiarios_Netflix[[#This Row],[Identificador Usuario]],A121:$A$5870,1,FALSE),0)&lt;&gt;0,1,0)</f>
        <v>0</v>
      </c>
      <c r="V120" s="6" t="str">
        <f>IF(BBDD_Usiarios_Netflix[[#This Row],[Duración Plan]]="12 Meses",LEFT(BBDD_Usiarios_Netflix[[#This Row],[Duración Plan]],2),LEFT(BBDD_Usiarios_Netflix[[#This Row],[Duración Plan]],1))</f>
        <v>3</v>
      </c>
      <c r="W1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1" spans="1:23" x14ac:dyDescent="0.25">
      <c r="A121">
        <v>120</v>
      </c>
      <c r="B121" t="s">
        <v>23</v>
      </c>
      <c r="C121">
        <v>10</v>
      </c>
      <c r="D121" s="3">
        <v>18</v>
      </c>
      <c r="E121" s="3">
        <v>10</v>
      </c>
      <c r="F121">
        <v>23</v>
      </c>
      <c r="G121" s="1">
        <f>DATEVALUE(_xlfn.CONCAT(BBDD_Usiarios_Netflix[[#This Row],[Día Suscripción]],"/",BBDD_Usiarios_Netflix[[#This Row],[Mes Suscripción]],"/",BBDD_Usiarios_Netflix[[#This Row],[Año Suscripción]]))</f>
        <v>45217</v>
      </c>
      <c r="H121" s="1">
        <v>25</v>
      </c>
      <c r="I121" s="1">
        <v>6</v>
      </c>
      <c r="J121" s="1">
        <v>24</v>
      </c>
      <c r="K121" s="1" t="str">
        <f>TEXT(BBDD_Usiarios_Netflix[[#This Row],[Fecha Suscripción]],"dddd")</f>
        <v>miércoles</v>
      </c>
      <c r="L121" s="1">
        <f>DATEVALUE(_xlfn.CONCAT(BBDD_Usiarios_Netflix[[#This Row],[Día Último Pago]],"/",BBDD_Usiarios_Netflix[[#This Row],[Mes Último Pago]],"/",BBDD_Usiarios_Netflix[[#This Row],[Año Último Pago]]))</f>
        <v>45468</v>
      </c>
      <c r="M121" s="4">
        <f>DATEDIF(BBDD_Usiarios_Netflix[[#This Row],[Fecha Suscripción]],BBDD_Usiarios_Netflix[[#This Row],[Fecha Último Pago]],"M")+1</f>
        <v>9</v>
      </c>
      <c r="N121" s="4">
        <f>BBDD_Usiarios_Netflix[[#This Row],[Ingresos Mensuales]]*BBDD_Usiarios_Netflix[[#This Row],[Meses contratados]]</f>
        <v>90</v>
      </c>
      <c r="O121" t="s">
        <v>43</v>
      </c>
      <c r="P121" t="str">
        <f>IF(BBDD_Usiarios_Netflix[[#This Row],[País]]="","Desconocido",BBDD_Usiarios_Netflix[[#This Row],[País]])</f>
        <v>Alemania</v>
      </c>
      <c r="Q121">
        <v>30</v>
      </c>
      <c r="R121" t="s">
        <v>30</v>
      </c>
      <c r="S121" t="s">
        <v>34</v>
      </c>
      <c r="T121" t="s">
        <v>38</v>
      </c>
      <c r="U121">
        <f>IF(IFERROR(VLOOKUP(BBDD_Usiarios_Netflix[[#This Row],[Identificador Usuario]],A122:$A$5870,1,FALSE),0)&lt;&gt;0,1,0)</f>
        <v>0</v>
      </c>
      <c r="V121" s="6" t="str">
        <f>IF(BBDD_Usiarios_Netflix[[#This Row],[Duración Plan]]="12 Meses",LEFT(BBDD_Usiarios_Netflix[[#This Row],[Duración Plan]],2),LEFT(BBDD_Usiarios_Netflix[[#This Row],[Duración Plan]],1))</f>
        <v>3</v>
      </c>
      <c r="W1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2" spans="1:23" x14ac:dyDescent="0.25">
      <c r="A122">
        <v>121</v>
      </c>
      <c r="B122" t="s">
        <v>28</v>
      </c>
      <c r="C122">
        <v>14</v>
      </c>
      <c r="D122" s="3">
        <v>3</v>
      </c>
      <c r="E122" s="3">
        <v>10</v>
      </c>
      <c r="F122">
        <v>23</v>
      </c>
      <c r="G122" s="1">
        <f>DATEVALUE(_xlfn.CONCAT(BBDD_Usiarios_Netflix[[#This Row],[Día Suscripción]],"/",BBDD_Usiarios_Netflix[[#This Row],[Mes Suscripción]],"/",BBDD_Usiarios_Netflix[[#This Row],[Año Suscripción]]))</f>
        <v>45202</v>
      </c>
      <c r="H122" s="1">
        <v>24</v>
      </c>
      <c r="I122" s="1">
        <v>6</v>
      </c>
      <c r="J122" s="1">
        <v>24</v>
      </c>
      <c r="K122" s="1" t="str">
        <f>TEXT(BBDD_Usiarios_Netflix[[#This Row],[Fecha Suscripción]],"dddd")</f>
        <v>martes</v>
      </c>
      <c r="L122" s="1">
        <f>DATEVALUE(_xlfn.CONCAT(BBDD_Usiarios_Netflix[[#This Row],[Día Último Pago]],"/",BBDD_Usiarios_Netflix[[#This Row],[Mes Último Pago]],"/",BBDD_Usiarios_Netflix[[#This Row],[Año Último Pago]]))</f>
        <v>45467</v>
      </c>
      <c r="M122" s="4">
        <f>DATEDIF(BBDD_Usiarios_Netflix[[#This Row],[Fecha Suscripción]],BBDD_Usiarios_Netflix[[#This Row],[Fecha Último Pago]],"M")+1</f>
        <v>9</v>
      </c>
      <c r="N122" s="4">
        <f>BBDD_Usiarios_Netflix[[#This Row],[Ingresos Mensuales]]*BBDD_Usiarios_Netflix[[#This Row],[Meses contratados]]</f>
        <v>126</v>
      </c>
      <c r="O122" t="s">
        <v>39</v>
      </c>
      <c r="P122" t="str">
        <f>IF(BBDD_Usiarios_Netflix[[#This Row],[País]]="","Desconocido",BBDD_Usiarios_Netflix[[#This Row],[País]])</f>
        <v>Canadá</v>
      </c>
      <c r="Q122">
        <v>27</v>
      </c>
      <c r="R122" t="s">
        <v>25</v>
      </c>
      <c r="S122" t="s">
        <v>34</v>
      </c>
      <c r="T122" t="s">
        <v>27</v>
      </c>
      <c r="U122">
        <f>IF(IFERROR(VLOOKUP(BBDD_Usiarios_Netflix[[#This Row],[Identificador Usuario]],A123:$A$5870,1,FALSE),0)&lt;&gt;0,1,0)</f>
        <v>0</v>
      </c>
      <c r="V122" s="6" t="str">
        <f>IF(BBDD_Usiarios_Netflix[[#This Row],[Duración Plan]]="12 Meses",LEFT(BBDD_Usiarios_Netflix[[#This Row],[Duración Plan]],2),LEFT(BBDD_Usiarios_Netflix[[#This Row],[Duración Plan]],1))</f>
        <v>1</v>
      </c>
      <c r="W1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3" spans="1:23" x14ac:dyDescent="0.25">
      <c r="A123">
        <v>122</v>
      </c>
      <c r="B123" t="s">
        <v>23</v>
      </c>
      <c r="C123">
        <v>11</v>
      </c>
      <c r="D123" s="3">
        <v>3</v>
      </c>
      <c r="E123" s="3">
        <v>5</v>
      </c>
      <c r="F123">
        <v>23</v>
      </c>
      <c r="G123" s="1">
        <f>DATEVALUE(_xlfn.CONCAT(BBDD_Usiarios_Netflix[[#This Row],[Día Suscripción]],"/",BBDD_Usiarios_Netflix[[#This Row],[Mes Suscripción]],"/",BBDD_Usiarios_Netflix[[#This Row],[Año Suscripción]]))</f>
        <v>45049</v>
      </c>
      <c r="H123" s="1">
        <v>28</v>
      </c>
      <c r="I123" s="1">
        <v>6</v>
      </c>
      <c r="J123" s="1">
        <v>24</v>
      </c>
      <c r="K123" s="1" t="str">
        <f>TEXT(BBDD_Usiarios_Netflix[[#This Row],[Fecha Suscripción]],"dddd")</f>
        <v>miércoles</v>
      </c>
      <c r="L123" s="1">
        <f>DATEVALUE(_xlfn.CONCAT(BBDD_Usiarios_Netflix[[#This Row],[Día Último Pago]],"/",BBDD_Usiarios_Netflix[[#This Row],[Mes Último Pago]],"/",BBDD_Usiarios_Netflix[[#This Row],[Año Último Pago]]))</f>
        <v>45471</v>
      </c>
      <c r="M123" s="4">
        <f>DATEDIF(BBDD_Usiarios_Netflix[[#This Row],[Fecha Suscripción]],BBDD_Usiarios_Netflix[[#This Row],[Fecha Último Pago]],"M")+1</f>
        <v>14</v>
      </c>
      <c r="N123" s="4">
        <f>BBDD_Usiarios_Netflix[[#This Row],[Ingresos Mensuales]]*BBDD_Usiarios_Netflix[[#This Row],[Meses contratados]]</f>
        <v>154</v>
      </c>
      <c r="O123" t="s">
        <v>42</v>
      </c>
      <c r="P123" t="str">
        <f>IF(BBDD_Usiarios_Netflix[[#This Row],[País]]="","Desconocido",BBDD_Usiarios_Netflix[[#This Row],[País]])</f>
        <v>Reino Unido</v>
      </c>
      <c r="Q123">
        <v>51</v>
      </c>
      <c r="R123" t="s">
        <v>25</v>
      </c>
      <c r="S123" t="s">
        <v>34</v>
      </c>
      <c r="T123" t="s">
        <v>35</v>
      </c>
      <c r="U123">
        <f>IF(IFERROR(VLOOKUP(BBDD_Usiarios_Netflix[[#This Row],[Identificador Usuario]],A124:$A$5870,1,FALSE),0)&lt;&gt;0,1,0)</f>
        <v>0</v>
      </c>
      <c r="V123" s="6" t="str">
        <f>IF(BBDD_Usiarios_Netflix[[#This Row],[Duración Plan]]="12 Meses",LEFT(BBDD_Usiarios_Netflix[[#This Row],[Duración Plan]],2),LEFT(BBDD_Usiarios_Netflix[[#This Row],[Duración Plan]],1))</f>
        <v>6</v>
      </c>
      <c r="W1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4" spans="1:23" x14ac:dyDescent="0.25">
      <c r="A124">
        <v>123</v>
      </c>
      <c r="B124" t="s">
        <v>32</v>
      </c>
      <c r="C124">
        <v>13</v>
      </c>
      <c r="D124" s="3">
        <v>25</v>
      </c>
      <c r="E124" s="3">
        <v>5</v>
      </c>
      <c r="F124">
        <v>23</v>
      </c>
      <c r="G124" s="1">
        <f>DATEVALUE(_xlfn.CONCAT(BBDD_Usiarios_Netflix[[#This Row],[Día Suscripción]],"/",BBDD_Usiarios_Netflix[[#This Row],[Mes Suscripción]],"/",BBDD_Usiarios_Netflix[[#This Row],[Año Suscripción]]))</f>
        <v>45071</v>
      </c>
      <c r="H124" s="1">
        <v>26</v>
      </c>
      <c r="I124" s="1">
        <v>6</v>
      </c>
      <c r="J124" s="1">
        <v>24</v>
      </c>
      <c r="K124" s="1" t="str">
        <f>TEXT(BBDD_Usiarios_Netflix[[#This Row],[Fecha Suscripción]],"dddd")</f>
        <v>jueves</v>
      </c>
      <c r="L124" s="1">
        <f>DATEVALUE(_xlfn.CONCAT(BBDD_Usiarios_Netflix[[#This Row],[Día Último Pago]],"/",BBDD_Usiarios_Netflix[[#This Row],[Mes Último Pago]],"/",BBDD_Usiarios_Netflix[[#This Row],[Año Último Pago]]))</f>
        <v>45469</v>
      </c>
      <c r="M124" s="4">
        <f>DATEDIF(BBDD_Usiarios_Netflix[[#This Row],[Fecha Suscripción]],BBDD_Usiarios_Netflix[[#This Row],[Fecha Último Pago]],"M")+1</f>
        <v>14</v>
      </c>
      <c r="N124" s="4">
        <f>BBDD_Usiarios_Netflix[[#This Row],[Ingresos Mensuales]]*BBDD_Usiarios_Netflix[[#This Row],[Meses contratados]]</f>
        <v>182</v>
      </c>
      <c r="O124" t="s">
        <v>42</v>
      </c>
      <c r="P124" t="str">
        <f>IF(BBDD_Usiarios_Netflix[[#This Row],[País]]="","Desconocido",BBDD_Usiarios_Netflix[[#This Row],[País]])</f>
        <v>Reino Unido</v>
      </c>
      <c r="Q124">
        <v>49</v>
      </c>
      <c r="R124" t="s">
        <v>30</v>
      </c>
      <c r="S124" t="s">
        <v>26</v>
      </c>
      <c r="T124" t="s">
        <v>35</v>
      </c>
      <c r="U124">
        <f>IF(IFERROR(VLOOKUP(BBDD_Usiarios_Netflix[[#This Row],[Identificador Usuario]],A125:$A$5870,1,FALSE),0)&lt;&gt;0,1,0)</f>
        <v>0</v>
      </c>
      <c r="V124" s="6" t="str">
        <f>IF(BBDD_Usiarios_Netflix[[#This Row],[Duración Plan]]="12 Meses",LEFT(BBDD_Usiarios_Netflix[[#This Row],[Duración Plan]],2),LEFT(BBDD_Usiarios_Netflix[[#This Row],[Duración Plan]],1))</f>
        <v>6</v>
      </c>
      <c r="W1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5" spans="1:23" x14ac:dyDescent="0.25">
      <c r="A125">
        <v>124</v>
      </c>
      <c r="B125" t="s">
        <v>28</v>
      </c>
      <c r="C125">
        <v>14</v>
      </c>
      <c r="D125" s="3">
        <v>5</v>
      </c>
      <c r="E125" s="3">
        <v>11</v>
      </c>
      <c r="F125">
        <v>23</v>
      </c>
      <c r="G125" s="1">
        <f>DATEVALUE(_xlfn.CONCAT(BBDD_Usiarios_Netflix[[#This Row],[Día Suscripción]],"/",BBDD_Usiarios_Netflix[[#This Row],[Mes Suscripción]],"/",BBDD_Usiarios_Netflix[[#This Row],[Año Suscripción]]))</f>
        <v>45235</v>
      </c>
      <c r="H125" s="1">
        <v>25</v>
      </c>
      <c r="I125" s="1">
        <v>6</v>
      </c>
      <c r="J125" s="1">
        <v>24</v>
      </c>
      <c r="K125" s="1" t="str">
        <f>TEXT(BBDD_Usiarios_Netflix[[#This Row],[Fecha Suscripción]],"dddd")</f>
        <v>domingo</v>
      </c>
      <c r="L125" s="1">
        <f>DATEVALUE(_xlfn.CONCAT(BBDD_Usiarios_Netflix[[#This Row],[Día Último Pago]],"/",BBDD_Usiarios_Netflix[[#This Row],[Mes Último Pago]],"/",BBDD_Usiarios_Netflix[[#This Row],[Año Último Pago]]))</f>
        <v>45468</v>
      </c>
      <c r="M125" s="4">
        <f>DATEDIF(BBDD_Usiarios_Netflix[[#This Row],[Fecha Suscripción]],BBDD_Usiarios_Netflix[[#This Row],[Fecha Último Pago]],"M")+1</f>
        <v>8</v>
      </c>
      <c r="N125" s="4">
        <f>BBDD_Usiarios_Netflix[[#This Row],[Ingresos Mensuales]]*BBDD_Usiarios_Netflix[[#This Row],[Meses contratados]]</f>
        <v>112</v>
      </c>
      <c r="O125" t="s">
        <v>39</v>
      </c>
      <c r="P125" t="str">
        <f>IF(BBDD_Usiarios_Netflix[[#This Row],[País]]="","Desconocido",BBDD_Usiarios_Netflix[[#This Row],[País]])</f>
        <v>Canadá</v>
      </c>
      <c r="Q125">
        <v>43</v>
      </c>
      <c r="R125" t="s">
        <v>25</v>
      </c>
      <c r="S125" t="s">
        <v>36</v>
      </c>
      <c r="T125" t="s">
        <v>27</v>
      </c>
      <c r="U125">
        <f>IF(IFERROR(VLOOKUP(BBDD_Usiarios_Netflix[[#This Row],[Identificador Usuario]],A126:$A$5870,1,FALSE),0)&lt;&gt;0,1,0)</f>
        <v>0</v>
      </c>
      <c r="V125" s="6" t="str">
        <f>IF(BBDD_Usiarios_Netflix[[#This Row],[Duración Plan]]="12 Meses",LEFT(BBDD_Usiarios_Netflix[[#This Row],[Duración Plan]],2),LEFT(BBDD_Usiarios_Netflix[[#This Row],[Duración Plan]],1))</f>
        <v>1</v>
      </c>
      <c r="W1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6" spans="1:23" x14ac:dyDescent="0.25">
      <c r="A126">
        <v>125</v>
      </c>
      <c r="B126" t="s">
        <v>23</v>
      </c>
      <c r="C126">
        <v>10</v>
      </c>
      <c r="D126" s="3">
        <v>21</v>
      </c>
      <c r="E126" s="3">
        <v>8</v>
      </c>
      <c r="F126">
        <v>23</v>
      </c>
      <c r="G126" s="1">
        <f>DATEVALUE(_xlfn.CONCAT(BBDD_Usiarios_Netflix[[#This Row],[Día Suscripción]],"/",BBDD_Usiarios_Netflix[[#This Row],[Mes Suscripción]],"/",BBDD_Usiarios_Netflix[[#This Row],[Año Suscripción]]))</f>
        <v>45159</v>
      </c>
      <c r="H126" s="1">
        <v>24</v>
      </c>
      <c r="I126" s="1">
        <v>6</v>
      </c>
      <c r="J126" s="1">
        <v>24</v>
      </c>
      <c r="K126" s="1" t="str">
        <f>TEXT(BBDD_Usiarios_Netflix[[#This Row],[Fecha Suscripción]],"dddd")</f>
        <v>lunes</v>
      </c>
      <c r="L126" s="1">
        <f>DATEVALUE(_xlfn.CONCAT(BBDD_Usiarios_Netflix[[#This Row],[Día Último Pago]],"/",BBDD_Usiarios_Netflix[[#This Row],[Mes Último Pago]],"/",BBDD_Usiarios_Netflix[[#This Row],[Año Último Pago]]))</f>
        <v>45467</v>
      </c>
      <c r="M126" s="4">
        <f>DATEDIF(BBDD_Usiarios_Netflix[[#This Row],[Fecha Suscripción]],BBDD_Usiarios_Netflix[[#This Row],[Fecha Último Pago]],"M")+1</f>
        <v>11</v>
      </c>
      <c r="N126" s="4">
        <f>BBDD_Usiarios_Netflix[[#This Row],[Ingresos Mensuales]]*BBDD_Usiarios_Netflix[[#This Row],[Meses contratados]]</f>
        <v>110</v>
      </c>
      <c r="O126" t="s">
        <v>45</v>
      </c>
      <c r="P126" t="str">
        <f>IF(BBDD_Usiarios_Netflix[[#This Row],[País]]="","Desconocido",BBDD_Usiarios_Netflix[[#This Row],[País]])</f>
        <v>España</v>
      </c>
      <c r="Q126">
        <v>42</v>
      </c>
      <c r="R126" t="s">
        <v>25</v>
      </c>
      <c r="S126" t="s">
        <v>26</v>
      </c>
      <c r="T126" t="s">
        <v>35</v>
      </c>
      <c r="U126">
        <f>IF(IFERROR(VLOOKUP(BBDD_Usiarios_Netflix[[#This Row],[Identificador Usuario]],A127:$A$5870,1,FALSE),0)&lt;&gt;0,1,0)</f>
        <v>0</v>
      </c>
      <c r="V126" s="6" t="str">
        <f>IF(BBDD_Usiarios_Netflix[[#This Row],[Duración Plan]]="12 Meses",LEFT(BBDD_Usiarios_Netflix[[#This Row],[Duración Plan]],2),LEFT(BBDD_Usiarios_Netflix[[#This Row],[Duración Plan]],1))</f>
        <v>6</v>
      </c>
      <c r="W1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7" spans="1:23" x14ac:dyDescent="0.25">
      <c r="A127">
        <v>126</v>
      </c>
      <c r="B127" t="s">
        <v>28</v>
      </c>
      <c r="C127">
        <v>14</v>
      </c>
      <c r="D127" s="3">
        <v>21</v>
      </c>
      <c r="E127" s="3">
        <v>9</v>
      </c>
      <c r="F127">
        <v>23</v>
      </c>
      <c r="G127" s="1">
        <f>DATEVALUE(_xlfn.CONCAT(BBDD_Usiarios_Netflix[[#This Row],[Día Suscripción]],"/",BBDD_Usiarios_Netflix[[#This Row],[Mes Suscripción]],"/",BBDD_Usiarios_Netflix[[#This Row],[Año Suscripción]]))</f>
        <v>45190</v>
      </c>
      <c r="H127" s="1">
        <v>23</v>
      </c>
      <c r="I127" s="1">
        <v>6</v>
      </c>
      <c r="J127" s="1">
        <v>24</v>
      </c>
      <c r="K127" s="1" t="str">
        <f>TEXT(BBDD_Usiarios_Netflix[[#This Row],[Fecha Suscripción]],"dddd")</f>
        <v>jueves</v>
      </c>
      <c r="L127" s="1">
        <f>DATEVALUE(_xlfn.CONCAT(BBDD_Usiarios_Netflix[[#This Row],[Día Último Pago]],"/",BBDD_Usiarios_Netflix[[#This Row],[Mes Último Pago]],"/",BBDD_Usiarios_Netflix[[#This Row],[Año Último Pago]]))</f>
        <v>45466</v>
      </c>
      <c r="M127" s="4">
        <f>DATEDIF(BBDD_Usiarios_Netflix[[#This Row],[Fecha Suscripción]],BBDD_Usiarios_Netflix[[#This Row],[Fecha Último Pago]],"M")+1</f>
        <v>10</v>
      </c>
      <c r="N127" s="4">
        <f>BBDD_Usiarios_Netflix[[#This Row],[Ingresos Mensuales]]*BBDD_Usiarios_Netflix[[#This Row],[Meses contratados]]</f>
        <v>140</v>
      </c>
      <c r="O127" t="s">
        <v>39</v>
      </c>
      <c r="P127" t="str">
        <f>IF(BBDD_Usiarios_Netflix[[#This Row],[País]]="","Desconocido",BBDD_Usiarios_Netflix[[#This Row],[País]])</f>
        <v>Canadá</v>
      </c>
      <c r="Q127">
        <v>45</v>
      </c>
      <c r="R127" t="s">
        <v>25</v>
      </c>
      <c r="S127" t="s">
        <v>36</v>
      </c>
      <c r="T127" t="s">
        <v>41</v>
      </c>
      <c r="U127">
        <f>IF(IFERROR(VLOOKUP(BBDD_Usiarios_Netflix[[#This Row],[Identificador Usuario]],A128:$A$5870,1,FALSE),0)&lt;&gt;0,1,0)</f>
        <v>0</v>
      </c>
      <c r="V127" s="6" t="str">
        <f>IF(BBDD_Usiarios_Netflix[[#This Row],[Duración Plan]]="12 Meses",LEFT(BBDD_Usiarios_Netflix[[#This Row],[Duración Plan]],2),LEFT(BBDD_Usiarios_Netflix[[#This Row],[Duración Plan]],1))</f>
        <v>12</v>
      </c>
      <c r="W1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8" spans="1:23" x14ac:dyDescent="0.25">
      <c r="A128">
        <v>127</v>
      </c>
      <c r="B128" t="s">
        <v>23</v>
      </c>
      <c r="C128">
        <v>11</v>
      </c>
      <c r="D128" s="3">
        <v>23</v>
      </c>
      <c r="E128" s="3">
        <v>11</v>
      </c>
      <c r="F128">
        <v>22</v>
      </c>
      <c r="G128" s="1">
        <f>DATEVALUE(_xlfn.CONCAT(BBDD_Usiarios_Netflix[[#This Row],[Día Suscripción]],"/",BBDD_Usiarios_Netflix[[#This Row],[Mes Suscripción]],"/",BBDD_Usiarios_Netflix[[#This Row],[Año Suscripción]]))</f>
        <v>44888</v>
      </c>
      <c r="H128" s="1">
        <v>23</v>
      </c>
      <c r="I128" s="1">
        <v>6</v>
      </c>
      <c r="J128" s="1">
        <v>24</v>
      </c>
      <c r="K128" s="1" t="str">
        <f>TEXT(BBDD_Usiarios_Netflix[[#This Row],[Fecha Suscripción]],"dddd")</f>
        <v>miércoles</v>
      </c>
      <c r="L128" s="1">
        <f>DATEVALUE(_xlfn.CONCAT(BBDD_Usiarios_Netflix[[#This Row],[Día Último Pago]],"/",BBDD_Usiarios_Netflix[[#This Row],[Mes Último Pago]],"/",BBDD_Usiarios_Netflix[[#This Row],[Año Último Pago]]))</f>
        <v>45466</v>
      </c>
      <c r="M128" s="4">
        <f>DATEDIF(BBDD_Usiarios_Netflix[[#This Row],[Fecha Suscripción]],BBDD_Usiarios_Netflix[[#This Row],[Fecha Último Pago]],"M")+1</f>
        <v>20</v>
      </c>
      <c r="N128" s="4">
        <f>BBDD_Usiarios_Netflix[[#This Row],[Ingresos Mensuales]]*BBDD_Usiarios_Netflix[[#This Row],[Meses contratados]]</f>
        <v>220</v>
      </c>
      <c r="O128" t="s">
        <v>29</v>
      </c>
      <c r="P128" t="str">
        <f>IF(BBDD_Usiarios_Netflix[[#This Row],[País]]="","Desconocido",BBDD_Usiarios_Netflix[[#This Row],[País]])</f>
        <v>EEUU</v>
      </c>
      <c r="Q128">
        <v>36</v>
      </c>
      <c r="R128" t="s">
        <v>25</v>
      </c>
      <c r="S128" t="s">
        <v>26</v>
      </c>
      <c r="T128" t="s">
        <v>27</v>
      </c>
      <c r="U128">
        <f>IF(IFERROR(VLOOKUP(BBDD_Usiarios_Netflix[[#This Row],[Identificador Usuario]],A129:$A$5870,1,FALSE),0)&lt;&gt;0,1,0)</f>
        <v>0</v>
      </c>
      <c r="V128" s="6" t="str">
        <f>IF(BBDD_Usiarios_Netflix[[#This Row],[Duración Plan]]="12 Meses",LEFT(BBDD_Usiarios_Netflix[[#This Row],[Duración Plan]],2),LEFT(BBDD_Usiarios_Netflix[[#This Row],[Duración Plan]],1))</f>
        <v>1</v>
      </c>
      <c r="W1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9" spans="1:23" x14ac:dyDescent="0.25">
      <c r="A129">
        <v>128</v>
      </c>
      <c r="B129" t="s">
        <v>32</v>
      </c>
      <c r="C129">
        <v>12</v>
      </c>
      <c r="D129" s="3">
        <v>6</v>
      </c>
      <c r="E129" s="3">
        <v>10</v>
      </c>
      <c r="F129">
        <v>23</v>
      </c>
      <c r="G129" s="1">
        <f>DATEVALUE(_xlfn.CONCAT(BBDD_Usiarios_Netflix[[#This Row],[Día Suscripción]],"/",BBDD_Usiarios_Netflix[[#This Row],[Mes Suscripción]],"/",BBDD_Usiarios_Netflix[[#This Row],[Año Suscripción]]))</f>
        <v>45205</v>
      </c>
      <c r="H129" s="1">
        <v>27</v>
      </c>
      <c r="I129" s="1">
        <v>6</v>
      </c>
      <c r="J129" s="1">
        <v>24</v>
      </c>
      <c r="K129" s="1" t="str">
        <f>TEXT(BBDD_Usiarios_Netflix[[#This Row],[Fecha Suscripción]],"dddd")</f>
        <v>viernes</v>
      </c>
      <c r="L129" s="1">
        <f>DATEVALUE(_xlfn.CONCAT(BBDD_Usiarios_Netflix[[#This Row],[Día Último Pago]],"/",BBDD_Usiarios_Netflix[[#This Row],[Mes Último Pago]],"/",BBDD_Usiarios_Netflix[[#This Row],[Año Último Pago]]))</f>
        <v>45470</v>
      </c>
      <c r="M129" s="4">
        <f>DATEDIF(BBDD_Usiarios_Netflix[[#This Row],[Fecha Suscripción]],BBDD_Usiarios_Netflix[[#This Row],[Fecha Último Pago]],"M")+1</f>
        <v>9</v>
      </c>
      <c r="N129" s="4">
        <f>BBDD_Usiarios_Netflix[[#This Row],[Ingresos Mensuales]]*BBDD_Usiarios_Netflix[[#This Row],[Meses contratados]]</f>
        <v>108</v>
      </c>
      <c r="O129" t="s">
        <v>24</v>
      </c>
      <c r="P129" t="str">
        <f>IF(BBDD_Usiarios_Netflix[[#This Row],[País]]="","Desconocido",BBDD_Usiarios_Netflix[[#This Row],[País]])</f>
        <v>Australia</v>
      </c>
      <c r="Q129">
        <v>48</v>
      </c>
      <c r="R129" t="s">
        <v>25</v>
      </c>
      <c r="S129" t="s">
        <v>26</v>
      </c>
      <c r="T129" t="s">
        <v>27</v>
      </c>
      <c r="U129">
        <f>IF(IFERROR(VLOOKUP(BBDD_Usiarios_Netflix[[#This Row],[Identificador Usuario]],A130:$A$5870,1,FALSE),0)&lt;&gt;0,1,0)</f>
        <v>0</v>
      </c>
      <c r="V129" s="6" t="str">
        <f>IF(BBDD_Usiarios_Netflix[[#This Row],[Duración Plan]]="12 Meses",LEFT(BBDD_Usiarios_Netflix[[#This Row],[Duración Plan]],2),LEFT(BBDD_Usiarios_Netflix[[#This Row],[Duración Plan]],1))</f>
        <v>1</v>
      </c>
      <c r="W1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0" spans="1:23" x14ac:dyDescent="0.25">
      <c r="A130">
        <v>129</v>
      </c>
      <c r="B130" t="s">
        <v>32</v>
      </c>
      <c r="C130">
        <v>12</v>
      </c>
      <c r="D130" s="3">
        <v>5</v>
      </c>
      <c r="E130" s="3">
        <v>11</v>
      </c>
      <c r="F130">
        <v>23</v>
      </c>
      <c r="G130" s="1">
        <f>DATEVALUE(_xlfn.CONCAT(BBDD_Usiarios_Netflix[[#This Row],[Día Suscripción]],"/",BBDD_Usiarios_Netflix[[#This Row],[Mes Suscripción]],"/",BBDD_Usiarios_Netflix[[#This Row],[Año Suscripción]]))</f>
        <v>45235</v>
      </c>
      <c r="H130" s="1">
        <v>23</v>
      </c>
      <c r="I130" s="1">
        <v>6</v>
      </c>
      <c r="J130" s="1">
        <v>24</v>
      </c>
      <c r="K130" s="1" t="str">
        <f>TEXT(BBDD_Usiarios_Netflix[[#This Row],[Fecha Suscripción]],"dddd")</f>
        <v>domingo</v>
      </c>
      <c r="L130" s="1">
        <f>DATEVALUE(_xlfn.CONCAT(BBDD_Usiarios_Netflix[[#This Row],[Día Último Pago]],"/",BBDD_Usiarios_Netflix[[#This Row],[Mes Último Pago]],"/",BBDD_Usiarios_Netflix[[#This Row],[Año Último Pago]]))</f>
        <v>45466</v>
      </c>
      <c r="M130" s="4">
        <f>DATEDIF(BBDD_Usiarios_Netflix[[#This Row],[Fecha Suscripción]],BBDD_Usiarios_Netflix[[#This Row],[Fecha Último Pago]],"M")+1</f>
        <v>8</v>
      </c>
      <c r="N130" s="4">
        <f>BBDD_Usiarios_Netflix[[#This Row],[Ingresos Mensuales]]*BBDD_Usiarios_Netflix[[#This Row],[Meses contratados]]</f>
        <v>96</v>
      </c>
      <c r="O130" t="s">
        <v>33</v>
      </c>
      <c r="P130" t="str">
        <f>IF(BBDD_Usiarios_Netflix[[#This Row],[País]]="","Desconocido",BBDD_Usiarios_Netflix[[#This Row],[País]])</f>
        <v>Francia</v>
      </c>
      <c r="Q130">
        <v>38</v>
      </c>
      <c r="R130" t="s">
        <v>25</v>
      </c>
      <c r="S130" t="s">
        <v>34</v>
      </c>
      <c r="T130" t="s">
        <v>38</v>
      </c>
      <c r="U130">
        <f>IF(IFERROR(VLOOKUP(BBDD_Usiarios_Netflix[[#This Row],[Identificador Usuario]],A131:$A$5870,1,FALSE),0)&lt;&gt;0,1,0)</f>
        <v>0</v>
      </c>
      <c r="V130" s="6" t="str">
        <f>IF(BBDD_Usiarios_Netflix[[#This Row],[Duración Plan]]="12 Meses",LEFT(BBDD_Usiarios_Netflix[[#This Row],[Duración Plan]],2),LEFT(BBDD_Usiarios_Netflix[[#This Row],[Duración Plan]],1))</f>
        <v>3</v>
      </c>
      <c r="W1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1" spans="1:23" x14ac:dyDescent="0.25">
      <c r="A131">
        <v>130</v>
      </c>
      <c r="B131" t="s">
        <v>23</v>
      </c>
      <c r="C131">
        <v>11</v>
      </c>
      <c r="D131" s="3">
        <v>7</v>
      </c>
      <c r="E131" s="3">
        <v>1</v>
      </c>
      <c r="F131">
        <v>24</v>
      </c>
      <c r="G131" s="1">
        <f>DATEVALUE(_xlfn.CONCAT(BBDD_Usiarios_Netflix[[#This Row],[Día Suscripción]],"/",BBDD_Usiarios_Netflix[[#This Row],[Mes Suscripción]],"/",BBDD_Usiarios_Netflix[[#This Row],[Año Suscripción]]))</f>
        <v>45298</v>
      </c>
      <c r="H131" s="1">
        <v>23</v>
      </c>
      <c r="I131" s="1">
        <v>6</v>
      </c>
      <c r="J131" s="1">
        <v>24</v>
      </c>
      <c r="K131" s="1" t="str">
        <f>TEXT(BBDD_Usiarios_Netflix[[#This Row],[Fecha Suscripción]],"dddd")</f>
        <v>domingo</v>
      </c>
      <c r="L131" s="1">
        <f>DATEVALUE(_xlfn.CONCAT(BBDD_Usiarios_Netflix[[#This Row],[Día Último Pago]],"/",BBDD_Usiarios_Netflix[[#This Row],[Mes Último Pago]],"/",BBDD_Usiarios_Netflix[[#This Row],[Año Último Pago]]))</f>
        <v>45466</v>
      </c>
      <c r="M131" s="4">
        <f>DATEDIF(BBDD_Usiarios_Netflix[[#This Row],[Fecha Suscripción]],BBDD_Usiarios_Netflix[[#This Row],[Fecha Último Pago]],"M")+1</f>
        <v>6</v>
      </c>
      <c r="N131" s="4">
        <f>BBDD_Usiarios_Netflix[[#This Row],[Ingresos Mensuales]]*BBDD_Usiarios_Netflix[[#This Row],[Meses contratados]]</f>
        <v>66</v>
      </c>
      <c r="O131" t="s">
        <v>24</v>
      </c>
      <c r="P131" t="str">
        <f>IF(BBDD_Usiarios_Netflix[[#This Row],[País]]="","Desconocido",BBDD_Usiarios_Netflix[[#This Row],[País]])</f>
        <v>Australia</v>
      </c>
      <c r="Q131">
        <v>43</v>
      </c>
      <c r="R131" t="s">
        <v>30</v>
      </c>
      <c r="S131" t="s">
        <v>31</v>
      </c>
      <c r="T131" t="s">
        <v>41</v>
      </c>
      <c r="U131">
        <f>IF(IFERROR(VLOOKUP(BBDD_Usiarios_Netflix[[#This Row],[Identificador Usuario]],A132:$A$5870,1,FALSE),0)&lt;&gt;0,1,0)</f>
        <v>0</v>
      </c>
      <c r="V131" s="6" t="str">
        <f>IF(BBDD_Usiarios_Netflix[[#This Row],[Duración Plan]]="12 Meses",LEFT(BBDD_Usiarios_Netflix[[#This Row],[Duración Plan]],2),LEFT(BBDD_Usiarios_Netflix[[#This Row],[Duración Plan]],1))</f>
        <v>12</v>
      </c>
      <c r="W1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2" spans="1:23" x14ac:dyDescent="0.25">
      <c r="A132">
        <v>131</v>
      </c>
      <c r="B132" t="s">
        <v>28</v>
      </c>
      <c r="C132">
        <v>14</v>
      </c>
      <c r="D132" s="3">
        <v>6</v>
      </c>
      <c r="E132" s="3">
        <v>10</v>
      </c>
      <c r="F132">
        <v>23</v>
      </c>
      <c r="G132" s="1">
        <f>DATEVALUE(_xlfn.CONCAT(BBDD_Usiarios_Netflix[[#This Row],[Día Suscripción]],"/",BBDD_Usiarios_Netflix[[#This Row],[Mes Suscripción]],"/",BBDD_Usiarios_Netflix[[#This Row],[Año Suscripción]]))</f>
        <v>45205</v>
      </c>
      <c r="H132" s="1">
        <v>23</v>
      </c>
      <c r="I132" s="1">
        <v>6</v>
      </c>
      <c r="J132" s="1">
        <v>24</v>
      </c>
      <c r="K132" s="1" t="str">
        <f>TEXT(BBDD_Usiarios_Netflix[[#This Row],[Fecha Suscripción]],"dddd")</f>
        <v>viernes</v>
      </c>
      <c r="L132" s="1">
        <f>DATEVALUE(_xlfn.CONCAT(BBDD_Usiarios_Netflix[[#This Row],[Día Último Pago]],"/",BBDD_Usiarios_Netflix[[#This Row],[Mes Último Pago]],"/",BBDD_Usiarios_Netflix[[#This Row],[Año Último Pago]]))</f>
        <v>45466</v>
      </c>
      <c r="M132" s="4">
        <f>DATEDIF(BBDD_Usiarios_Netflix[[#This Row],[Fecha Suscripción]],BBDD_Usiarios_Netflix[[#This Row],[Fecha Último Pago]],"M")+1</f>
        <v>9</v>
      </c>
      <c r="N132" s="4">
        <f>BBDD_Usiarios_Netflix[[#This Row],[Ingresos Mensuales]]*BBDD_Usiarios_Netflix[[#This Row],[Meses contratados]]</f>
        <v>126</v>
      </c>
      <c r="O132" t="s">
        <v>29</v>
      </c>
      <c r="P132" t="str">
        <f>IF(BBDD_Usiarios_Netflix[[#This Row],[País]]="","Desconocido",BBDD_Usiarios_Netflix[[#This Row],[País]])</f>
        <v>EEUU</v>
      </c>
      <c r="Q132">
        <v>47</v>
      </c>
      <c r="R132" t="s">
        <v>25</v>
      </c>
      <c r="S132" t="s">
        <v>36</v>
      </c>
      <c r="T132" t="s">
        <v>27</v>
      </c>
      <c r="U132">
        <f>IF(IFERROR(VLOOKUP(BBDD_Usiarios_Netflix[[#This Row],[Identificador Usuario]],A133:$A$5870,1,FALSE),0)&lt;&gt;0,1,0)</f>
        <v>0</v>
      </c>
      <c r="V132" s="6" t="str">
        <f>IF(BBDD_Usiarios_Netflix[[#This Row],[Duración Plan]]="12 Meses",LEFT(BBDD_Usiarios_Netflix[[#This Row],[Duración Plan]],2),LEFT(BBDD_Usiarios_Netflix[[#This Row],[Duración Plan]],1))</f>
        <v>1</v>
      </c>
      <c r="W1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3" spans="1:23" x14ac:dyDescent="0.25">
      <c r="A133">
        <v>132</v>
      </c>
      <c r="B133" t="s">
        <v>23</v>
      </c>
      <c r="C133">
        <v>10</v>
      </c>
      <c r="D133" s="3">
        <v>24</v>
      </c>
      <c r="E133" s="3">
        <v>6</v>
      </c>
      <c r="F133">
        <v>23</v>
      </c>
      <c r="G133" s="1">
        <f>DATEVALUE(_xlfn.CONCAT(BBDD_Usiarios_Netflix[[#This Row],[Día Suscripción]],"/",BBDD_Usiarios_Netflix[[#This Row],[Mes Suscripción]],"/",BBDD_Usiarios_Netflix[[#This Row],[Año Suscripción]]))</f>
        <v>45101</v>
      </c>
      <c r="H133" s="1">
        <v>28</v>
      </c>
      <c r="I133" s="1">
        <v>6</v>
      </c>
      <c r="J133" s="1">
        <v>24</v>
      </c>
      <c r="K133" s="1" t="str">
        <f>TEXT(BBDD_Usiarios_Netflix[[#This Row],[Fecha Suscripción]],"dddd")</f>
        <v>sábado</v>
      </c>
      <c r="L133" s="1">
        <f>DATEVALUE(_xlfn.CONCAT(BBDD_Usiarios_Netflix[[#This Row],[Día Último Pago]],"/",BBDD_Usiarios_Netflix[[#This Row],[Mes Último Pago]],"/",BBDD_Usiarios_Netflix[[#This Row],[Año Último Pago]]))</f>
        <v>45471</v>
      </c>
      <c r="M133" s="4">
        <f>DATEDIF(BBDD_Usiarios_Netflix[[#This Row],[Fecha Suscripción]],BBDD_Usiarios_Netflix[[#This Row],[Fecha Último Pago]],"M")+1</f>
        <v>13</v>
      </c>
      <c r="N133" s="4">
        <f>BBDD_Usiarios_Netflix[[#This Row],[Ingresos Mensuales]]*BBDD_Usiarios_Netflix[[#This Row],[Meses contratados]]</f>
        <v>130</v>
      </c>
      <c r="O133" t="s">
        <v>29</v>
      </c>
      <c r="P133" t="str">
        <f>IF(BBDD_Usiarios_Netflix[[#This Row],[País]]="","Desconocido",BBDD_Usiarios_Netflix[[#This Row],[País]])</f>
        <v>EEUU</v>
      </c>
      <c r="Q133">
        <v>48</v>
      </c>
      <c r="R133" t="s">
        <v>30</v>
      </c>
      <c r="S133" t="s">
        <v>34</v>
      </c>
      <c r="T133" t="s">
        <v>38</v>
      </c>
      <c r="U133">
        <f>IF(IFERROR(VLOOKUP(BBDD_Usiarios_Netflix[[#This Row],[Identificador Usuario]],A134:$A$5870,1,FALSE),0)&lt;&gt;0,1,0)</f>
        <v>0</v>
      </c>
      <c r="V133" s="6" t="str">
        <f>IF(BBDD_Usiarios_Netflix[[#This Row],[Duración Plan]]="12 Meses",LEFT(BBDD_Usiarios_Netflix[[#This Row],[Duración Plan]],2),LEFT(BBDD_Usiarios_Netflix[[#This Row],[Duración Plan]],1))</f>
        <v>3</v>
      </c>
      <c r="W1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4" spans="1:23" x14ac:dyDescent="0.25">
      <c r="A134">
        <v>133</v>
      </c>
      <c r="B134" t="s">
        <v>32</v>
      </c>
      <c r="C134">
        <v>12</v>
      </c>
      <c r="D134" s="3">
        <v>24</v>
      </c>
      <c r="E134" s="3">
        <v>6</v>
      </c>
      <c r="F134">
        <v>23</v>
      </c>
      <c r="G134" s="1">
        <f>DATEVALUE(_xlfn.CONCAT(BBDD_Usiarios_Netflix[[#This Row],[Día Suscripción]],"/",BBDD_Usiarios_Netflix[[#This Row],[Mes Suscripción]],"/",BBDD_Usiarios_Netflix[[#This Row],[Año Suscripción]]))</f>
        <v>45101</v>
      </c>
      <c r="H134" s="1">
        <v>26</v>
      </c>
      <c r="I134" s="1">
        <v>6</v>
      </c>
      <c r="J134" s="1">
        <v>24</v>
      </c>
      <c r="K134" s="1" t="str">
        <f>TEXT(BBDD_Usiarios_Netflix[[#This Row],[Fecha Suscripción]],"dddd")</f>
        <v>sábado</v>
      </c>
      <c r="L134" s="1">
        <f>DATEVALUE(_xlfn.CONCAT(BBDD_Usiarios_Netflix[[#This Row],[Día Último Pago]],"/",BBDD_Usiarios_Netflix[[#This Row],[Mes Último Pago]],"/",BBDD_Usiarios_Netflix[[#This Row],[Año Último Pago]]))</f>
        <v>45469</v>
      </c>
      <c r="M134" s="4">
        <f>DATEDIF(BBDD_Usiarios_Netflix[[#This Row],[Fecha Suscripción]],BBDD_Usiarios_Netflix[[#This Row],[Fecha Último Pago]],"M")+1</f>
        <v>13</v>
      </c>
      <c r="N134" s="4">
        <f>BBDD_Usiarios_Netflix[[#This Row],[Ingresos Mensuales]]*BBDD_Usiarios_Netflix[[#This Row],[Meses contratados]]</f>
        <v>156</v>
      </c>
      <c r="O134" t="s">
        <v>29</v>
      </c>
      <c r="P134" t="str">
        <f>IF(BBDD_Usiarios_Netflix[[#This Row],[País]]="","Desconocido",BBDD_Usiarios_Netflix[[#This Row],[País]])</f>
        <v>EEUU</v>
      </c>
      <c r="Q134">
        <v>47</v>
      </c>
      <c r="R134" t="s">
        <v>25</v>
      </c>
      <c r="S134" t="s">
        <v>34</v>
      </c>
      <c r="T134" t="s">
        <v>35</v>
      </c>
      <c r="U134">
        <f>IF(IFERROR(VLOOKUP(BBDD_Usiarios_Netflix[[#This Row],[Identificador Usuario]],A135:$A$5870,1,FALSE),0)&lt;&gt;0,1,0)</f>
        <v>0</v>
      </c>
      <c r="V134" s="6" t="str">
        <f>IF(BBDD_Usiarios_Netflix[[#This Row],[Duración Plan]]="12 Meses",LEFT(BBDD_Usiarios_Netflix[[#This Row],[Duración Plan]],2),LEFT(BBDD_Usiarios_Netflix[[#This Row],[Duración Plan]],1))</f>
        <v>6</v>
      </c>
      <c r="W1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5" spans="1:23" x14ac:dyDescent="0.25">
      <c r="A135">
        <v>134</v>
      </c>
      <c r="B135" t="s">
        <v>28</v>
      </c>
      <c r="C135">
        <v>14</v>
      </c>
      <c r="D135" s="3">
        <v>5</v>
      </c>
      <c r="E135" s="3">
        <v>11</v>
      </c>
      <c r="F135">
        <v>23</v>
      </c>
      <c r="G135" s="1">
        <f>DATEVALUE(_xlfn.CONCAT(BBDD_Usiarios_Netflix[[#This Row],[Día Suscripción]],"/",BBDD_Usiarios_Netflix[[#This Row],[Mes Suscripción]],"/",BBDD_Usiarios_Netflix[[#This Row],[Año Suscripción]]))</f>
        <v>45235</v>
      </c>
      <c r="H135" s="1">
        <v>25</v>
      </c>
      <c r="I135" s="1">
        <v>6</v>
      </c>
      <c r="J135" s="1">
        <v>24</v>
      </c>
      <c r="K135" s="1" t="str">
        <f>TEXT(BBDD_Usiarios_Netflix[[#This Row],[Fecha Suscripción]],"dddd")</f>
        <v>domingo</v>
      </c>
      <c r="L135" s="1">
        <f>DATEVALUE(_xlfn.CONCAT(BBDD_Usiarios_Netflix[[#This Row],[Día Último Pago]],"/",BBDD_Usiarios_Netflix[[#This Row],[Mes Último Pago]],"/",BBDD_Usiarios_Netflix[[#This Row],[Año Último Pago]]))</f>
        <v>45468</v>
      </c>
      <c r="M135" s="4">
        <f>DATEDIF(BBDD_Usiarios_Netflix[[#This Row],[Fecha Suscripción]],BBDD_Usiarios_Netflix[[#This Row],[Fecha Último Pago]],"M")+1</f>
        <v>8</v>
      </c>
      <c r="N135" s="4">
        <f>BBDD_Usiarios_Netflix[[#This Row],[Ingresos Mensuales]]*BBDD_Usiarios_Netflix[[#This Row],[Meses contratados]]</f>
        <v>112</v>
      </c>
      <c r="O135" t="s">
        <v>45</v>
      </c>
      <c r="P135" t="str">
        <f>IF(BBDD_Usiarios_Netflix[[#This Row],[País]]="","Desconocido",BBDD_Usiarios_Netflix[[#This Row],[País]])</f>
        <v>España</v>
      </c>
      <c r="Q135">
        <v>32</v>
      </c>
      <c r="R135" t="s">
        <v>25</v>
      </c>
      <c r="S135" t="s">
        <v>31</v>
      </c>
      <c r="T135" t="s">
        <v>27</v>
      </c>
      <c r="U135">
        <f>IF(IFERROR(VLOOKUP(BBDD_Usiarios_Netflix[[#This Row],[Identificador Usuario]],A136:$A$5870,1,FALSE),0)&lt;&gt;0,1,0)</f>
        <v>0</v>
      </c>
      <c r="V135" s="6" t="str">
        <f>IF(BBDD_Usiarios_Netflix[[#This Row],[Duración Plan]]="12 Meses",LEFT(BBDD_Usiarios_Netflix[[#This Row],[Duración Plan]],2),LEFT(BBDD_Usiarios_Netflix[[#This Row],[Duración Plan]],1))</f>
        <v>1</v>
      </c>
      <c r="W1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6" spans="1:23" x14ac:dyDescent="0.25">
      <c r="A136">
        <v>135</v>
      </c>
      <c r="B136" t="s">
        <v>23</v>
      </c>
      <c r="C136">
        <v>10</v>
      </c>
      <c r="D136" s="3">
        <v>18</v>
      </c>
      <c r="E136" s="3">
        <v>7</v>
      </c>
      <c r="F136">
        <v>23</v>
      </c>
      <c r="G136" s="1">
        <f>DATEVALUE(_xlfn.CONCAT(BBDD_Usiarios_Netflix[[#This Row],[Día Suscripción]],"/",BBDD_Usiarios_Netflix[[#This Row],[Mes Suscripción]],"/",BBDD_Usiarios_Netflix[[#This Row],[Año Suscripción]]))</f>
        <v>45125</v>
      </c>
      <c r="H136" s="1">
        <v>26</v>
      </c>
      <c r="I136" s="1">
        <v>6</v>
      </c>
      <c r="J136" s="1">
        <v>24</v>
      </c>
      <c r="K136" s="1" t="str">
        <f>TEXT(BBDD_Usiarios_Netflix[[#This Row],[Fecha Suscripción]],"dddd")</f>
        <v>martes</v>
      </c>
      <c r="L136" s="1">
        <f>DATEVALUE(_xlfn.CONCAT(BBDD_Usiarios_Netflix[[#This Row],[Día Último Pago]],"/",BBDD_Usiarios_Netflix[[#This Row],[Mes Último Pago]],"/",BBDD_Usiarios_Netflix[[#This Row],[Año Último Pago]]))</f>
        <v>45469</v>
      </c>
      <c r="M136" s="4">
        <f>DATEDIF(BBDD_Usiarios_Netflix[[#This Row],[Fecha Suscripción]],BBDD_Usiarios_Netflix[[#This Row],[Fecha Último Pago]],"M")+1</f>
        <v>12</v>
      </c>
      <c r="N136" s="4">
        <f>BBDD_Usiarios_Netflix[[#This Row],[Ingresos Mensuales]]*BBDD_Usiarios_Netflix[[#This Row],[Meses contratados]]</f>
        <v>120</v>
      </c>
      <c r="O136" t="s">
        <v>39</v>
      </c>
      <c r="P136" t="str">
        <f>IF(BBDD_Usiarios_Netflix[[#This Row],[País]]="","Desconocido",BBDD_Usiarios_Netflix[[#This Row],[País]])</f>
        <v>Canadá</v>
      </c>
      <c r="Q136">
        <v>47</v>
      </c>
      <c r="R136" t="s">
        <v>30</v>
      </c>
      <c r="S136" t="s">
        <v>34</v>
      </c>
      <c r="T136" t="s">
        <v>35</v>
      </c>
      <c r="U136">
        <f>IF(IFERROR(VLOOKUP(BBDD_Usiarios_Netflix[[#This Row],[Identificador Usuario]],A137:$A$5870,1,FALSE),0)&lt;&gt;0,1,0)</f>
        <v>0</v>
      </c>
      <c r="V136" s="6" t="str">
        <f>IF(BBDD_Usiarios_Netflix[[#This Row],[Duración Plan]]="12 Meses",LEFT(BBDD_Usiarios_Netflix[[#This Row],[Duración Plan]],2),LEFT(BBDD_Usiarios_Netflix[[#This Row],[Duración Plan]],1))</f>
        <v>6</v>
      </c>
      <c r="W1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7" spans="1:23" x14ac:dyDescent="0.25">
      <c r="A137">
        <v>136</v>
      </c>
      <c r="B137" t="s">
        <v>28</v>
      </c>
      <c r="C137">
        <v>14</v>
      </c>
      <c r="D137" s="3">
        <v>13</v>
      </c>
      <c r="E137" s="3">
        <v>9</v>
      </c>
      <c r="F137">
        <v>23</v>
      </c>
      <c r="G137" s="1">
        <f>DATEVALUE(_xlfn.CONCAT(BBDD_Usiarios_Netflix[[#This Row],[Día Suscripción]],"/",BBDD_Usiarios_Netflix[[#This Row],[Mes Suscripción]],"/",BBDD_Usiarios_Netflix[[#This Row],[Año Suscripción]]))</f>
        <v>45182</v>
      </c>
      <c r="H137" s="1">
        <v>26</v>
      </c>
      <c r="I137" s="1">
        <v>6</v>
      </c>
      <c r="J137" s="1">
        <v>24</v>
      </c>
      <c r="K137" s="1" t="str">
        <f>TEXT(BBDD_Usiarios_Netflix[[#This Row],[Fecha Suscripción]],"dddd")</f>
        <v>miércoles</v>
      </c>
      <c r="L137" s="1">
        <f>DATEVALUE(_xlfn.CONCAT(BBDD_Usiarios_Netflix[[#This Row],[Día Último Pago]],"/",BBDD_Usiarios_Netflix[[#This Row],[Mes Último Pago]],"/",BBDD_Usiarios_Netflix[[#This Row],[Año Último Pago]]))</f>
        <v>45469</v>
      </c>
      <c r="M137" s="4">
        <f>DATEDIF(BBDD_Usiarios_Netflix[[#This Row],[Fecha Suscripción]],BBDD_Usiarios_Netflix[[#This Row],[Fecha Último Pago]],"M")+1</f>
        <v>10</v>
      </c>
      <c r="N137" s="4">
        <f>BBDD_Usiarios_Netflix[[#This Row],[Ingresos Mensuales]]*BBDD_Usiarios_Netflix[[#This Row],[Meses contratados]]</f>
        <v>140</v>
      </c>
      <c r="O137" t="s">
        <v>45</v>
      </c>
      <c r="P137" t="str">
        <f>IF(BBDD_Usiarios_Netflix[[#This Row],[País]]="","Desconocido",BBDD_Usiarios_Netflix[[#This Row],[País]])</f>
        <v>España</v>
      </c>
      <c r="Q137">
        <v>41</v>
      </c>
      <c r="R137" t="s">
        <v>30</v>
      </c>
      <c r="S137" t="s">
        <v>34</v>
      </c>
      <c r="T137" t="s">
        <v>38</v>
      </c>
      <c r="U137">
        <f>IF(IFERROR(VLOOKUP(BBDD_Usiarios_Netflix[[#This Row],[Identificador Usuario]],A138:$A$5870,1,FALSE),0)&lt;&gt;0,1,0)</f>
        <v>0</v>
      </c>
      <c r="V137" s="6" t="str">
        <f>IF(BBDD_Usiarios_Netflix[[#This Row],[Duración Plan]]="12 Meses",LEFT(BBDD_Usiarios_Netflix[[#This Row],[Duración Plan]],2),LEFT(BBDD_Usiarios_Netflix[[#This Row],[Duración Plan]],1))</f>
        <v>3</v>
      </c>
      <c r="W1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8" spans="1:23" x14ac:dyDescent="0.25">
      <c r="A138">
        <v>137</v>
      </c>
      <c r="B138" t="s">
        <v>23</v>
      </c>
      <c r="C138">
        <v>10</v>
      </c>
      <c r="D138" s="3">
        <v>10</v>
      </c>
      <c r="E138" s="3">
        <v>8</v>
      </c>
      <c r="F138">
        <v>23</v>
      </c>
      <c r="G138" s="1">
        <f>DATEVALUE(_xlfn.CONCAT(BBDD_Usiarios_Netflix[[#This Row],[Día Suscripción]],"/",BBDD_Usiarios_Netflix[[#This Row],[Mes Suscripción]],"/",BBDD_Usiarios_Netflix[[#This Row],[Año Suscripción]]))</f>
        <v>45148</v>
      </c>
      <c r="H138" s="1">
        <v>22</v>
      </c>
      <c r="I138" s="1">
        <v>6</v>
      </c>
      <c r="J138" s="1">
        <v>24</v>
      </c>
      <c r="K138" s="1" t="str">
        <f>TEXT(BBDD_Usiarios_Netflix[[#This Row],[Fecha Suscripción]],"dddd")</f>
        <v>jueves</v>
      </c>
      <c r="L138" s="1">
        <f>DATEVALUE(_xlfn.CONCAT(BBDD_Usiarios_Netflix[[#This Row],[Día Último Pago]],"/",BBDD_Usiarios_Netflix[[#This Row],[Mes Último Pago]],"/",BBDD_Usiarios_Netflix[[#This Row],[Año Último Pago]]))</f>
        <v>45465</v>
      </c>
      <c r="M138" s="4">
        <f>DATEDIF(BBDD_Usiarios_Netflix[[#This Row],[Fecha Suscripción]],BBDD_Usiarios_Netflix[[#This Row],[Fecha Último Pago]],"M")+1</f>
        <v>11</v>
      </c>
      <c r="N138" s="4">
        <f>BBDD_Usiarios_Netflix[[#This Row],[Ingresos Mensuales]]*BBDD_Usiarios_Netflix[[#This Row],[Meses contratados]]</f>
        <v>110</v>
      </c>
      <c r="O138" t="s">
        <v>45</v>
      </c>
      <c r="P138" t="str">
        <f>IF(BBDD_Usiarios_Netflix[[#This Row],[País]]="","Desconocido",BBDD_Usiarios_Netflix[[#This Row],[País]])</f>
        <v>España</v>
      </c>
      <c r="Q138">
        <v>49</v>
      </c>
      <c r="R138" t="s">
        <v>25</v>
      </c>
      <c r="S138" t="s">
        <v>36</v>
      </c>
      <c r="T138" t="s">
        <v>27</v>
      </c>
      <c r="U138">
        <f>IF(IFERROR(VLOOKUP(BBDD_Usiarios_Netflix[[#This Row],[Identificador Usuario]],A139:$A$5870,1,FALSE),0)&lt;&gt;0,1,0)</f>
        <v>0</v>
      </c>
      <c r="V138" s="6" t="str">
        <f>IF(BBDD_Usiarios_Netflix[[#This Row],[Duración Plan]]="12 Meses",LEFT(BBDD_Usiarios_Netflix[[#This Row],[Duración Plan]],2),LEFT(BBDD_Usiarios_Netflix[[#This Row],[Duración Plan]],1))</f>
        <v>1</v>
      </c>
      <c r="W1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9" spans="1:23" x14ac:dyDescent="0.25">
      <c r="A139">
        <v>138</v>
      </c>
      <c r="B139" t="s">
        <v>32</v>
      </c>
      <c r="C139">
        <v>12</v>
      </c>
      <c r="D139" s="3">
        <v>21</v>
      </c>
      <c r="E139" s="3">
        <v>9</v>
      </c>
      <c r="F139">
        <v>23</v>
      </c>
      <c r="G139" s="1">
        <f>DATEVALUE(_xlfn.CONCAT(BBDD_Usiarios_Netflix[[#This Row],[Día Suscripción]],"/",BBDD_Usiarios_Netflix[[#This Row],[Mes Suscripción]],"/",BBDD_Usiarios_Netflix[[#This Row],[Año Suscripción]]))</f>
        <v>45190</v>
      </c>
      <c r="H139" s="1">
        <v>23</v>
      </c>
      <c r="I139" s="1">
        <v>6</v>
      </c>
      <c r="J139" s="1">
        <v>24</v>
      </c>
      <c r="K139" s="1" t="str">
        <f>TEXT(BBDD_Usiarios_Netflix[[#This Row],[Fecha Suscripción]],"dddd")</f>
        <v>jueves</v>
      </c>
      <c r="L139" s="1">
        <f>DATEVALUE(_xlfn.CONCAT(BBDD_Usiarios_Netflix[[#This Row],[Día Último Pago]],"/",BBDD_Usiarios_Netflix[[#This Row],[Mes Último Pago]],"/",BBDD_Usiarios_Netflix[[#This Row],[Año Último Pago]]))</f>
        <v>45466</v>
      </c>
      <c r="M139" s="4">
        <f>DATEDIF(BBDD_Usiarios_Netflix[[#This Row],[Fecha Suscripción]],BBDD_Usiarios_Netflix[[#This Row],[Fecha Último Pago]],"M")+1</f>
        <v>10</v>
      </c>
      <c r="N139" s="4">
        <f>BBDD_Usiarios_Netflix[[#This Row],[Ingresos Mensuales]]*BBDD_Usiarios_Netflix[[#This Row],[Meses contratados]]</f>
        <v>120</v>
      </c>
      <c r="O139" t="s">
        <v>43</v>
      </c>
      <c r="P139" t="str">
        <f>IF(BBDD_Usiarios_Netflix[[#This Row],[País]]="","Desconocido",BBDD_Usiarios_Netflix[[#This Row],[País]])</f>
        <v>Alemania</v>
      </c>
      <c r="Q139">
        <v>28</v>
      </c>
      <c r="R139" t="s">
        <v>25</v>
      </c>
      <c r="S139" t="s">
        <v>36</v>
      </c>
      <c r="T139" t="s">
        <v>35</v>
      </c>
      <c r="U139">
        <f>IF(IFERROR(VLOOKUP(BBDD_Usiarios_Netflix[[#This Row],[Identificador Usuario]],A140:$A$5870,1,FALSE),0)&lt;&gt;0,1,0)</f>
        <v>0</v>
      </c>
      <c r="V139" s="6" t="str">
        <f>IF(BBDD_Usiarios_Netflix[[#This Row],[Duración Plan]]="12 Meses",LEFT(BBDD_Usiarios_Netflix[[#This Row],[Duración Plan]],2),LEFT(BBDD_Usiarios_Netflix[[#This Row],[Duración Plan]],1))</f>
        <v>6</v>
      </c>
      <c r="W1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0" spans="1:23" x14ac:dyDescent="0.25">
      <c r="A140">
        <v>139</v>
      </c>
      <c r="B140" t="s">
        <v>32</v>
      </c>
      <c r="C140">
        <v>13</v>
      </c>
      <c r="D140" s="3">
        <v>24</v>
      </c>
      <c r="E140" s="3">
        <v>3</v>
      </c>
      <c r="F140">
        <v>24</v>
      </c>
      <c r="G140" s="1">
        <f>DATEVALUE(_xlfn.CONCAT(BBDD_Usiarios_Netflix[[#This Row],[Día Suscripción]],"/",BBDD_Usiarios_Netflix[[#This Row],[Mes Suscripción]],"/",BBDD_Usiarios_Netflix[[#This Row],[Año Suscripción]]))</f>
        <v>45375</v>
      </c>
      <c r="H140" s="1">
        <v>23</v>
      </c>
      <c r="I140" s="1">
        <v>6</v>
      </c>
      <c r="J140" s="1">
        <v>24</v>
      </c>
      <c r="K140" s="1" t="str">
        <f>TEXT(BBDD_Usiarios_Netflix[[#This Row],[Fecha Suscripción]],"dddd")</f>
        <v>domingo</v>
      </c>
      <c r="L140" s="1">
        <f>DATEVALUE(_xlfn.CONCAT(BBDD_Usiarios_Netflix[[#This Row],[Día Último Pago]],"/",BBDD_Usiarios_Netflix[[#This Row],[Mes Último Pago]],"/",BBDD_Usiarios_Netflix[[#This Row],[Año Último Pago]]))</f>
        <v>45466</v>
      </c>
      <c r="M140" s="4">
        <f>DATEDIF(BBDD_Usiarios_Netflix[[#This Row],[Fecha Suscripción]],BBDD_Usiarios_Netflix[[#This Row],[Fecha Último Pago]],"M")+1</f>
        <v>3</v>
      </c>
      <c r="N140" s="4">
        <f>BBDD_Usiarios_Netflix[[#This Row],[Ingresos Mensuales]]*BBDD_Usiarios_Netflix[[#This Row],[Meses contratados]]</f>
        <v>39</v>
      </c>
      <c r="O140" t="s">
        <v>33</v>
      </c>
      <c r="P140" t="str">
        <f>IF(BBDD_Usiarios_Netflix[[#This Row],[País]]="","Desconocido",BBDD_Usiarios_Netflix[[#This Row],[País]])</f>
        <v>Francia</v>
      </c>
      <c r="Q140">
        <v>40</v>
      </c>
      <c r="R140" t="s">
        <v>25</v>
      </c>
      <c r="S140" t="s">
        <v>26</v>
      </c>
      <c r="T140" t="s">
        <v>41</v>
      </c>
      <c r="U140">
        <f>IF(IFERROR(VLOOKUP(BBDD_Usiarios_Netflix[[#This Row],[Identificador Usuario]],A141:$A$5870,1,FALSE),0)&lt;&gt;0,1,0)</f>
        <v>0</v>
      </c>
      <c r="V140" s="6" t="str">
        <f>IF(BBDD_Usiarios_Netflix[[#This Row],[Duración Plan]]="12 Meses",LEFT(BBDD_Usiarios_Netflix[[#This Row],[Duración Plan]],2),LEFT(BBDD_Usiarios_Netflix[[#This Row],[Duración Plan]],1))</f>
        <v>12</v>
      </c>
      <c r="W1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1" spans="1:23" x14ac:dyDescent="0.25">
      <c r="A141">
        <v>140</v>
      </c>
      <c r="B141" t="s">
        <v>23</v>
      </c>
      <c r="C141">
        <v>11</v>
      </c>
      <c r="D141" s="3">
        <v>2</v>
      </c>
      <c r="E141" s="3">
        <v>5</v>
      </c>
      <c r="F141">
        <v>23</v>
      </c>
      <c r="G141" s="1">
        <f>DATEVALUE(_xlfn.CONCAT(BBDD_Usiarios_Netflix[[#This Row],[Día Suscripción]],"/",BBDD_Usiarios_Netflix[[#This Row],[Mes Suscripción]],"/",BBDD_Usiarios_Netflix[[#This Row],[Año Suscripción]]))</f>
        <v>45048</v>
      </c>
      <c r="H141" s="1">
        <v>23</v>
      </c>
      <c r="I141" s="1">
        <v>6</v>
      </c>
      <c r="J141" s="1">
        <v>24</v>
      </c>
      <c r="K141" s="1" t="str">
        <f>TEXT(BBDD_Usiarios_Netflix[[#This Row],[Fecha Suscripción]],"dddd")</f>
        <v>martes</v>
      </c>
      <c r="L141" s="1">
        <f>DATEVALUE(_xlfn.CONCAT(BBDD_Usiarios_Netflix[[#This Row],[Día Último Pago]],"/",BBDD_Usiarios_Netflix[[#This Row],[Mes Último Pago]],"/",BBDD_Usiarios_Netflix[[#This Row],[Año Último Pago]]))</f>
        <v>45466</v>
      </c>
      <c r="M141" s="4">
        <f>DATEDIF(BBDD_Usiarios_Netflix[[#This Row],[Fecha Suscripción]],BBDD_Usiarios_Netflix[[#This Row],[Fecha Último Pago]],"M")+1</f>
        <v>14</v>
      </c>
      <c r="N141" s="4">
        <f>BBDD_Usiarios_Netflix[[#This Row],[Ingresos Mensuales]]*BBDD_Usiarios_Netflix[[#This Row],[Meses contratados]]</f>
        <v>154</v>
      </c>
      <c r="O141" t="s">
        <v>42</v>
      </c>
      <c r="P141" t="str">
        <f>IF(BBDD_Usiarios_Netflix[[#This Row],[País]]="","Desconocido",BBDD_Usiarios_Netflix[[#This Row],[País]])</f>
        <v>Reino Unido</v>
      </c>
      <c r="Q141">
        <v>43</v>
      </c>
      <c r="R141" t="s">
        <v>30</v>
      </c>
      <c r="S141" t="s">
        <v>26</v>
      </c>
      <c r="T141" t="s">
        <v>35</v>
      </c>
      <c r="U141">
        <f>IF(IFERROR(VLOOKUP(BBDD_Usiarios_Netflix[[#This Row],[Identificador Usuario]],A142:$A$5870,1,FALSE),0)&lt;&gt;0,1,0)</f>
        <v>0</v>
      </c>
      <c r="V141" s="6" t="str">
        <f>IF(BBDD_Usiarios_Netflix[[#This Row],[Duración Plan]]="12 Meses",LEFT(BBDD_Usiarios_Netflix[[#This Row],[Duración Plan]],2),LEFT(BBDD_Usiarios_Netflix[[#This Row],[Duración Plan]],1))</f>
        <v>6</v>
      </c>
      <c r="W1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2" spans="1:23" x14ac:dyDescent="0.25">
      <c r="A142">
        <v>141</v>
      </c>
      <c r="B142" t="s">
        <v>28</v>
      </c>
      <c r="C142">
        <v>15</v>
      </c>
      <c r="D142" s="3">
        <v>11</v>
      </c>
      <c r="E142" s="3">
        <v>5</v>
      </c>
      <c r="F142">
        <v>23</v>
      </c>
      <c r="G142" s="1">
        <f>DATEVALUE(_xlfn.CONCAT(BBDD_Usiarios_Netflix[[#This Row],[Día Suscripción]],"/",BBDD_Usiarios_Netflix[[#This Row],[Mes Suscripción]],"/",BBDD_Usiarios_Netflix[[#This Row],[Año Suscripción]]))</f>
        <v>45057</v>
      </c>
      <c r="H142" s="1">
        <v>27</v>
      </c>
      <c r="I142" s="1">
        <v>6</v>
      </c>
      <c r="J142" s="1">
        <v>24</v>
      </c>
      <c r="K142" s="1" t="str">
        <f>TEXT(BBDD_Usiarios_Netflix[[#This Row],[Fecha Suscripción]],"dddd")</f>
        <v>jueves</v>
      </c>
      <c r="L142" s="1">
        <f>DATEVALUE(_xlfn.CONCAT(BBDD_Usiarios_Netflix[[#This Row],[Día Último Pago]],"/",BBDD_Usiarios_Netflix[[#This Row],[Mes Último Pago]],"/",BBDD_Usiarios_Netflix[[#This Row],[Año Último Pago]]))</f>
        <v>45470</v>
      </c>
      <c r="M142" s="4">
        <f>DATEDIF(BBDD_Usiarios_Netflix[[#This Row],[Fecha Suscripción]],BBDD_Usiarios_Netflix[[#This Row],[Fecha Último Pago]],"M")+1</f>
        <v>14</v>
      </c>
      <c r="N142" s="4">
        <f>BBDD_Usiarios_Netflix[[#This Row],[Ingresos Mensuales]]*BBDD_Usiarios_Netflix[[#This Row],[Meses contratados]]</f>
        <v>210</v>
      </c>
      <c r="O142" t="s">
        <v>29</v>
      </c>
      <c r="P142" t="str">
        <f>IF(BBDD_Usiarios_Netflix[[#This Row],[País]]="","Desconocido",BBDD_Usiarios_Netflix[[#This Row],[País]])</f>
        <v>EEUU</v>
      </c>
      <c r="Q142">
        <v>42</v>
      </c>
      <c r="R142" t="s">
        <v>25</v>
      </c>
      <c r="S142" t="s">
        <v>26</v>
      </c>
      <c r="T142" t="s">
        <v>35</v>
      </c>
      <c r="U142">
        <f>IF(IFERROR(VLOOKUP(BBDD_Usiarios_Netflix[[#This Row],[Identificador Usuario]],A143:$A$5870,1,FALSE),0)&lt;&gt;0,1,0)</f>
        <v>0</v>
      </c>
      <c r="V142" s="6" t="str">
        <f>IF(BBDD_Usiarios_Netflix[[#This Row],[Duración Plan]]="12 Meses",LEFT(BBDD_Usiarios_Netflix[[#This Row],[Duración Plan]],2),LEFT(BBDD_Usiarios_Netflix[[#This Row],[Duración Plan]],1))</f>
        <v>6</v>
      </c>
      <c r="W1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3" spans="1:23" x14ac:dyDescent="0.25">
      <c r="A143">
        <v>142</v>
      </c>
      <c r="B143" t="s">
        <v>23</v>
      </c>
      <c r="C143">
        <v>10</v>
      </c>
      <c r="D143" s="3">
        <v>10</v>
      </c>
      <c r="E143" s="3">
        <v>6</v>
      </c>
      <c r="F143">
        <v>23</v>
      </c>
      <c r="G143" s="1">
        <f>DATEVALUE(_xlfn.CONCAT(BBDD_Usiarios_Netflix[[#This Row],[Día Suscripción]],"/",BBDD_Usiarios_Netflix[[#This Row],[Mes Suscripción]],"/",BBDD_Usiarios_Netflix[[#This Row],[Año Suscripción]]))</f>
        <v>45087</v>
      </c>
      <c r="H143" s="1">
        <v>22</v>
      </c>
      <c r="I143" s="1">
        <v>6</v>
      </c>
      <c r="J143" s="1">
        <v>24</v>
      </c>
      <c r="K143" s="1" t="str">
        <f>TEXT(BBDD_Usiarios_Netflix[[#This Row],[Fecha Suscripción]],"dddd")</f>
        <v>sábado</v>
      </c>
      <c r="L143" s="1">
        <f>DATEVALUE(_xlfn.CONCAT(BBDD_Usiarios_Netflix[[#This Row],[Día Último Pago]],"/",BBDD_Usiarios_Netflix[[#This Row],[Mes Último Pago]],"/",BBDD_Usiarios_Netflix[[#This Row],[Año Último Pago]]))</f>
        <v>45465</v>
      </c>
      <c r="M143" s="4">
        <f>DATEDIF(BBDD_Usiarios_Netflix[[#This Row],[Fecha Suscripción]],BBDD_Usiarios_Netflix[[#This Row],[Fecha Último Pago]],"M")+1</f>
        <v>13</v>
      </c>
      <c r="N143" s="4">
        <f>BBDD_Usiarios_Netflix[[#This Row],[Ingresos Mensuales]]*BBDD_Usiarios_Netflix[[#This Row],[Meses contratados]]</f>
        <v>130</v>
      </c>
      <c r="O143" t="s">
        <v>42</v>
      </c>
      <c r="P143" t="str">
        <f>IF(BBDD_Usiarios_Netflix[[#This Row],[País]]="","Desconocido",BBDD_Usiarios_Netflix[[#This Row],[País]])</f>
        <v>Reino Unido</v>
      </c>
      <c r="Q143">
        <v>28</v>
      </c>
      <c r="R143" t="s">
        <v>25</v>
      </c>
      <c r="S143" t="s">
        <v>34</v>
      </c>
      <c r="T143" t="s">
        <v>27</v>
      </c>
      <c r="U143">
        <f>IF(IFERROR(VLOOKUP(BBDD_Usiarios_Netflix[[#This Row],[Identificador Usuario]],A144:$A$5870,1,FALSE),0)&lt;&gt;0,1,0)</f>
        <v>0</v>
      </c>
      <c r="V143" s="6" t="str">
        <f>IF(BBDD_Usiarios_Netflix[[#This Row],[Duración Plan]]="12 Meses",LEFT(BBDD_Usiarios_Netflix[[#This Row],[Duración Plan]],2),LEFT(BBDD_Usiarios_Netflix[[#This Row],[Duración Plan]],1))</f>
        <v>1</v>
      </c>
      <c r="W1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4" spans="1:23" x14ac:dyDescent="0.25">
      <c r="A144">
        <v>143</v>
      </c>
      <c r="B144" t="s">
        <v>32</v>
      </c>
      <c r="C144">
        <v>12</v>
      </c>
      <c r="D144" s="3">
        <v>31</v>
      </c>
      <c r="E144" s="3">
        <v>8</v>
      </c>
      <c r="F144">
        <v>23</v>
      </c>
      <c r="G144" s="1">
        <f>DATEVALUE(_xlfn.CONCAT(BBDD_Usiarios_Netflix[[#This Row],[Día Suscripción]],"/",BBDD_Usiarios_Netflix[[#This Row],[Mes Suscripción]],"/",BBDD_Usiarios_Netflix[[#This Row],[Año Suscripción]]))</f>
        <v>45169</v>
      </c>
      <c r="H144" s="1">
        <v>24</v>
      </c>
      <c r="I144" s="1">
        <v>6</v>
      </c>
      <c r="J144" s="1">
        <v>24</v>
      </c>
      <c r="K144" s="1" t="str">
        <f>TEXT(BBDD_Usiarios_Netflix[[#This Row],[Fecha Suscripción]],"dddd")</f>
        <v>jueves</v>
      </c>
      <c r="L144" s="1">
        <f>DATEVALUE(_xlfn.CONCAT(BBDD_Usiarios_Netflix[[#This Row],[Día Último Pago]],"/",BBDD_Usiarios_Netflix[[#This Row],[Mes Último Pago]],"/",BBDD_Usiarios_Netflix[[#This Row],[Año Último Pago]]))</f>
        <v>45467</v>
      </c>
      <c r="M144" s="4">
        <f>DATEDIF(BBDD_Usiarios_Netflix[[#This Row],[Fecha Suscripción]],BBDD_Usiarios_Netflix[[#This Row],[Fecha Último Pago]],"M")+1</f>
        <v>10</v>
      </c>
      <c r="N144" s="4">
        <f>BBDD_Usiarios_Netflix[[#This Row],[Ingresos Mensuales]]*BBDD_Usiarios_Netflix[[#This Row],[Meses contratados]]</f>
        <v>120</v>
      </c>
      <c r="O144" t="s">
        <v>33</v>
      </c>
      <c r="P144" t="str">
        <f>IF(BBDD_Usiarios_Netflix[[#This Row],[País]]="","Desconocido",BBDD_Usiarios_Netflix[[#This Row],[País]])</f>
        <v>Francia</v>
      </c>
      <c r="Q144">
        <v>30</v>
      </c>
      <c r="R144" t="s">
        <v>30</v>
      </c>
      <c r="S144" t="s">
        <v>31</v>
      </c>
      <c r="T144" t="s">
        <v>41</v>
      </c>
      <c r="U144">
        <f>IF(IFERROR(VLOOKUP(BBDD_Usiarios_Netflix[[#This Row],[Identificador Usuario]],A145:$A$5870,1,FALSE),0)&lt;&gt;0,1,0)</f>
        <v>0</v>
      </c>
      <c r="V144" s="6" t="str">
        <f>IF(BBDD_Usiarios_Netflix[[#This Row],[Duración Plan]]="12 Meses",LEFT(BBDD_Usiarios_Netflix[[#This Row],[Duración Plan]],2),LEFT(BBDD_Usiarios_Netflix[[#This Row],[Duración Plan]],1))</f>
        <v>12</v>
      </c>
      <c r="W1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5" spans="1:23" x14ac:dyDescent="0.25">
      <c r="A145">
        <v>144</v>
      </c>
      <c r="B145" t="s">
        <v>28</v>
      </c>
      <c r="C145">
        <v>14</v>
      </c>
      <c r="D145" s="3">
        <v>17</v>
      </c>
      <c r="E145" s="3">
        <v>8</v>
      </c>
      <c r="F145">
        <v>23</v>
      </c>
      <c r="G145" s="1">
        <f>DATEVALUE(_xlfn.CONCAT(BBDD_Usiarios_Netflix[[#This Row],[Día Suscripción]],"/",BBDD_Usiarios_Netflix[[#This Row],[Mes Suscripción]],"/",BBDD_Usiarios_Netflix[[#This Row],[Año Suscripción]]))</f>
        <v>45155</v>
      </c>
      <c r="H145" s="1">
        <v>26</v>
      </c>
      <c r="I145" s="1">
        <v>6</v>
      </c>
      <c r="J145" s="1">
        <v>24</v>
      </c>
      <c r="K145" s="1" t="str">
        <f>TEXT(BBDD_Usiarios_Netflix[[#This Row],[Fecha Suscripción]],"dddd")</f>
        <v>jueves</v>
      </c>
      <c r="L145" s="1">
        <f>DATEVALUE(_xlfn.CONCAT(BBDD_Usiarios_Netflix[[#This Row],[Día Último Pago]],"/",BBDD_Usiarios_Netflix[[#This Row],[Mes Último Pago]],"/",BBDD_Usiarios_Netflix[[#This Row],[Año Último Pago]]))</f>
        <v>45469</v>
      </c>
      <c r="M145" s="4">
        <f>DATEDIF(BBDD_Usiarios_Netflix[[#This Row],[Fecha Suscripción]],BBDD_Usiarios_Netflix[[#This Row],[Fecha Último Pago]],"M")+1</f>
        <v>11</v>
      </c>
      <c r="N145" s="4">
        <f>BBDD_Usiarios_Netflix[[#This Row],[Ingresos Mensuales]]*BBDD_Usiarios_Netflix[[#This Row],[Meses contratados]]</f>
        <v>154</v>
      </c>
      <c r="O145" t="s">
        <v>29</v>
      </c>
      <c r="P145" t="str">
        <f>IF(BBDD_Usiarios_Netflix[[#This Row],[País]]="","Desconocido",BBDD_Usiarios_Netflix[[#This Row],[País]])</f>
        <v>EEUU</v>
      </c>
      <c r="Q145">
        <v>33</v>
      </c>
      <c r="R145" t="s">
        <v>25</v>
      </c>
      <c r="S145" t="s">
        <v>34</v>
      </c>
      <c r="T145" t="s">
        <v>27</v>
      </c>
      <c r="U145">
        <f>IF(IFERROR(VLOOKUP(BBDD_Usiarios_Netflix[[#This Row],[Identificador Usuario]],A146:$A$5870,1,FALSE),0)&lt;&gt;0,1,0)</f>
        <v>0</v>
      </c>
      <c r="V145" s="6" t="str">
        <f>IF(BBDD_Usiarios_Netflix[[#This Row],[Duración Plan]]="12 Meses",LEFT(BBDD_Usiarios_Netflix[[#This Row],[Duración Plan]],2),LEFT(BBDD_Usiarios_Netflix[[#This Row],[Duración Plan]],1))</f>
        <v>1</v>
      </c>
      <c r="W1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6" spans="1:23" x14ac:dyDescent="0.25">
      <c r="A146">
        <v>145</v>
      </c>
      <c r="B146" t="s">
        <v>23</v>
      </c>
      <c r="C146">
        <v>11</v>
      </c>
      <c r="D146" s="3">
        <v>5</v>
      </c>
      <c r="E146" s="3">
        <v>5</v>
      </c>
      <c r="F146">
        <v>23</v>
      </c>
      <c r="G146" s="1">
        <f>DATEVALUE(_xlfn.CONCAT(BBDD_Usiarios_Netflix[[#This Row],[Día Suscripción]],"/",BBDD_Usiarios_Netflix[[#This Row],[Mes Suscripción]],"/",BBDD_Usiarios_Netflix[[#This Row],[Año Suscripción]]))</f>
        <v>45051</v>
      </c>
      <c r="H146" s="1">
        <v>26</v>
      </c>
      <c r="I146" s="1">
        <v>6</v>
      </c>
      <c r="J146" s="1">
        <v>24</v>
      </c>
      <c r="K146" s="1" t="str">
        <f>TEXT(BBDD_Usiarios_Netflix[[#This Row],[Fecha Suscripción]],"dddd")</f>
        <v>viernes</v>
      </c>
      <c r="L146" s="1">
        <f>DATEVALUE(_xlfn.CONCAT(BBDD_Usiarios_Netflix[[#This Row],[Día Último Pago]],"/",BBDD_Usiarios_Netflix[[#This Row],[Mes Último Pago]],"/",BBDD_Usiarios_Netflix[[#This Row],[Año Último Pago]]))</f>
        <v>45469</v>
      </c>
      <c r="M146" s="4">
        <f>DATEDIF(BBDD_Usiarios_Netflix[[#This Row],[Fecha Suscripción]],BBDD_Usiarios_Netflix[[#This Row],[Fecha Último Pago]],"M")+1</f>
        <v>14</v>
      </c>
      <c r="N146" s="4">
        <f>BBDD_Usiarios_Netflix[[#This Row],[Ingresos Mensuales]]*BBDD_Usiarios_Netflix[[#This Row],[Meses contratados]]</f>
        <v>154</v>
      </c>
      <c r="O146" t="s">
        <v>39</v>
      </c>
      <c r="P146" t="str">
        <f>IF(BBDD_Usiarios_Netflix[[#This Row],[País]]="","Desconocido",BBDD_Usiarios_Netflix[[#This Row],[País]])</f>
        <v>Canadá</v>
      </c>
      <c r="Q146">
        <v>35</v>
      </c>
      <c r="R146" t="s">
        <v>30</v>
      </c>
      <c r="S146" t="s">
        <v>36</v>
      </c>
      <c r="T146" t="s">
        <v>41</v>
      </c>
      <c r="U146">
        <f>IF(IFERROR(VLOOKUP(BBDD_Usiarios_Netflix[[#This Row],[Identificador Usuario]],A147:$A$5870,1,FALSE),0)&lt;&gt;0,1,0)</f>
        <v>0</v>
      </c>
      <c r="V146" s="6" t="str">
        <f>IF(BBDD_Usiarios_Netflix[[#This Row],[Duración Plan]]="12 Meses",LEFT(BBDD_Usiarios_Netflix[[#This Row],[Duración Plan]],2),LEFT(BBDD_Usiarios_Netflix[[#This Row],[Duración Plan]],1))</f>
        <v>12</v>
      </c>
      <c r="W1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7" spans="1:23" x14ac:dyDescent="0.25">
      <c r="A147">
        <v>146</v>
      </c>
      <c r="B147" t="s">
        <v>23</v>
      </c>
      <c r="C147">
        <v>10</v>
      </c>
      <c r="D147" s="3">
        <v>6</v>
      </c>
      <c r="E147" s="3">
        <v>10</v>
      </c>
      <c r="F147">
        <v>23</v>
      </c>
      <c r="G147" s="1">
        <f>DATEVALUE(_xlfn.CONCAT(BBDD_Usiarios_Netflix[[#This Row],[Día Suscripción]],"/",BBDD_Usiarios_Netflix[[#This Row],[Mes Suscripción]],"/",BBDD_Usiarios_Netflix[[#This Row],[Año Suscripción]]))</f>
        <v>45205</v>
      </c>
      <c r="H147" s="1">
        <v>25</v>
      </c>
      <c r="I147" s="1">
        <v>6</v>
      </c>
      <c r="J147" s="1">
        <v>24</v>
      </c>
      <c r="K147" s="1" t="str">
        <f>TEXT(BBDD_Usiarios_Netflix[[#This Row],[Fecha Suscripción]],"dddd")</f>
        <v>viernes</v>
      </c>
      <c r="L147" s="1">
        <f>DATEVALUE(_xlfn.CONCAT(BBDD_Usiarios_Netflix[[#This Row],[Día Último Pago]],"/",BBDD_Usiarios_Netflix[[#This Row],[Mes Último Pago]],"/",BBDD_Usiarios_Netflix[[#This Row],[Año Último Pago]]))</f>
        <v>45468</v>
      </c>
      <c r="M147" s="4">
        <f>DATEDIF(BBDD_Usiarios_Netflix[[#This Row],[Fecha Suscripción]],BBDD_Usiarios_Netflix[[#This Row],[Fecha Último Pago]],"M")+1</f>
        <v>9</v>
      </c>
      <c r="N147" s="4">
        <f>BBDD_Usiarios_Netflix[[#This Row],[Ingresos Mensuales]]*BBDD_Usiarios_Netflix[[#This Row],[Meses contratados]]</f>
        <v>90</v>
      </c>
      <c r="O147" t="s">
        <v>44</v>
      </c>
      <c r="P147" t="str">
        <f>IF(BBDD_Usiarios_Netflix[[#This Row],[País]]="","Desconocido",BBDD_Usiarios_Netflix[[#This Row],[País]])</f>
        <v>Desconocido</v>
      </c>
      <c r="Q147">
        <v>38</v>
      </c>
      <c r="R147" t="s">
        <v>25</v>
      </c>
      <c r="S147" t="s">
        <v>31</v>
      </c>
      <c r="T147" t="s">
        <v>35</v>
      </c>
      <c r="U147">
        <f>IF(IFERROR(VLOOKUP(BBDD_Usiarios_Netflix[[#This Row],[Identificador Usuario]],A148:$A$5870,1,FALSE),0)&lt;&gt;0,1,0)</f>
        <v>0</v>
      </c>
      <c r="V147" s="6" t="str">
        <f>IF(BBDD_Usiarios_Netflix[[#This Row],[Duración Plan]]="12 Meses",LEFT(BBDD_Usiarios_Netflix[[#This Row],[Duración Plan]],2),LEFT(BBDD_Usiarios_Netflix[[#This Row],[Duración Plan]],1))</f>
        <v>6</v>
      </c>
      <c r="W1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8" spans="1:23" x14ac:dyDescent="0.25">
      <c r="A148">
        <v>147</v>
      </c>
      <c r="B148" t="s">
        <v>23</v>
      </c>
      <c r="C148">
        <v>10</v>
      </c>
      <c r="D148" s="3">
        <v>8</v>
      </c>
      <c r="E148" s="3">
        <v>11</v>
      </c>
      <c r="F148">
        <v>23</v>
      </c>
      <c r="G148" s="1">
        <f>DATEVALUE(_xlfn.CONCAT(BBDD_Usiarios_Netflix[[#This Row],[Día Suscripción]],"/",BBDD_Usiarios_Netflix[[#This Row],[Mes Suscripción]],"/",BBDD_Usiarios_Netflix[[#This Row],[Año Suscripción]]))</f>
        <v>45238</v>
      </c>
      <c r="H148" s="1">
        <v>24</v>
      </c>
      <c r="I148" s="1">
        <v>6</v>
      </c>
      <c r="J148" s="1">
        <v>24</v>
      </c>
      <c r="K148" s="1" t="str">
        <f>TEXT(BBDD_Usiarios_Netflix[[#This Row],[Fecha Suscripción]],"dddd")</f>
        <v>miércoles</v>
      </c>
      <c r="L148" s="1">
        <f>DATEVALUE(_xlfn.CONCAT(BBDD_Usiarios_Netflix[[#This Row],[Día Último Pago]],"/",BBDD_Usiarios_Netflix[[#This Row],[Mes Último Pago]],"/",BBDD_Usiarios_Netflix[[#This Row],[Año Último Pago]]))</f>
        <v>45467</v>
      </c>
      <c r="M148" s="4">
        <f>DATEDIF(BBDD_Usiarios_Netflix[[#This Row],[Fecha Suscripción]],BBDD_Usiarios_Netflix[[#This Row],[Fecha Último Pago]],"M")+1</f>
        <v>8</v>
      </c>
      <c r="N148" s="4">
        <f>BBDD_Usiarios_Netflix[[#This Row],[Ingresos Mensuales]]*BBDD_Usiarios_Netflix[[#This Row],[Meses contratados]]</f>
        <v>80</v>
      </c>
      <c r="O148" t="s">
        <v>24</v>
      </c>
      <c r="P148" t="str">
        <f>IF(BBDD_Usiarios_Netflix[[#This Row],[País]]="","Desconocido",BBDD_Usiarios_Netflix[[#This Row],[País]])</f>
        <v>Australia</v>
      </c>
      <c r="Q148">
        <v>49</v>
      </c>
      <c r="R148" t="s">
        <v>30</v>
      </c>
      <c r="S148" t="s">
        <v>36</v>
      </c>
      <c r="T148" t="s">
        <v>27</v>
      </c>
      <c r="U148">
        <f>IF(IFERROR(VLOOKUP(BBDD_Usiarios_Netflix[[#This Row],[Identificador Usuario]],A149:$A$5870,1,FALSE),0)&lt;&gt;0,1,0)</f>
        <v>0</v>
      </c>
      <c r="V148" s="6" t="str">
        <f>IF(BBDD_Usiarios_Netflix[[#This Row],[Duración Plan]]="12 Meses",LEFT(BBDD_Usiarios_Netflix[[#This Row],[Duración Plan]],2),LEFT(BBDD_Usiarios_Netflix[[#This Row],[Duración Plan]],1))</f>
        <v>1</v>
      </c>
      <c r="W1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9" spans="1:23" x14ac:dyDescent="0.25">
      <c r="A149">
        <v>148</v>
      </c>
      <c r="B149" t="s">
        <v>32</v>
      </c>
      <c r="C149">
        <v>12</v>
      </c>
      <c r="D149" s="3">
        <v>27</v>
      </c>
      <c r="E149" s="3">
        <v>11</v>
      </c>
      <c r="F149">
        <v>23</v>
      </c>
      <c r="G149" s="1">
        <f>DATEVALUE(_xlfn.CONCAT(BBDD_Usiarios_Netflix[[#This Row],[Día Suscripción]],"/",BBDD_Usiarios_Netflix[[#This Row],[Mes Suscripción]],"/",BBDD_Usiarios_Netflix[[#This Row],[Año Suscripción]]))</f>
        <v>45257</v>
      </c>
      <c r="H149" s="1">
        <v>28</v>
      </c>
      <c r="I149" s="1">
        <v>6</v>
      </c>
      <c r="J149" s="1">
        <v>24</v>
      </c>
      <c r="K149" s="1" t="str">
        <f>TEXT(BBDD_Usiarios_Netflix[[#This Row],[Fecha Suscripción]],"dddd")</f>
        <v>lunes</v>
      </c>
      <c r="L149" s="1">
        <f>DATEVALUE(_xlfn.CONCAT(BBDD_Usiarios_Netflix[[#This Row],[Día Último Pago]],"/",BBDD_Usiarios_Netflix[[#This Row],[Mes Último Pago]],"/",BBDD_Usiarios_Netflix[[#This Row],[Año Último Pago]]))</f>
        <v>45471</v>
      </c>
      <c r="M149" s="4">
        <f>DATEDIF(BBDD_Usiarios_Netflix[[#This Row],[Fecha Suscripción]],BBDD_Usiarios_Netflix[[#This Row],[Fecha Último Pago]],"M")+1</f>
        <v>8</v>
      </c>
      <c r="N149" s="4">
        <f>BBDD_Usiarios_Netflix[[#This Row],[Ingresos Mensuales]]*BBDD_Usiarios_Netflix[[#This Row],[Meses contratados]]</f>
        <v>96</v>
      </c>
      <c r="O149" t="s">
        <v>40</v>
      </c>
      <c r="P149" t="str">
        <f>IF(BBDD_Usiarios_Netflix[[#This Row],[País]]="","Desconocido",BBDD_Usiarios_Netflix[[#This Row],[País]])</f>
        <v>Italia</v>
      </c>
      <c r="Q149">
        <v>39</v>
      </c>
      <c r="R149" t="s">
        <v>30</v>
      </c>
      <c r="S149" t="s">
        <v>26</v>
      </c>
      <c r="T149" t="s">
        <v>41</v>
      </c>
      <c r="U149">
        <f>IF(IFERROR(VLOOKUP(BBDD_Usiarios_Netflix[[#This Row],[Identificador Usuario]],A150:$A$5870,1,FALSE),0)&lt;&gt;0,1,0)</f>
        <v>0</v>
      </c>
      <c r="V149" s="6" t="str">
        <f>IF(BBDD_Usiarios_Netflix[[#This Row],[Duración Plan]]="12 Meses",LEFT(BBDD_Usiarios_Netflix[[#This Row],[Duración Plan]],2),LEFT(BBDD_Usiarios_Netflix[[#This Row],[Duración Plan]],1))</f>
        <v>12</v>
      </c>
      <c r="W1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0" spans="1:23" x14ac:dyDescent="0.25">
      <c r="A150">
        <v>149</v>
      </c>
      <c r="B150" t="s">
        <v>28</v>
      </c>
      <c r="C150">
        <v>14</v>
      </c>
      <c r="D150" s="3">
        <v>17</v>
      </c>
      <c r="E150" s="3">
        <v>11</v>
      </c>
      <c r="F150">
        <v>23</v>
      </c>
      <c r="G150" s="1">
        <f>DATEVALUE(_xlfn.CONCAT(BBDD_Usiarios_Netflix[[#This Row],[Día Suscripción]],"/",BBDD_Usiarios_Netflix[[#This Row],[Mes Suscripción]],"/",BBDD_Usiarios_Netflix[[#This Row],[Año Suscripción]]))</f>
        <v>45247</v>
      </c>
      <c r="H150" s="1">
        <v>27</v>
      </c>
      <c r="I150" s="1">
        <v>6</v>
      </c>
      <c r="J150" s="1">
        <v>24</v>
      </c>
      <c r="K150" s="1" t="str">
        <f>TEXT(BBDD_Usiarios_Netflix[[#This Row],[Fecha Suscripción]],"dddd")</f>
        <v>viernes</v>
      </c>
      <c r="L150" s="1">
        <f>DATEVALUE(_xlfn.CONCAT(BBDD_Usiarios_Netflix[[#This Row],[Día Último Pago]],"/",BBDD_Usiarios_Netflix[[#This Row],[Mes Último Pago]],"/",BBDD_Usiarios_Netflix[[#This Row],[Año Último Pago]]))</f>
        <v>45470</v>
      </c>
      <c r="M150" s="4">
        <f>DATEDIF(BBDD_Usiarios_Netflix[[#This Row],[Fecha Suscripción]],BBDD_Usiarios_Netflix[[#This Row],[Fecha Último Pago]],"M")+1</f>
        <v>8</v>
      </c>
      <c r="N150" s="4">
        <f>BBDD_Usiarios_Netflix[[#This Row],[Ingresos Mensuales]]*BBDD_Usiarios_Netflix[[#This Row],[Meses contratados]]</f>
        <v>112</v>
      </c>
      <c r="O150" t="s">
        <v>29</v>
      </c>
      <c r="P150" t="str">
        <f>IF(BBDD_Usiarios_Netflix[[#This Row],[País]]="","Desconocido",BBDD_Usiarios_Netflix[[#This Row],[País]])</f>
        <v>EEUU</v>
      </c>
      <c r="Q150">
        <v>46</v>
      </c>
      <c r="R150" t="s">
        <v>30</v>
      </c>
      <c r="S150" t="s">
        <v>34</v>
      </c>
      <c r="T150" t="s">
        <v>27</v>
      </c>
      <c r="U150">
        <f>IF(IFERROR(VLOOKUP(BBDD_Usiarios_Netflix[[#This Row],[Identificador Usuario]],A151:$A$5870,1,FALSE),0)&lt;&gt;0,1,0)</f>
        <v>0</v>
      </c>
      <c r="V150" s="6" t="str">
        <f>IF(BBDD_Usiarios_Netflix[[#This Row],[Duración Plan]]="12 Meses",LEFT(BBDD_Usiarios_Netflix[[#This Row],[Duración Plan]],2),LEFT(BBDD_Usiarios_Netflix[[#This Row],[Duración Plan]],1))</f>
        <v>1</v>
      </c>
      <c r="W1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1" spans="1:23" x14ac:dyDescent="0.25">
      <c r="A151">
        <v>150</v>
      </c>
      <c r="B151" t="s">
        <v>23</v>
      </c>
      <c r="C151">
        <v>11</v>
      </c>
      <c r="D151" s="3">
        <v>15</v>
      </c>
      <c r="E151" s="3">
        <v>12</v>
      </c>
      <c r="F151">
        <v>23</v>
      </c>
      <c r="G151" s="1">
        <f>DATEVALUE(_xlfn.CONCAT(BBDD_Usiarios_Netflix[[#This Row],[Día Suscripción]],"/",BBDD_Usiarios_Netflix[[#This Row],[Mes Suscripción]],"/",BBDD_Usiarios_Netflix[[#This Row],[Año Suscripción]]))</f>
        <v>45275</v>
      </c>
      <c r="H151" s="1">
        <v>23</v>
      </c>
      <c r="I151" s="1">
        <v>6</v>
      </c>
      <c r="J151" s="1">
        <v>24</v>
      </c>
      <c r="K151" s="1" t="str">
        <f>TEXT(BBDD_Usiarios_Netflix[[#This Row],[Fecha Suscripción]],"dddd")</f>
        <v>viernes</v>
      </c>
      <c r="L151" s="1">
        <f>DATEVALUE(_xlfn.CONCAT(BBDD_Usiarios_Netflix[[#This Row],[Día Último Pago]],"/",BBDD_Usiarios_Netflix[[#This Row],[Mes Último Pago]],"/",BBDD_Usiarios_Netflix[[#This Row],[Año Último Pago]]))</f>
        <v>45466</v>
      </c>
      <c r="M151" s="4">
        <f>DATEDIF(BBDD_Usiarios_Netflix[[#This Row],[Fecha Suscripción]],BBDD_Usiarios_Netflix[[#This Row],[Fecha Último Pago]],"M")+1</f>
        <v>7</v>
      </c>
      <c r="N151" s="4">
        <f>BBDD_Usiarios_Netflix[[#This Row],[Ingresos Mensuales]]*BBDD_Usiarios_Netflix[[#This Row],[Meses contratados]]</f>
        <v>77</v>
      </c>
      <c r="O151" t="s">
        <v>29</v>
      </c>
      <c r="P151" t="str">
        <f>IF(BBDD_Usiarios_Netflix[[#This Row],[País]]="","Desconocido",BBDD_Usiarios_Netflix[[#This Row],[País]])</f>
        <v>EEUU</v>
      </c>
      <c r="Q151">
        <v>47</v>
      </c>
      <c r="R151" t="s">
        <v>30</v>
      </c>
      <c r="S151" t="s">
        <v>36</v>
      </c>
      <c r="T151" t="s">
        <v>38</v>
      </c>
      <c r="U151">
        <f>IF(IFERROR(VLOOKUP(BBDD_Usiarios_Netflix[[#This Row],[Identificador Usuario]],A152:$A$5870,1,FALSE),0)&lt;&gt;0,1,0)</f>
        <v>0</v>
      </c>
      <c r="V151" s="6" t="str">
        <f>IF(BBDD_Usiarios_Netflix[[#This Row],[Duración Plan]]="12 Meses",LEFT(BBDD_Usiarios_Netflix[[#This Row],[Duración Plan]],2),LEFT(BBDD_Usiarios_Netflix[[#This Row],[Duración Plan]],1))</f>
        <v>3</v>
      </c>
      <c r="W1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2" spans="1:23" x14ac:dyDescent="0.25">
      <c r="A152">
        <v>151</v>
      </c>
      <c r="B152" t="s">
        <v>23</v>
      </c>
      <c r="C152">
        <v>11</v>
      </c>
      <c r="D152" s="3">
        <v>12</v>
      </c>
      <c r="E152" s="3">
        <v>12</v>
      </c>
      <c r="F152">
        <v>23</v>
      </c>
      <c r="G152" s="1">
        <f>DATEVALUE(_xlfn.CONCAT(BBDD_Usiarios_Netflix[[#This Row],[Día Suscripción]],"/",BBDD_Usiarios_Netflix[[#This Row],[Mes Suscripción]],"/",BBDD_Usiarios_Netflix[[#This Row],[Año Suscripción]]))</f>
        <v>45272</v>
      </c>
      <c r="H152" s="1">
        <v>25</v>
      </c>
      <c r="I152" s="1">
        <v>6</v>
      </c>
      <c r="J152" s="1">
        <v>24</v>
      </c>
      <c r="K152" s="1" t="str">
        <f>TEXT(BBDD_Usiarios_Netflix[[#This Row],[Fecha Suscripción]],"dddd")</f>
        <v>martes</v>
      </c>
      <c r="L152" s="1">
        <f>DATEVALUE(_xlfn.CONCAT(BBDD_Usiarios_Netflix[[#This Row],[Día Último Pago]],"/",BBDD_Usiarios_Netflix[[#This Row],[Mes Último Pago]],"/",BBDD_Usiarios_Netflix[[#This Row],[Año Último Pago]]))</f>
        <v>45468</v>
      </c>
      <c r="M152" s="4">
        <f>DATEDIF(BBDD_Usiarios_Netflix[[#This Row],[Fecha Suscripción]],BBDD_Usiarios_Netflix[[#This Row],[Fecha Último Pago]],"M")+1</f>
        <v>7</v>
      </c>
      <c r="N152" s="4">
        <f>BBDD_Usiarios_Netflix[[#This Row],[Ingresos Mensuales]]*BBDD_Usiarios_Netflix[[#This Row],[Meses contratados]]</f>
        <v>77</v>
      </c>
      <c r="O152" t="s">
        <v>43</v>
      </c>
      <c r="P152" t="str">
        <f>IF(BBDD_Usiarios_Netflix[[#This Row],[País]]="","Desconocido",BBDD_Usiarios_Netflix[[#This Row],[País]])</f>
        <v>Alemania</v>
      </c>
      <c r="Q152">
        <v>30</v>
      </c>
      <c r="R152" t="s">
        <v>30</v>
      </c>
      <c r="S152" t="s">
        <v>36</v>
      </c>
      <c r="T152" t="s">
        <v>41</v>
      </c>
      <c r="U152">
        <f>IF(IFERROR(VLOOKUP(BBDD_Usiarios_Netflix[[#This Row],[Identificador Usuario]],A153:$A$5870,1,FALSE),0)&lt;&gt;0,1,0)</f>
        <v>0</v>
      </c>
      <c r="V152" s="6" t="str">
        <f>IF(BBDD_Usiarios_Netflix[[#This Row],[Duración Plan]]="12 Meses",LEFT(BBDD_Usiarios_Netflix[[#This Row],[Duración Plan]],2),LEFT(BBDD_Usiarios_Netflix[[#This Row],[Duración Plan]],1))</f>
        <v>12</v>
      </c>
      <c r="W1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3" spans="1:23" x14ac:dyDescent="0.25">
      <c r="A153">
        <v>152</v>
      </c>
      <c r="B153" t="s">
        <v>28</v>
      </c>
      <c r="C153">
        <v>14</v>
      </c>
      <c r="D153" s="3">
        <v>23</v>
      </c>
      <c r="E153" s="3">
        <v>11</v>
      </c>
      <c r="F153">
        <v>23</v>
      </c>
      <c r="G153" s="1">
        <f>DATEVALUE(_xlfn.CONCAT(BBDD_Usiarios_Netflix[[#This Row],[Día Suscripción]],"/",BBDD_Usiarios_Netflix[[#This Row],[Mes Suscripción]],"/",BBDD_Usiarios_Netflix[[#This Row],[Año Suscripción]]))</f>
        <v>45253</v>
      </c>
      <c r="H153" s="1">
        <v>27</v>
      </c>
      <c r="I153" s="1">
        <v>6</v>
      </c>
      <c r="J153" s="1">
        <v>24</v>
      </c>
      <c r="K153" s="1" t="str">
        <f>TEXT(BBDD_Usiarios_Netflix[[#This Row],[Fecha Suscripción]],"dddd")</f>
        <v>jueves</v>
      </c>
      <c r="L153" s="1">
        <f>DATEVALUE(_xlfn.CONCAT(BBDD_Usiarios_Netflix[[#This Row],[Día Último Pago]],"/",BBDD_Usiarios_Netflix[[#This Row],[Mes Último Pago]],"/",BBDD_Usiarios_Netflix[[#This Row],[Año Último Pago]]))</f>
        <v>45470</v>
      </c>
      <c r="M153" s="4">
        <f>DATEDIF(BBDD_Usiarios_Netflix[[#This Row],[Fecha Suscripción]],BBDD_Usiarios_Netflix[[#This Row],[Fecha Último Pago]],"M")+1</f>
        <v>8</v>
      </c>
      <c r="N153" s="4">
        <f>BBDD_Usiarios_Netflix[[#This Row],[Ingresos Mensuales]]*BBDD_Usiarios_Netflix[[#This Row],[Meses contratados]]</f>
        <v>112</v>
      </c>
      <c r="O153" t="s">
        <v>46</v>
      </c>
      <c r="P153" t="str">
        <f>IF(BBDD_Usiarios_Netflix[[#This Row],[País]]="","Desconocido",BBDD_Usiarios_Netflix[[#This Row],[País]])</f>
        <v>Méjico</v>
      </c>
      <c r="Q153">
        <v>33</v>
      </c>
      <c r="R153" t="s">
        <v>30</v>
      </c>
      <c r="S153" t="s">
        <v>31</v>
      </c>
      <c r="T153" t="s">
        <v>35</v>
      </c>
      <c r="U153">
        <f>IF(IFERROR(VLOOKUP(BBDD_Usiarios_Netflix[[#This Row],[Identificador Usuario]],A154:$A$5870,1,FALSE),0)&lt;&gt;0,1,0)</f>
        <v>0</v>
      </c>
      <c r="V153" s="6" t="str">
        <f>IF(BBDD_Usiarios_Netflix[[#This Row],[Duración Plan]]="12 Meses",LEFT(BBDD_Usiarios_Netflix[[#This Row],[Duración Plan]],2),LEFT(BBDD_Usiarios_Netflix[[#This Row],[Duración Plan]],1))</f>
        <v>6</v>
      </c>
      <c r="W1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4" spans="1:23" x14ac:dyDescent="0.25">
      <c r="A154">
        <v>153</v>
      </c>
      <c r="B154" t="s">
        <v>32</v>
      </c>
      <c r="C154">
        <v>13</v>
      </c>
      <c r="D154" s="3">
        <v>25</v>
      </c>
      <c r="E154" s="3">
        <v>12</v>
      </c>
      <c r="F154">
        <v>23</v>
      </c>
      <c r="G154" s="1">
        <f>DATEVALUE(_xlfn.CONCAT(BBDD_Usiarios_Netflix[[#This Row],[Día Suscripción]],"/",BBDD_Usiarios_Netflix[[#This Row],[Mes Suscripción]],"/",BBDD_Usiarios_Netflix[[#This Row],[Año Suscripción]]))</f>
        <v>45285</v>
      </c>
      <c r="H154" s="1">
        <v>24</v>
      </c>
      <c r="I154" s="1">
        <v>6</v>
      </c>
      <c r="J154" s="1">
        <v>24</v>
      </c>
      <c r="K154" s="1" t="str">
        <f>TEXT(BBDD_Usiarios_Netflix[[#This Row],[Fecha Suscripción]],"dddd")</f>
        <v>lunes</v>
      </c>
      <c r="L154" s="1">
        <f>DATEVALUE(_xlfn.CONCAT(BBDD_Usiarios_Netflix[[#This Row],[Día Último Pago]],"/",BBDD_Usiarios_Netflix[[#This Row],[Mes Último Pago]],"/",BBDD_Usiarios_Netflix[[#This Row],[Año Último Pago]]))</f>
        <v>45467</v>
      </c>
      <c r="M154" s="4">
        <f>DATEDIF(BBDD_Usiarios_Netflix[[#This Row],[Fecha Suscripción]],BBDD_Usiarios_Netflix[[#This Row],[Fecha Último Pago]],"M")+1</f>
        <v>6</v>
      </c>
      <c r="N154" s="4">
        <f>BBDD_Usiarios_Netflix[[#This Row],[Ingresos Mensuales]]*BBDD_Usiarios_Netflix[[#This Row],[Meses contratados]]</f>
        <v>78</v>
      </c>
      <c r="O154" t="s">
        <v>29</v>
      </c>
      <c r="P154" t="str">
        <f>IF(BBDD_Usiarios_Netflix[[#This Row],[País]]="","Desconocido",BBDD_Usiarios_Netflix[[#This Row],[País]])</f>
        <v>EEUU</v>
      </c>
      <c r="Q154">
        <v>47</v>
      </c>
      <c r="R154" t="s">
        <v>25</v>
      </c>
      <c r="S154" t="s">
        <v>26</v>
      </c>
      <c r="T154" t="s">
        <v>38</v>
      </c>
      <c r="U154">
        <f>IF(IFERROR(VLOOKUP(BBDD_Usiarios_Netflix[[#This Row],[Identificador Usuario]],A155:$A$5870,1,FALSE),0)&lt;&gt;0,1,0)</f>
        <v>0</v>
      </c>
      <c r="V154" s="6" t="str">
        <f>IF(BBDD_Usiarios_Netflix[[#This Row],[Duración Plan]]="12 Meses",LEFT(BBDD_Usiarios_Netflix[[#This Row],[Duración Plan]],2),LEFT(BBDD_Usiarios_Netflix[[#This Row],[Duración Plan]],1))</f>
        <v>3</v>
      </c>
      <c r="W1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5" spans="1:23" x14ac:dyDescent="0.25">
      <c r="A155">
        <v>154</v>
      </c>
      <c r="B155" t="s">
        <v>32</v>
      </c>
      <c r="C155">
        <v>13</v>
      </c>
      <c r="D155" s="3">
        <v>11</v>
      </c>
      <c r="E155" s="3">
        <v>3</v>
      </c>
      <c r="F155">
        <v>24</v>
      </c>
      <c r="G155" s="1">
        <f>DATEVALUE(_xlfn.CONCAT(BBDD_Usiarios_Netflix[[#This Row],[Día Suscripción]],"/",BBDD_Usiarios_Netflix[[#This Row],[Mes Suscripción]],"/",BBDD_Usiarios_Netflix[[#This Row],[Año Suscripción]]))</f>
        <v>45362</v>
      </c>
      <c r="H155" s="1">
        <v>27</v>
      </c>
      <c r="I155" s="1">
        <v>6</v>
      </c>
      <c r="J155" s="1">
        <v>24</v>
      </c>
      <c r="K155" s="1" t="str">
        <f>TEXT(BBDD_Usiarios_Netflix[[#This Row],[Fecha Suscripción]],"dddd")</f>
        <v>lunes</v>
      </c>
      <c r="L155" s="1">
        <f>DATEVALUE(_xlfn.CONCAT(BBDD_Usiarios_Netflix[[#This Row],[Día Último Pago]],"/",BBDD_Usiarios_Netflix[[#This Row],[Mes Último Pago]],"/",BBDD_Usiarios_Netflix[[#This Row],[Año Último Pago]]))</f>
        <v>45470</v>
      </c>
      <c r="M155" s="4">
        <f>DATEDIF(BBDD_Usiarios_Netflix[[#This Row],[Fecha Suscripción]],BBDD_Usiarios_Netflix[[#This Row],[Fecha Último Pago]],"M")+1</f>
        <v>4</v>
      </c>
      <c r="N155" s="4">
        <f>BBDD_Usiarios_Netflix[[#This Row],[Ingresos Mensuales]]*BBDD_Usiarios_Netflix[[#This Row],[Meses contratados]]</f>
        <v>52</v>
      </c>
      <c r="O155" t="s">
        <v>29</v>
      </c>
      <c r="P155" t="str">
        <f>IF(BBDD_Usiarios_Netflix[[#This Row],[País]]="","Desconocido",BBDD_Usiarios_Netflix[[#This Row],[País]])</f>
        <v>EEUU</v>
      </c>
      <c r="Q155">
        <v>27</v>
      </c>
      <c r="R155" t="s">
        <v>25</v>
      </c>
      <c r="S155" t="s">
        <v>36</v>
      </c>
      <c r="T155" t="s">
        <v>41</v>
      </c>
      <c r="U155">
        <f>IF(IFERROR(VLOOKUP(BBDD_Usiarios_Netflix[[#This Row],[Identificador Usuario]],A156:$A$5870,1,FALSE),0)&lt;&gt;0,1,0)</f>
        <v>0</v>
      </c>
      <c r="V155" s="6" t="str">
        <f>IF(BBDD_Usiarios_Netflix[[#This Row],[Duración Plan]]="12 Meses",LEFT(BBDD_Usiarios_Netflix[[#This Row],[Duración Plan]],2),LEFT(BBDD_Usiarios_Netflix[[#This Row],[Duración Plan]],1))</f>
        <v>12</v>
      </c>
      <c r="W1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6" spans="1:23" x14ac:dyDescent="0.25">
      <c r="A156">
        <v>155</v>
      </c>
      <c r="B156" t="s">
        <v>23</v>
      </c>
      <c r="C156">
        <v>10</v>
      </c>
      <c r="D156" s="3">
        <v>18</v>
      </c>
      <c r="E156" s="3">
        <v>11</v>
      </c>
      <c r="F156">
        <v>23</v>
      </c>
      <c r="G156" s="1">
        <f>DATEVALUE(_xlfn.CONCAT(BBDD_Usiarios_Netflix[[#This Row],[Día Suscripción]],"/",BBDD_Usiarios_Netflix[[#This Row],[Mes Suscripción]],"/",BBDD_Usiarios_Netflix[[#This Row],[Año Suscripción]]))</f>
        <v>45248</v>
      </c>
      <c r="H156" s="1">
        <v>27</v>
      </c>
      <c r="I156" s="1">
        <v>6</v>
      </c>
      <c r="J156" s="1">
        <v>24</v>
      </c>
      <c r="K156" s="1" t="str">
        <f>TEXT(BBDD_Usiarios_Netflix[[#This Row],[Fecha Suscripción]],"dddd")</f>
        <v>sábado</v>
      </c>
      <c r="L156" s="1">
        <f>DATEVALUE(_xlfn.CONCAT(BBDD_Usiarios_Netflix[[#This Row],[Día Último Pago]],"/",BBDD_Usiarios_Netflix[[#This Row],[Mes Último Pago]],"/",BBDD_Usiarios_Netflix[[#This Row],[Año Último Pago]]))</f>
        <v>45470</v>
      </c>
      <c r="M156" s="4">
        <f>DATEDIF(BBDD_Usiarios_Netflix[[#This Row],[Fecha Suscripción]],BBDD_Usiarios_Netflix[[#This Row],[Fecha Último Pago]],"M")+1</f>
        <v>8</v>
      </c>
      <c r="N156" s="4">
        <f>BBDD_Usiarios_Netflix[[#This Row],[Ingresos Mensuales]]*BBDD_Usiarios_Netflix[[#This Row],[Meses contratados]]</f>
        <v>80</v>
      </c>
      <c r="O156" t="s">
        <v>45</v>
      </c>
      <c r="P156" t="str">
        <f>IF(BBDD_Usiarios_Netflix[[#This Row],[País]]="","Desconocido",BBDD_Usiarios_Netflix[[#This Row],[País]])</f>
        <v>España</v>
      </c>
      <c r="Q156">
        <v>28</v>
      </c>
      <c r="R156" t="s">
        <v>25</v>
      </c>
      <c r="S156" t="s">
        <v>31</v>
      </c>
      <c r="T156" t="s">
        <v>27</v>
      </c>
      <c r="U156">
        <f>IF(IFERROR(VLOOKUP(BBDD_Usiarios_Netflix[[#This Row],[Identificador Usuario]],A157:$A$5870,1,FALSE),0)&lt;&gt;0,1,0)</f>
        <v>0</v>
      </c>
      <c r="V156" s="6" t="str">
        <f>IF(BBDD_Usiarios_Netflix[[#This Row],[Duración Plan]]="12 Meses",LEFT(BBDD_Usiarios_Netflix[[#This Row],[Duración Plan]],2),LEFT(BBDD_Usiarios_Netflix[[#This Row],[Duración Plan]],1))</f>
        <v>1</v>
      </c>
      <c r="W1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7" spans="1:23" x14ac:dyDescent="0.25">
      <c r="A157">
        <v>156</v>
      </c>
      <c r="B157" t="s">
        <v>28</v>
      </c>
      <c r="C157">
        <v>14</v>
      </c>
      <c r="D157" s="3">
        <v>19</v>
      </c>
      <c r="E157" s="3">
        <v>8</v>
      </c>
      <c r="F157">
        <v>23</v>
      </c>
      <c r="G157" s="1">
        <f>DATEVALUE(_xlfn.CONCAT(BBDD_Usiarios_Netflix[[#This Row],[Día Suscripción]],"/",BBDD_Usiarios_Netflix[[#This Row],[Mes Suscripción]],"/",BBDD_Usiarios_Netflix[[#This Row],[Año Suscripción]]))</f>
        <v>45157</v>
      </c>
      <c r="H157" s="1">
        <v>25</v>
      </c>
      <c r="I157" s="1">
        <v>6</v>
      </c>
      <c r="J157" s="1">
        <v>24</v>
      </c>
      <c r="K157" s="1" t="str">
        <f>TEXT(BBDD_Usiarios_Netflix[[#This Row],[Fecha Suscripción]],"dddd")</f>
        <v>sábado</v>
      </c>
      <c r="L157" s="1">
        <f>DATEVALUE(_xlfn.CONCAT(BBDD_Usiarios_Netflix[[#This Row],[Día Último Pago]],"/",BBDD_Usiarios_Netflix[[#This Row],[Mes Último Pago]],"/",BBDD_Usiarios_Netflix[[#This Row],[Año Último Pago]]))</f>
        <v>45468</v>
      </c>
      <c r="M157" s="4">
        <f>DATEDIF(BBDD_Usiarios_Netflix[[#This Row],[Fecha Suscripción]],BBDD_Usiarios_Netflix[[#This Row],[Fecha Último Pago]],"M")+1</f>
        <v>11</v>
      </c>
      <c r="N157" s="4">
        <f>BBDD_Usiarios_Netflix[[#This Row],[Ingresos Mensuales]]*BBDD_Usiarios_Netflix[[#This Row],[Meses contratados]]</f>
        <v>154</v>
      </c>
      <c r="O157" t="s">
        <v>42</v>
      </c>
      <c r="P157" t="str">
        <f>IF(BBDD_Usiarios_Netflix[[#This Row],[País]]="","Desconocido",BBDD_Usiarios_Netflix[[#This Row],[País]])</f>
        <v>Reino Unido</v>
      </c>
      <c r="Q157">
        <v>47</v>
      </c>
      <c r="R157" t="s">
        <v>25</v>
      </c>
      <c r="S157" t="s">
        <v>26</v>
      </c>
      <c r="T157" t="s">
        <v>38</v>
      </c>
      <c r="U157">
        <f>IF(IFERROR(VLOOKUP(BBDD_Usiarios_Netflix[[#This Row],[Identificador Usuario]],A158:$A$5870,1,FALSE),0)&lt;&gt;0,1,0)</f>
        <v>0</v>
      </c>
      <c r="V157" s="6" t="str">
        <f>IF(BBDD_Usiarios_Netflix[[#This Row],[Duración Plan]]="12 Meses",LEFT(BBDD_Usiarios_Netflix[[#This Row],[Duración Plan]],2),LEFT(BBDD_Usiarios_Netflix[[#This Row],[Duración Plan]],1))</f>
        <v>3</v>
      </c>
      <c r="W1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8" spans="1:23" x14ac:dyDescent="0.25">
      <c r="A158">
        <v>157</v>
      </c>
      <c r="B158" t="s">
        <v>32</v>
      </c>
      <c r="C158">
        <v>12</v>
      </c>
      <c r="D158" s="3">
        <v>27</v>
      </c>
      <c r="E158" s="3">
        <v>9</v>
      </c>
      <c r="F158">
        <v>23</v>
      </c>
      <c r="G158" s="1">
        <f>DATEVALUE(_xlfn.CONCAT(BBDD_Usiarios_Netflix[[#This Row],[Día Suscripción]],"/",BBDD_Usiarios_Netflix[[#This Row],[Mes Suscripción]],"/",BBDD_Usiarios_Netflix[[#This Row],[Año Suscripción]]))</f>
        <v>45196</v>
      </c>
      <c r="H158" s="1">
        <v>24</v>
      </c>
      <c r="I158" s="1">
        <v>6</v>
      </c>
      <c r="J158" s="1">
        <v>24</v>
      </c>
      <c r="K158" s="1" t="str">
        <f>TEXT(BBDD_Usiarios_Netflix[[#This Row],[Fecha Suscripción]],"dddd")</f>
        <v>miércoles</v>
      </c>
      <c r="L158" s="1">
        <f>DATEVALUE(_xlfn.CONCAT(BBDD_Usiarios_Netflix[[#This Row],[Día Último Pago]],"/",BBDD_Usiarios_Netflix[[#This Row],[Mes Último Pago]],"/",BBDD_Usiarios_Netflix[[#This Row],[Año Último Pago]]))</f>
        <v>45467</v>
      </c>
      <c r="M158" s="4">
        <f>DATEDIF(BBDD_Usiarios_Netflix[[#This Row],[Fecha Suscripción]],BBDD_Usiarios_Netflix[[#This Row],[Fecha Último Pago]],"M")+1</f>
        <v>9</v>
      </c>
      <c r="N158" s="4">
        <f>BBDD_Usiarios_Netflix[[#This Row],[Ingresos Mensuales]]*BBDD_Usiarios_Netflix[[#This Row],[Meses contratados]]</f>
        <v>108</v>
      </c>
      <c r="O158" t="s">
        <v>40</v>
      </c>
      <c r="P158" t="str">
        <f>IF(BBDD_Usiarios_Netflix[[#This Row],[País]]="","Desconocido",BBDD_Usiarios_Netflix[[#This Row],[País]])</f>
        <v>Italia</v>
      </c>
      <c r="Q158">
        <v>30</v>
      </c>
      <c r="R158" t="s">
        <v>25</v>
      </c>
      <c r="S158" t="s">
        <v>36</v>
      </c>
      <c r="T158" t="s">
        <v>27</v>
      </c>
      <c r="U158">
        <f>IF(IFERROR(VLOOKUP(BBDD_Usiarios_Netflix[[#This Row],[Identificador Usuario]],A159:$A$5870,1,FALSE),0)&lt;&gt;0,1,0)</f>
        <v>0</v>
      </c>
      <c r="V158" s="6" t="str">
        <f>IF(BBDD_Usiarios_Netflix[[#This Row],[Duración Plan]]="12 Meses",LEFT(BBDD_Usiarios_Netflix[[#This Row],[Duración Plan]],2),LEFT(BBDD_Usiarios_Netflix[[#This Row],[Duración Plan]],1))</f>
        <v>1</v>
      </c>
      <c r="W1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9" spans="1:23" x14ac:dyDescent="0.25">
      <c r="A159">
        <v>158</v>
      </c>
      <c r="B159" t="s">
        <v>23</v>
      </c>
      <c r="C159">
        <v>10</v>
      </c>
      <c r="D159" s="3">
        <v>19</v>
      </c>
      <c r="E159" s="3">
        <v>10</v>
      </c>
      <c r="F159">
        <v>23</v>
      </c>
      <c r="G159" s="1">
        <f>DATEVALUE(_xlfn.CONCAT(BBDD_Usiarios_Netflix[[#This Row],[Día Suscripción]],"/",BBDD_Usiarios_Netflix[[#This Row],[Mes Suscripción]],"/",BBDD_Usiarios_Netflix[[#This Row],[Año Suscripción]]))</f>
        <v>45218</v>
      </c>
      <c r="H159" s="1">
        <v>28</v>
      </c>
      <c r="I159" s="1">
        <v>6</v>
      </c>
      <c r="J159" s="1">
        <v>24</v>
      </c>
      <c r="K159" s="1" t="str">
        <f>TEXT(BBDD_Usiarios_Netflix[[#This Row],[Fecha Suscripción]],"dddd")</f>
        <v>jueves</v>
      </c>
      <c r="L159" s="1">
        <f>DATEVALUE(_xlfn.CONCAT(BBDD_Usiarios_Netflix[[#This Row],[Día Último Pago]],"/",BBDD_Usiarios_Netflix[[#This Row],[Mes Último Pago]],"/",BBDD_Usiarios_Netflix[[#This Row],[Año Último Pago]]))</f>
        <v>45471</v>
      </c>
      <c r="M159" s="4">
        <f>DATEDIF(BBDD_Usiarios_Netflix[[#This Row],[Fecha Suscripción]],BBDD_Usiarios_Netflix[[#This Row],[Fecha Último Pago]],"M")+1</f>
        <v>9</v>
      </c>
      <c r="N159" s="4">
        <f>BBDD_Usiarios_Netflix[[#This Row],[Ingresos Mensuales]]*BBDD_Usiarios_Netflix[[#This Row],[Meses contratados]]</f>
        <v>90</v>
      </c>
      <c r="O159" t="s">
        <v>29</v>
      </c>
      <c r="P159" t="str">
        <f>IF(BBDD_Usiarios_Netflix[[#This Row],[País]]="","Desconocido",BBDD_Usiarios_Netflix[[#This Row],[País]])</f>
        <v>EEUU</v>
      </c>
      <c r="Q159">
        <v>47</v>
      </c>
      <c r="R159" t="s">
        <v>30</v>
      </c>
      <c r="S159" t="s">
        <v>26</v>
      </c>
      <c r="T159" t="s">
        <v>41</v>
      </c>
      <c r="U159">
        <f>IF(IFERROR(VLOOKUP(BBDD_Usiarios_Netflix[[#This Row],[Identificador Usuario]],A160:$A$5870,1,FALSE),0)&lt;&gt;0,1,0)</f>
        <v>0</v>
      </c>
      <c r="V159" s="6" t="str">
        <f>IF(BBDD_Usiarios_Netflix[[#This Row],[Duración Plan]]="12 Meses",LEFT(BBDD_Usiarios_Netflix[[#This Row],[Duración Plan]],2),LEFT(BBDD_Usiarios_Netflix[[#This Row],[Duración Plan]],1))</f>
        <v>12</v>
      </c>
      <c r="W1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0" spans="1:23" x14ac:dyDescent="0.25">
      <c r="A160">
        <v>159</v>
      </c>
      <c r="B160" t="s">
        <v>32</v>
      </c>
      <c r="C160">
        <v>13</v>
      </c>
      <c r="D160" s="3">
        <v>21</v>
      </c>
      <c r="E160" s="3">
        <v>12</v>
      </c>
      <c r="F160">
        <v>23</v>
      </c>
      <c r="G160" s="1">
        <f>DATEVALUE(_xlfn.CONCAT(BBDD_Usiarios_Netflix[[#This Row],[Día Suscripción]],"/",BBDD_Usiarios_Netflix[[#This Row],[Mes Suscripción]],"/",BBDD_Usiarios_Netflix[[#This Row],[Año Suscripción]]))</f>
        <v>45281</v>
      </c>
      <c r="H160" s="1">
        <v>26</v>
      </c>
      <c r="I160" s="1">
        <v>6</v>
      </c>
      <c r="J160" s="1">
        <v>24</v>
      </c>
      <c r="K160" s="1" t="str">
        <f>TEXT(BBDD_Usiarios_Netflix[[#This Row],[Fecha Suscripción]],"dddd")</f>
        <v>jueves</v>
      </c>
      <c r="L160" s="1">
        <f>DATEVALUE(_xlfn.CONCAT(BBDD_Usiarios_Netflix[[#This Row],[Día Último Pago]],"/",BBDD_Usiarios_Netflix[[#This Row],[Mes Último Pago]],"/",BBDD_Usiarios_Netflix[[#This Row],[Año Último Pago]]))</f>
        <v>45469</v>
      </c>
      <c r="M160" s="4">
        <f>DATEDIF(BBDD_Usiarios_Netflix[[#This Row],[Fecha Suscripción]],BBDD_Usiarios_Netflix[[#This Row],[Fecha Último Pago]],"M")+1</f>
        <v>7</v>
      </c>
      <c r="N160" s="4">
        <f>BBDD_Usiarios_Netflix[[#This Row],[Ingresos Mensuales]]*BBDD_Usiarios_Netflix[[#This Row],[Meses contratados]]</f>
        <v>91</v>
      </c>
      <c r="O160" t="s">
        <v>42</v>
      </c>
      <c r="P160" t="str">
        <f>IF(BBDD_Usiarios_Netflix[[#This Row],[País]]="","Desconocido",BBDD_Usiarios_Netflix[[#This Row],[País]])</f>
        <v>Reino Unido</v>
      </c>
      <c r="Q160">
        <v>51</v>
      </c>
      <c r="R160" t="s">
        <v>30</v>
      </c>
      <c r="S160" t="s">
        <v>34</v>
      </c>
      <c r="T160" t="s">
        <v>41</v>
      </c>
      <c r="U160">
        <f>IF(IFERROR(VLOOKUP(BBDD_Usiarios_Netflix[[#This Row],[Identificador Usuario]],A161:$A$5870,1,FALSE),0)&lt;&gt;0,1,0)</f>
        <v>0</v>
      </c>
      <c r="V160" s="6" t="str">
        <f>IF(BBDD_Usiarios_Netflix[[#This Row],[Duración Plan]]="12 Meses",LEFT(BBDD_Usiarios_Netflix[[#This Row],[Duración Plan]],2),LEFT(BBDD_Usiarios_Netflix[[#This Row],[Duración Plan]],1))</f>
        <v>12</v>
      </c>
      <c r="W1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1" spans="1:23" x14ac:dyDescent="0.25">
      <c r="A161">
        <v>160</v>
      </c>
      <c r="B161" t="s">
        <v>28</v>
      </c>
      <c r="C161">
        <v>14</v>
      </c>
      <c r="D161" s="3">
        <v>27</v>
      </c>
      <c r="E161" s="3">
        <v>10</v>
      </c>
      <c r="F161">
        <v>23</v>
      </c>
      <c r="G161" s="1">
        <f>DATEVALUE(_xlfn.CONCAT(BBDD_Usiarios_Netflix[[#This Row],[Día Suscripción]],"/",BBDD_Usiarios_Netflix[[#This Row],[Mes Suscripción]],"/",BBDD_Usiarios_Netflix[[#This Row],[Año Suscripción]]))</f>
        <v>45226</v>
      </c>
      <c r="H161" s="1">
        <v>25</v>
      </c>
      <c r="I161" s="1">
        <v>6</v>
      </c>
      <c r="J161" s="1">
        <v>24</v>
      </c>
      <c r="K161" s="1" t="str">
        <f>TEXT(BBDD_Usiarios_Netflix[[#This Row],[Fecha Suscripción]],"dddd")</f>
        <v>viernes</v>
      </c>
      <c r="L161" s="1">
        <f>DATEVALUE(_xlfn.CONCAT(BBDD_Usiarios_Netflix[[#This Row],[Día Último Pago]],"/",BBDD_Usiarios_Netflix[[#This Row],[Mes Último Pago]],"/",BBDD_Usiarios_Netflix[[#This Row],[Año Último Pago]]))</f>
        <v>45468</v>
      </c>
      <c r="M161" s="4">
        <f>DATEDIF(BBDD_Usiarios_Netflix[[#This Row],[Fecha Suscripción]],BBDD_Usiarios_Netflix[[#This Row],[Fecha Último Pago]],"M")+1</f>
        <v>8</v>
      </c>
      <c r="N161" s="4">
        <f>BBDD_Usiarios_Netflix[[#This Row],[Ingresos Mensuales]]*BBDD_Usiarios_Netflix[[#This Row],[Meses contratados]]</f>
        <v>112</v>
      </c>
      <c r="O161" t="s">
        <v>37</v>
      </c>
      <c r="P161" t="str">
        <f>IF(BBDD_Usiarios_Netflix[[#This Row],[País]]="","Desconocido",BBDD_Usiarios_Netflix[[#This Row],[País]])</f>
        <v>Brasil</v>
      </c>
      <c r="Q161">
        <v>39</v>
      </c>
      <c r="R161" t="s">
        <v>25</v>
      </c>
      <c r="S161" t="s">
        <v>26</v>
      </c>
      <c r="T161" t="s">
        <v>35</v>
      </c>
      <c r="U161">
        <f>IF(IFERROR(VLOOKUP(BBDD_Usiarios_Netflix[[#This Row],[Identificador Usuario]],A162:$A$5870,1,FALSE),0)&lt;&gt;0,1,0)</f>
        <v>0</v>
      </c>
      <c r="V161" s="6" t="str">
        <f>IF(BBDD_Usiarios_Netflix[[#This Row],[Duración Plan]]="12 Meses",LEFT(BBDD_Usiarios_Netflix[[#This Row],[Duración Plan]],2),LEFT(BBDD_Usiarios_Netflix[[#This Row],[Duración Plan]],1))</f>
        <v>6</v>
      </c>
      <c r="W1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2" spans="1:23" x14ac:dyDescent="0.25">
      <c r="A162">
        <v>161</v>
      </c>
      <c r="B162" t="s">
        <v>23</v>
      </c>
      <c r="C162">
        <v>10</v>
      </c>
      <c r="D162" s="3">
        <v>23</v>
      </c>
      <c r="E162" s="3">
        <v>10</v>
      </c>
      <c r="F162">
        <v>23</v>
      </c>
      <c r="G162" s="1">
        <f>DATEVALUE(_xlfn.CONCAT(BBDD_Usiarios_Netflix[[#This Row],[Día Suscripción]],"/",BBDD_Usiarios_Netflix[[#This Row],[Mes Suscripción]],"/",BBDD_Usiarios_Netflix[[#This Row],[Año Suscripción]]))</f>
        <v>45222</v>
      </c>
      <c r="H162" s="1">
        <v>24</v>
      </c>
      <c r="I162" s="1">
        <v>6</v>
      </c>
      <c r="J162" s="1">
        <v>24</v>
      </c>
      <c r="K162" s="1" t="str">
        <f>TEXT(BBDD_Usiarios_Netflix[[#This Row],[Fecha Suscripción]],"dddd")</f>
        <v>lunes</v>
      </c>
      <c r="L162" s="1">
        <f>DATEVALUE(_xlfn.CONCAT(BBDD_Usiarios_Netflix[[#This Row],[Día Último Pago]],"/",BBDD_Usiarios_Netflix[[#This Row],[Mes Último Pago]],"/",BBDD_Usiarios_Netflix[[#This Row],[Año Último Pago]]))</f>
        <v>45467</v>
      </c>
      <c r="M162" s="4">
        <f>DATEDIF(BBDD_Usiarios_Netflix[[#This Row],[Fecha Suscripción]],BBDD_Usiarios_Netflix[[#This Row],[Fecha Último Pago]],"M")+1</f>
        <v>9</v>
      </c>
      <c r="N162" s="4">
        <f>BBDD_Usiarios_Netflix[[#This Row],[Ingresos Mensuales]]*BBDD_Usiarios_Netflix[[#This Row],[Meses contratados]]</f>
        <v>90</v>
      </c>
      <c r="O162" t="s">
        <v>43</v>
      </c>
      <c r="P162" t="str">
        <f>IF(BBDD_Usiarios_Netflix[[#This Row],[País]]="","Desconocido",BBDD_Usiarios_Netflix[[#This Row],[País]])</f>
        <v>Alemania</v>
      </c>
      <c r="Q162">
        <v>45</v>
      </c>
      <c r="R162" t="s">
        <v>25</v>
      </c>
      <c r="S162" t="s">
        <v>31</v>
      </c>
      <c r="T162" t="s">
        <v>38</v>
      </c>
      <c r="U162">
        <f>IF(IFERROR(VLOOKUP(BBDD_Usiarios_Netflix[[#This Row],[Identificador Usuario]],A163:$A$5870,1,FALSE),0)&lt;&gt;0,1,0)</f>
        <v>0</v>
      </c>
      <c r="V162" s="6" t="str">
        <f>IF(BBDD_Usiarios_Netflix[[#This Row],[Duración Plan]]="12 Meses",LEFT(BBDD_Usiarios_Netflix[[#This Row],[Duración Plan]],2),LEFT(BBDD_Usiarios_Netflix[[#This Row],[Duración Plan]],1))</f>
        <v>3</v>
      </c>
      <c r="W1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3" spans="1:23" x14ac:dyDescent="0.25">
      <c r="A163">
        <v>162</v>
      </c>
      <c r="B163" t="s">
        <v>28</v>
      </c>
      <c r="C163">
        <v>15</v>
      </c>
      <c r="D163" s="3">
        <v>19</v>
      </c>
      <c r="E163" s="3">
        <v>4</v>
      </c>
      <c r="F163">
        <v>23</v>
      </c>
      <c r="G163" s="1">
        <f>DATEVALUE(_xlfn.CONCAT(BBDD_Usiarios_Netflix[[#This Row],[Día Suscripción]],"/",BBDD_Usiarios_Netflix[[#This Row],[Mes Suscripción]],"/",BBDD_Usiarios_Netflix[[#This Row],[Año Suscripción]]))</f>
        <v>45035</v>
      </c>
      <c r="H163" s="1">
        <v>25</v>
      </c>
      <c r="I163" s="1">
        <v>6</v>
      </c>
      <c r="J163" s="1">
        <v>24</v>
      </c>
      <c r="K163" s="1" t="str">
        <f>TEXT(BBDD_Usiarios_Netflix[[#This Row],[Fecha Suscripción]],"dddd")</f>
        <v>miércoles</v>
      </c>
      <c r="L163" s="1">
        <f>DATEVALUE(_xlfn.CONCAT(BBDD_Usiarios_Netflix[[#This Row],[Día Último Pago]],"/",BBDD_Usiarios_Netflix[[#This Row],[Mes Último Pago]],"/",BBDD_Usiarios_Netflix[[#This Row],[Año Último Pago]]))</f>
        <v>45468</v>
      </c>
      <c r="M163" s="4">
        <f>DATEDIF(BBDD_Usiarios_Netflix[[#This Row],[Fecha Suscripción]],BBDD_Usiarios_Netflix[[#This Row],[Fecha Último Pago]],"M")+1</f>
        <v>15</v>
      </c>
      <c r="N163" s="4">
        <f>BBDD_Usiarios_Netflix[[#This Row],[Ingresos Mensuales]]*BBDD_Usiarios_Netflix[[#This Row],[Meses contratados]]</f>
        <v>225</v>
      </c>
      <c r="O163" t="s">
        <v>42</v>
      </c>
      <c r="P163" t="str">
        <f>IF(BBDD_Usiarios_Netflix[[#This Row],[País]]="","Desconocido",BBDD_Usiarios_Netflix[[#This Row],[País]])</f>
        <v>Reino Unido</v>
      </c>
      <c r="Q163">
        <v>31</v>
      </c>
      <c r="R163" t="s">
        <v>25</v>
      </c>
      <c r="S163" t="s">
        <v>36</v>
      </c>
      <c r="T163" t="s">
        <v>41</v>
      </c>
      <c r="U163">
        <f>IF(IFERROR(VLOOKUP(BBDD_Usiarios_Netflix[[#This Row],[Identificador Usuario]],A164:$A$5870,1,FALSE),0)&lt;&gt;0,1,0)</f>
        <v>0</v>
      </c>
      <c r="V163" s="6" t="str">
        <f>IF(BBDD_Usiarios_Netflix[[#This Row],[Duración Plan]]="12 Meses",LEFT(BBDD_Usiarios_Netflix[[#This Row],[Duración Plan]],2),LEFT(BBDD_Usiarios_Netflix[[#This Row],[Duración Plan]],1))</f>
        <v>12</v>
      </c>
      <c r="W1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4" spans="1:23" x14ac:dyDescent="0.25">
      <c r="A164">
        <v>163</v>
      </c>
      <c r="B164" t="s">
        <v>32</v>
      </c>
      <c r="C164">
        <v>13</v>
      </c>
      <c r="D164" s="3">
        <v>5</v>
      </c>
      <c r="E164" s="3">
        <v>4</v>
      </c>
      <c r="F164">
        <v>23</v>
      </c>
      <c r="G164" s="1">
        <f>DATEVALUE(_xlfn.CONCAT(BBDD_Usiarios_Netflix[[#This Row],[Día Suscripción]],"/",BBDD_Usiarios_Netflix[[#This Row],[Mes Suscripción]],"/",BBDD_Usiarios_Netflix[[#This Row],[Año Suscripción]]))</f>
        <v>45021</v>
      </c>
      <c r="H164" s="1">
        <v>26</v>
      </c>
      <c r="I164" s="1">
        <v>6</v>
      </c>
      <c r="J164" s="1">
        <v>24</v>
      </c>
      <c r="K164" s="1" t="str">
        <f>TEXT(BBDD_Usiarios_Netflix[[#This Row],[Fecha Suscripción]],"dddd")</f>
        <v>miércoles</v>
      </c>
      <c r="L164" s="1">
        <f>DATEVALUE(_xlfn.CONCAT(BBDD_Usiarios_Netflix[[#This Row],[Día Último Pago]],"/",BBDD_Usiarios_Netflix[[#This Row],[Mes Último Pago]],"/",BBDD_Usiarios_Netflix[[#This Row],[Año Último Pago]]))</f>
        <v>45469</v>
      </c>
      <c r="M164" s="4">
        <f>DATEDIF(BBDD_Usiarios_Netflix[[#This Row],[Fecha Suscripción]],BBDD_Usiarios_Netflix[[#This Row],[Fecha Último Pago]],"M")+1</f>
        <v>15</v>
      </c>
      <c r="N164" s="4">
        <f>BBDD_Usiarios_Netflix[[#This Row],[Ingresos Mensuales]]*BBDD_Usiarios_Netflix[[#This Row],[Meses contratados]]</f>
        <v>195</v>
      </c>
      <c r="O164" t="s">
        <v>45</v>
      </c>
      <c r="P164" t="str">
        <f>IF(BBDD_Usiarios_Netflix[[#This Row],[País]]="","Desconocido",BBDD_Usiarios_Netflix[[#This Row],[País]])</f>
        <v>España</v>
      </c>
      <c r="Q164">
        <v>29</v>
      </c>
      <c r="R164" t="s">
        <v>25</v>
      </c>
      <c r="S164" t="s">
        <v>36</v>
      </c>
      <c r="T164" t="s">
        <v>35</v>
      </c>
      <c r="U164">
        <f>IF(IFERROR(VLOOKUP(BBDD_Usiarios_Netflix[[#This Row],[Identificador Usuario]],A165:$A$5870,1,FALSE),0)&lt;&gt;0,1,0)</f>
        <v>0</v>
      </c>
      <c r="V164" s="6" t="str">
        <f>IF(BBDD_Usiarios_Netflix[[#This Row],[Duración Plan]]="12 Meses",LEFT(BBDD_Usiarios_Netflix[[#This Row],[Duración Plan]],2),LEFT(BBDD_Usiarios_Netflix[[#This Row],[Duración Plan]],1))</f>
        <v>6</v>
      </c>
      <c r="W1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5" spans="1:23" x14ac:dyDescent="0.25">
      <c r="A165">
        <v>164</v>
      </c>
      <c r="B165" t="s">
        <v>23</v>
      </c>
      <c r="C165">
        <v>11</v>
      </c>
      <c r="D165" s="3">
        <v>11</v>
      </c>
      <c r="E165" s="3">
        <v>3</v>
      </c>
      <c r="F165">
        <v>23</v>
      </c>
      <c r="G165" s="1">
        <f>DATEVALUE(_xlfn.CONCAT(BBDD_Usiarios_Netflix[[#This Row],[Día Suscripción]],"/",BBDD_Usiarios_Netflix[[#This Row],[Mes Suscripción]],"/",BBDD_Usiarios_Netflix[[#This Row],[Año Suscripción]]))</f>
        <v>44996</v>
      </c>
      <c r="H165" s="1">
        <v>26</v>
      </c>
      <c r="I165" s="1">
        <v>6</v>
      </c>
      <c r="J165" s="1">
        <v>24</v>
      </c>
      <c r="K165" s="1" t="str">
        <f>TEXT(BBDD_Usiarios_Netflix[[#This Row],[Fecha Suscripción]],"dddd")</f>
        <v>sábado</v>
      </c>
      <c r="L165" s="1">
        <f>DATEVALUE(_xlfn.CONCAT(BBDD_Usiarios_Netflix[[#This Row],[Día Último Pago]],"/",BBDD_Usiarios_Netflix[[#This Row],[Mes Último Pago]],"/",BBDD_Usiarios_Netflix[[#This Row],[Año Último Pago]]))</f>
        <v>45469</v>
      </c>
      <c r="M165" s="4">
        <f>DATEDIF(BBDD_Usiarios_Netflix[[#This Row],[Fecha Suscripción]],BBDD_Usiarios_Netflix[[#This Row],[Fecha Último Pago]],"M")+1</f>
        <v>16</v>
      </c>
      <c r="N165" s="4">
        <f>BBDD_Usiarios_Netflix[[#This Row],[Ingresos Mensuales]]*BBDD_Usiarios_Netflix[[#This Row],[Meses contratados]]</f>
        <v>176</v>
      </c>
      <c r="O165" t="s">
        <v>39</v>
      </c>
      <c r="P165" t="str">
        <f>IF(BBDD_Usiarios_Netflix[[#This Row],[País]]="","Desconocido",BBDD_Usiarios_Netflix[[#This Row],[País]])</f>
        <v>Canadá</v>
      </c>
      <c r="Q165">
        <v>42</v>
      </c>
      <c r="R165" t="s">
        <v>30</v>
      </c>
      <c r="S165" t="s">
        <v>31</v>
      </c>
      <c r="T165" t="s">
        <v>41</v>
      </c>
      <c r="U165">
        <f>IF(IFERROR(VLOOKUP(BBDD_Usiarios_Netflix[[#This Row],[Identificador Usuario]],A166:$A$5870,1,FALSE),0)&lt;&gt;0,1,0)</f>
        <v>0</v>
      </c>
      <c r="V165" s="6" t="str">
        <f>IF(BBDD_Usiarios_Netflix[[#This Row],[Duración Plan]]="12 Meses",LEFT(BBDD_Usiarios_Netflix[[#This Row],[Duración Plan]],2),LEFT(BBDD_Usiarios_Netflix[[#This Row],[Duración Plan]],1))</f>
        <v>12</v>
      </c>
      <c r="W1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6" spans="1:23" x14ac:dyDescent="0.25">
      <c r="A166">
        <v>165</v>
      </c>
      <c r="B166" t="s">
        <v>32</v>
      </c>
      <c r="C166">
        <v>13</v>
      </c>
      <c r="D166" s="3">
        <v>25</v>
      </c>
      <c r="E166" s="3">
        <v>5</v>
      </c>
      <c r="F166">
        <v>23</v>
      </c>
      <c r="G166" s="1">
        <f>DATEVALUE(_xlfn.CONCAT(BBDD_Usiarios_Netflix[[#This Row],[Día Suscripción]],"/",BBDD_Usiarios_Netflix[[#This Row],[Mes Suscripción]],"/",BBDD_Usiarios_Netflix[[#This Row],[Año Suscripción]]))</f>
        <v>45071</v>
      </c>
      <c r="H166" s="1">
        <v>25</v>
      </c>
      <c r="I166" s="1">
        <v>6</v>
      </c>
      <c r="J166" s="1">
        <v>24</v>
      </c>
      <c r="K166" s="1" t="str">
        <f>TEXT(BBDD_Usiarios_Netflix[[#This Row],[Fecha Suscripción]],"dddd")</f>
        <v>jueves</v>
      </c>
      <c r="L166" s="1">
        <f>DATEVALUE(_xlfn.CONCAT(BBDD_Usiarios_Netflix[[#This Row],[Día Último Pago]],"/",BBDD_Usiarios_Netflix[[#This Row],[Mes Último Pago]],"/",BBDD_Usiarios_Netflix[[#This Row],[Año Último Pago]]))</f>
        <v>45468</v>
      </c>
      <c r="M166" s="4">
        <f>DATEDIF(BBDD_Usiarios_Netflix[[#This Row],[Fecha Suscripción]],BBDD_Usiarios_Netflix[[#This Row],[Fecha Último Pago]],"M")+1</f>
        <v>14</v>
      </c>
      <c r="N166" s="4">
        <f>BBDD_Usiarios_Netflix[[#This Row],[Ingresos Mensuales]]*BBDD_Usiarios_Netflix[[#This Row],[Meses contratados]]</f>
        <v>182</v>
      </c>
      <c r="O166" t="s">
        <v>24</v>
      </c>
      <c r="P166" t="str">
        <f>IF(BBDD_Usiarios_Netflix[[#This Row],[País]]="","Desconocido",BBDD_Usiarios_Netflix[[#This Row],[País]])</f>
        <v>Australia</v>
      </c>
      <c r="Q166">
        <v>49</v>
      </c>
      <c r="R166" t="s">
        <v>25</v>
      </c>
      <c r="S166" t="s">
        <v>31</v>
      </c>
      <c r="T166" t="s">
        <v>27</v>
      </c>
      <c r="U166">
        <f>IF(IFERROR(VLOOKUP(BBDD_Usiarios_Netflix[[#This Row],[Identificador Usuario]],A167:$A$5870,1,FALSE),0)&lt;&gt;0,1,0)</f>
        <v>0</v>
      </c>
      <c r="V166" s="6" t="str">
        <f>IF(BBDD_Usiarios_Netflix[[#This Row],[Duración Plan]]="12 Meses",LEFT(BBDD_Usiarios_Netflix[[#This Row],[Duración Plan]],2),LEFT(BBDD_Usiarios_Netflix[[#This Row],[Duración Plan]],1))</f>
        <v>1</v>
      </c>
      <c r="W1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7" spans="1:23" x14ac:dyDescent="0.25">
      <c r="A167">
        <v>166</v>
      </c>
      <c r="B167" t="s">
        <v>28</v>
      </c>
      <c r="C167">
        <v>15</v>
      </c>
      <c r="D167" s="3">
        <v>16</v>
      </c>
      <c r="E167" s="3">
        <v>4</v>
      </c>
      <c r="F167">
        <v>23</v>
      </c>
      <c r="G167" s="1">
        <f>DATEVALUE(_xlfn.CONCAT(BBDD_Usiarios_Netflix[[#This Row],[Día Suscripción]],"/",BBDD_Usiarios_Netflix[[#This Row],[Mes Suscripción]],"/",BBDD_Usiarios_Netflix[[#This Row],[Año Suscripción]]))</f>
        <v>45032</v>
      </c>
      <c r="H167" s="1">
        <v>26</v>
      </c>
      <c r="I167" s="1">
        <v>6</v>
      </c>
      <c r="J167" s="1">
        <v>24</v>
      </c>
      <c r="K167" s="1" t="str">
        <f>TEXT(BBDD_Usiarios_Netflix[[#This Row],[Fecha Suscripción]],"dddd")</f>
        <v>domingo</v>
      </c>
      <c r="L167" s="1">
        <f>DATEVALUE(_xlfn.CONCAT(BBDD_Usiarios_Netflix[[#This Row],[Día Último Pago]],"/",BBDD_Usiarios_Netflix[[#This Row],[Mes Último Pago]],"/",BBDD_Usiarios_Netflix[[#This Row],[Año Último Pago]]))</f>
        <v>45469</v>
      </c>
      <c r="M167" s="4">
        <f>DATEDIF(BBDD_Usiarios_Netflix[[#This Row],[Fecha Suscripción]],BBDD_Usiarios_Netflix[[#This Row],[Fecha Último Pago]],"M")+1</f>
        <v>15</v>
      </c>
      <c r="N167" s="4">
        <f>BBDD_Usiarios_Netflix[[#This Row],[Ingresos Mensuales]]*BBDD_Usiarios_Netflix[[#This Row],[Meses contratados]]</f>
        <v>225</v>
      </c>
      <c r="O167" t="s">
        <v>43</v>
      </c>
      <c r="P167" t="str">
        <f>IF(BBDD_Usiarios_Netflix[[#This Row],[País]]="","Desconocido",BBDD_Usiarios_Netflix[[#This Row],[País]])</f>
        <v>Alemania</v>
      </c>
      <c r="Q167">
        <v>42</v>
      </c>
      <c r="R167" t="s">
        <v>25</v>
      </c>
      <c r="S167" t="s">
        <v>36</v>
      </c>
      <c r="T167" t="s">
        <v>27</v>
      </c>
      <c r="U167">
        <f>IF(IFERROR(VLOOKUP(BBDD_Usiarios_Netflix[[#This Row],[Identificador Usuario]],A168:$A$5870,1,FALSE),0)&lt;&gt;0,1,0)</f>
        <v>0</v>
      </c>
      <c r="V167" s="6" t="str">
        <f>IF(BBDD_Usiarios_Netflix[[#This Row],[Duración Plan]]="12 Meses",LEFT(BBDD_Usiarios_Netflix[[#This Row],[Duración Plan]],2),LEFT(BBDD_Usiarios_Netflix[[#This Row],[Duración Plan]],1))</f>
        <v>1</v>
      </c>
      <c r="W1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8" spans="1:23" x14ac:dyDescent="0.25">
      <c r="A168">
        <v>167</v>
      </c>
      <c r="B168" t="s">
        <v>23</v>
      </c>
      <c r="C168">
        <v>11</v>
      </c>
      <c r="D168" s="3">
        <v>7</v>
      </c>
      <c r="E168" s="3">
        <v>4</v>
      </c>
      <c r="F168">
        <v>23</v>
      </c>
      <c r="G168" s="1">
        <f>DATEVALUE(_xlfn.CONCAT(BBDD_Usiarios_Netflix[[#This Row],[Día Suscripción]],"/",BBDD_Usiarios_Netflix[[#This Row],[Mes Suscripción]],"/",BBDD_Usiarios_Netflix[[#This Row],[Año Suscripción]]))</f>
        <v>45023</v>
      </c>
      <c r="H168" s="1">
        <v>24</v>
      </c>
      <c r="I168" s="1">
        <v>6</v>
      </c>
      <c r="J168" s="1">
        <v>24</v>
      </c>
      <c r="K168" s="1" t="str">
        <f>TEXT(BBDD_Usiarios_Netflix[[#This Row],[Fecha Suscripción]],"dddd")</f>
        <v>viernes</v>
      </c>
      <c r="L168" s="1">
        <f>DATEVALUE(_xlfn.CONCAT(BBDD_Usiarios_Netflix[[#This Row],[Día Último Pago]],"/",BBDD_Usiarios_Netflix[[#This Row],[Mes Último Pago]],"/",BBDD_Usiarios_Netflix[[#This Row],[Año Último Pago]]))</f>
        <v>45467</v>
      </c>
      <c r="M168" s="4">
        <f>DATEDIF(BBDD_Usiarios_Netflix[[#This Row],[Fecha Suscripción]],BBDD_Usiarios_Netflix[[#This Row],[Fecha Último Pago]],"M")+1</f>
        <v>15</v>
      </c>
      <c r="N168" s="4">
        <f>BBDD_Usiarios_Netflix[[#This Row],[Ingresos Mensuales]]*BBDD_Usiarios_Netflix[[#This Row],[Meses contratados]]</f>
        <v>165</v>
      </c>
      <c r="O168" t="s">
        <v>39</v>
      </c>
      <c r="P168" t="str">
        <f>IF(BBDD_Usiarios_Netflix[[#This Row],[País]]="","Desconocido",BBDD_Usiarios_Netflix[[#This Row],[País]])</f>
        <v>Canadá</v>
      </c>
      <c r="Q168">
        <v>29</v>
      </c>
      <c r="R168" t="s">
        <v>25</v>
      </c>
      <c r="S168" t="s">
        <v>26</v>
      </c>
      <c r="T168" t="s">
        <v>27</v>
      </c>
      <c r="U168">
        <f>IF(IFERROR(VLOOKUP(BBDD_Usiarios_Netflix[[#This Row],[Identificador Usuario]],A169:$A$5870,1,FALSE),0)&lt;&gt;0,1,0)</f>
        <v>0</v>
      </c>
      <c r="V168" s="6" t="str">
        <f>IF(BBDD_Usiarios_Netflix[[#This Row],[Duración Plan]]="12 Meses",LEFT(BBDD_Usiarios_Netflix[[#This Row],[Duración Plan]],2),LEFT(BBDD_Usiarios_Netflix[[#This Row],[Duración Plan]],1))</f>
        <v>1</v>
      </c>
      <c r="W1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9" spans="1:23" x14ac:dyDescent="0.25">
      <c r="A169">
        <v>168</v>
      </c>
      <c r="B169" t="s">
        <v>32</v>
      </c>
      <c r="C169">
        <v>13</v>
      </c>
      <c r="D169" s="3">
        <v>11</v>
      </c>
      <c r="E169" s="3">
        <v>12</v>
      </c>
      <c r="F169">
        <v>23</v>
      </c>
      <c r="G169" s="1">
        <f>DATEVALUE(_xlfn.CONCAT(BBDD_Usiarios_Netflix[[#This Row],[Día Suscripción]],"/",BBDD_Usiarios_Netflix[[#This Row],[Mes Suscripción]],"/",BBDD_Usiarios_Netflix[[#This Row],[Año Suscripción]]))</f>
        <v>45271</v>
      </c>
      <c r="H169" s="1">
        <v>28</v>
      </c>
      <c r="I169" s="1">
        <v>6</v>
      </c>
      <c r="J169" s="1">
        <v>24</v>
      </c>
      <c r="K169" s="1" t="str">
        <f>TEXT(BBDD_Usiarios_Netflix[[#This Row],[Fecha Suscripción]],"dddd")</f>
        <v>lunes</v>
      </c>
      <c r="L169" s="1">
        <f>DATEVALUE(_xlfn.CONCAT(BBDD_Usiarios_Netflix[[#This Row],[Día Último Pago]],"/",BBDD_Usiarios_Netflix[[#This Row],[Mes Último Pago]],"/",BBDD_Usiarios_Netflix[[#This Row],[Año Último Pago]]))</f>
        <v>45471</v>
      </c>
      <c r="M169" s="4">
        <f>DATEDIF(BBDD_Usiarios_Netflix[[#This Row],[Fecha Suscripción]],BBDD_Usiarios_Netflix[[#This Row],[Fecha Último Pago]],"M")+1</f>
        <v>7</v>
      </c>
      <c r="N169" s="4">
        <f>BBDD_Usiarios_Netflix[[#This Row],[Ingresos Mensuales]]*BBDD_Usiarios_Netflix[[#This Row],[Meses contratados]]</f>
        <v>91</v>
      </c>
      <c r="O169" t="s">
        <v>42</v>
      </c>
      <c r="P169" t="str">
        <f>IF(BBDD_Usiarios_Netflix[[#This Row],[País]]="","Desconocido",BBDD_Usiarios_Netflix[[#This Row],[País]])</f>
        <v>Reino Unido</v>
      </c>
      <c r="Q169">
        <v>29</v>
      </c>
      <c r="R169" t="s">
        <v>25</v>
      </c>
      <c r="S169" t="s">
        <v>31</v>
      </c>
      <c r="T169" t="s">
        <v>35</v>
      </c>
      <c r="U169">
        <f>IF(IFERROR(VLOOKUP(BBDD_Usiarios_Netflix[[#This Row],[Identificador Usuario]],A170:$A$5870,1,FALSE),0)&lt;&gt;0,1,0)</f>
        <v>0</v>
      </c>
      <c r="V169" s="6" t="str">
        <f>IF(BBDD_Usiarios_Netflix[[#This Row],[Duración Plan]]="12 Meses",LEFT(BBDD_Usiarios_Netflix[[#This Row],[Duración Plan]],2),LEFT(BBDD_Usiarios_Netflix[[#This Row],[Duración Plan]],1))</f>
        <v>6</v>
      </c>
      <c r="W1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0" spans="1:23" x14ac:dyDescent="0.25">
      <c r="A170">
        <v>169</v>
      </c>
      <c r="B170" t="s">
        <v>28</v>
      </c>
      <c r="C170">
        <v>15</v>
      </c>
      <c r="D170" s="3">
        <v>20</v>
      </c>
      <c r="E170" s="3">
        <v>1</v>
      </c>
      <c r="F170">
        <v>24</v>
      </c>
      <c r="G170" s="1">
        <f>DATEVALUE(_xlfn.CONCAT(BBDD_Usiarios_Netflix[[#This Row],[Día Suscripción]],"/",BBDD_Usiarios_Netflix[[#This Row],[Mes Suscripción]],"/",BBDD_Usiarios_Netflix[[#This Row],[Año Suscripción]]))</f>
        <v>45311</v>
      </c>
      <c r="H170" s="1">
        <v>26</v>
      </c>
      <c r="I170" s="1">
        <v>6</v>
      </c>
      <c r="J170" s="1">
        <v>24</v>
      </c>
      <c r="K170" s="1" t="str">
        <f>TEXT(BBDD_Usiarios_Netflix[[#This Row],[Fecha Suscripción]],"dddd")</f>
        <v>sábado</v>
      </c>
      <c r="L170" s="1">
        <f>DATEVALUE(_xlfn.CONCAT(BBDD_Usiarios_Netflix[[#This Row],[Día Último Pago]],"/",BBDD_Usiarios_Netflix[[#This Row],[Mes Último Pago]],"/",BBDD_Usiarios_Netflix[[#This Row],[Año Último Pago]]))</f>
        <v>45469</v>
      </c>
      <c r="M170" s="4">
        <f>DATEDIF(BBDD_Usiarios_Netflix[[#This Row],[Fecha Suscripción]],BBDD_Usiarios_Netflix[[#This Row],[Fecha Último Pago]],"M")+1</f>
        <v>6</v>
      </c>
      <c r="N170" s="4">
        <f>BBDD_Usiarios_Netflix[[#This Row],[Ingresos Mensuales]]*BBDD_Usiarios_Netflix[[#This Row],[Meses contratados]]</f>
        <v>90</v>
      </c>
      <c r="O170" t="s">
        <v>39</v>
      </c>
      <c r="P170" t="str">
        <f>IF(BBDD_Usiarios_Netflix[[#This Row],[País]]="","Desconocido",BBDD_Usiarios_Netflix[[#This Row],[País]])</f>
        <v>Canadá</v>
      </c>
      <c r="Q170">
        <v>49</v>
      </c>
      <c r="R170" t="s">
        <v>25</v>
      </c>
      <c r="S170" t="s">
        <v>31</v>
      </c>
      <c r="T170" t="s">
        <v>35</v>
      </c>
      <c r="U170">
        <f>IF(IFERROR(VLOOKUP(BBDD_Usiarios_Netflix[[#This Row],[Identificador Usuario]],A171:$A$5870,1,FALSE),0)&lt;&gt;0,1,0)</f>
        <v>0</v>
      </c>
      <c r="V170" s="6" t="str">
        <f>IF(BBDD_Usiarios_Netflix[[#This Row],[Duración Plan]]="12 Meses",LEFT(BBDD_Usiarios_Netflix[[#This Row],[Duración Plan]],2),LEFT(BBDD_Usiarios_Netflix[[#This Row],[Duración Plan]],1))</f>
        <v>6</v>
      </c>
      <c r="W1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1" spans="1:23" x14ac:dyDescent="0.25">
      <c r="A171">
        <v>170</v>
      </c>
      <c r="B171" t="s">
        <v>23</v>
      </c>
      <c r="C171">
        <v>11</v>
      </c>
      <c r="D171" s="3">
        <v>12</v>
      </c>
      <c r="E171" s="3">
        <v>1</v>
      </c>
      <c r="F171">
        <v>24</v>
      </c>
      <c r="G171" s="1">
        <f>DATEVALUE(_xlfn.CONCAT(BBDD_Usiarios_Netflix[[#This Row],[Día Suscripción]],"/",BBDD_Usiarios_Netflix[[#This Row],[Mes Suscripción]],"/",BBDD_Usiarios_Netflix[[#This Row],[Año Suscripción]]))</f>
        <v>45303</v>
      </c>
      <c r="H171" s="1">
        <v>25</v>
      </c>
      <c r="I171" s="1">
        <v>6</v>
      </c>
      <c r="J171" s="1">
        <v>24</v>
      </c>
      <c r="K171" s="1" t="str">
        <f>TEXT(BBDD_Usiarios_Netflix[[#This Row],[Fecha Suscripción]],"dddd")</f>
        <v>viernes</v>
      </c>
      <c r="L171" s="1">
        <f>DATEVALUE(_xlfn.CONCAT(BBDD_Usiarios_Netflix[[#This Row],[Día Último Pago]],"/",BBDD_Usiarios_Netflix[[#This Row],[Mes Último Pago]],"/",BBDD_Usiarios_Netflix[[#This Row],[Año Último Pago]]))</f>
        <v>45468</v>
      </c>
      <c r="M171" s="4">
        <f>DATEDIF(BBDD_Usiarios_Netflix[[#This Row],[Fecha Suscripción]],BBDD_Usiarios_Netflix[[#This Row],[Fecha Último Pago]],"M")+1</f>
        <v>6</v>
      </c>
      <c r="N171" s="4">
        <f>BBDD_Usiarios_Netflix[[#This Row],[Ingresos Mensuales]]*BBDD_Usiarios_Netflix[[#This Row],[Meses contratados]]</f>
        <v>66</v>
      </c>
      <c r="O171" t="s">
        <v>37</v>
      </c>
      <c r="P171" t="str">
        <f>IF(BBDD_Usiarios_Netflix[[#This Row],[País]]="","Desconocido",BBDD_Usiarios_Netflix[[#This Row],[País]])</f>
        <v>Brasil</v>
      </c>
      <c r="Q171">
        <v>32</v>
      </c>
      <c r="R171" t="s">
        <v>25</v>
      </c>
      <c r="S171" t="s">
        <v>36</v>
      </c>
      <c r="T171" t="s">
        <v>41</v>
      </c>
      <c r="U171">
        <f>IF(IFERROR(VLOOKUP(BBDD_Usiarios_Netflix[[#This Row],[Identificador Usuario]],A172:$A$5870,1,FALSE),0)&lt;&gt;0,1,0)</f>
        <v>0</v>
      </c>
      <c r="V171" s="6" t="str">
        <f>IF(BBDD_Usiarios_Netflix[[#This Row],[Duración Plan]]="12 Meses",LEFT(BBDD_Usiarios_Netflix[[#This Row],[Duración Plan]],2),LEFT(BBDD_Usiarios_Netflix[[#This Row],[Duración Plan]],1))</f>
        <v>12</v>
      </c>
      <c r="W1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2" spans="1:23" x14ac:dyDescent="0.25">
      <c r="A172">
        <v>171</v>
      </c>
      <c r="B172" t="s">
        <v>28</v>
      </c>
      <c r="C172">
        <v>15</v>
      </c>
      <c r="D172" s="3">
        <v>29</v>
      </c>
      <c r="E172" s="3">
        <v>4</v>
      </c>
      <c r="F172">
        <v>23</v>
      </c>
      <c r="G172" s="1">
        <f>DATEVALUE(_xlfn.CONCAT(BBDD_Usiarios_Netflix[[#This Row],[Día Suscripción]],"/",BBDD_Usiarios_Netflix[[#This Row],[Mes Suscripción]],"/",BBDD_Usiarios_Netflix[[#This Row],[Año Suscripción]]))</f>
        <v>45045</v>
      </c>
      <c r="H172" s="1">
        <v>24</v>
      </c>
      <c r="I172" s="1">
        <v>6</v>
      </c>
      <c r="J172" s="1">
        <v>24</v>
      </c>
      <c r="K172" s="1" t="str">
        <f>TEXT(BBDD_Usiarios_Netflix[[#This Row],[Fecha Suscripción]],"dddd")</f>
        <v>sábado</v>
      </c>
      <c r="L172" s="1">
        <f>DATEVALUE(_xlfn.CONCAT(BBDD_Usiarios_Netflix[[#This Row],[Día Último Pago]],"/",BBDD_Usiarios_Netflix[[#This Row],[Mes Último Pago]],"/",BBDD_Usiarios_Netflix[[#This Row],[Año Último Pago]]))</f>
        <v>45467</v>
      </c>
      <c r="M172" s="4">
        <f>DATEDIF(BBDD_Usiarios_Netflix[[#This Row],[Fecha Suscripción]],BBDD_Usiarios_Netflix[[#This Row],[Fecha Último Pago]],"M")+1</f>
        <v>14</v>
      </c>
      <c r="N172" s="4">
        <f>BBDD_Usiarios_Netflix[[#This Row],[Ingresos Mensuales]]*BBDD_Usiarios_Netflix[[#This Row],[Meses contratados]]</f>
        <v>210</v>
      </c>
      <c r="O172" t="s">
        <v>29</v>
      </c>
      <c r="P172" t="str">
        <f>IF(BBDD_Usiarios_Netflix[[#This Row],[País]]="","Desconocido",BBDD_Usiarios_Netflix[[#This Row],[País]])</f>
        <v>EEUU</v>
      </c>
      <c r="Q172">
        <v>35</v>
      </c>
      <c r="R172" t="s">
        <v>30</v>
      </c>
      <c r="S172" t="s">
        <v>31</v>
      </c>
      <c r="T172" t="s">
        <v>41</v>
      </c>
      <c r="U172">
        <f>IF(IFERROR(VLOOKUP(BBDD_Usiarios_Netflix[[#This Row],[Identificador Usuario]],A173:$A$5870,1,FALSE),0)&lt;&gt;0,1,0)</f>
        <v>0</v>
      </c>
      <c r="V172" s="6" t="str">
        <f>IF(BBDD_Usiarios_Netflix[[#This Row],[Duración Plan]]="12 Meses",LEFT(BBDD_Usiarios_Netflix[[#This Row],[Duración Plan]],2),LEFT(BBDD_Usiarios_Netflix[[#This Row],[Duración Plan]],1))</f>
        <v>12</v>
      </c>
      <c r="W1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3" spans="1:23" x14ac:dyDescent="0.25">
      <c r="A173">
        <v>172</v>
      </c>
      <c r="B173" t="s">
        <v>23</v>
      </c>
      <c r="C173">
        <v>11</v>
      </c>
      <c r="D173" s="3">
        <v>27</v>
      </c>
      <c r="E173" s="3">
        <v>4</v>
      </c>
      <c r="F173">
        <v>23</v>
      </c>
      <c r="G173" s="1">
        <f>DATEVALUE(_xlfn.CONCAT(BBDD_Usiarios_Netflix[[#This Row],[Día Suscripción]],"/",BBDD_Usiarios_Netflix[[#This Row],[Mes Suscripción]],"/",BBDD_Usiarios_Netflix[[#This Row],[Año Suscripción]]))</f>
        <v>45043</v>
      </c>
      <c r="H173" s="1">
        <v>26</v>
      </c>
      <c r="I173" s="1">
        <v>6</v>
      </c>
      <c r="J173" s="1">
        <v>24</v>
      </c>
      <c r="K173" s="1" t="str">
        <f>TEXT(BBDD_Usiarios_Netflix[[#This Row],[Fecha Suscripción]],"dddd")</f>
        <v>jueves</v>
      </c>
      <c r="L173" s="1">
        <f>DATEVALUE(_xlfn.CONCAT(BBDD_Usiarios_Netflix[[#This Row],[Día Último Pago]],"/",BBDD_Usiarios_Netflix[[#This Row],[Mes Último Pago]],"/",BBDD_Usiarios_Netflix[[#This Row],[Año Último Pago]]))</f>
        <v>45469</v>
      </c>
      <c r="M173" s="4">
        <f>DATEDIF(BBDD_Usiarios_Netflix[[#This Row],[Fecha Suscripción]],BBDD_Usiarios_Netflix[[#This Row],[Fecha Último Pago]],"M")+1</f>
        <v>14</v>
      </c>
      <c r="N173" s="4">
        <f>BBDD_Usiarios_Netflix[[#This Row],[Ingresos Mensuales]]*BBDD_Usiarios_Netflix[[#This Row],[Meses contratados]]</f>
        <v>154</v>
      </c>
      <c r="O173" t="s">
        <v>44</v>
      </c>
      <c r="P173" t="str">
        <f>IF(BBDD_Usiarios_Netflix[[#This Row],[País]]="","Desconocido",BBDD_Usiarios_Netflix[[#This Row],[País]])</f>
        <v>Desconocido</v>
      </c>
      <c r="Q173">
        <v>39</v>
      </c>
      <c r="R173" t="s">
        <v>30</v>
      </c>
      <c r="S173" t="s">
        <v>26</v>
      </c>
      <c r="T173" t="s">
        <v>27</v>
      </c>
      <c r="U173">
        <f>IF(IFERROR(VLOOKUP(BBDD_Usiarios_Netflix[[#This Row],[Identificador Usuario]],A174:$A$5870,1,FALSE),0)&lt;&gt;0,1,0)</f>
        <v>0</v>
      </c>
      <c r="V173" s="6" t="str">
        <f>IF(BBDD_Usiarios_Netflix[[#This Row],[Duración Plan]]="12 Meses",LEFT(BBDD_Usiarios_Netflix[[#This Row],[Duración Plan]],2),LEFT(BBDD_Usiarios_Netflix[[#This Row],[Duración Plan]],1))</f>
        <v>1</v>
      </c>
      <c r="W1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4" spans="1:23" x14ac:dyDescent="0.25">
      <c r="A174">
        <v>173</v>
      </c>
      <c r="B174" t="s">
        <v>32</v>
      </c>
      <c r="C174">
        <v>12</v>
      </c>
      <c r="D174" s="3">
        <v>3</v>
      </c>
      <c r="E174" s="3">
        <v>6</v>
      </c>
      <c r="F174">
        <v>23</v>
      </c>
      <c r="G174" s="1">
        <f>DATEVALUE(_xlfn.CONCAT(BBDD_Usiarios_Netflix[[#This Row],[Día Suscripción]],"/",BBDD_Usiarios_Netflix[[#This Row],[Mes Suscripción]],"/",BBDD_Usiarios_Netflix[[#This Row],[Año Suscripción]]))</f>
        <v>45080</v>
      </c>
      <c r="H174" s="1">
        <v>25</v>
      </c>
      <c r="I174" s="1">
        <v>6</v>
      </c>
      <c r="J174" s="1">
        <v>24</v>
      </c>
      <c r="K174" s="1" t="str">
        <f>TEXT(BBDD_Usiarios_Netflix[[#This Row],[Fecha Suscripción]],"dddd")</f>
        <v>sábado</v>
      </c>
      <c r="L174" s="1">
        <f>DATEVALUE(_xlfn.CONCAT(BBDD_Usiarios_Netflix[[#This Row],[Día Último Pago]],"/",BBDD_Usiarios_Netflix[[#This Row],[Mes Último Pago]],"/",BBDD_Usiarios_Netflix[[#This Row],[Año Último Pago]]))</f>
        <v>45468</v>
      </c>
      <c r="M174" s="4">
        <f>DATEDIF(BBDD_Usiarios_Netflix[[#This Row],[Fecha Suscripción]],BBDD_Usiarios_Netflix[[#This Row],[Fecha Último Pago]],"M")+1</f>
        <v>13</v>
      </c>
      <c r="N174" s="4">
        <f>BBDD_Usiarios_Netflix[[#This Row],[Ingresos Mensuales]]*BBDD_Usiarios_Netflix[[#This Row],[Meses contratados]]</f>
        <v>156</v>
      </c>
      <c r="O174" t="s">
        <v>29</v>
      </c>
      <c r="P174" t="str">
        <f>IF(BBDD_Usiarios_Netflix[[#This Row],[País]]="","Desconocido",BBDD_Usiarios_Netflix[[#This Row],[País]])</f>
        <v>EEUU</v>
      </c>
      <c r="Q174">
        <v>40</v>
      </c>
      <c r="R174" t="s">
        <v>25</v>
      </c>
      <c r="S174" t="s">
        <v>26</v>
      </c>
      <c r="T174" t="s">
        <v>27</v>
      </c>
      <c r="U174">
        <f>IF(IFERROR(VLOOKUP(BBDD_Usiarios_Netflix[[#This Row],[Identificador Usuario]],A175:$A$5870,1,FALSE),0)&lt;&gt;0,1,0)</f>
        <v>0</v>
      </c>
      <c r="V174" s="6" t="str">
        <f>IF(BBDD_Usiarios_Netflix[[#This Row],[Duración Plan]]="12 Meses",LEFT(BBDD_Usiarios_Netflix[[#This Row],[Duración Plan]],2),LEFT(BBDD_Usiarios_Netflix[[#This Row],[Duración Plan]],1))</f>
        <v>1</v>
      </c>
      <c r="W1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" spans="1:23" x14ac:dyDescent="0.25">
      <c r="A175">
        <v>174</v>
      </c>
      <c r="B175" t="s">
        <v>32</v>
      </c>
      <c r="C175">
        <v>13</v>
      </c>
      <c r="D175" s="3">
        <v>23</v>
      </c>
      <c r="E175" s="3">
        <v>4</v>
      </c>
      <c r="F175">
        <v>23</v>
      </c>
      <c r="G175" s="1">
        <f>DATEVALUE(_xlfn.CONCAT(BBDD_Usiarios_Netflix[[#This Row],[Día Suscripción]],"/",BBDD_Usiarios_Netflix[[#This Row],[Mes Suscripción]],"/",BBDD_Usiarios_Netflix[[#This Row],[Año Suscripción]]))</f>
        <v>45039</v>
      </c>
      <c r="H175" s="1">
        <v>25</v>
      </c>
      <c r="I175" s="1">
        <v>6</v>
      </c>
      <c r="J175" s="1">
        <v>24</v>
      </c>
      <c r="K175" s="1" t="str">
        <f>TEXT(BBDD_Usiarios_Netflix[[#This Row],[Fecha Suscripción]],"dddd")</f>
        <v>domingo</v>
      </c>
      <c r="L175" s="1">
        <f>DATEVALUE(_xlfn.CONCAT(BBDD_Usiarios_Netflix[[#This Row],[Día Último Pago]],"/",BBDD_Usiarios_Netflix[[#This Row],[Mes Último Pago]],"/",BBDD_Usiarios_Netflix[[#This Row],[Año Último Pago]]))</f>
        <v>45468</v>
      </c>
      <c r="M175" s="4">
        <f>DATEDIF(BBDD_Usiarios_Netflix[[#This Row],[Fecha Suscripción]],BBDD_Usiarios_Netflix[[#This Row],[Fecha Último Pago]],"M")+1</f>
        <v>15</v>
      </c>
      <c r="N175" s="4">
        <f>BBDD_Usiarios_Netflix[[#This Row],[Ingresos Mensuales]]*BBDD_Usiarios_Netflix[[#This Row],[Meses contratados]]</f>
        <v>195</v>
      </c>
      <c r="O175" t="s">
        <v>29</v>
      </c>
      <c r="P175" t="str">
        <f>IF(BBDD_Usiarios_Netflix[[#This Row],[País]]="","Desconocido",BBDD_Usiarios_Netflix[[#This Row],[País]])</f>
        <v>EEUU</v>
      </c>
      <c r="Q175">
        <v>39</v>
      </c>
      <c r="R175" t="s">
        <v>30</v>
      </c>
      <c r="S175" t="s">
        <v>31</v>
      </c>
      <c r="T175" t="s">
        <v>41</v>
      </c>
      <c r="U175">
        <f>IF(IFERROR(VLOOKUP(BBDD_Usiarios_Netflix[[#This Row],[Identificador Usuario]],A176:$A$5870,1,FALSE),0)&lt;&gt;0,1,0)</f>
        <v>0</v>
      </c>
      <c r="V175" s="6" t="str">
        <f>IF(BBDD_Usiarios_Netflix[[#This Row],[Duración Plan]]="12 Meses",LEFT(BBDD_Usiarios_Netflix[[#This Row],[Duración Plan]],2),LEFT(BBDD_Usiarios_Netflix[[#This Row],[Duración Plan]],1))</f>
        <v>12</v>
      </c>
      <c r="W1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6" spans="1:23" x14ac:dyDescent="0.25">
      <c r="A176">
        <v>175</v>
      </c>
      <c r="B176" t="s">
        <v>23</v>
      </c>
      <c r="C176">
        <v>11</v>
      </c>
      <c r="D176" s="3">
        <v>22</v>
      </c>
      <c r="E176" s="3">
        <v>4</v>
      </c>
      <c r="F176">
        <v>23</v>
      </c>
      <c r="G176" s="1">
        <f>DATEVALUE(_xlfn.CONCAT(BBDD_Usiarios_Netflix[[#This Row],[Día Suscripción]],"/",BBDD_Usiarios_Netflix[[#This Row],[Mes Suscripción]],"/",BBDD_Usiarios_Netflix[[#This Row],[Año Suscripción]]))</f>
        <v>45038</v>
      </c>
      <c r="H176" s="1">
        <v>26</v>
      </c>
      <c r="I176" s="1">
        <v>6</v>
      </c>
      <c r="J176" s="1">
        <v>24</v>
      </c>
      <c r="K176" s="1" t="str">
        <f>TEXT(BBDD_Usiarios_Netflix[[#This Row],[Fecha Suscripción]],"dddd")</f>
        <v>sábado</v>
      </c>
      <c r="L176" s="1">
        <f>DATEVALUE(_xlfn.CONCAT(BBDD_Usiarios_Netflix[[#This Row],[Día Último Pago]],"/",BBDD_Usiarios_Netflix[[#This Row],[Mes Último Pago]],"/",BBDD_Usiarios_Netflix[[#This Row],[Año Último Pago]]))</f>
        <v>45469</v>
      </c>
      <c r="M176" s="4">
        <f>DATEDIF(BBDD_Usiarios_Netflix[[#This Row],[Fecha Suscripción]],BBDD_Usiarios_Netflix[[#This Row],[Fecha Último Pago]],"M")+1</f>
        <v>15</v>
      </c>
      <c r="N176" s="4">
        <f>BBDD_Usiarios_Netflix[[#This Row],[Ingresos Mensuales]]*BBDD_Usiarios_Netflix[[#This Row],[Meses contratados]]</f>
        <v>165</v>
      </c>
      <c r="O176" t="s">
        <v>29</v>
      </c>
      <c r="P176" t="str">
        <f>IF(BBDD_Usiarios_Netflix[[#This Row],[País]]="","Desconocido",BBDD_Usiarios_Netflix[[#This Row],[País]])</f>
        <v>EEUU</v>
      </c>
      <c r="Q176">
        <v>47</v>
      </c>
      <c r="R176" t="s">
        <v>30</v>
      </c>
      <c r="S176" t="s">
        <v>36</v>
      </c>
      <c r="T176" t="s">
        <v>41</v>
      </c>
      <c r="U176">
        <f>IF(IFERROR(VLOOKUP(BBDD_Usiarios_Netflix[[#This Row],[Identificador Usuario]],A177:$A$5870,1,FALSE),0)&lt;&gt;0,1,0)</f>
        <v>0</v>
      </c>
      <c r="V176" s="6" t="str">
        <f>IF(BBDD_Usiarios_Netflix[[#This Row],[Duración Plan]]="12 Meses",LEFT(BBDD_Usiarios_Netflix[[#This Row],[Duración Plan]],2),LEFT(BBDD_Usiarios_Netflix[[#This Row],[Duración Plan]],1))</f>
        <v>12</v>
      </c>
      <c r="W1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7" spans="1:23" x14ac:dyDescent="0.25">
      <c r="A177">
        <v>176</v>
      </c>
      <c r="B177" t="s">
        <v>28</v>
      </c>
      <c r="C177">
        <v>15</v>
      </c>
      <c r="D177" s="3">
        <v>12</v>
      </c>
      <c r="E177" s="3">
        <v>4</v>
      </c>
      <c r="F177">
        <v>23</v>
      </c>
      <c r="G177" s="1">
        <f>DATEVALUE(_xlfn.CONCAT(BBDD_Usiarios_Netflix[[#This Row],[Día Suscripción]],"/",BBDD_Usiarios_Netflix[[#This Row],[Mes Suscripción]],"/",BBDD_Usiarios_Netflix[[#This Row],[Año Suscripción]]))</f>
        <v>45028</v>
      </c>
      <c r="H177" s="1">
        <v>25</v>
      </c>
      <c r="I177" s="1">
        <v>6</v>
      </c>
      <c r="J177" s="1">
        <v>24</v>
      </c>
      <c r="K177" s="1" t="str">
        <f>TEXT(BBDD_Usiarios_Netflix[[#This Row],[Fecha Suscripción]],"dddd")</f>
        <v>miércoles</v>
      </c>
      <c r="L177" s="1">
        <f>DATEVALUE(_xlfn.CONCAT(BBDD_Usiarios_Netflix[[#This Row],[Día Último Pago]],"/",BBDD_Usiarios_Netflix[[#This Row],[Mes Último Pago]],"/",BBDD_Usiarios_Netflix[[#This Row],[Año Último Pago]]))</f>
        <v>45468</v>
      </c>
      <c r="M177" s="4">
        <f>DATEDIF(BBDD_Usiarios_Netflix[[#This Row],[Fecha Suscripción]],BBDD_Usiarios_Netflix[[#This Row],[Fecha Último Pago]],"M")+1</f>
        <v>15</v>
      </c>
      <c r="N177" s="4">
        <f>BBDD_Usiarios_Netflix[[#This Row],[Ingresos Mensuales]]*BBDD_Usiarios_Netflix[[#This Row],[Meses contratados]]</f>
        <v>225</v>
      </c>
      <c r="O177" t="s">
        <v>43</v>
      </c>
      <c r="P177" t="str">
        <f>IF(BBDD_Usiarios_Netflix[[#This Row],[País]]="","Desconocido",BBDD_Usiarios_Netflix[[#This Row],[País]])</f>
        <v>Alemania</v>
      </c>
      <c r="Q177">
        <v>37</v>
      </c>
      <c r="R177" t="s">
        <v>30</v>
      </c>
      <c r="S177" t="s">
        <v>34</v>
      </c>
      <c r="T177" t="s">
        <v>38</v>
      </c>
      <c r="U177">
        <f>IF(IFERROR(VLOOKUP(BBDD_Usiarios_Netflix[[#This Row],[Identificador Usuario]],A178:$A$5870,1,FALSE),0)&lt;&gt;0,1,0)</f>
        <v>0</v>
      </c>
      <c r="V177" s="6" t="str">
        <f>IF(BBDD_Usiarios_Netflix[[#This Row],[Duración Plan]]="12 Meses",LEFT(BBDD_Usiarios_Netflix[[#This Row],[Duración Plan]],2),LEFT(BBDD_Usiarios_Netflix[[#This Row],[Duración Plan]],1))</f>
        <v>3</v>
      </c>
      <c r="W1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8" spans="1:23" x14ac:dyDescent="0.25">
      <c r="A178">
        <v>177</v>
      </c>
      <c r="B178" t="s">
        <v>23</v>
      </c>
      <c r="C178">
        <v>11</v>
      </c>
      <c r="D178" s="3">
        <v>23</v>
      </c>
      <c r="E178" s="3">
        <v>5</v>
      </c>
      <c r="F178">
        <v>23</v>
      </c>
      <c r="G178" s="1">
        <f>DATEVALUE(_xlfn.CONCAT(BBDD_Usiarios_Netflix[[#This Row],[Día Suscripción]],"/",BBDD_Usiarios_Netflix[[#This Row],[Mes Suscripción]],"/",BBDD_Usiarios_Netflix[[#This Row],[Año Suscripción]]))</f>
        <v>45069</v>
      </c>
      <c r="H178" s="1">
        <v>26</v>
      </c>
      <c r="I178" s="1">
        <v>6</v>
      </c>
      <c r="J178" s="1">
        <v>24</v>
      </c>
      <c r="K178" s="1" t="str">
        <f>TEXT(BBDD_Usiarios_Netflix[[#This Row],[Fecha Suscripción]],"dddd")</f>
        <v>martes</v>
      </c>
      <c r="L178" s="1">
        <f>DATEVALUE(_xlfn.CONCAT(BBDD_Usiarios_Netflix[[#This Row],[Día Último Pago]],"/",BBDD_Usiarios_Netflix[[#This Row],[Mes Último Pago]],"/",BBDD_Usiarios_Netflix[[#This Row],[Año Último Pago]]))</f>
        <v>45469</v>
      </c>
      <c r="M178" s="4">
        <f>DATEDIF(BBDD_Usiarios_Netflix[[#This Row],[Fecha Suscripción]],BBDD_Usiarios_Netflix[[#This Row],[Fecha Último Pago]],"M")+1</f>
        <v>14</v>
      </c>
      <c r="N178" s="4">
        <f>BBDD_Usiarios_Netflix[[#This Row],[Ingresos Mensuales]]*BBDD_Usiarios_Netflix[[#This Row],[Meses contratados]]</f>
        <v>154</v>
      </c>
      <c r="O178" t="s">
        <v>40</v>
      </c>
      <c r="P178" t="str">
        <f>IF(BBDD_Usiarios_Netflix[[#This Row],[País]]="","Desconocido",BBDD_Usiarios_Netflix[[#This Row],[País]])</f>
        <v>Italia</v>
      </c>
      <c r="Q178">
        <v>27</v>
      </c>
      <c r="R178" t="s">
        <v>30</v>
      </c>
      <c r="S178" t="s">
        <v>26</v>
      </c>
      <c r="T178" t="s">
        <v>41</v>
      </c>
      <c r="U178">
        <f>IF(IFERROR(VLOOKUP(BBDD_Usiarios_Netflix[[#This Row],[Identificador Usuario]],A179:$A$5870,1,FALSE),0)&lt;&gt;0,1,0)</f>
        <v>0</v>
      </c>
      <c r="V178" s="6" t="str">
        <f>IF(BBDD_Usiarios_Netflix[[#This Row],[Duración Plan]]="12 Meses",LEFT(BBDD_Usiarios_Netflix[[#This Row],[Duración Plan]],2),LEFT(BBDD_Usiarios_Netflix[[#This Row],[Duración Plan]],1))</f>
        <v>12</v>
      </c>
      <c r="W1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9" spans="1:23" x14ac:dyDescent="0.25">
      <c r="A179">
        <v>178</v>
      </c>
      <c r="B179" t="s">
        <v>32</v>
      </c>
      <c r="C179">
        <v>12</v>
      </c>
      <c r="D179" s="3">
        <v>19</v>
      </c>
      <c r="E179" s="3">
        <v>10</v>
      </c>
      <c r="F179">
        <v>23</v>
      </c>
      <c r="G179" s="1">
        <f>DATEVALUE(_xlfn.CONCAT(BBDD_Usiarios_Netflix[[#This Row],[Día Suscripción]],"/",BBDD_Usiarios_Netflix[[#This Row],[Mes Suscripción]],"/",BBDD_Usiarios_Netflix[[#This Row],[Año Suscripción]]))</f>
        <v>45218</v>
      </c>
      <c r="H179" s="1">
        <v>26</v>
      </c>
      <c r="I179" s="1">
        <v>6</v>
      </c>
      <c r="J179" s="1">
        <v>24</v>
      </c>
      <c r="K179" s="1" t="str">
        <f>TEXT(BBDD_Usiarios_Netflix[[#This Row],[Fecha Suscripción]],"dddd")</f>
        <v>jueves</v>
      </c>
      <c r="L179" s="1">
        <f>DATEVALUE(_xlfn.CONCAT(BBDD_Usiarios_Netflix[[#This Row],[Día Último Pago]],"/",BBDD_Usiarios_Netflix[[#This Row],[Mes Último Pago]],"/",BBDD_Usiarios_Netflix[[#This Row],[Año Último Pago]]))</f>
        <v>45469</v>
      </c>
      <c r="M179" s="4">
        <f>DATEDIF(BBDD_Usiarios_Netflix[[#This Row],[Fecha Suscripción]],BBDD_Usiarios_Netflix[[#This Row],[Fecha Último Pago]],"M")+1</f>
        <v>9</v>
      </c>
      <c r="N179" s="4">
        <f>BBDD_Usiarios_Netflix[[#This Row],[Ingresos Mensuales]]*BBDD_Usiarios_Netflix[[#This Row],[Meses contratados]]</f>
        <v>108</v>
      </c>
      <c r="O179" t="s">
        <v>43</v>
      </c>
      <c r="P179" t="str">
        <f>IF(BBDD_Usiarios_Netflix[[#This Row],[País]]="","Desconocido",BBDD_Usiarios_Netflix[[#This Row],[País]])</f>
        <v>Alemania</v>
      </c>
      <c r="Q179">
        <v>49</v>
      </c>
      <c r="R179" t="s">
        <v>30</v>
      </c>
      <c r="S179" t="s">
        <v>36</v>
      </c>
      <c r="T179" t="s">
        <v>35</v>
      </c>
      <c r="U179">
        <f>IF(IFERROR(VLOOKUP(BBDD_Usiarios_Netflix[[#This Row],[Identificador Usuario]],A180:$A$5870,1,FALSE),0)&lt;&gt;0,1,0)</f>
        <v>0</v>
      </c>
      <c r="V179" s="6" t="str">
        <f>IF(BBDD_Usiarios_Netflix[[#This Row],[Duración Plan]]="12 Meses",LEFT(BBDD_Usiarios_Netflix[[#This Row],[Duración Plan]],2),LEFT(BBDD_Usiarios_Netflix[[#This Row],[Duración Plan]],1))</f>
        <v>6</v>
      </c>
      <c r="W1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0" spans="1:23" x14ac:dyDescent="0.25">
      <c r="A180">
        <v>179</v>
      </c>
      <c r="B180" t="s">
        <v>28</v>
      </c>
      <c r="C180">
        <v>15</v>
      </c>
      <c r="D180" s="3">
        <v>3</v>
      </c>
      <c r="E180" s="3">
        <v>12</v>
      </c>
      <c r="F180">
        <v>23</v>
      </c>
      <c r="G180" s="1">
        <f>DATEVALUE(_xlfn.CONCAT(BBDD_Usiarios_Netflix[[#This Row],[Día Suscripción]],"/",BBDD_Usiarios_Netflix[[#This Row],[Mes Suscripción]],"/",BBDD_Usiarios_Netflix[[#This Row],[Año Suscripción]]))</f>
        <v>45263</v>
      </c>
      <c r="H180" s="1">
        <v>26</v>
      </c>
      <c r="I180" s="1">
        <v>6</v>
      </c>
      <c r="J180" s="1">
        <v>24</v>
      </c>
      <c r="K180" s="1" t="str">
        <f>TEXT(BBDD_Usiarios_Netflix[[#This Row],[Fecha Suscripción]],"dddd")</f>
        <v>domingo</v>
      </c>
      <c r="L180" s="1">
        <f>DATEVALUE(_xlfn.CONCAT(BBDD_Usiarios_Netflix[[#This Row],[Día Último Pago]],"/",BBDD_Usiarios_Netflix[[#This Row],[Mes Último Pago]],"/",BBDD_Usiarios_Netflix[[#This Row],[Año Último Pago]]))</f>
        <v>45469</v>
      </c>
      <c r="M180" s="4">
        <f>DATEDIF(BBDD_Usiarios_Netflix[[#This Row],[Fecha Suscripción]],BBDD_Usiarios_Netflix[[#This Row],[Fecha Último Pago]],"M")+1</f>
        <v>7</v>
      </c>
      <c r="N180" s="4">
        <f>BBDD_Usiarios_Netflix[[#This Row],[Ingresos Mensuales]]*BBDD_Usiarios_Netflix[[#This Row],[Meses contratados]]</f>
        <v>105</v>
      </c>
      <c r="O180" t="s">
        <v>43</v>
      </c>
      <c r="P180" t="str">
        <f>IF(BBDD_Usiarios_Netflix[[#This Row],[País]]="","Desconocido",BBDD_Usiarios_Netflix[[#This Row],[País]])</f>
        <v>Alemania</v>
      </c>
      <c r="Q180">
        <v>30</v>
      </c>
      <c r="R180" t="s">
        <v>30</v>
      </c>
      <c r="S180" t="s">
        <v>31</v>
      </c>
      <c r="T180" t="s">
        <v>41</v>
      </c>
      <c r="U180">
        <f>IF(IFERROR(VLOOKUP(BBDD_Usiarios_Netflix[[#This Row],[Identificador Usuario]],A181:$A$5870,1,FALSE),0)&lt;&gt;0,1,0)</f>
        <v>0</v>
      </c>
      <c r="V180" s="6" t="str">
        <f>IF(BBDD_Usiarios_Netflix[[#This Row],[Duración Plan]]="12 Meses",LEFT(BBDD_Usiarios_Netflix[[#This Row],[Duración Plan]],2),LEFT(BBDD_Usiarios_Netflix[[#This Row],[Duración Plan]],1))</f>
        <v>12</v>
      </c>
      <c r="W1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1" spans="1:23" x14ac:dyDescent="0.25">
      <c r="A181">
        <v>180</v>
      </c>
      <c r="B181" t="s">
        <v>23</v>
      </c>
      <c r="C181">
        <v>10</v>
      </c>
      <c r="D181" s="3">
        <v>26</v>
      </c>
      <c r="E181" s="3">
        <v>9</v>
      </c>
      <c r="F181">
        <v>23</v>
      </c>
      <c r="G181" s="1">
        <f>DATEVALUE(_xlfn.CONCAT(BBDD_Usiarios_Netflix[[#This Row],[Día Suscripción]],"/",BBDD_Usiarios_Netflix[[#This Row],[Mes Suscripción]],"/",BBDD_Usiarios_Netflix[[#This Row],[Año Suscripción]]))</f>
        <v>45195</v>
      </c>
      <c r="H181" s="1">
        <v>25</v>
      </c>
      <c r="I181" s="1">
        <v>6</v>
      </c>
      <c r="J181" s="1">
        <v>24</v>
      </c>
      <c r="K181" s="1" t="str">
        <f>TEXT(BBDD_Usiarios_Netflix[[#This Row],[Fecha Suscripción]],"dddd")</f>
        <v>martes</v>
      </c>
      <c r="L181" s="1">
        <f>DATEVALUE(_xlfn.CONCAT(BBDD_Usiarios_Netflix[[#This Row],[Día Último Pago]],"/",BBDD_Usiarios_Netflix[[#This Row],[Mes Último Pago]],"/",BBDD_Usiarios_Netflix[[#This Row],[Año Último Pago]]))</f>
        <v>45468</v>
      </c>
      <c r="M181" s="4">
        <f>DATEDIF(BBDD_Usiarios_Netflix[[#This Row],[Fecha Suscripción]],BBDD_Usiarios_Netflix[[#This Row],[Fecha Último Pago]],"M")+1</f>
        <v>9</v>
      </c>
      <c r="N181" s="4">
        <f>BBDD_Usiarios_Netflix[[#This Row],[Ingresos Mensuales]]*BBDD_Usiarios_Netflix[[#This Row],[Meses contratados]]</f>
        <v>90</v>
      </c>
      <c r="O181" t="s">
        <v>42</v>
      </c>
      <c r="P181" t="str">
        <f>IF(BBDD_Usiarios_Netflix[[#This Row],[País]]="","Desconocido",BBDD_Usiarios_Netflix[[#This Row],[País]])</f>
        <v>Reino Unido</v>
      </c>
      <c r="Q181">
        <v>36</v>
      </c>
      <c r="R181" t="s">
        <v>25</v>
      </c>
      <c r="S181" t="s">
        <v>36</v>
      </c>
      <c r="T181" t="s">
        <v>35</v>
      </c>
      <c r="U181">
        <f>IF(IFERROR(VLOOKUP(BBDD_Usiarios_Netflix[[#This Row],[Identificador Usuario]],A182:$A$5870,1,FALSE),0)&lt;&gt;0,1,0)</f>
        <v>0</v>
      </c>
      <c r="V181" s="6" t="str">
        <f>IF(BBDD_Usiarios_Netflix[[#This Row],[Duración Plan]]="12 Meses",LEFT(BBDD_Usiarios_Netflix[[#This Row],[Duración Plan]],2),LEFT(BBDD_Usiarios_Netflix[[#This Row],[Duración Plan]],1))</f>
        <v>6</v>
      </c>
      <c r="W1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2" spans="1:23" x14ac:dyDescent="0.25">
      <c r="A182">
        <v>181</v>
      </c>
      <c r="B182" t="s">
        <v>28</v>
      </c>
      <c r="C182">
        <v>14</v>
      </c>
      <c r="D182" s="3">
        <v>16</v>
      </c>
      <c r="E182" s="3">
        <v>6</v>
      </c>
      <c r="F182">
        <v>23</v>
      </c>
      <c r="G182" s="1">
        <f>DATEVALUE(_xlfn.CONCAT(BBDD_Usiarios_Netflix[[#This Row],[Día Suscripción]],"/",BBDD_Usiarios_Netflix[[#This Row],[Mes Suscripción]],"/",BBDD_Usiarios_Netflix[[#This Row],[Año Suscripción]]))</f>
        <v>45093</v>
      </c>
      <c r="H182" s="1">
        <v>27</v>
      </c>
      <c r="I182" s="1">
        <v>6</v>
      </c>
      <c r="J182" s="1">
        <v>24</v>
      </c>
      <c r="K182" s="1" t="str">
        <f>TEXT(BBDD_Usiarios_Netflix[[#This Row],[Fecha Suscripción]],"dddd")</f>
        <v>viernes</v>
      </c>
      <c r="L182" s="1">
        <f>DATEVALUE(_xlfn.CONCAT(BBDD_Usiarios_Netflix[[#This Row],[Día Último Pago]],"/",BBDD_Usiarios_Netflix[[#This Row],[Mes Último Pago]],"/",BBDD_Usiarios_Netflix[[#This Row],[Año Último Pago]]))</f>
        <v>45470</v>
      </c>
      <c r="M182" s="4">
        <f>DATEDIF(BBDD_Usiarios_Netflix[[#This Row],[Fecha Suscripción]],BBDD_Usiarios_Netflix[[#This Row],[Fecha Último Pago]],"M")+1</f>
        <v>13</v>
      </c>
      <c r="N182" s="4">
        <f>BBDD_Usiarios_Netflix[[#This Row],[Ingresos Mensuales]]*BBDD_Usiarios_Netflix[[#This Row],[Meses contratados]]</f>
        <v>182</v>
      </c>
      <c r="O182" t="s">
        <v>44</v>
      </c>
      <c r="P182" t="str">
        <f>IF(BBDD_Usiarios_Netflix[[#This Row],[País]]="","Desconocido",BBDD_Usiarios_Netflix[[#This Row],[País]])</f>
        <v>Desconocido</v>
      </c>
      <c r="Q182">
        <v>33</v>
      </c>
      <c r="R182" t="s">
        <v>25</v>
      </c>
      <c r="S182" t="s">
        <v>26</v>
      </c>
      <c r="T182" t="s">
        <v>41</v>
      </c>
      <c r="U182">
        <f>IF(IFERROR(VLOOKUP(BBDD_Usiarios_Netflix[[#This Row],[Identificador Usuario]],A183:$A$5870,1,FALSE),0)&lt;&gt;0,1,0)</f>
        <v>0</v>
      </c>
      <c r="V182" s="6" t="str">
        <f>IF(BBDD_Usiarios_Netflix[[#This Row],[Duración Plan]]="12 Meses",LEFT(BBDD_Usiarios_Netflix[[#This Row],[Duración Plan]],2),LEFT(BBDD_Usiarios_Netflix[[#This Row],[Duración Plan]],1))</f>
        <v>12</v>
      </c>
      <c r="W1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3" spans="1:23" x14ac:dyDescent="0.25">
      <c r="A183">
        <v>182</v>
      </c>
      <c r="B183" t="s">
        <v>23</v>
      </c>
      <c r="C183">
        <v>11</v>
      </c>
      <c r="D183" s="3">
        <v>16</v>
      </c>
      <c r="E183" s="3">
        <v>5</v>
      </c>
      <c r="F183">
        <v>23</v>
      </c>
      <c r="G183" s="1">
        <f>DATEVALUE(_xlfn.CONCAT(BBDD_Usiarios_Netflix[[#This Row],[Día Suscripción]],"/",BBDD_Usiarios_Netflix[[#This Row],[Mes Suscripción]],"/",BBDD_Usiarios_Netflix[[#This Row],[Año Suscripción]]))</f>
        <v>45062</v>
      </c>
      <c r="H183" s="1">
        <v>25</v>
      </c>
      <c r="I183" s="1">
        <v>6</v>
      </c>
      <c r="J183" s="1">
        <v>24</v>
      </c>
      <c r="K183" s="1" t="str">
        <f>TEXT(BBDD_Usiarios_Netflix[[#This Row],[Fecha Suscripción]],"dddd")</f>
        <v>martes</v>
      </c>
      <c r="L183" s="1">
        <f>DATEVALUE(_xlfn.CONCAT(BBDD_Usiarios_Netflix[[#This Row],[Día Último Pago]],"/",BBDD_Usiarios_Netflix[[#This Row],[Mes Último Pago]],"/",BBDD_Usiarios_Netflix[[#This Row],[Año Último Pago]]))</f>
        <v>45468</v>
      </c>
      <c r="M183" s="4">
        <f>DATEDIF(BBDD_Usiarios_Netflix[[#This Row],[Fecha Suscripción]],BBDD_Usiarios_Netflix[[#This Row],[Fecha Último Pago]],"M")+1</f>
        <v>14</v>
      </c>
      <c r="N183" s="4">
        <f>BBDD_Usiarios_Netflix[[#This Row],[Ingresos Mensuales]]*BBDD_Usiarios_Netflix[[#This Row],[Meses contratados]]</f>
        <v>154</v>
      </c>
      <c r="O183" t="s">
        <v>37</v>
      </c>
      <c r="P183" t="str">
        <f>IF(BBDD_Usiarios_Netflix[[#This Row],[País]]="","Desconocido",BBDD_Usiarios_Netflix[[#This Row],[País]])</f>
        <v>Brasil</v>
      </c>
      <c r="Q183">
        <v>30</v>
      </c>
      <c r="R183" t="s">
        <v>30</v>
      </c>
      <c r="S183" t="s">
        <v>36</v>
      </c>
      <c r="T183" t="s">
        <v>41</v>
      </c>
      <c r="U183">
        <f>IF(IFERROR(VLOOKUP(BBDD_Usiarios_Netflix[[#This Row],[Identificador Usuario]],A184:$A$5870,1,FALSE),0)&lt;&gt;0,1,0)</f>
        <v>0</v>
      </c>
      <c r="V183" s="6" t="str">
        <f>IF(BBDD_Usiarios_Netflix[[#This Row],[Duración Plan]]="12 Meses",LEFT(BBDD_Usiarios_Netflix[[#This Row],[Duración Plan]],2),LEFT(BBDD_Usiarios_Netflix[[#This Row],[Duración Plan]],1))</f>
        <v>12</v>
      </c>
      <c r="W1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4" spans="1:23" x14ac:dyDescent="0.25">
      <c r="A184">
        <v>183</v>
      </c>
      <c r="B184" t="s">
        <v>32</v>
      </c>
      <c r="C184">
        <v>13</v>
      </c>
      <c r="D184" s="3">
        <v>26</v>
      </c>
      <c r="E184" s="3">
        <v>5</v>
      </c>
      <c r="F184">
        <v>23</v>
      </c>
      <c r="G184" s="1">
        <f>DATEVALUE(_xlfn.CONCAT(BBDD_Usiarios_Netflix[[#This Row],[Día Suscripción]],"/",BBDD_Usiarios_Netflix[[#This Row],[Mes Suscripción]],"/",BBDD_Usiarios_Netflix[[#This Row],[Año Suscripción]]))</f>
        <v>45072</v>
      </c>
      <c r="H184" s="1">
        <v>26</v>
      </c>
      <c r="I184" s="1">
        <v>6</v>
      </c>
      <c r="J184" s="1">
        <v>24</v>
      </c>
      <c r="K184" s="1" t="str">
        <f>TEXT(BBDD_Usiarios_Netflix[[#This Row],[Fecha Suscripción]],"dddd")</f>
        <v>viernes</v>
      </c>
      <c r="L184" s="1">
        <f>DATEVALUE(_xlfn.CONCAT(BBDD_Usiarios_Netflix[[#This Row],[Día Último Pago]],"/",BBDD_Usiarios_Netflix[[#This Row],[Mes Último Pago]],"/",BBDD_Usiarios_Netflix[[#This Row],[Año Último Pago]]))</f>
        <v>45469</v>
      </c>
      <c r="M184" s="4">
        <f>DATEDIF(BBDD_Usiarios_Netflix[[#This Row],[Fecha Suscripción]],BBDD_Usiarios_Netflix[[#This Row],[Fecha Último Pago]],"M")+1</f>
        <v>14</v>
      </c>
      <c r="N184" s="4">
        <f>BBDD_Usiarios_Netflix[[#This Row],[Ingresos Mensuales]]*BBDD_Usiarios_Netflix[[#This Row],[Meses contratados]]</f>
        <v>182</v>
      </c>
      <c r="O184" t="s">
        <v>45</v>
      </c>
      <c r="P184" t="str">
        <f>IF(BBDD_Usiarios_Netflix[[#This Row],[País]]="","Desconocido",BBDD_Usiarios_Netflix[[#This Row],[País]])</f>
        <v>España</v>
      </c>
      <c r="Q184">
        <v>36</v>
      </c>
      <c r="R184" t="s">
        <v>30</v>
      </c>
      <c r="S184" t="s">
        <v>31</v>
      </c>
      <c r="T184" t="s">
        <v>35</v>
      </c>
      <c r="U184">
        <f>IF(IFERROR(VLOOKUP(BBDD_Usiarios_Netflix[[#This Row],[Identificador Usuario]],A185:$A$5870,1,FALSE),0)&lt;&gt;0,1,0)</f>
        <v>0</v>
      </c>
      <c r="V184" s="6" t="str">
        <f>IF(BBDD_Usiarios_Netflix[[#This Row],[Duración Plan]]="12 Meses",LEFT(BBDD_Usiarios_Netflix[[#This Row],[Duración Plan]],2),LEFT(BBDD_Usiarios_Netflix[[#This Row],[Duración Plan]],1))</f>
        <v>6</v>
      </c>
      <c r="W1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5" spans="1:23" x14ac:dyDescent="0.25">
      <c r="A185">
        <v>184</v>
      </c>
      <c r="B185" t="s">
        <v>32</v>
      </c>
      <c r="C185">
        <v>13</v>
      </c>
      <c r="D185" s="3">
        <v>26</v>
      </c>
      <c r="E185" s="3">
        <v>4</v>
      </c>
      <c r="F185">
        <v>23</v>
      </c>
      <c r="G185" s="1">
        <f>DATEVALUE(_xlfn.CONCAT(BBDD_Usiarios_Netflix[[#This Row],[Día Suscripción]],"/",BBDD_Usiarios_Netflix[[#This Row],[Mes Suscripción]],"/",BBDD_Usiarios_Netflix[[#This Row],[Año Suscripción]]))</f>
        <v>45042</v>
      </c>
      <c r="H185" s="1">
        <v>25</v>
      </c>
      <c r="I185" s="1">
        <v>6</v>
      </c>
      <c r="J185" s="1">
        <v>24</v>
      </c>
      <c r="K185" s="1" t="str">
        <f>TEXT(BBDD_Usiarios_Netflix[[#This Row],[Fecha Suscripción]],"dddd")</f>
        <v>miércoles</v>
      </c>
      <c r="L185" s="1">
        <f>DATEVALUE(_xlfn.CONCAT(BBDD_Usiarios_Netflix[[#This Row],[Día Último Pago]],"/",BBDD_Usiarios_Netflix[[#This Row],[Mes Último Pago]],"/",BBDD_Usiarios_Netflix[[#This Row],[Año Último Pago]]))</f>
        <v>45468</v>
      </c>
      <c r="M185" s="4">
        <f>DATEDIF(BBDD_Usiarios_Netflix[[#This Row],[Fecha Suscripción]],BBDD_Usiarios_Netflix[[#This Row],[Fecha Último Pago]],"M")+1</f>
        <v>14</v>
      </c>
      <c r="N185" s="4">
        <f>BBDD_Usiarios_Netflix[[#This Row],[Ingresos Mensuales]]*BBDD_Usiarios_Netflix[[#This Row],[Meses contratados]]</f>
        <v>182</v>
      </c>
      <c r="O185" t="s">
        <v>24</v>
      </c>
      <c r="P185" t="str">
        <f>IF(BBDD_Usiarios_Netflix[[#This Row],[País]]="","Desconocido",BBDD_Usiarios_Netflix[[#This Row],[País]])</f>
        <v>Australia</v>
      </c>
      <c r="Q185">
        <v>28</v>
      </c>
      <c r="R185" t="s">
        <v>30</v>
      </c>
      <c r="S185" t="s">
        <v>36</v>
      </c>
      <c r="T185" t="s">
        <v>41</v>
      </c>
      <c r="U185">
        <f>IF(IFERROR(VLOOKUP(BBDD_Usiarios_Netflix[[#This Row],[Identificador Usuario]],A186:$A$5870,1,FALSE),0)&lt;&gt;0,1,0)</f>
        <v>0</v>
      </c>
      <c r="V185" s="6" t="str">
        <f>IF(BBDD_Usiarios_Netflix[[#This Row],[Duración Plan]]="12 Meses",LEFT(BBDD_Usiarios_Netflix[[#This Row],[Duración Plan]],2),LEFT(BBDD_Usiarios_Netflix[[#This Row],[Duración Plan]],1))</f>
        <v>12</v>
      </c>
      <c r="W1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6" spans="1:23" x14ac:dyDescent="0.25">
      <c r="A186">
        <v>185</v>
      </c>
      <c r="B186" t="s">
        <v>23</v>
      </c>
      <c r="C186">
        <v>11</v>
      </c>
      <c r="D186" s="3">
        <v>12</v>
      </c>
      <c r="E186" s="3">
        <v>5</v>
      </c>
      <c r="F186">
        <v>23</v>
      </c>
      <c r="G186" s="1">
        <f>DATEVALUE(_xlfn.CONCAT(BBDD_Usiarios_Netflix[[#This Row],[Día Suscripción]],"/",BBDD_Usiarios_Netflix[[#This Row],[Mes Suscripción]],"/",BBDD_Usiarios_Netflix[[#This Row],[Año Suscripción]]))</f>
        <v>45058</v>
      </c>
      <c r="H186" s="1">
        <v>25</v>
      </c>
      <c r="I186" s="1">
        <v>6</v>
      </c>
      <c r="J186" s="1">
        <v>24</v>
      </c>
      <c r="K186" s="1" t="str">
        <f>TEXT(BBDD_Usiarios_Netflix[[#This Row],[Fecha Suscripción]],"dddd")</f>
        <v>viernes</v>
      </c>
      <c r="L186" s="1">
        <f>DATEVALUE(_xlfn.CONCAT(BBDD_Usiarios_Netflix[[#This Row],[Día Último Pago]],"/",BBDD_Usiarios_Netflix[[#This Row],[Mes Último Pago]],"/",BBDD_Usiarios_Netflix[[#This Row],[Año Último Pago]]))</f>
        <v>45468</v>
      </c>
      <c r="M186" s="4">
        <f>DATEDIF(BBDD_Usiarios_Netflix[[#This Row],[Fecha Suscripción]],BBDD_Usiarios_Netflix[[#This Row],[Fecha Último Pago]],"M")+1</f>
        <v>14</v>
      </c>
      <c r="N186" s="4">
        <f>BBDD_Usiarios_Netflix[[#This Row],[Ingresos Mensuales]]*BBDD_Usiarios_Netflix[[#This Row],[Meses contratados]]</f>
        <v>154</v>
      </c>
      <c r="O186" t="s">
        <v>43</v>
      </c>
      <c r="P186" t="str">
        <f>IF(BBDD_Usiarios_Netflix[[#This Row],[País]]="","Desconocido",BBDD_Usiarios_Netflix[[#This Row],[País]])</f>
        <v>Alemania</v>
      </c>
      <c r="Q186">
        <v>47</v>
      </c>
      <c r="R186" t="s">
        <v>30</v>
      </c>
      <c r="S186" t="s">
        <v>31</v>
      </c>
      <c r="T186" t="s">
        <v>27</v>
      </c>
      <c r="U186">
        <f>IF(IFERROR(VLOOKUP(BBDD_Usiarios_Netflix[[#This Row],[Identificador Usuario]],A187:$A$5870,1,FALSE),0)&lt;&gt;0,1,0)</f>
        <v>0</v>
      </c>
      <c r="V186" s="6" t="str">
        <f>IF(BBDD_Usiarios_Netflix[[#This Row],[Duración Plan]]="12 Meses",LEFT(BBDD_Usiarios_Netflix[[#This Row],[Duración Plan]],2),LEFT(BBDD_Usiarios_Netflix[[#This Row],[Duración Plan]],1))</f>
        <v>1</v>
      </c>
      <c r="W1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7" spans="1:23" x14ac:dyDescent="0.25">
      <c r="A187">
        <v>186</v>
      </c>
      <c r="B187" t="s">
        <v>28</v>
      </c>
      <c r="C187">
        <v>15</v>
      </c>
      <c r="D187" s="3">
        <v>1</v>
      </c>
      <c r="E187" s="3">
        <v>3</v>
      </c>
      <c r="F187">
        <v>23</v>
      </c>
      <c r="G187" s="1">
        <f>DATEVALUE(_xlfn.CONCAT(BBDD_Usiarios_Netflix[[#This Row],[Día Suscripción]],"/",BBDD_Usiarios_Netflix[[#This Row],[Mes Suscripción]],"/",BBDD_Usiarios_Netflix[[#This Row],[Año Suscripción]]))</f>
        <v>44986</v>
      </c>
      <c r="H187" s="1">
        <v>25</v>
      </c>
      <c r="I187" s="1">
        <v>6</v>
      </c>
      <c r="J187" s="1">
        <v>24</v>
      </c>
      <c r="K187" s="1" t="str">
        <f>TEXT(BBDD_Usiarios_Netflix[[#This Row],[Fecha Suscripción]],"dddd")</f>
        <v>miércoles</v>
      </c>
      <c r="L187" s="1">
        <f>DATEVALUE(_xlfn.CONCAT(BBDD_Usiarios_Netflix[[#This Row],[Día Último Pago]],"/",BBDD_Usiarios_Netflix[[#This Row],[Mes Último Pago]],"/",BBDD_Usiarios_Netflix[[#This Row],[Año Último Pago]]))</f>
        <v>45468</v>
      </c>
      <c r="M187" s="4">
        <f>DATEDIF(BBDD_Usiarios_Netflix[[#This Row],[Fecha Suscripción]],BBDD_Usiarios_Netflix[[#This Row],[Fecha Último Pago]],"M")+1</f>
        <v>16</v>
      </c>
      <c r="N187" s="4">
        <f>BBDD_Usiarios_Netflix[[#This Row],[Ingresos Mensuales]]*BBDD_Usiarios_Netflix[[#This Row],[Meses contratados]]</f>
        <v>240</v>
      </c>
      <c r="O187" t="s">
        <v>40</v>
      </c>
      <c r="P187" t="str">
        <f>IF(BBDD_Usiarios_Netflix[[#This Row],[País]]="","Desconocido",BBDD_Usiarios_Netflix[[#This Row],[País]])</f>
        <v>Italia</v>
      </c>
      <c r="Q187">
        <v>33</v>
      </c>
      <c r="R187" t="s">
        <v>30</v>
      </c>
      <c r="S187" t="s">
        <v>34</v>
      </c>
      <c r="T187" t="s">
        <v>38</v>
      </c>
      <c r="U187">
        <f>IF(IFERROR(VLOOKUP(BBDD_Usiarios_Netflix[[#This Row],[Identificador Usuario]],A188:$A$5870,1,FALSE),0)&lt;&gt;0,1,0)</f>
        <v>0</v>
      </c>
      <c r="V187" s="6" t="str">
        <f>IF(BBDD_Usiarios_Netflix[[#This Row],[Duración Plan]]="12 Meses",LEFT(BBDD_Usiarios_Netflix[[#This Row],[Duración Plan]],2),LEFT(BBDD_Usiarios_Netflix[[#This Row],[Duración Plan]],1))</f>
        <v>3</v>
      </c>
      <c r="W1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8" spans="1:23" x14ac:dyDescent="0.25">
      <c r="A188">
        <v>187</v>
      </c>
      <c r="B188" t="s">
        <v>23</v>
      </c>
      <c r="C188">
        <v>10</v>
      </c>
      <c r="D188" s="3">
        <v>10</v>
      </c>
      <c r="E188" s="3">
        <v>7</v>
      </c>
      <c r="F188">
        <v>23</v>
      </c>
      <c r="G188" s="1">
        <f>DATEVALUE(_xlfn.CONCAT(BBDD_Usiarios_Netflix[[#This Row],[Día Suscripción]],"/",BBDD_Usiarios_Netflix[[#This Row],[Mes Suscripción]],"/",BBDD_Usiarios_Netflix[[#This Row],[Año Suscripción]]))</f>
        <v>45117</v>
      </c>
      <c r="H188" s="1">
        <v>24</v>
      </c>
      <c r="I188" s="1">
        <v>6</v>
      </c>
      <c r="J188" s="1">
        <v>24</v>
      </c>
      <c r="K188" s="1" t="str">
        <f>TEXT(BBDD_Usiarios_Netflix[[#This Row],[Fecha Suscripción]],"dddd")</f>
        <v>lunes</v>
      </c>
      <c r="L188" s="1">
        <f>DATEVALUE(_xlfn.CONCAT(BBDD_Usiarios_Netflix[[#This Row],[Día Último Pago]],"/",BBDD_Usiarios_Netflix[[#This Row],[Mes Último Pago]],"/",BBDD_Usiarios_Netflix[[#This Row],[Año Último Pago]]))</f>
        <v>45467</v>
      </c>
      <c r="M188" s="4">
        <f>DATEDIF(BBDD_Usiarios_Netflix[[#This Row],[Fecha Suscripción]],BBDD_Usiarios_Netflix[[#This Row],[Fecha Último Pago]],"M")+1</f>
        <v>12</v>
      </c>
      <c r="N188" s="4">
        <f>BBDD_Usiarios_Netflix[[#This Row],[Ingresos Mensuales]]*BBDD_Usiarios_Netflix[[#This Row],[Meses contratados]]</f>
        <v>120</v>
      </c>
      <c r="O188" t="s">
        <v>24</v>
      </c>
      <c r="P188" t="str">
        <f>IF(BBDD_Usiarios_Netflix[[#This Row],[País]]="","Desconocido",BBDD_Usiarios_Netflix[[#This Row],[País]])</f>
        <v>Australia</v>
      </c>
      <c r="Q188">
        <v>49</v>
      </c>
      <c r="R188" t="s">
        <v>30</v>
      </c>
      <c r="S188" t="s">
        <v>36</v>
      </c>
      <c r="T188" t="s">
        <v>35</v>
      </c>
      <c r="U188">
        <f>IF(IFERROR(VLOOKUP(BBDD_Usiarios_Netflix[[#This Row],[Identificador Usuario]],A189:$A$5870,1,FALSE),0)&lt;&gt;0,1,0)</f>
        <v>0</v>
      </c>
      <c r="V188" s="6" t="str">
        <f>IF(BBDD_Usiarios_Netflix[[#This Row],[Duración Plan]]="12 Meses",LEFT(BBDD_Usiarios_Netflix[[#This Row],[Duración Plan]],2),LEFT(BBDD_Usiarios_Netflix[[#This Row],[Duración Plan]],1))</f>
        <v>6</v>
      </c>
      <c r="W1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9" spans="1:23" x14ac:dyDescent="0.25">
      <c r="A189">
        <v>188</v>
      </c>
      <c r="B189" t="s">
        <v>32</v>
      </c>
      <c r="C189">
        <v>12</v>
      </c>
      <c r="D189" s="3">
        <v>16</v>
      </c>
      <c r="E189" s="3">
        <v>7</v>
      </c>
      <c r="F189">
        <v>23</v>
      </c>
      <c r="G189" s="1">
        <f>DATEVALUE(_xlfn.CONCAT(BBDD_Usiarios_Netflix[[#This Row],[Día Suscripción]],"/",BBDD_Usiarios_Netflix[[#This Row],[Mes Suscripción]],"/",BBDD_Usiarios_Netflix[[#This Row],[Año Suscripción]]))</f>
        <v>45123</v>
      </c>
      <c r="H189" s="1">
        <v>27</v>
      </c>
      <c r="I189" s="1">
        <v>6</v>
      </c>
      <c r="J189" s="1">
        <v>24</v>
      </c>
      <c r="K189" s="1" t="str">
        <f>TEXT(BBDD_Usiarios_Netflix[[#This Row],[Fecha Suscripción]],"dddd")</f>
        <v>domingo</v>
      </c>
      <c r="L189" s="1">
        <f>DATEVALUE(_xlfn.CONCAT(BBDD_Usiarios_Netflix[[#This Row],[Día Último Pago]],"/",BBDD_Usiarios_Netflix[[#This Row],[Mes Último Pago]],"/",BBDD_Usiarios_Netflix[[#This Row],[Año Último Pago]]))</f>
        <v>45470</v>
      </c>
      <c r="M189" s="4">
        <f>DATEDIF(BBDD_Usiarios_Netflix[[#This Row],[Fecha Suscripción]],BBDD_Usiarios_Netflix[[#This Row],[Fecha Último Pago]],"M")+1</f>
        <v>12</v>
      </c>
      <c r="N189" s="4">
        <f>BBDD_Usiarios_Netflix[[#This Row],[Ingresos Mensuales]]*BBDD_Usiarios_Netflix[[#This Row],[Meses contratados]]</f>
        <v>144</v>
      </c>
      <c r="O189" t="s">
        <v>39</v>
      </c>
      <c r="P189" t="str">
        <f>IF(BBDD_Usiarios_Netflix[[#This Row],[País]]="","Desconocido",BBDD_Usiarios_Netflix[[#This Row],[País]])</f>
        <v>Canadá</v>
      </c>
      <c r="Q189">
        <v>44</v>
      </c>
      <c r="R189" t="s">
        <v>30</v>
      </c>
      <c r="S189" t="s">
        <v>34</v>
      </c>
      <c r="T189" t="s">
        <v>27</v>
      </c>
      <c r="U189">
        <f>IF(IFERROR(VLOOKUP(BBDD_Usiarios_Netflix[[#This Row],[Identificador Usuario]],A190:$A$5870,1,FALSE),0)&lt;&gt;0,1,0)</f>
        <v>0</v>
      </c>
      <c r="V189" s="6" t="str">
        <f>IF(BBDD_Usiarios_Netflix[[#This Row],[Duración Plan]]="12 Meses",LEFT(BBDD_Usiarios_Netflix[[#This Row],[Duración Plan]],2),LEFT(BBDD_Usiarios_Netflix[[#This Row],[Duración Plan]],1))</f>
        <v>1</v>
      </c>
      <c r="W1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0" spans="1:23" x14ac:dyDescent="0.25">
      <c r="A190">
        <v>189</v>
      </c>
      <c r="B190" t="s">
        <v>28</v>
      </c>
      <c r="C190">
        <v>14</v>
      </c>
      <c r="D190" s="3">
        <v>2</v>
      </c>
      <c r="E190" s="3">
        <v>9</v>
      </c>
      <c r="F190">
        <v>23</v>
      </c>
      <c r="G190" s="1">
        <f>DATEVALUE(_xlfn.CONCAT(BBDD_Usiarios_Netflix[[#This Row],[Día Suscripción]],"/",BBDD_Usiarios_Netflix[[#This Row],[Mes Suscripción]],"/",BBDD_Usiarios_Netflix[[#This Row],[Año Suscripción]]))</f>
        <v>45171</v>
      </c>
      <c r="H190" s="1">
        <v>26</v>
      </c>
      <c r="I190" s="1">
        <v>6</v>
      </c>
      <c r="J190" s="1">
        <v>24</v>
      </c>
      <c r="K190" s="1" t="str">
        <f>TEXT(BBDD_Usiarios_Netflix[[#This Row],[Fecha Suscripción]],"dddd")</f>
        <v>sábado</v>
      </c>
      <c r="L190" s="1">
        <f>DATEVALUE(_xlfn.CONCAT(BBDD_Usiarios_Netflix[[#This Row],[Día Último Pago]],"/",BBDD_Usiarios_Netflix[[#This Row],[Mes Último Pago]],"/",BBDD_Usiarios_Netflix[[#This Row],[Año Último Pago]]))</f>
        <v>45469</v>
      </c>
      <c r="M190" s="4">
        <f>DATEDIF(BBDD_Usiarios_Netflix[[#This Row],[Fecha Suscripción]],BBDD_Usiarios_Netflix[[#This Row],[Fecha Último Pago]],"M")+1</f>
        <v>10</v>
      </c>
      <c r="N190" s="4">
        <f>BBDD_Usiarios_Netflix[[#This Row],[Ingresos Mensuales]]*BBDD_Usiarios_Netflix[[#This Row],[Meses contratados]]</f>
        <v>140</v>
      </c>
      <c r="O190" t="s">
        <v>39</v>
      </c>
      <c r="P190" t="str">
        <f>IF(BBDD_Usiarios_Netflix[[#This Row],[País]]="","Desconocido",BBDD_Usiarios_Netflix[[#This Row],[País]])</f>
        <v>Canadá</v>
      </c>
      <c r="Q190">
        <v>47</v>
      </c>
      <c r="R190" t="s">
        <v>25</v>
      </c>
      <c r="S190" t="s">
        <v>34</v>
      </c>
      <c r="T190" t="s">
        <v>27</v>
      </c>
      <c r="U190">
        <f>IF(IFERROR(VLOOKUP(BBDD_Usiarios_Netflix[[#This Row],[Identificador Usuario]],A191:$A$5870,1,FALSE),0)&lt;&gt;0,1,0)</f>
        <v>0</v>
      </c>
      <c r="V190" s="6" t="str">
        <f>IF(BBDD_Usiarios_Netflix[[#This Row],[Duración Plan]]="12 Meses",LEFT(BBDD_Usiarios_Netflix[[#This Row],[Duración Plan]],2),LEFT(BBDD_Usiarios_Netflix[[#This Row],[Duración Plan]],1))</f>
        <v>1</v>
      </c>
      <c r="W1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" spans="1:23" x14ac:dyDescent="0.25">
      <c r="A191">
        <v>190</v>
      </c>
      <c r="B191" t="s">
        <v>23</v>
      </c>
      <c r="C191">
        <v>10</v>
      </c>
      <c r="D191" s="3">
        <v>18</v>
      </c>
      <c r="E191" s="3">
        <v>9</v>
      </c>
      <c r="F191">
        <v>23</v>
      </c>
      <c r="G191" s="1">
        <f>DATEVALUE(_xlfn.CONCAT(BBDD_Usiarios_Netflix[[#This Row],[Día Suscripción]],"/",BBDD_Usiarios_Netflix[[#This Row],[Mes Suscripción]],"/",BBDD_Usiarios_Netflix[[#This Row],[Año Suscripción]]))</f>
        <v>45187</v>
      </c>
      <c r="H191" s="1">
        <v>26</v>
      </c>
      <c r="I191" s="1">
        <v>6</v>
      </c>
      <c r="J191" s="1">
        <v>24</v>
      </c>
      <c r="K191" s="1" t="str">
        <f>TEXT(BBDD_Usiarios_Netflix[[#This Row],[Fecha Suscripción]],"dddd")</f>
        <v>lunes</v>
      </c>
      <c r="L191" s="1">
        <f>DATEVALUE(_xlfn.CONCAT(BBDD_Usiarios_Netflix[[#This Row],[Día Último Pago]],"/",BBDD_Usiarios_Netflix[[#This Row],[Mes Último Pago]],"/",BBDD_Usiarios_Netflix[[#This Row],[Año Último Pago]]))</f>
        <v>45469</v>
      </c>
      <c r="M191" s="4">
        <f>DATEDIF(BBDD_Usiarios_Netflix[[#This Row],[Fecha Suscripción]],BBDD_Usiarios_Netflix[[#This Row],[Fecha Último Pago]],"M")+1</f>
        <v>10</v>
      </c>
      <c r="N191" s="4">
        <f>BBDD_Usiarios_Netflix[[#This Row],[Ingresos Mensuales]]*BBDD_Usiarios_Netflix[[#This Row],[Meses contratados]]</f>
        <v>100</v>
      </c>
      <c r="O191" t="s">
        <v>29</v>
      </c>
      <c r="P191" t="str">
        <f>IF(BBDD_Usiarios_Netflix[[#This Row],[País]]="","Desconocido",BBDD_Usiarios_Netflix[[#This Row],[País]])</f>
        <v>EEUU</v>
      </c>
      <c r="Q191">
        <v>37</v>
      </c>
      <c r="R191" t="s">
        <v>30</v>
      </c>
      <c r="S191" t="s">
        <v>31</v>
      </c>
      <c r="T191" t="s">
        <v>35</v>
      </c>
      <c r="U191">
        <f>IF(IFERROR(VLOOKUP(BBDD_Usiarios_Netflix[[#This Row],[Identificador Usuario]],A192:$A$5870,1,FALSE),0)&lt;&gt;0,1,0)</f>
        <v>0</v>
      </c>
      <c r="V191" s="6" t="str">
        <f>IF(BBDD_Usiarios_Netflix[[#This Row],[Duración Plan]]="12 Meses",LEFT(BBDD_Usiarios_Netflix[[#This Row],[Duración Plan]],2),LEFT(BBDD_Usiarios_Netflix[[#This Row],[Duración Plan]],1))</f>
        <v>6</v>
      </c>
      <c r="W1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2" spans="1:23" x14ac:dyDescent="0.25">
      <c r="A192">
        <v>191</v>
      </c>
      <c r="B192" t="s">
        <v>28</v>
      </c>
      <c r="C192">
        <v>14</v>
      </c>
      <c r="D192" s="3">
        <v>8</v>
      </c>
      <c r="E192" s="3">
        <v>7</v>
      </c>
      <c r="F192">
        <v>23</v>
      </c>
      <c r="G192" s="1">
        <f>DATEVALUE(_xlfn.CONCAT(BBDD_Usiarios_Netflix[[#This Row],[Día Suscripción]],"/",BBDD_Usiarios_Netflix[[#This Row],[Mes Suscripción]],"/",BBDD_Usiarios_Netflix[[#This Row],[Año Suscripción]]))</f>
        <v>45115</v>
      </c>
      <c r="H192" s="1">
        <v>25</v>
      </c>
      <c r="I192" s="1">
        <v>6</v>
      </c>
      <c r="J192" s="1">
        <v>24</v>
      </c>
      <c r="K192" s="1" t="str">
        <f>TEXT(BBDD_Usiarios_Netflix[[#This Row],[Fecha Suscripción]],"dddd")</f>
        <v>sábado</v>
      </c>
      <c r="L192" s="1">
        <f>DATEVALUE(_xlfn.CONCAT(BBDD_Usiarios_Netflix[[#This Row],[Día Último Pago]],"/",BBDD_Usiarios_Netflix[[#This Row],[Mes Último Pago]],"/",BBDD_Usiarios_Netflix[[#This Row],[Año Último Pago]]))</f>
        <v>45468</v>
      </c>
      <c r="M192" s="4">
        <f>DATEDIF(BBDD_Usiarios_Netflix[[#This Row],[Fecha Suscripción]],BBDD_Usiarios_Netflix[[#This Row],[Fecha Último Pago]],"M")+1</f>
        <v>12</v>
      </c>
      <c r="N192" s="4">
        <f>BBDD_Usiarios_Netflix[[#This Row],[Ingresos Mensuales]]*BBDD_Usiarios_Netflix[[#This Row],[Meses contratados]]</f>
        <v>168</v>
      </c>
      <c r="O192" t="s">
        <v>42</v>
      </c>
      <c r="P192" t="str">
        <f>IF(BBDD_Usiarios_Netflix[[#This Row],[País]]="","Desconocido",BBDD_Usiarios_Netflix[[#This Row],[País]])</f>
        <v>Reino Unido</v>
      </c>
      <c r="Q192">
        <v>46</v>
      </c>
      <c r="R192" t="s">
        <v>25</v>
      </c>
      <c r="S192" t="s">
        <v>36</v>
      </c>
      <c r="T192" t="s">
        <v>38</v>
      </c>
      <c r="U192">
        <f>IF(IFERROR(VLOOKUP(BBDD_Usiarios_Netflix[[#This Row],[Identificador Usuario]],A193:$A$5870,1,FALSE),0)&lt;&gt;0,1,0)</f>
        <v>0</v>
      </c>
      <c r="V192" s="6" t="str">
        <f>IF(BBDD_Usiarios_Netflix[[#This Row],[Duración Plan]]="12 Meses",LEFT(BBDD_Usiarios_Netflix[[#This Row],[Duración Plan]],2),LEFT(BBDD_Usiarios_Netflix[[#This Row],[Duración Plan]],1))</f>
        <v>3</v>
      </c>
      <c r="W1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3" spans="1:23" x14ac:dyDescent="0.25">
      <c r="A193">
        <v>192</v>
      </c>
      <c r="B193" t="s">
        <v>23</v>
      </c>
      <c r="C193">
        <v>10</v>
      </c>
      <c r="D193" s="3">
        <v>26</v>
      </c>
      <c r="E193" s="3">
        <v>6</v>
      </c>
      <c r="F193">
        <v>23</v>
      </c>
      <c r="G193" s="1">
        <f>DATEVALUE(_xlfn.CONCAT(BBDD_Usiarios_Netflix[[#This Row],[Día Suscripción]],"/",BBDD_Usiarios_Netflix[[#This Row],[Mes Suscripción]],"/",BBDD_Usiarios_Netflix[[#This Row],[Año Suscripción]]))</f>
        <v>45103</v>
      </c>
      <c r="H193" s="1">
        <v>27</v>
      </c>
      <c r="I193" s="1">
        <v>6</v>
      </c>
      <c r="J193" s="1">
        <v>24</v>
      </c>
      <c r="K193" s="1" t="str">
        <f>TEXT(BBDD_Usiarios_Netflix[[#This Row],[Fecha Suscripción]],"dddd")</f>
        <v>lunes</v>
      </c>
      <c r="L193" s="1">
        <f>DATEVALUE(_xlfn.CONCAT(BBDD_Usiarios_Netflix[[#This Row],[Día Último Pago]],"/",BBDD_Usiarios_Netflix[[#This Row],[Mes Último Pago]],"/",BBDD_Usiarios_Netflix[[#This Row],[Año Último Pago]]))</f>
        <v>45470</v>
      </c>
      <c r="M193" s="4">
        <f>DATEDIF(BBDD_Usiarios_Netflix[[#This Row],[Fecha Suscripción]],BBDD_Usiarios_Netflix[[#This Row],[Fecha Último Pago]],"M")+1</f>
        <v>13</v>
      </c>
      <c r="N193" s="4">
        <f>BBDD_Usiarios_Netflix[[#This Row],[Ingresos Mensuales]]*BBDD_Usiarios_Netflix[[#This Row],[Meses contratados]]</f>
        <v>130</v>
      </c>
      <c r="O193" t="s">
        <v>24</v>
      </c>
      <c r="P193" t="str">
        <f>IF(BBDD_Usiarios_Netflix[[#This Row],[País]]="","Desconocido",BBDD_Usiarios_Netflix[[#This Row],[País]])</f>
        <v>Australia</v>
      </c>
      <c r="Q193">
        <v>50</v>
      </c>
      <c r="R193" t="s">
        <v>30</v>
      </c>
      <c r="S193" t="s">
        <v>26</v>
      </c>
      <c r="T193" t="s">
        <v>27</v>
      </c>
      <c r="U193">
        <f>IF(IFERROR(VLOOKUP(BBDD_Usiarios_Netflix[[#This Row],[Identificador Usuario]],A194:$A$5870,1,FALSE),0)&lt;&gt;0,1,0)</f>
        <v>0</v>
      </c>
      <c r="V193" s="6" t="str">
        <f>IF(BBDD_Usiarios_Netflix[[#This Row],[Duración Plan]]="12 Meses",LEFT(BBDD_Usiarios_Netflix[[#This Row],[Duración Plan]],2),LEFT(BBDD_Usiarios_Netflix[[#This Row],[Duración Plan]],1))</f>
        <v>1</v>
      </c>
      <c r="W1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4" spans="1:23" x14ac:dyDescent="0.25">
      <c r="A194">
        <v>193</v>
      </c>
      <c r="B194" t="s">
        <v>32</v>
      </c>
      <c r="C194">
        <v>12</v>
      </c>
      <c r="D194" s="3">
        <v>5</v>
      </c>
      <c r="E194" s="3">
        <v>8</v>
      </c>
      <c r="F194">
        <v>23</v>
      </c>
      <c r="G194" s="1">
        <f>DATEVALUE(_xlfn.CONCAT(BBDD_Usiarios_Netflix[[#This Row],[Día Suscripción]],"/",BBDD_Usiarios_Netflix[[#This Row],[Mes Suscripción]],"/",BBDD_Usiarios_Netflix[[#This Row],[Año Suscripción]]))</f>
        <v>45143</v>
      </c>
      <c r="H194" s="1">
        <v>25</v>
      </c>
      <c r="I194" s="1">
        <v>6</v>
      </c>
      <c r="J194" s="1">
        <v>24</v>
      </c>
      <c r="K194" s="1" t="str">
        <f>TEXT(BBDD_Usiarios_Netflix[[#This Row],[Fecha Suscripción]],"dddd")</f>
        <v>sábado</v>
      </c>
      <c r="L194" s="1">
        <f>DATEVALUE(_xlfn.CONCAT(BBDD_Usiarios_Netflix[[#This Row],[Día Último Pago]],"/",BBDD_Usiarios_Netflix[[#This Row],[Mes Último Pago]],"/",BBDD_Usiarios_Netflix[[#This Row],[Año Último Pago]]))</f>
        <v>45468</v>
      </c>
      <c r="M194" s="4">
        <f>DATEDIF(BBDD_Usiarios_Netflix[[#This Row],[Fecha Suscripción]],BBDD_Usiarios_Netflix[[#This Row],[Fecha Último Pago]],"M")+1</f>
        <v>11</v>
      </c>
      <c r="N194" s="4">
        <f>BBDD_Usiarios_Netflix[[#This Row],[Ingresos Mensuales]]*BBDD_Usiarios_Netflix[[#This Row],[Meses contratados]]</f>
        <v>132</v>
      </c>
      <c r="O194" t="s">
        <v>43</v>
      </c>
      <c r="P194" t="str">
        <f>IF(BBDD_Usiarios_Netflix[[#This Row],[País]]="","Desconocido",BBDD_Usiarios_Netflix[[#This Row],[País]])</f>
        <v>Alemania</v>
      </c>
      <c r="Q194">
        <v>50</v>
      </c>
      <c r="R194" t="s">
        <v>25</v>
      </c>
      <c r="S194" t="s">
        <v>36</v>
      </c>
      <c r="T194" t="s">
        <v>38</v>
      </c>
      <c r="U194">
        <f>IF(IFERROR(VLOOKUP(BBDD_Usiarios_Netflix[[#This Row],[Identificador Usuario]],A195:$A$5870,1,FALSE),0)&lt;&gt;0,1,0)</f>
        <v>0</v>
      </c>
      <c r="V194" s="6" t="str">
        <f>IF(BBDD_Usiarios_Netflix[[#This Row],[Duración Plan]]="12 Meses",LEFT(BBDD_Usiarios_Netflix[[#This Row],[Duración Plan]],2),LEFT(BBDD_Usiarios_Netflix[[#This Row],[Duración Plan]],1))</f>
        <v>3</v>
      </c>
      <c r="W1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5" spans="1:23" x14ac:dyDescent="0.25">
      <c r="A195">
        <v>194</v>
      </c>
      <c r="B195" t="s">
        <v>32</v>
      </c>
      <c r="C195">
        <v>12</v>
      </c>
      <c r="D195" s="3">
        <v>19</v>
      </c>
      <c r="E195" s="3">
        <v>8</v>
      </c>
      <c r="F195">
        <v>23</v>
      </c>
      <c r="G195" s="1">
        <f>DATEVALUE(_xlfn.CONCAT(BBDD_Usiarios_Netflix[[#This Row],[Día Suscripción]],"/",BBDD_Usiarios_Netflix[[#This Row],[Mes Suscripción]],"/",BBDD_Usiarios_Netflix[[#This Row],[Año Suscripción]]))</f>
        <v>45157</v>
      </c>
      <c r="H195" s="1">
        <v>27</v>
      </c>
      <c r="I195" s="1">
        <v>6</v>
      </c>
      <c r="J195" s="1">
        <v>24</v>
      </c>
      <c r="K195" s="1" t="str">
        <f>TEXT(BBDD_Usiarios_Netflix[[#This Row],[Fecha Suscripción]],"dddd")</f>
        <v>sábado</v>
      </c>
      <c r="L195" s="1">
        <f>DATEVALUE(_xlfn.CONCAT(BBDD_Usiarios_Netflix[[#This Row],[Día Último Pago]],"/",BBDD_Usiarios_Netflix[[#This Row],[Mes Último Pago]],"/",BBDD_Usiarios_Netflix[[#This Row],[Año Último Pago]]))</f>
        <v>45470</v>
      </c>
      <c r="M195" s="4">
        <f>DATEDIF(BBDD_Usiarios_Netflix[[#This Row],[Fecha Suscripción]],BBDD_Usiarios_Netflix[[#This Row],[Fecha Último Pago]],"M")+1</f>
        <v>11</v>
      </c>
      <c r="N195" s="4">
        <f>BBDD_Usiarios_Netflix[[#This Row],[Ingresos Mensuales]]*BBDD_Usiarios_Netflix[[#This Row],[Meses contratados]]</f>
        <v>132</v>
      </c>
      <c r="O195" t="s">
        <v>24</v>
      </c>
      <c r="P195" t="str">
        <f>IF(BBDD_Usiarios_Netflix[[#This Row],[País]]="","Desconocido",BBDD_Usiarios_Netflix[[#This Row],[País]])</f>
        <v>Australia</v>
      </c>
      <c r="Q195">
        <v>37</v>
      </c>
      <c r="R195" t="s">
        <v>25</v>
      </c>
      <c r="S195" t="s">
        <v>36</v>
      </c>
      <c r="T195" t="s">
        <v>41</v>
      </c>
      <c r="U195">
        <f>IF(IFERROR(VLOOKUP(BBDD_Usiarios_Netflix[[#This Row],[Identificador Usuario]],A196:$A$5870,1,FALSE),0)&lt;&gt;0,1,0)</f>
        <v>0</v>
      </c>
      <c r="V195" s="6" t="str">
        <f>IF(BBDD_Usiarios_Netflix[[#This Row],[Duración Plan]]="12 Meses",LEFT(BBDD_Usiarios_Netflix[[#This Row],[Duración Plan]],2),LEFT(BBDD_Usiarios_Netflix[[#This Row],[Duración Plan]],1))</f>
        <v>12</v>
      </c>
      <c r="W1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6" spans="1:23" x14ac:dyDescent="0.25">
      <c r="A196">
        <v>195</v>
      </c>
      <c r="B196" t="s">
        <v>23</v>
      </c>
      <c r="C196">
        <v>10</v>
      </c>
      <c r="D196" s="3">
        <v>26</v>
      </c>
      <c r="E196" s="3">
        <v>8</v>
      </c>
      <c r="F196">
        <v>23</v>
      </c>
      <c r="G196" s="1">
        <f>DATEVALUE(_xlfn.CONCAT(BBDD_Usiarios_Netflix[[#This Row],[Día Suscripción]],"/",BBDD_Usiarios_Netflix[[#This Row],[Mes Suscripción]],"/",BBDD_Usiarios_Netflix[[#This Row],[Año Suscripción]]))</f>
        <v>45164</v>
      </c>
      <c r="H196" s="1">
        <v>24</v>
      </c>
      <c r="I196" s="1">
        <v>6</v>
      </c>
      <c r="J196" s="1">
        <v>24</v>
      </c>
      <c r="K196" s="1" t="str">
        <f>TEXT(BBDD_Usiarios_Netflix[[#This Row],[Fecha Suscripción]],"dddd")</f>
        <v>sábado</v>
      </c>
      <c r="L196" s="1">
        <f>DATEVALUE(_xlfn.CONCAT(BBDD_Usiarios_Netflix[[#This Row],[Día Último Pago]],"/",BBDD_Usiarios_Netflix[[#This Row],[Mes Último Pago]],"/",BBDD_Usiarios_Netflix[[#This Row],[Año Último Pago]]))</f>
        <v>45467</v>
      </c>
      <c r="M196" s="4">
        <f>DATEDIF(BBDD_Usiarios_Netflix[[#This Row],[Fecha Suscripción]],BBDD_Usiarios_Netflix[[#This Row],[Fecha Último Pago]],"M")+1</f>
        <v>10</v>
      </c>
      <c r="N196" s="4">
        <f>BBDD_Usiarios_Netflix[[#This Row],[Ingresos Mensuales]]*BBDD_Usiarios_Netflix[[#This Row],[Meses contratados]]</f>
        <v>100</v>
      </c>
      <c r="O196" t="s">
        <v>39</v>
      </c>
      <c r="P196" t="str">
        <f>IF(BBDD_Usiarios_Netflix[[#This Row],[País]]="","Desconocido",BBDD_Usiarios_Netflix[[#This Row],[País]])</f>
        <v>Canadá</v>
      </c>
      <c r="Q196">
        <v>50</v>
      </c>
      <c r="R196" t="s">
        <v>30</v>
      </c>
      <c r="S196" t="s">
        <v>26</v>
      </c>
      <c r="T196" t="s">
        <v>27</v>
      </c>
      <c r="U196">
        <f>IF(IFERROR(VLOOKUP(BBDD_Usiarios_Netflix[[#This Row],[Identificador Usuario]],A197:$A$5870,1,FALSE),0)&lt;&gt;0,1,0)</f>
        <v>0</v>
      </c>
      <c r="V196" s="6" t="str">
        <f>IF(BBDD_Usiarios_Netflix[[#This Row],[Duración Plan]]="12 Meses",LEFT(BBDD_Usiarios_Netflix[[#This Row],[Duración Plan]],2),LEFT(BBDD_Usiarios_Netflix[[#This Row],[Duración Plan]],1))</f>
        <v>1</v>
      </c>
      <c r="W1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" spans="1:23" x14ac:dyDescent="0.25">
      <c r="A197">
        <v>196</v>
      </c>
      <c r="B197" t="s">
        <v>28</v>
      </c>
      <c r="C197">
        <v>14</v>
      </c>
      <c r="D197" s="3">
        <v>9</v>
      </c>
      <c r="E197" s="3">
        <v>6</v>
      </c>
      <c r="F197">
        <v>23</v>
      </c>
      <c r="G197" s="1">
        <f>DATEVALUE(_xlfn.CONCAT(BBDD_Usiarios_Netflix[[#This Row],[Día Suscripción]],"/",BBDD_Usiarios_Netflix[[#This Row],[Mes Suscripción]],"/",BBDD_Usiarios_Netflix[[#This Row],[Año Suscripción]]))</f>
        <v>45086</v>
      </c>
      <c r="H197" s="1">
        <v>24</v>
      </c>
      <c r="I197" s="1">
        <v>6</v>
      </c>
      <c r="J197" s="1">
        <v>24</v>
      </c>
      <c r="K197" s="1" t="str">
        <f>TEXT(BBDD_Usiarios_Netflix[[#This Row],[Fecha Suscripción]],"dddd")</f>
        <v>viernes</v>
      </c>
      <c r="L197" s="1">
        <f>DATEVALUE(_xlfn.CONCAT(BBDD_Usiarios_Netflix[[#This Row],[Día Último Pago]],"/",BBDD_Usiarios_Netflix[[#This Row],[Mes Último Pago]],"/",BBDD_Usiarios_Netflix[[#This Row],[Año Último Pago]]))</f>
        <v>45467</v>
      </c>
      <c r="M197" s="4">
        <f>DATEDIF(BBDD_Usiarios_Netflix[[#This Row],[Fecha Suscripción]],BBDD_Usiarios_Netflix[[#This Row],[Fecha Último Pago]],"M")+1</f>
        <v>13</v>
      </c>
      <c r="N197" s="4">
        <f>BBDD_Usiarios_Netflix[[#This Row],[Ingresos Mensuales]]*BBDD_Usiarios_Netflix[[#This Row],[Meses contratados]]</f>
        <v>182</v>
      </c>
      <c r="O197" t="s">
        <v>29</v>
      </c>
      <c r="P197" t="str">
        <f>IF(BBDD_Usiarios_Netflix[[#This Row],[País]]="","Desconocido",BBDD_Usiarios_Netflix[[#This Row],[País]])</f>
        <v>EEUU</v>
      </c>
      <c r="Q197">
        <v>45</v>
      </c>
      <c r="R197" t="s">
        <v>30</v>
      </c>
      <c r="S197" t="s">
        <v>34</v>
      </c>
      <c r="T197" t="s">
        <v>35</v>
      </c>
      <c r="U197">
        <f>IF(IFERROR(VLOOKUP(BBDD_Usiarios_Netflix[[#This Row],[Identificador Usuario]],A198:$A$5870,1,FALSE),0)&lt;&gt;0,1,0)</f>
        <v>0</v>
      </c>
      <c r="V197" s="6" t="str">
        <f>IF(BBDD_Usiarios_Netflix[[#This Row],[Duración Plan]]="12 Meses",LEFT(BBDD_Usiarios_Netflix[[#This Row],[Duración Plan]],2),LEFT(BBDD_Usiarios_Netflix[[#This Row],[Duración Plan]],1))</f>
        <v>6</v>
      </c>
      <c r="W1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8" spans="1:23" x14ac:dyDescent="0.25">
      <c r="A198">
        <v>197</v>
      </c>
      <c r="B198" t="s">
        <v>23</v>
      </c>
      <c r="C198">
        <v>10</v>
      </c>
      <c r="D198" s="3">
        <v>27</v>
      </c>
      <c r="E198" s="3">
        <v>9</v>
      </c>
      <c r="F198">
        <v>23</v>
      </c>
      <c r="G198" s="1">
        <f>DATEVALUE(_xlfn.CONCAT(BBDD_Usiarios_Netflix[[#This Row],[Día Suscripción]],"/",BBDD_Usiarios_Netflix[[#This Row],[Mes Suscripción]],"/",BBDD_Usiarios_Netflix[[#This Row],[Año Suscripción]]))</f>
        <v>45196</v>
      </c>
      <c r="H198" s="1">
        <v>23</v>
      </c>
      <c r="I198" s="1">
        <v>6</v>
      </c>
      <c r="J198" s="1">
        <v>24</v>
      </c>
      <c r="K198" s="1" t="str">
        <f>TEXT(BBDD_Usiarios_Netflix[[#This Row],[Fecha Suscripción]],"dddd")</f>
        <v>miércoles</v>
      </c>
      <c r="L198" s="1">
        <f>DATEVALUE(_xlfn.CONCAT(BBDD_Usiarios_Netflix[[#This Row],[Día Último Pago]],"/",BBDD_Usiarios_Netflix[[#This Row],[Mes Último Pago]],"/",BBDD_Usiarios_Netflix[[#This Row],[Año Último Pago]]))</f>
        <v>45466</v>
      </c>
      <c r="M198" s="4">
        <f>DATEDIF(BBDD_Usiarios_Netflix[[#This Row],[Fecha Suscripción]],BBDD_Usiarios_Netflix[[#This Row],[Fecha Último Pago]],"M")+1</f>
        <v>9</v>
      </c>
      <c r="N198" s="4">
        <f>BBDD_Usiarios_Netflix[[#This Row],[Ingresos Mensuales]]*BBDD_Usiarios_Netflix[[#This Row],[Meses contratados]]</f>
        <v>90</v>
      </c>
      <c r="O198" t="s">
        <v>29</v>
      </c>
      <c r="P198" t="str">
        <f>IF(BBDD_Usiarios_Netflix[[#This Row],[País]]="","Desconocido",BBDD_Usiarios_Netflix[[#This Row],[País]])</f>
        <v>EEUU</v>
      </c>
      <c r="Q198">
        <v>45</v>
      </c>
      <c r="R198" t="s">
        <v>25</v>
      </c>
      <c r="S198" t="s">
        <v>31</v>
      </c>
      <c r="T198" t="s">
        <v>38</v>
      </c>
      <c r="U198">
        <f>IF(IFERROR(VLOOKUP(BBDD_Usiarios_Netflix[[#This Row],[Identificador Usuario]],A199:$A$5870,1,FALSE),0)&lt;&gt;0,1,0)</f>
        <v>0</v>
      </c>
      <c r="V198" s="6" t="str">
        <f>IF(BBDD_Usiarios_Netflix[[#This Row],[Duración Plan]]="12 Meses",LEFT(BBDD_Usiarios_Netflix[[#This Row],[Duración Plan]],2),LEFT(BBDD_Usiarios_Netflix[[#This Row],[Duración Plan]],1))</f>
        <v>3</v>
      </c>
      <c r="W1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9" spans="1:23" x14ac:dyDescent="0.25">
      <c r="A199">
        <v>198</v>
      </c>
      <c r="B199" t="s">
        <v>32</v>
      </c>
      <c r="C199">
        <v>12</v>
      </c>
      <c r="D199" s="3">
        <v>18</v>
      </c>
      <c r="E199" s="3">
        <v>10</v>
      </c>
      <c r="F199">
        <v>23</v>
      </c>
      <c r="G199" s="1">
        <f>DATEVALUE(_xlfn.CONCAT(BBDD_Usiarios_Netflix[[#This Row],[Día Suscripción]],"/",BBDD_Usiarios_Netflix[[#This Row],[Mes Suscripción]],"/",BBDD_Usiarios_Netflix[[#This Row],[Año Suscripción]]))</f>
        <v>45217</v>
      </c>
      <c r="H199" s="1">
        <v>27</v>
      </c>
      <c r="I199" s="1">
        <v>6</v>
      </c>
      <c r="J199" s="1">
        <v>24</v>
      </c>
      <c r="K199" s="1" t="str">
        <f>TEXT(BBDD_Usiarios_Netflix[[#This Row],[Fecha Suscripción]],"dddd")</f>
        <v>miércoles</v>
      </c>
      <c r="L199" s="1">
        <f>DATEVALUE(_xlfn.CONCAT(BBDD_Usiarios_Netflix[[#This Row],[Día Último Pago]],"/",BBDD_Usiarios_Netflix[[#This Row],[Mes Último Pago]],"/",BBDD_Usiarios_Netflix[[#This Row],[Año Último Pago]]))</f>
        <v>45470</v>
      </c>
      <c r="M199" s="4">
        <f>DATEDIF(BBDD_Usiarios_Netflix[[#This Row],[Fecha Suscripción]],BBDD_Usiarios_Netflix[[#This Row],[Fecha Último Pago]],"M")+1</f>
        <v>9</v>
      </c>
      <c r="N199" s="4">
        <f>BBDD_Usiarios_Netflix[[#This Row],[Ingresos Mensuales]]*BBDD_Usiarios_Netflix[[#This Row],[Meses contratados]]</f>
        <v>108</v>
      </c>
      <c r="O199" t="s">
        <v>39</v>
      </c>
      <c r="P199" t="str">
        <f>IF(BBDD_Usiarios_Netflix[[#This Row],[País]]="","Desconocido",BBDD_Usiarios_Netflix[[#This Row],[País]])</f>
        <v>Canadá</v>
      </c>
      <c r="Q199">
        <v>49</v>
      </c>
      <c r="R199" t="s">
        <v>30</v>
      </c>
      <c r="S199" t="s">
        <v>36</v>
      </c>
      <c r="T199" t="s">
        <v>41</v>
      </c>
      <c r="U199">
        <f>IF(IFERROR(VLOOKUP(BBDD_Usiarios_Netflix[[#This Row],[Identificador Usuario]],A200:$A$5870,1,FALSE),0)&lt;&gt;0,1,0)</f>
        <v>0</v>
      </c>
      <c r="V199" s="6" t="str">
        <f>IF(BBDD_Usiarios_Netflix[[#This Row],[Duración Plan]]="12 Meses",LEFT(BBDD_Usiarios_Netflix[[#This Row],[Duración Plan]],2),LEFT(BBDD_Usiarios_Netflix[[#This Row],[Duración Plan]],1))</f>
        <v>12</v>
      </c>
      <c r="W1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0" spans="1:23" x14ac:dyDescent="0.25">
      <c r="A200">
        <v>199</v>
      </c>
      <c r="B200" t="s">
        <v>28</v>
      </c>
      <c r="C200">
        <v>14</v>
      </c>
      <c r="D200" s="3">
        <v>31</v>
      </c>
      <c r="E200" s="3">
        <v>10</v>
      </c>
      <c r="F200">
        <v>23</v>
      </c>
      <c r="G200" s="1">
        <f>DATEVALUE(_xlfn.CONCAT(BBDD_Usiarios_Netflix[[#This Row],[Día Suscripción]],"/",BBDD_Usiarios_Netflix[[#This Row],[Mes Suscripción]],"/",BBDD_Usiarios_Netflix[[#This Row],[Año Suscripción]]))</f>
        <v>45230</v>
      </c>
      <c r="H200" s="1">
        <v>25</v>
      </c>
      <c r="I200" s="1">
        <v>6</v>
      </c>
      <c r="J200" s="1">
        <v>24</v>
      </c>
      <c r="K200" s="1" t="str">
        <f>TEXT(BBDD_Usiarios_Netflix[[#This Row],[Fecha Suscripción]],"dddd")</f>
        <v>martes</v>
      </c>
      <c r="L200" s="1">
        <f>DATEVALUE(_xlfn.CONCAT(BBDD_Usiarios_Netflix[[#This Row],[Día Último Pago]],"/",BBDD_Usiarios_Netflix[[#This Row],[Mes Último Pago]],"/",BBDD_Usiarios_Netflix[[#This Row],[Año Último Pago]]))</f>
        <v>45468</v>
      </c>
      <c r="M200" s="4">
        <f>DATEDIF(BBDD_Usiarios_Netflix[[#This Row],[Fecha Suscripción]],BBDD_Usiarios_Netflix[[#This Row],[Fecha Último Pago]],"M")+1</f>
        <v>8</v>
      </c>
      <c r="N200" s="4">
        <f>BBDD_Usiarios_Netflix[[#This Row],[Ingresos Mensuales]]*BBDD_Usiarios_Netflix[[#This Row],[Meses contratados]]</f>
        <v>112</v>
      </c>
      <c r="O200" t="s">
        <v>39</v>
      </c>
      <c r="P200" t="str">
        <f>IF(BBDD_Usiarios_Netflix[[#This Row],[País]]="","Desconocido",BBDD_Usiarios_Netflix[[#This Row],[País]])</f>
        <v>Canadá</v>
      </c>
      <c r="Q200">
        <v>39</v>
      </c>
      <c r="R200" t="s">
        <v>30</v>
      </c>
      <c r="S200" t="s">
        <v>31</v>
      </c>
      <c r="T200" t="s">
        <v>41</v>
      </c>
      <c r="U200">
        <f>IF(IFERROR(VLOOKUP(BBDD_Usiarios_Netflix[[#This Row],[Identificador Usuario]],A201:$A$5870,1,FALSE),0)&lt;&gt;0,1,0)</f>
        <v>0</v>
      </c>
      <c r="V200" s="6" t="str">
        <f>IF(BBDD_Usiarios_Netflix[[#This Row],[Duración Plan]]="12 Meses",LEFT(BBDD_Usiarios_Netflix[[#This Row],[Duración Plan]],2),LEFT(BBDD_Usiarios_Netflix[[#This Row],[Duración Plan]],1))</f>
        <v>12</v>
      </c>
      <c r="W2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1" spans="1:23" x14ac:dyDescent="0.25">
      <c r="A201">
        <v>200</v>
      </c>
      <c r="B201" t="s">
        <v>23</v>
      </c>
      <c r="C201">
        <v>10</v>
      </c>
      <c r="D201" s="3">
        <v>13</v>
      </c>
      <c r="E201" s="3">
        <v>10</v>
      </c>
      <c r="F201">
        <v>23</v>
      </c>
      <c r="G201" s="1">
        <f>DATEVALUE(_xlfn.CONCAT(BBDD_Usiarios_Netflix[[#This Row],[Día Suscripción]],"/",BBDD_Usiarios_Netflix[[#This Row],[Mes Suscripción]],"/",BBDD_Usiarios_Netflix[[#This Row],[Año Suscripción]]))</f>
        <v>45212</v>
      </c>
      <c r="H201" s="1">
        <v>25</v>
      </c>
      <c r="I201" s="1">
        <v>6</v>
      </c>
      <c r="J201" s="1">
        <v>24</v>
      </c>
      <c r="K201" s="1" t="str">
        <f>TEXT(BBDD_Usiarios_Netflix[[#This Row],[Fecha Suscripción]],"dddd")</f>
        <v>viernes</v>
      </c>
      <c r="L201" s="1">
        <f>DATEVALUE(_xlfn.CONCAT(BBDD_Usiarios_Netflix[[#This Row],[Día Último Pago]],"/",BBDD_Usiarios_Netflix[[#This Row],[Mes Último Pago]],"/",BBDD_Usiarios_Netflix[[#This Row],[Año Último Pago]]))</f>
        <v>45468</v>
      </c>
      <c r="M201" s="4">
        <f>DATEDIF(BBDD_Usiarios_Netflix[[#This Row],[Fecha Suscripción]],BBDD_Usiarios_Netflix[[#This Row],[Fecha Último Pago]],"M")+1</f>
        <v>9</v>
      </c>
      <c r="N201" s="4">
        <f>BBDD_Usiarios_Netflix[[#This Row],[Ingresos Mensuales]]*BBDD_Usiarios_Netflix[[#This Row],[Meses contratados]]</f>
        <v>90</v>
      </c>
      <c r="O201" t="s">
        <v>42</v>
      </c>
      <c r="P201" t="str">
        <f>IF(BBDD_Usiarios_Netflix[[#This Row],[País]]="","Desconocido",BBDD_Usiarios_Netflix[[#This Row],[País]])</f>
        <v>Reino Unido</v>
      </c>
      <c r="Q201">
        <v>45</v>
      </c>
      <c r="R201" t="s">
        <v>30</v>
      </c>
      <c r="S201" t="s">
        <v>31</v>
      </c>
      <c r="T201" t="s">
        <v>38</v>
      </c>
      <c r="U201">
        <f>IF(IFERROR(VLOOKUP(BBDD_Usiarios_Netflix[[#This Row],[Identificador Usuario]],A202:$A$5870,1,FALSE),0)&lt;&gt;0,1,0)</f>
        <v>0</v>
      </c>
      <c r="V201" s="6" t="str">
        <f>IF(BBDD_Usiarios_Netflix[[#This Row],[Duración Plan]]="12 Meses",LEFT(BBDD_Usiarios_Netflix[[#This Row],[Duración Plan]],2),LEFT(BBDD_Usiarios_Netflix[[#This Row],[Duración Plan]],1))</f>
        <v>3</v>
      </c>
      <c r="W2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2" spans="1:23" x14ac:dyDescent="0.25">
      <c r="A202">
        <v>201</v>
      </c>
      <c r="B202" t="s">
        <v>28</v>
      </c>
      <c r="C202">
        <v>14</v>
      </c>
      <c r="D202" s="3">
        <v>4</v>
      </c>
      <c r="E202" s="3">
        <v>7</v>
      </c>
      <c r="F202">
        <v>23</v>
      </c>
      <c r="G202" s="1">
        <f>DATEVALUE(_xlfn.CONCAT(BBDD_Usiarios_Netflix[[#This Row],[Día Suscripción]],"/",BBDD_Usiarios_Netflix[[#This Row],[Mes Suscripción]],"/",BBDD_Usiarios_Netflix[[#This Row],[Año Suscripción]]))</f>
        <v>45111</v>
      </c>
      <c r="H202" s="1">
        <v>27</v>
      </c>
      <c r="I202" s="1">
        <v>6</v>
      </c>
      <c r="J202" s="1">
        <v>24</v>
      </c>
      <c r="K202" s="1" t="str">
        <f>TEXT(BBDD_Usiarios_Netflix[[#This Row],[Fecha Suscripción]],"dddd")</f>
        <v>martes</v>
      </c>
      <c r="L202" s="1">
        <f>DATEVALUE(_xlfn.CONCAT(BBDD_Usiarios_Netflix[[#This Row],[Día Último Pago]],"/",BBDD_Usiarios_Netflix[[#This Row],[Mes Último Pago]],"/",BBDD_Usiarios_Netflix[[#This Row],[Año Último Pago]]))</f>
        <v>45470</v>
      </c>
      <c r="M202" s="4">
        <f>DATEDIF(BBDD_Usiarios_Netflix[[#This Row],[Fecha Suscripción]],BBDD_Usiarios_Netflix[[#This Row],[Fecha Último Pago]],"M")+1</f>
        <v>12</v>
      </c>
      <c r="N202" s="4">
        <f>BBDD_Usiarios_Netflix[[#This Row],[Ingresos Mensuales]]*BBDD_Usiarios_Netflix[[#This Row],[Meses contratados]]</f>
        <v>168</v>
      </c>
      <c r="O202" t="s">
        <v>44</v>
      </c>
      <c r="P202" t="str">
        <f>IF(BBDD_Usiarios_Netflix[[#This Row],[País]]="","Desconocido",BBDD_Usiarios_Netflix[[#This Row],[País]])</f>
        <v>Desconocido</v>
      </c>
      <c r="Q202">
        <v>49</v>
      </c>
      <c r="R202" t="s">
        <v>30</v>
      </c>
      <c r="S202" t="s">
        <v>34</v>
      </c>
      <c r="T202" t="s">
        <v>41</v>
      </c>
      <c r="U202">
        <f>IF(IFERROR(VLOOKUP(BBDD_Usiarios_Netflix[[#This Row],[Identificador Usuario]],A203:$A$5870,1,FALSE),0)&lt;&gt;0,1,0)</f>
        <v>0</v>
      </c>
      <c r="V202" s="6" t="str">
        <f>IF(BBDD_Usiarios_Netflix[[#This Row],[Duración Plan]]="12 Meses",LEFT(BBDD_Usiarios_Netflix[[#This Row],[Duración Plan]],2),LEFT(BBDD_Usiarios_Netflix[[#This Row],[Duración Plan]],1))</f>
        <v>12</v>
      </c>
      <c r="W2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3" spans="1:23" x14ac:dyDescent="0.25">
      <c r="A203">
        <v>202</v>
      </c>
      <c r="B203" t="s">
        <v>23</v>
      </c>
      <c r="C203">
        <v>10</v>
      </c>
      <c r="D203" s="3">
        <v>26</v>
      </c>
      <c r="E203" s="3">
        <v>6</v>
      </c>
      <c r="F203">
        <v>23</v>
      </c>
      <c r="G203" s="1">
        <f>DATEVALUE(_xlfn.CONCAT(BBDD_Usiarios_Netflix[[#This Row],[Día Suscripción]],"/",BBDD_Usiarios_Netflix[[#This Row],[Mes Suscripción]],"/",BBDD_Usiarios_Netflix[[#This Row],[Año Suscripción]]))</f>
        <v>45103</v>
      </c>
      <c r="H203" s="1">
        <v>27</v>
      </c>
      <c r="I203" s="1">
        <v>6</v>
      </c>
      <c r="J203" s="1">
        <v>24</v>
      </c>
      <c r="K203" s="1" t="str">
        <f>TEXT(BBDD_Usiarios_Netflix[[#This Row],[Fecha Suscripción]],"dddd")</f>
        <v>lunes</v>
      </c>
      <c r="L203" s="1">
        <f>DATEVALUE(_xlfn.CONCAT(BBDD_Usiarios_Netflix[[#This Row],[Día Último Pago]],"/",BBDD_Usiarios_Netflix[[#This Row],[Mes Último Pago]],"/",BBDD_Usiarios_Netflix[[#This Row],[Año Último Pago]]))</f>
        <v>45470</v>
      </c>
      <c r="M203" s="4">
        <f>DATEDIF(BBDD_Usiarios_Netflix[[#This Row],[Fecha Suscripción]],BBDD_Usiarios_Netflix[[#This Row],[Fecha Último Pago]],"M")+1</f>
        <v>13</v>
      </c>
      <c r="N203" s="4">
        <f>BBDD_Usiarios_Netflix[[#This Row],[Ingresos Mensuales]]*BBDD_Usiarios_Netflix[[#This Row],[Meses contratados]]</f>
        <v>130</v>
      </c>
      <c r="O203" t="s">
        <v>40</v>
      </c>
      <c r="P203" t="str">
        <f>IF(BBDD_Usiarios_Netflix[[#This Row],[País]]="","Desconocido",BBDD_Usiarios_Netflix[[#This Row],[País]])</f>
        <v>Italia</v>
      </c>
      <c r="Q203">
        <v>31</v>
      </c>
      <c r="R203" t="s">
        <v>30</v>
      </c>
      <c r="S203" t="s">
        <v>31</v>
      </c>
      <c r="T203" t="s">
        <v>35</v>
      </c>
      <c r="U203">
        <f>IF(IFERROR(VLOOKUP(BBDD_Usiarios_Netflix[[#This Row],[Identificador Usuario]],A204:$A$5870,1,FALSE),0)&lt;&gt;0,1,0)</f>
        <v>0</v>
      </c>
      <c r="V203" s="6" t="str">
        <f>IF(BBDD_Usiarios_Netflix[[#This Row],[Duración Plan]]="12 Meses",LEFT(BBDD_Usiarios_Netflix[[#This Row],[Duración Plan]],2),LEFT(BBDD_Usiarios_Netflix[[#This Row],[Duración Plan]],1))</f>
        <v>6</v>
      </c>
      <c r="W2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4" spans="1:23" x14ac:dyDescent="0.25">
      <c r="A204">
        <v>203</v>
      </c>
      <c r="B204" t="s">
        <v>32</v>
      </c>
      <c r="C204">
        <v>12</v>
      </c>
      <c r="D204" s="3">
        <v>31</v>
      </c>
      <c r="E204" s="3">
        <v>7</v>
      </c>
      <c r="F204">
        <v>23</v>
      </c>
      <c r="G204" s="1">
        <f>DATEVALUE(_xlfn.CONCAT(BBDD_Usiarios_Netflix[[#This Row],[Día Suscripción]],"/",BBDD_Usiarios_Netflix[[#This Row],[Mes Suscripción]],"/",BBDD_Usiarios_Netflix[[#This Row],[Año Suscripción]]))</f>
        <v>45138</v>
      </c>
      <c r="H204" s="1">
        <v>24</v>
      </c>
      <c r="I204" s="1">
        <v>6</v>
      </c>
      <c r="J204" s="1">
        <v>24</v>
      </c>
      <c r="K204" s="1" t="str">
        <f>TEXT(BBDD_Usiarios_Netflix[[#This Row],[Fecha Suscripción]],"dddd")</f>
        <v>lunes</v>
      </c>
      <c r="L204" s="1">
        <f>DATEVALUE(_xlfn.CONCAT(BBDD_Usiarios_Netflix[[#This Row],[Día Último Pago]],"/",BBDD_Usiarios_Netflix[[#This Row],[Mes Último Pago]],"/",BBDD_Usiarios_Netflix[[#This Row],[Año Último Pago]]))</f>
        <v>45467</v>
      </c>
      <c r="M204" s="4">
        <f>DATEDIF(BBDD_Usiarios_Netflix[[#This Row],[Fecha Suscripción]],BBDD_Usiarios_Netflix[[#This Row],[Fecha Último Pago]],"M")+1</f>
        <v>11</v>
      </c>
      <c r="N204" s="4">
        <f>BBDD_Usiarios_Netflix[[#This Row],[Ingresos Mensuales]]*BBDD_Usiarios_Netflix[[#This Row],[Meses contratados]]</f>
        <v>132</v>
      </c>
      <c r="O204" t="s">
        <v>39</v>
      </c>
      <c r="P204" t="str">
        <f>IF(BBDD_Usiarios_Netflix[[#This Row],[País]]="","Desconocido",BBDD_Usiarios_Netflix[[#This Row],[País]])</f>
        <v>Canadá</v>
      </c>
      <c r="Q204">
        <v>42</v>
      </c>
      <c r="R204" t="s">
        <v>30</v>
      </c>
      <c r="S204" t="s">
        <v>34</v>
      </c>
      <c r="T204" t="s">
        <v>27</v>
      </c>
      <c r="U204">
        <f>IF(IFERROR(VLOOKUP(BBDD_Usiarios_Netflix[[#This Row],[Identificador Usuario]],A205:$A$5870,1,FALSE),0)&lt;&gt;0,1,0)</f>
        <v>0</v>
      </c>
      <c r="V204" s="6" t="str">
        <f>IF(BBDD_Usiarios_Netflix[[#This Row],[Duración Plan]]="12 Meses",LEFT(BBDD_Usiarios_Netflix[[#This Row],[Duración Plan]],2),LEFT(BBDD_Usiarios_Netflix[[#This Row],[Duración Plan]],1))</f>
        <v>1</v>
      </c>
      <c r="W2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5" spans="1:23" x14ac:dyDescent="0.25">
      <c r="A205">
        <v>204</v>
      </c>
      <c r="B205" t="s">
        <v>32</v>
      </c>
      <c r="C205">
        <v>12</v>
      </c>
      <c r="D205" s="3">
        <v>27</v>
      </c>
      <c r="E205" s="3">
        <v>7</v>
      </c>
      <c r="F205">
        <v>23</v>
      </c>
      <c r="G205" s="1">
        <f>DATEVALUE(_xlfn.CONCAT(BBDD_Usiarios_Netflix[[#This Row],[Día Suscripción]],"/",BBDD_Usiarios_Netflix[[#This Row],[Mes Suscripción]],"/",BBDD_Usiarios_Netflix[[#This Row],[Año Suscripción]]))</f>
        <v>45134</v>
      </c>
      <c r="H205" s="1">
        <v>24</v>
      </c>
      <c r="I205" s="1">
        <v>6</v>
      </c>
      <c r="J205" s="1">
        <v>24</v>
      </c>
      <c r="K205" s="1" t="str">
        <f>TEXT(BBDD_Usiarios_Netflix[[#This Row],[Fecha Suscripción]],"dddd")</f>
        <v>jueves</v>
      </c>
      <c r="L205" s="1">
        <f>DATEVALUE(_xlfn.CONCAT(BBDD_Usiarios_Netflix[[#This Row],[Día Último Pago]],"/",BBDD_Usiarios_Netflix[[#This Row],[Mes Último Pago]],"/",BBDD_Usiarios_Netflix[[#This Row],[Año Último Pago]]))</f>
        <v>45467</v>
      </c>
      <c r="M205" s="4">
        <f>DATEDIF(BBDD_Usiarios_Netflix[[#This Row],[Fecha Suscripción]],BBDD_Usiarios_Netflix[[#This Row],[Fecha Último Pago]],"M")+1</f>
        <v>11</v>
      </c>
      <c r="N205" s="4">
        <f>BBDD_Usiarios_Netflix[[#This Row],[Ingresos Mensuales]]*BBDD_Usiarios_Netflix[[#This Row],[Meses contratados]]</f>
        <v>132</v>
      </c>
      <c r="O205" t="s">
        <v>44</v>
      </c>
      <c r="P205" t="str">
        <f>IF(BBDD_Usiarios_Netflix[[#This Row],[País]]="","Desconocido",BBDD_Usiarios_Netflix[[#This Row],[País]])</f>
        <v>Desconocido</v>
      </c>
      <c r="Q205">
        <v>37</v>
      </c>
      <c r="R205" t="s">
        <v>25</v>
      </c>
      <c r="S205" t="s">
        <v>26</v>
      </c>
      <c r="T205" t="s">
        <v>27</v>
      </c>
      <c r="U205">
        <f>IF(IFERROR(VLOOKUP(BBDD_Usiarios_Netflix[[#This Row],[Identificador Usuario]],A206:$A$5870,1,FALSE),0)&lt;&gt;0,1,0)</f>
        <v>0</v>
      </c>
      <c r="V205" s="6" t="str">
        <f>IF(BBDD_Usiarios_Netflix[[#This Row],[Duración Plan]]="12 Meses",LEFT(BBDD_Usiarios_Netflix[[#This Row],[Duración Plan]],2),LEFT(BBDD_Usiarios_Netflix[[#This Row],[Duración Plan]],1))</f>
        <v>1</v>
      </c>
      <c r="W2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6" spans="1:23" x14ac:dyDescent="0.25">
      <c r="A206">
        <v>205</v>
      </c>
      <c r="B206" t="s">
        <v>23</v>
      </c>
      <c r="C206">
        <v>10</v>
      </c>
      <c r="D206" s="3">
        <v>30</v>
      </c>
      <c r="E206" s="3">
        <v>7</v>
      </c>
      <c r="F206">
        <v>23</v>
      </c>
      <c r="G206" s="1">
        <f>DATEVALUE(_xlfn.CONCAT(BBDD_Usiarios_Netflix[[#This Row],[Día Suscripción]],"/",BBDD_Usiarios_Netflix[[#This Row],[Mes Suscripción]],"/",BBDD_Usiarios_Netflix[[#This Row],[Año Suscripción]]))</f>
        <v>45137</v>
      </c>
      <c r="H206" s="1">
        <v>25</v>
      </c>
      <c r="I206" s="1">
        <v>6</v>
      </c>
      <c r="J206" s="1">
        <v>24</v>
      </c>
      <c r="K206" s="1" t="str">
        <f>TEXT(BBDD_Usiarios_Netflix[[#This Row],[Fecha Suscripción]],"dddd")</f>
        <v>domingo</v>
      </c>
      <c r="L206" s="1">
        <f>DATEVALUE(_xlfn.CONCAT(BBDD_Usiarios_Netflix[[#This Row],[Día Último Pago]],"/",BBDD_Usiarios_Netflix[[#This Row],[Mes Último Pago]],"/",BBDD_Usiarios_Netflix[[#This Row],[Año Último Pago]]))</f>
        <v>45468</v>
      </c>
      <c r="M206" s="4">
        <f>DATEDIF(BBDD_Usiarios_Netflix[[#This Row],[Fecha Suscripción]],BBDD_Usiarios_Netflix[[#This Row],[Fecha Último Pago]],"M")+1</f>
        <v>11</v>
      </c>
      <c r="N206" s="4">
        <f>BBDD_Usiarios_Netflix[[#This Row],[Ingresos Mensuales]]*BBDD_Usiarios_Netflix[[#This Row],[Meses contratados]]</f>
        <v>110</v>
      </c>
      <c r="O206" t="s">
        <v>29</v>
      </c>
      <c r="P206" t="str">
        <f>IF(BBDD_Usiarios_Netflix[[#This Row],[País]]="","Desconocido",BBDD_Usiarios_Netflix[[#This Row],[País]])</f>
        <v>EEUU</v>
      </c>
      <c r="Q206">
        <v>30</v>
      </c>
      <c r="R206" t="s">
        <v>25</v>
      </c>
      <c r="S206" t="s">
        <v>34</v>
      </c>
      <c r="T206" t="s">
        <v>35</v>
      </c>
      <c r="U206">
        <f>IF(IFERROR(VLOOKUP(BBDD_Usiarios_Netflix[[#This Row],[Identificador Usuario]],A207:$A$5870,1,FALSE),0)&lt;&gt;0,1,0)</f>
        <v>0</v>
      </c>
      <c r="V206" s="6" t="str">
        <f>IF(BBDD_Usiarios_Netflix[[#This Row],[Duración Plan]]="12 Meses",LEFT(BBDD_Usiarios_Netflix[[#This Row],[Duración Plan]],2),LEFT(BBDD_Usiarios_Netflix[[#This Row],[Duración Plan]],1))</f>
        <v>6</v>
      </c>
      <c r="W2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7" spans="1:23" x14ac:dyDescent="0.25">
      <c r="A207">
        <v>206</v>
      </c>
      <c r="B207" t="s">
        <v>28</v>
      </c>
      <c r="C207">
        <v>14</v>
      </c>
      <c r="D207" s="3">
        <v>6</v>
      </c>
      <c r="E207" s="3">
        <v>8</v>
      </c>
      <c r="F207">
        <v>23</v>
      </c>
      <c r="G207" s="1">
        <f>DATEVALUE(_xlfn.CONCAT(BBDD_Usiarios_Netflix[[#This Row],[Día Suscripción]],"/",BBDD_Usiarios_Netflix[[#This Row],[Mes Suscripción]],"/",BBDD_Usiarios_Netflix[[#This Row],[Año Suscripción]]))</f>
        <v>45144</v>
      </c>
      <c r="H207" s="1">
        <v>25</v>
      </c>
      <c r="I207" s="1">
        <v>6</v>
      </c>
      <c r="J207" s="1">
        <v>24</v>
      </c>
      <c r="K207" s="1" t="str">
        <f>TEXT(BBDD_Usiarios_Netflix[[#This Row],[Fecha Suscripción]],"dddd")</f>
        <v>domingo</v>
      </c>
      <c r="L207" s="1">
        <f>DATEVALUE(_xlfn.CONCAT(BBDD_Usiarios_Netflix[[#This Row],[Día Último Pago]],"/",BBDD_Usiarios_Netflix[[#This Row],[Mes Último Pago]],"/",BBDD_Usiarios_Netflix[[#This Row],[Año Último Pago]]))</f>
        <v>45468</v>
      </c>
      <c r="M207" s="4">
        <f>DATEDIF(BBDD_Usiarios_Netflix[[#This Row],[Fecha Suscripción]],BBDD_Usiarios_Netflix[[#This Row],[Fecha Último Pago]],"M")+1</f>
        <v>11</v>
      </c>
      <c r="N207" s="4">
        <f>BBDD_Usiarios_Netflix[[#This Row],[Ingresos Mensuales]]*BBDD_Usiarios_Netflix[[#This Row],[Meses contratados]]</f>
        <v>154</v>
      </c>
      <c r="O207" t="s">
        <v>45</v>
      </c>
      <c r="P207" t="str">
        <f>IF(BBDD_Usiarios_Netflix[[#This Row],[País]]="","Desconocido",BBDD_Usiarios_Netflix[[#This Row],[País]])</f>
        <v>España</v>
      </c>
      <c r="Q207">
        <v>40</v>
      </c>
      <c r="R207" t="s">
        <v>25</v>
      </c>
      <c r="S207" t="s">
        <v>26</v>
      </c>
      <c r="T207" t="s">
        <v>27</v>
      </c>
      <c r="U207">
        <f>IF(IFERROR(VLOOKUP(BBDD_Usiarios_Netflix[[#This Row],[Identificador Usuario]],A208:$A$5870,1,FALSE),0)&lt;&gt;0,1,0)</f>
        <v>0</v>
      </c>
      <c r="V207" s="6" t="str">
        <f>IF(BBDD_Usiarios_Netflix[[#This Row],[Duración Plan]]="12 Meses",LEFT(BBDD_Usiarios_Netflix[[#This Row],[Duración Plan]],2),LEFT(BBDD_Usiarios_Netflix[[#This Row],[Duración Plan]],1))</f>
        <v>1</v>
      </c>
      <c r="W2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8" spans="1:23" x14ac:dyDescent="0.25">
      <c r="A208">
        <v>207</v>
      </c>
      <c r="B208" t="s">
        <v>23</v>
      </c>
      <c r="C208">
        <v>10</v>
      </c>
      <c r="D208" s="3">
        <v>16</v>
      </c>
      <c r="E208" s="3">
        <v>9</v>
      </c>
      <c r="F208">
        <v>23</v>
      </c>
      <c r="G208" s="1">
        <f>DATEVALUE(_xlfn.CONCAT(BBDD_Usiarios_Netflix[[#This Row],[Día Suscripción]],"/",BBDD_Usiarios_Netflix[[#This Row],[Mes Suscripción]],"/",BBDD_Usiarios_Netflix[[#This Row],[Año Suscripción]]))</f>
        <v>45185</v>
      </c>
      <c r="H208" s="1">
        <v>24</v>
      </c>
      <c r="I208" s="1">
        <v>6</v>
      </c>
      <c r="J208" s="1">
        <v>24</v>
      </c>
      <c r="K208" s="1" t="str">
        <f>TEXT(BBDD_Usiarios_Netflix[[#This Row],[Fecha Suscripción]],"dddd")</f>
        <v>sábado</v>
      </c>
      <c r="L208" s="1">
        <f>DATEVALUE(_xlfn.CONCAT(BBDD_Usiarios_Netflix[[#This Row],[Día Último Pago]],"/",BBDD_Usiarios_Netflix[[#This Row],[Mes Último Pago]],"/",BBDD_Usiarios_Netflix[[#This Row],[Año Último Pago]]))</f>
        <v>45467</v>
      </c>
      <c r="M208" s="4">
        <f>DATEDIF(BBDD_Usiarios_Netflix[[#This Row],[Fecha Suscripción]],BBDD_Usiarios_Netflix[[#This Row],[Fecha Último Pago]],"M")+1</f>
        <v>10</v>
      </c>
      <c r="N208" s="4">
        <f>BBDD_Usiarios_Netflix[[#This Row],[Ingresos Mensuales]]*BBDD_Usiarios_Netflix[[#This Row],[Meses contratados]]</f>
        <v>100</v>
      </c>
      <c r="O208" t="s">
        <v>46</v>
      </c>
      <c r="P208" t="str">
        <f>IF(BBDD_Usiarios_Netflix[[#This Row],[País]]="","Desconocido",BBDD_Usiarios_Netflix[[#This Row],[País]])</f>
        <v>Méjico</v>
      </c>
      <c r="Q208">
        <v>45</v>
      </c>
      <c r="R208" t="s">
        <v>30</v>
      </c>
      <c r="S208" t="s">
        <v>26</v>
      </c>
      <c r="T208" t="s">
        <v>27</v>
      </c>
      <c r="U208">
        <f>IF(IFERROR(VLOOKUP(BBDD_Usiarios_Netflix[[#This Row],[Identificador Usuario]],A209:$A$5870,1,FALSE),0)&lt;&gt;0,1,0)</f>
        <v>0</v>
      </c>
      <c r="V208" s="6" t="str">
        <f>IF(BBDD_Usiarios_Netflix[[#This Row],[Duración Plan]]="12 Meses",LEFT(BBDD_Usiarios_Netflix[[#This Row],[Duración Plan]],2),LEFT(BBDD_Usiarios_Netflix[[#This Row],[Duración Plan]],1))</f>
        <v>1</v>
      </c>
      <c r="W2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9" spans="1:23" x14ac:dyDescent="0.25">
      <c r="A209">
        <v>208</v>
      </c>
      <c r="B209" t="s">
        <v>32</v>
      </c>
      <c r="C209">
        <v>13</v>
      </c>
      <c r="D209" s="3">
        <v>5</v>
      </c>
      <c r="E209" s="3">
        <v>1</v>
      </c>
      <c r="F209">
        <v>24</v>
      </c>
      <c r="G209" s="1">
        <f>DATEVALUE(_xlfn.CONCAT(BBDD_Usiarios_Netflix[[#This Row],[Día Suscripción]],"/",BBDD_Usiarios_Netflix[[#This Row],[Mes Suscripción]],"/",BBDD_Usiarios_Netflix[[#This Row],[Año Suscripción]]))</f>
        <v>45296</v>
      </c>
      <c r="H209" s="1">
        <v>23</v>
      </c>
      <c r="I209" s="1">
        <v>6</v>
      </c>
      <c r="J209" s="1">
        <v>24</v>
      </c>
      <c r="K209" s="1" t="str">
        <f>TEXT(BBDD_Usiarios_Netflix[[#This Row],[Fecha Suscripción]],"dddd")</f>
        <v>viernes</v>
      </c>
      <c r="L209" s="1">
        <f>DATEVALUE(_xlfn.CONCAT(BBDD_Usiarios_Netflix[[#This Row],[Día Último Pago]],"/",BBDD_Usiarios_Netflix[[#This Row],[Mes Último Pago]],"/",BBDD_Usiarios_Netflix[[#This Row],[Año Último Pago]]))</f>
        <v>45466</v>
      </c>
      <c r="M209" s="4">
        <f>DATEDIF(BBDD_Usiarios_Netflix[[#This Row],[Fecha Suscripción]],BBDD_Usiarios_Netflix[[#This Row],[Fecha Último Pago]],"M")+1</f>
        <v>6</v>
      </c>
      <c r="N209" s="4">
        <f>BBDD_Usiarios_Netflix[[#This Row],[Ingresos Mensuales]]*BBDD_Usiarios_Netflix[[#This Row],[Meses contratados]]</f>
        <v>78</v>
      </c>
      <c r="O209" t="s">
        <v>43</v>
      </c>
      <c r="P209" t="str">
        <f>IF(BBDD_Usiarios_Netflix[[#This Row],[País]]="","Desconocido",BBDD_Usiarios_Netflix[[#This Row],[País]])</f>
        <v>Alemania</v>
      </c>
      <c r="Q209">
        <v>36</v>
      </c>
      <c r="R209" t="s">
        <v>30</v>
      </c>
      <c r="S209" t="s">
        <v>31</v>
      </c>
      <c r="T209" t="s">
        <v>38</v>
      </c>
      <c r="U209">
        <f>IF(IFERROR(VLOOKUP(BBDD_Usiarios_Netflix[[#This Row],[Identificador Usuario]],A210:$A$5870,1,FALSE),0)&lt;&gt;0,1,0)</f>
        <v>0</v>
      </c>
      <c r="V209" s="6" t="str">
        <f>IF(BBDD_Usiarios_Netflix[[#This Row],[Duración Plan]]="12 Meses",LEFT(BBDD_Usiarios_Netflix[[#This Row],[Duración Plan]],2),LEFT(BBDD_Usiarios_Netflix[[#This Row],[Duración Plan]],1))</f>
        <v>3</v>
      </c>
      <c r="W2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0" spans="1:23" x14ac:dyDescent="0.25">
      <c r="A210">
        <v>209</v>
      </c>
      <c r="B210" t="s">
        <v>28</v>
      </c>
      <c r="C210">
        <v>15</v>
      </c>
      <c r="D210" s="3">
        <v>10</v>
      </c>
      <c r="E210" s="3">
        <v>12</v>
      </c>
      <c r="F210">
        <v>23</v>
      </c>
      <c r="G210" s="1">
        <f>DATEVALUE(_xlfn.CONCAT(BBDD_Usiarios_Netflix[[#This Row],[Día Suscripción]],"/",BBDD_Usiarios_Netflix[[#This Row],[Mes Suscripción]],"/",BBDD_Usiarios_Netflix[[#This Row],[Año Suscripción]]))</f>
        <v>45270</v>
      </c>
      <c r="H210" s="1">
        <v>24</v>
      </c>
      <c r="I210" s="1">
        <v>6</v>
      </c>
      <c r="J210" s="1">
        <v>24</v>
      </c>
      <c r="K210" s="1" t="str">
        <f>TEXT(BBDD_Usiarios_Netflix[[#This Row],[Fecha Suscripción]],"dddd")</f>
        <v>domingo</v>
      </c>
      <c r="L210" s="1">
        <f>DATEVALUE(_xlfn.CONCAT(BBDD_Usiarios_Netflix[[#This Row],[Día Último Pago]],"/",BBDD_Usiarios_Netflix[[#This Row],[Mes Último Pago]],"/",BBDD_Usiarios_Netflix[[#This Row],[Año Último Pago]]))</f>
        <v>45467</v>
      </c>
      <c r="M210" s="4">
        <f>DATEDIF(BBDD_Usiarios_Netflix[[#This Row],[Fecha Suscripción]],BBDD_Usiarios_Netflix[[#This Row],[Fecha Último Pago]],"M")+1</f>
        <v>7</v>
      </c>
      <c r="N210" s="4">
        <f>BBDD_Usiarios_Netflix[[#This Row],[Ingresos Mensuales]]*BBDD_Usiarios_Netflix[[#This Row],[Meses contratados]]</f>
        <v>105</v>
      </c>
      <c r="O210" t="s">
        <v>24</v>
      </c>
      <c r="P210" t="str">
        <f>IF(BBDD_Usiarios_Netflix[[#This Row],[País]]="","Desconocido",BBDD_Usiarios_Netflix[[#This Row],[País]])</f>
        <v>Australia</v>
      </c>
      <c r="Q210">
        <v>41</v>
      </c>
      <c r="R210" t="s">
        <v>25</v>
      </c>
      <c r="S210" t="s">
        <v>36</v>
      </c>
      <c r="T210" t="s">
        <v>27</v>
      </c>
      <c r="U210">
        <f>IF(IFERROR(VLOOKUP(BBDD_Usiarios_Netflix[[#This Row],[Identificador Usuario]],A211:$A$5870,1,FALSE),0)&lt;&gt;0,1,0)</f>
        <v>0</v>
      </c>
      <c r="V210" s="6" t="str">
        <f>IF(BBDD_Usiarios_Netflix[[#This Row],[Duración Plan]]="12 Meses",LEFT(BBDD_Usiarios_Netflix[[#This Row],[Duración Plan]],2),LEFT(BBDD_Usiarios_Netflix[[#This Row],[Duración Plan]],1))</f>
        <v>1</v>
      </c>
      <c r="W2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1" spans="1:23" x14ac:dyDescent="0.25">
      <c r="A211">
        <v>210</v>
      </c>
      <c r="B211" t="s">
        <v>23</v>
      </c>
      <c r="C211">
        <v>10</v>
      </c>
      <c r="D211" s="3">
        <v>22</v>
      </c>
      <c r="E211" s="3">
        <v>11</v>
      </c>
      <c r="F211">
        <v>23</v>
      </c>
      <c r="G211" s="1">
        <f>DATEVALUE(_xlfn.CONCAT(BBDD_Usiarios_Netflix[[#This Row],[Día Suscripción]],"/",BBDD_Usiarios_Netflix[[#This Row],[Mes Suscripción]],"/",BBDD_Usiarios_Netflix[[#This Row],[Año Suscripción]]))</f>
        <v>45252</v>
      </c>
      <c r="H211" s="1">
        <v>26</v>
      </c>
      <c r="I211" s="1">
        <v>6</v>
      </c>
      <c r="J211" s="1">
        <v>24</v>
      </c>
      <c r="K211" s="1" t="str">
        <f>TEXT(BBDD_Usiarios_Netflix[[#This Row],[Fecha Suscripción]],"dddd")</f>
        <v>miércoles</v>
      </c>
      <c r="L211" s="1">
        <f>DATEVALUE(_xlfn.CONCAT(BBDD_Usiarios_Netflix[[#This Row],[Día Último Pago]],"/",BBDD_Usiarios_Netflix[[#This Row],[Mes Último Pago]],"/",BBDD_Usiarios_Netflix[[#This Row],[Año Último Pago]]))</f>
        <v>45469</v>
      </c>
      <c r="M211" s="4">
        <f>DATEDIF(BBDD_Usiarios_Netflix[[#This Row],[Fecha Suscripción]],BBDD_Usiarios_Netflix[[#This Row],[Fecha Último Pago]],"M")+1</f>
        <v>8</v>
      </c>
      <c r="N211" s="4">
        <f>BBDD_Usiarios_Netflix[[#This Row],[Ingresos Mensuales]]*BBDD_Usiarios_Netflix[[#This Row],[Meses contratados]]</f>
        <v>80</v>
      </c>
      <c r="O211" t="s">
        <v>44</v>
      </c>
      <c r="P211" t="str">
        <f>IF(BBDD_Usiarios_Netflix[[#This Row],[País]]="","Desconocido",BBDD_Usiarios_Netflix[[#This Row],[País]])</f>
        <v>Desconocido</v>
      </c>
      <c r="Q211">
        <v>49</v>
      </c>
      <c r="R211" t="s">
        <v>30</v>
      </c>
      <c r="S211" t="s">
        <v>36</v>
      </c>
      <c r="T211" t="s">
        <v>35</v>
      </c>
      <c r="U211">
        <f>IF(IFERROR(VLOOKUP(BBDD_Usiarios_Netflix[[#This Row],[Identificador Usuario]],A212:$A$5870,1,FALSE),0)&lt;&gt;0,1,0)</f>
        <v>0</v>
      </c>
      <c r="V211" s="6" t="str">
        <f>IF(BBDD_Usiarios_Netflix[[#This Row],[Duración Plan]]="12 Meses",LEFT(BBDD_Usiarios_Netflix[[#This Row],[Duración Plan]],2),LEFT(BBDD_Usiarios_Netflix[[#This Row],[Duración Plan]],1))</f>
        <v>6</v>
      </c>
      <c r="W2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2" spans="1:23" x14ac:dyDescent="0.25">
      <c r="A212">
        <v>211</v>
      </c>
      <c r="B212" t="s">
        <v>28</v>
      </c>
      <c r="C212">
        <v>14</v>
      </c>
      <c r="D212" s="3">
        <v>15</v>
      </c>
      <c r="E212" s="3">
        <v>11</v>
      </c>
      <c r="F212">
        <v>23</v>
      </c>
      <c r="G212" s="1">
        <f>DATEVALUE(_xlfn.CONCAT(BBDD_Usiarios_Netflix[[#This Row],[Día Suscripción]],"/",BBDD_Usiarios_Netflix[[#This Row],[Mes Suscripción]],"/",BBDD_Usiarios_Netflix[[#This Row],[Año Suscripción]]))</f>
        <v>45245</v>
      </c>
      <c r="H212" s="1">
        <v>27</v>
      </c>
      <c r="I212" s="1">
        <v>6</v>
      </c>
      <c r="J212" s="1">
        <v>24</v>
      </c>
      <c r="K212" s="1" t="str">
        <f>TEXT(BBDD_Usiarios_Netflix[[#This Row],[Fecha Suscripción]],"dddd")</f>
        <v>miércoles</v>
      </c>
      <c r="L212" s="1">
        <f>DATEVALUE(_xlfn.CONCAT(BBDD_Usiarios_Netflix[[#This Row],[Día Último Pago]],"/",BBDD_Usiarios_Netflix[[#This Row],[Mes Último Pago]],"/",BBDD_Usiarios_Netflix[[#This Row],[Año Último Pago]]))</f>
        <v>45470</v>
      </c>
      <c r="M212" s="4">
        <f>DATEDIF(BBDD_Usiarios_Netflix[[#This Row],[Fecha Suscripción]],BBDD_Usiarios_Netflix[[#This Row],[Fecha Último Pago]],"M")+1</f>
        <v>8</v>
      </c>
      <c r="N212" s="4">
        <f>BBDD_Usiarios_Netflix[[#This Row],[Ingresos Mensuales]]*BBDD_Usiarios_Netflix[[#This Row],[Meses contratados]]</f>
        <v>112</v>
      </c>
      <c r="O212" t="s">
        <v>29</v>
      </c>
      <c r="P212" t="str">
        <f>IF(BBDD_Usiarios_Netflix[[#This Row],[País]]="","Desconocido",BBDD_Usiarios_Netflix[[#This Row],[País]])</f>
        <v>EEUU</v>
      </c>
      <c r="Q212">
        <v>40</v>
      </c>
      <c r="R212" t="s">
        <v>25</v>
      </c>
      <c r="S212" t="s">
        <v>31</v>
      </c>
      <c r="T212" t="s">
        <v>41</v>
      </c>
      <c r="U212">
        <f>IF(IFERROR(VLOOKUP(BBDD_Usiarios_Netflix[[#This Row],[Identificador Usuario]],A213:$A$5870,1,FALSE),0)&lt;&gt;0,1,0)</f>
        <v>0</v>
      </c>
      <c r="V212" s="6" t="str">
        <f>IF(BBDD_Usiarios_Netflix[[#This Row],[Duración Plan]]="12 Meses",LEFT(BBDD_Usiarios_Netflix[[#This Row],[Duración Plan]],2),LEFT(BBDD_Usiarios_Netflix[[#This Row],[Duración Plan]],1))</f>
        <v>12</v>
      </c>
      <c r="W2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3" spans="1:23" x14ac:dyDescent="0.25">
      <c r="A213">
        <v>212</v>
      </c>
      <c r="B213" t="s">
        <v>23</v>
      </c>
      <c r="C213">
        <v>10</v>
      </c>
      <c r="D213" s="3">
        <v>28</v>
      </c>
      <c r="E213" s="3">
        <v>10</v>
      </c>
      <c r="F213">
        <v>23</v>
      </c>
      <c r="G213" s="1">
        <f>DATEVALUE(_xlfn.CONCAT(BBDD_Usiarios_Netflix[[#This Row],[Día Suscripción]],"/",BBDD_Usiarios_Netflix[[#This Row],[Mes Suscripción]],"/",BBDD_Usiarios_Netflix[[#This Row],[Año Suscripción]]))</f>
        <v>45227</v>
      </c>
      <c r="H213" s="1">
        <v>26</v>
      </c>
      <c r="I213" s="1">
        <v>6</v>
      </c>
      <c r="J213" s="1">
        <v>24</v>
      </c>
      <c r="K213" s="1" t="str">
        <f>TEXT(BBDD_Usiarios_Netflix[[#This Row],[Fecha Suscripción]],"dddd")</f>
        <v>sábado</v>
      </c>
      <c r="L213" s="1">
        <f>DATEVALUE(_xlfn.CONCAT(BBDD_Usiarios_Netflix[[#This Row],[Día Último Pago]],"/",BBDD_Usiarios_Netflix[[#This Row],[Mes Último Pago]],"/",BBDD_Usiarios_Netflix[[#This Row],[Año Último Pago]]))</f>
        <v>45469</v>
      </c>
      <c r="M213" s="4">
        <f>DATEDIF(BBDD_Usiarios_Netflix[[#This Row],[Fecha Suscripción]],BBDD_Usiarios_Netflix[[#This Row],[Fecha Último Pago]],"M")+1</f>
        <v>8</v>
      </c>
      <c r="N213" s="4">
        <f>BBDD_Usiarios_Netflix[[#This Row],[Ingresos Mensuales]]*BBDD_Usiarios_Netflix[[#This Row],[Meses contratados]]</f>
        <v>80</v>
      </c>
      <c r="O213" t="s">
        <v>42</v>
      </c>
      <c r="P213" t="str">
        <f>IF(BBDD_Usiarios_Netflix[[#This Row],[País]]="","Desconocido",BBDD_Usiarios_Netflix[[#This Row],[País]])</f>
        <v>Reino Unido</v>
      </c>
      <c r="Q213">
        <v>36</v>
      </c>
      <c r="R213" t="s">
        <v>25</v>
      </c>
      <c r="S213" t="s">
        <v>34</v>
      </c>
      <c r="T213" t="s">
        <v>27</v>
      </c>
      <c r="U213">
        <f>IF(IFERROR(VLOOKUP(BBDD_Usiarios_Netflix[[#This Row],[Identificador Usuario]],A214:$A$5870,1,FALSE),0)&lt;&gt;0,1,0)</f>
        <v>0</v>
      </c>
      <c r="V213" s="6" t="str">
        <f>IF(BBDD_Usiarios_Netflix[[#This Row],[Duración Plan]]="12 Meses",LEFT(BBDD_Usiarios_Netflix[[#This Row],[Duración Plan]],2),LEFT(BBDD_Usiarios_Netflix[[#This Row],[Duración Plan]],1))</f>
        <v>1</v>
      </c>
      <c r="W2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4" spans="1:23" x14ac:dyDescent="0.25">
      <c r="A214">
        <v>213</v>
      </c>
      <c r="B214" t="s">
        <v>32</v>
      </c>
      <c r="C214">
        <v>12</v>
      </c>
      <c r="D214" s="3">
        <v>8</v>
      </c>
      <c r="E214" s="3">
        <v>9</v>
      </c>
      <c r="F214">
        <v>23</v>
      </c>
      <c r="G214" s="1">
        <f>DATEVALUE(_xlfn.CONCAT(BBDD_Usiarios_Netflix[[#This Row],[Día Suscripción]],"/",BBDD_Usiarios_Netflix[[#This Row],[Mes Suscripción]],"/",BBDD_Usiarios_Netflix[[#This Row],[Año Suscripción]]))</f>
        <v>45177</v>
      </c>
      <c r="H214" s="1">
        <v>24</v>
      </c>
      <c r="I214" s="1">
        <v>6</v>
      </c>
      <c r="J214" s="1">
        <v>24</v>
      </c>
      <c r="K214" s="1" t="str">
        <f>TEXT(BBDD_Usiarios_Netflix[[#This Row],[Fecha Suscripción]],"dddd")</f>
        <v>viernes</v>
      </c>
      <c r="L214" s="1">
        <f>DATEVALUE(_xlfn.CONCAT(BBDD_Usiarios_Netflix[[#This Row],[Día Último Pago]],"/",BBDD_Usiarios_Netflix[[#This Row],[Mes Último Pago]],"/",BBDD_Usiarios_Netflix[[#This Row],[Año Último Pago]]))</f>
        <v>45467</v>
      </c>
      <c r="M214" s="4">
        <f>DATEDIF(BBDD_Usiarios_Netflix[[#This Row],[Fecha Suscripción]],BBDD_Usiarios_Netflix[[#This Row],[Fecha Último Pago]],"M")+1</f>
        <v>10</v>
      </c>
      <c r="N214" s="4">
        <f>BBDD_Usiarios_Netflix[[#This Row],[Ingresos Mensuales]]*BBDD_Usiarios_Netflix[[#This Row],[Meses contratados]]</f>
        <v>120</v>
      </c>
      <c r="O214" t="s">
        <v>44</v>
      </c>
      <c r="P214" t="str">
        <f>IF(BBDD_Usiarios_Netflix[[#This Row],[País]]="","Desconocido",BBDD_Usiarios_Netflix[[#This Row],[País]])</f>
        <v>Desconocido</v>
      </c>
      <c r="Q214">
        <v>49</v>
      </c>
      <c r="R214" t="s">
        <v>30</v>
      </c>
      <c r="S214" t="s">
        <v>34</v>
      </c>
      <c r="T214" t="s">
        <v>35</v>
      </c>
      <c r="U214">
        <f>IF(IFERROR(VLOOKUP(BBDD_Usiarios_Netflix[[#This Row],[Identificador Usuario]],A215:$A$5870,1,FALSE),0)&lt;&gt;0,1,0)</f>
        <v>0</v>
      </c>
      <c r="V214" s="6" t="str">
        <f>IF(BBDD_Usiarios_Netflix[[#This Row],[Duración Plan]]="12 Meses",LEFT(BBDD_Usiarios_Netflix[[#This Row],[Duración Plan]],2),LEFT(BBDD_Usiarios_Netflix[[#This Row],[Duración Plan]],1))</f>
        <v>6</v>
      </c>
      <c r="W2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5" spans="1:23" x14ac:dyDescent="0.25">
      <c r="A215">
        <v>214</v>
      </c>
      <c r="B215" t="s">
        <v>32</v>
      </c>
      <c r="C215">
        <v>12</v>
      </c>
      <c r="D215" s="3">
        <v>30</v>
      </c>
      <c r="E215" s="3">
        <v>6</v>
      </c>
      <c r="F215">
        <v>23</v>
      </c>
      <c r="G215" s="1">
        <f>DATEVALUE(_xlfn.CONCAT(BBDD_Usiarios_Netflix[[#This Row],[Día Suscripción]],"/",BBDD_Usiarios_Netflix[[#This Row],[Mes Suscripción]],"/",BBDD_Usiarios_Netflix[[#This Row],[Año Suscripción]]))</f>
        <v>45107</v>
      </c>
      <c r="H215" s="1">
        <v>28</v>
      </c>
      <c r="I215" s="1">
        <v>6</v>
      </c>
      <c r="J215" s="1">
        <v>24</v>
      </c>
      <c r="K215" s="1" t="str">
        <f>TEXT(BBDD_Usiarios_Netflix[[#This Row],[Fecha Suscripción]],"dddd")</f>
        <v>viernes</v>
      </c>
      <c r="L215" s="1">
        <f>DATEVALUE(_xlfn.CONCAT(BBDD_Usiarios_Netflix[[#This Row],[Día Último Pago]],"/",BBDD_Usiarios_Netflix[[#This Row],[Mes Último Pago]],"/",BBDD_Usiarios_Netflix[[#This Row],[Año Último Pago]]))</f>
        <v>45471</v>
      </c>
      <c r="M215" s="4">
        <f>DATEDIF(BBDD_Usiarios_Netflix[[#This Row],[Fecha Suscripción]],BBDD_Usiarios_Netflix[[#This Row],[Fecha Último Pago]],"M")+1</f>
        <v>12</v>
      </c>
      <c r="N215" s="4">
        <f>BBDD_Usiarios_Netflix[[#This Row],[Ingresos Mensuales]]*BBDD_Usiarios_Netflix[[#This Row],[Meses contratados]]</f>
        <v>144</v>
      </c>
      <c r="O215" t="s">
        <v>43</v>
      </c>
      <c r="P215" t="str">
        <f>IF(BBDD_Usiarios_Netflix[[#This Row],[País]]="","Desconocido",BBDD_Usiarios_Netflix[[#This Row],[País]])</f>
        <v>Alemania</v>
      </c>
      <c r="Q215">
        <v>43</v>
      </c>
      <c r="R215" t="s">
        <v>30</v>
      </c>
      <c r="S215" t="s">
        <v>36</v>
      </c>
      <c r="T215" t="s">
        <v>41</v>
      </c>
      <c r="U215">
        <f>IF(IFERROR(VLOOKUP(BBDD_Usiarios_Netflix[[#This Row],[Identificador Usuario]],A216:$A$5870,1,FALSE),0)&lt;&gt;0,1,0)</f>
        <v>0</v>
      </c>
      <c r="V215" s="6" t="str">
        <f>IF(BBDD_Usiarios_Netflix[[#This Row],[Duración Plan]]="12 Meses",LEFT(BBDD_Usiarios_Netflix[[#This Row],[Duración Plan]],2),LEFT(BBDD_Usiarios_Netflix[[#This Row],[Duración Plan]],1))</f>
        <v>12</v>
      </c>
      <c r="W2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6" spans="1:23" x14ac:dyDescent="0.25">
      <c r="A216">
        <v>215</v>
      </c>
      <c r="B216" t="s">
        <v>23</v>
      </c>
      <c r="C216">
        <v>10</v>
      </c>
      <c r="D216" s="3">
        <v>2</v>
      </c>
      <c r="E216" s="3">
        <v>9</v>
      </c>
      <c r="F216">
        <v>23</v>
      </c>
      <c r="G216" s="1">
        <f>DATEVALUE(_xlfn.CONCAT(BBDD_Usiarios_Netflix[[#This Row],[Día Suscripción]],"/",BBDD_Usiarios_Netflix[[#This Row],[Mes Suscripción]],"/",BBDD_Usiarios_Netflix[[#This Row],[Año Suscripción]]))</f>
        <v>45171</v>
      </c>
      <c r="H216" s="1">
        <v>27</v>
      </c>
      <c r="I216" s="1">
        <v>6</v>
      </c>
      <c r="J216" s="1">
        <v>24</v>
      </c>
      <c r="K216" s="1" t="str">
        <f>TEXT(BBDD_Usiarios_Netflix[[#This Row],[Fecha Suscripción]],"dddd")</f>
        <v>sábado</v>
      </c>
      <c r="L216" s="1">
        <f>DATEVALUE(_xlfn.CONCAT(BBDD_Usiarios_Netflix[[#This Row],[Día Último Pago]],"/",BBDD_Usiarios_Netflix[[#This Row],[Mes Último Pago]],"/",BBDD_Usiarios_Netflix[[#This Row],[Año Último Pago]]))</f>
        <v>45470</v>
      </c>
      <c r="M216" s="4">
        <f>DATEDIF(BBDD_Usiarios_Netflix[[#This Row],[Fecha Suscripción]],BBDD_Usiarios_Netflix[[#This Row],[Fecha Último Pago]],"M")+1</f>
        <v>10</v>
      </c>
      <c r="N216" s="4">
        <f>BBDD_Usiarios_Netflix[[#This Row],[Ingresos Mensuales]]*BBDD_Usiarios_Netflix[[#This Row],[Meses contratados]]</f>
        <v>100</v>
      </c>
      <c r="O216" t="s">
        <v>33</v>
      </c>
      <c r="P216" t="str">
        <f>IF(BBDD_Usiarios_Netflix[[#This Row],[País]]="","Desconocido",BBDD_Usiarios_Netflix[[#This Row],[País]])</f>
        <v>Francia</v>
      </c>
      <c r="Q216">
        <v>50</v>
      </c>
      <c r="R216" t="s">
        <v>30</v>
      </c>
      <c r="S216" t="s">
        <v>26</v>
      </c>
      <c r="T216" t="s">
        <v>41</v>
      </c>
      <c r="U216">
        <f>IF(IFERROR(VLOOKUP(BBDD_Usiarios_Netflix[[#This Row],[Identificador Usuario]],A217:$A$5870,1,FALSE),0)&lt;&gt;0,1,0)</f>
        <v>0</v>
      </c>
      <c r="V216" s="6" t="str">
        <f>IF(BBDD_Usiarios_Netflix[[#This Row],[Duración Plan]]="12 Meses",LEFT(BBDD_Usiarios_Netflix[[#This Row],[Duración Plan]],2),LEFT(BBDD_Usiarios_Netflix[[#This Row],[Duración Plan]],1))</f>
        <v>12</v>
      </c>
      <c r="W2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7" spans="1:23" x14ac:dyDescent="0.25">
      <c r="A217">
        <v>216</v>
      </c>
      <c r="B217" t="s">
        <v>28</v>
      </c>
      <c r="C217">
        <v>14</v>
      </c>
      <c r="D217" s="3">
        <v>8</v>
      </c>
      <c r="E217" s="3">
        <v>10</v>
      </c>
      <c r="F217">
        <v>23</v>
      </c>
      <c r="G217" s="1">
        <f>DATEVALUE(_xlfn.CONCAT(BBDD_Usiarios_Netflix[[#This Row],[Día Suscripción]],"/",BBDD_Usiarios_Netflix[[#This Row],[Mes Suscripción]],"/",BBDD_Usiarios_Netflix[[#This Row],[Año Suscripción]]))</f>
        <v>45207</v>
      </c>
      <c r="H217" s="1">
        <v>24</v>
      </c>
      <c r="I217" s="1">
        <v>6</v>
      </c>
      <c r="J217" s="1">
        <v>24</v>
      </c>
      <c r="K217" s="1" t="str">
        <f>TEXT(BBDD_Usiarios_Netflix[[#This Row],[Fecha Suscripción]],"dddd")</f>
        <v>domingo</v>
      </c>
      <c r="L217" s="1">
        <f>DATEVALUE(_xlfn.CONCAT(BBDD_Usiarios_Netflix[[#This Row],[Día Último Pago]],"/",BBDD_Usiarios_Netflix[[#This Row],[Mes Último Pago]],"/",BBDD_Usiarios_Netflix[[#This Row],[Año Último Pago]]))</f>
        <v>45467</v>
      </c>
      <c r="M217" s="4">
        <f>DATEDIF(BBDD_Usiarios_Netflix[[#This Row],[Fecha Suscripción]],BBDD_Usiarios_Netflix[[#This Row],[Fecha Último Pago]],"M")+1</f>
        <v>9</v>
      </c>
      <c r="N217" s="4">
        <f>BBDD_Usiarios_Netflix[[#This Row],[Ingresos Mensuales]]*BBDD_Usiarios_Netflix[[#This Row],[Meses contratados]]</f>
        <v>126</v>
      </c>
      <c r="O217" t="s">
        <v>40</v>
      </c>
      <c r="P217" t="str">
        <f>IF(BBDD_Usiarios_Netflix[[#This Row],[País]]="","Desconocido",BBDD_Usiarios_Netflix[[#This Row],[País]])</f>
        <v>Italia</v>
      </c>
      <c r="Q217">
        <v>51</v>
      </c>
      <c r="R217" t="s">
        <v>30</v>
      </c>
      <c r="S217" t="s">
        <v>34</v>
      </c>
      <c r="T217" t="s">
        <v>38</v>
      </c>
      <c r="U217">
        <f>IF(IFERROR(VLOOKUP(BBDD_Usiarios_Netflix[[#This Row],[Identificador Usuario]],A218:$A$5870,1,FALSE),0)&lt;&gt;0,1,0)</f>
        <v>0</v>
      </c>
      <c r="V217" s="6" t="str">
        <f>IF(BBDD_Usiarios_Netflix[[#This Row],[Duración Plan]]="12 Meses",LEFT(BBDD_Usiarios_Netflix[[#This Row],[Duración Plan]],2),LEFT(BBDD_Usiarios_Netflix[[#This Row],[Duración Plan]],1))</f>
        <v>3</v>
      </c>
      <c r="W2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8" spans="1:23" x14ac:dyDescent="0.25">
      <c r="A218">
        <v>217</v>
      </c>
      <c r="B218" t="s">
        <v>23</v>
      </c>
      <c r="C218">
        <v>10</v>
      </c>
      <c r="D218" s="3">
        <v>13</v>
      </c>
      <c r="E218" s="3">
        <v>11</v>
      </c>
      <c r="F218">
        <v>23</v>
      </c>
      <c r="G218" s="1">
        <f>DATEVALUE(_xlfn.CONCAT(BBDD_Usiarios_Netflix[[#This Row],[Día Suscripción]],"/",BBDD_Usiarios_Netflix[[#This Row],[Mes Suscripción]],"/",BBDD_Usiarios_Netflix[[#This Row],[Año Suscripción]]))</f>
        <v>45243</v>
      </c>
      <c r="H218" s="1">
        <v>25</v>
      </c>
      <c r="I218" s="1">
        <v>6</v>
      </c>
      <c r="J218" s="1">
        <v>24</v>
      </c>
      <c r="K218" s="1" t="str">
        <f>TEXT(BBDD_Usiarios_Netflix[[#This Row],[Fecha Suscripción]],"dddd")</f>
        <v>lunes</v>
      </c>
      <c r="L218" s="1">
        <f>DATEVALUE(_xlfn.CONCAT(BBDD_Usiarios_Netflix[[#This Row],[Día Último Pago]],"/",BBDD_Usiarios_Netflix[[#This Row],[Mes Último Pago]],"/",BBDD_Usiarios_Netflix[[#This Row],[Año Último Pago]]))</f>
        <v>45468</v>
      </c>
      <c r="M218" s="4">
        <f>DATEDIF(BBDD_Usiarios_Netflix[[#This Row],[Fecha Suscripción]],BBDD_Usiarios_Netflix[[#This Row],[Fecha Último Pago]],"M")+1</f>
        <v>8</v>
      </c>
      <c r="N218" s="4">
        <f>BBDD_Usiarios_Netflix[[#This Row],[Ingresos Mensuales]]*BBDD_Usiarios_Netflix[[#This Row],[Meses contratados]]</f>
        <v>80</v>
      </c>
      <c r="O218" t="s">
        <v>43</v>
      </c>
      <c r="P218" t="str">
        <f>IF(BBDD_Usiarios_Netflix[[#This Row],[País]]="","Desconocido",BBDD_Usiarios_Netflix[[#This Row],[País]])</f>
        <v>Alemania</v>
      </c>
      <c r="Q218">
        <v>44</v>
      </c>
      <c r="R218" t="s">
        <v>25</v>
      </c>
      <c r="S218" t="s">
        <v>34</v>
      </c>
      <c r="T218" t="s">
        <v>38</v>
      </c>
      <c r="U218">
        <f>IF(IFERROR(VLOOKUP(BBDD_Usiarios_Netflix[[#This Row],[Identificador Usuario]],A219:$A$5870,1,FALSE),0)&lt;&gt;0,1,0)</f>
        <v>0</v>
      </c>
      <c r="V218" s="6" t="str">
        <f>IF(BBDD_Usiarios_Netflix[[#This Row],[Duración Plan]]="12 Meses",LEFT(BBDD_Usiarios_Netflix[[#This Row],[Duración Plan]],2),LEFT(BBDD_Usiarios_Netflix[[#This Row],[Duración Plan]],1))</f>
        <v>3</v>
      </c>
      <c r="W2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9" spans="1:23" x14ac:dyDescent="0.25">
      <c r="A219">
        <v>218</v>
      </c>
      <c r="B219" t="s">
        <v>32</v>
      </c>
      <c r="C219">
        <v>12</v>
      </c>
      <c r="D219" s="3">
        <v>15</v>
      </c>
      <c r="E219" s="3">
        <v>11</v>
      </c>
      <c r="F219">
        <v>23</v>
      </c>
      <c r="G219" s="1">
        <f>DATEVALUE(_xlfn.CONCAT(BBDD_Usiarios_Netflix[[#This Row],[Día Suscripción]],"/",BBDD_Usiarios_Netflix[[#This Row],[Mes Suscripción]],"/",BBDD_Usiarios_Netflix[[#This Row],[Año Suscripción]]))</f>
        <v>45245</v>
      </c>
      <c r="H219" s="1">
        <v>28</v>
      </c>
      <c r="I219" s="1">
        <v>6</v>
      </c>
      <c r="J219" s="1">
        <v>24</v>
      </c>
      <c r="K219" s="1" t="str">
        <f>TEXT(BBDD_Usiarios_Netflix[[#This Row],[Fecha Suscripción]],"dddd")</f>
        <v>miércoles</v>
      </c>
      <c r="L219" s="1">
        <f>DATEVALUE(_xlfn.CONCAT(BBDD_Usiarios_Netflix[[#This Row],[Día Último Pago]],"/",BBDD_Usiarios_Netflix[[#This Row],[Mes Último Pago]],"/",BBDD_Usiarios_Netflix[[#This Row],[Año Último Pago]]))</f>
        <v>45471</v>
      </c>
      <c r="M219" s="4">
        <f>DATEDIF(BBDD_Usiarios_Netflix[[#This Row],[Fecha Suscripción]],BBDD_Usiarios_Netflix[[#This Row],[Fecha Último Pago]],"M")+1</f>
        <v>8</v>
      </c>
      <c r="N219" s="4">
        <f>BBDD_Usiarios_Netflix[[#This Row],[Ingresos Mensuales]]*BBDD_Usiarios_Netflix[[#This Row],[Meses contratados]]</f>
        <v>96</v>
      </c>
      <c r="O219" t="s">
        <v>29</v>
      </c>
      <c r="P219" t="str">
        <f>IF(BBDD_Usiarios_Netflix[[#This Row],[País]]="","Desconocido",BBDD_Usiarios_Netflix[[#This Row],[País]])</f>
        <v>EEUU</v>
      </c>
      <c r="Q219">
        <v>27</v>
      </c>
      <c r="R219" t="s">
        <v>25</v>
      </c>
      <c r="S219" t="s">
        <v>31</v>
      </c>
      <c r="T219" t="s">
        <v>35</v>
      </c>
      <c r="U219">
        <f>IF(IFERROR(VLOOKUP(BBDD_Usiarios_Netflix[[#This Row],[Identificador Usuario]],A220:$A$5870,1,FALSE),0)&lt;&gt;0,1,0)</f>
        <v>0</v>
      </c>
      <c r="V219" s="6" t="str">
        <f>IF(BBDD_Usiarios_Netflix[[#This Row],[Duración Plan]]="12 Meses",LEFT(BBDD_Usiarios_Netflix[[#This Row],[Duración Plan]],2),LEFT(BBDD_Usiarios_Netflix[[#This Row],[Duración Plan]],1))</f>
        <v>6</v>
      </c>
      <c r="W2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0" spans="1:23" x14ac:dyDescent="0.25">
      <c r="A220">
        <v>219</v>
      </c>
      <c r="B220" t="s">
        <v>28</v>
      </c>
      <c r="C220">
        <v>14</v>
      </c>
      <c r="D220" s="3">
        <v>16</v>
      </c>
      <c r="E220" s="3">
        <v>11</v>
      </c>
      <c r="F220">
        <v>23</v>
      </c>
      <c r="G220" s="1">
        <f>DATEVALUE(_xlfn.CONCAT(BBDD_Usiarios_Netflix[[#This Row],[Día Suscripción]],"/",BBDD_Usiarios_Netflix[[#This Row],[Mes Suscripción]],"/",BBDD_Usiarios_Netflix[[#This Row],[Año Suscripción]]))</f>
        <v>45246</v>
      </c>
      <c r="H220" s="1">
        <v>25</v>
      </c>
      <c r="I220" s="1">
        <v>6</v>
      </c>
      <c r="J220" s="1">
        <v>24</v>
      </c>
      <c r="K220" s="1" t="str">
        <f>TEXT(BBDD_Usiarios_Netflix[[#This Row],[Fecha Suscripción]],"dddd")</f>
        <v>jueves</v>
      </c>
      <c r="L220" s="1">
        <f>DATEVALUE(_xlfn.CONCAT(BBDD_Usiarios_Netflix[[#This Row],[Día Último Pago]],"/",BBDD_Usiarios_Netflix[[#This Row],[Mes Último Pago]],"/",BBDD_Usiarios_Netflix[[#This Row],[Año Último Pago]]))</f>
        <v>45468</v>
      </c>
      <c r="M220" s="4">
        <f>DATEDIF(BBDD_Usiarios_Netflix[[#This Row],[Fecha Suscripción]],BBDD_Usiarios_Netflix[[#This Row],[Fecha Último Pago]],"M")+1</f>
        <v>8</v>
      </c>
      <c r="N220" s="4">
        <f>BBDD_Usiarios_Netflix[[#This Row],[Ingresos Mensuales]]*BBDD_Usiarios_Netflix[[#This Row],[Meses contratados]]</f>
        <v>112</v>
      </c>
      <c r="O220" t="s">
        <v>29</v>
      </c>
      <c r="P220" t="str">
        <f>IF(BBDD_Usiarios_Netflix[[#This Row],[País]]="","Desconocido",BBDD_Usiarios_Netflix[[#This Row],[País]])</f>
        <v>EEUU</v>
      </c>
      <c r="Q220">
        <v>46</v>
      </c>
      <c r="R220" t="s">
        <v>30</v>
      </c>
      <c r="S220" t="s">
        <v>26</v>
      </c>
      <c r="T220" t="s">
        <v>27</v>
      </c>
      <c r="U220">
        <f>IF(IFERROR(VLOOKUP(BBDD_Usiarios_Netflix[[#This Row],[Identificador Usuario]],A221:$A$5870,1,FALSE),0)&lt;&gt;0,1,0)</f>
        <v>0</v>
      </c>
      <c r="V220" s="6" t="str">
        <f>IF(BBDD_Usiarios_Netflix[[#This Row],[Duración Plan]]="12 Meses",LEFT(BBDD_Usiarios_Netflix[[#This Row],[Duración Plan]],2),LEFT(BBDD_Usiarios_Netflix[[#This Row],[Duración Plan]],1))</f>
        <v>1</v>
      </c>
      <c r="W2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1" spans="1:23" x14ac:dyDescent="0.25">
      <c r="A221">
        <v>220</v>
      </c>
      <c r="B221" t="s">
        <v>23</v>
      </c>
      <c r="C221">
        <v>10</v>
      </c>
      <c r="D221" s="3">
        <v>26</v>
      </c>
      <c r="E221" s="3">
        <v>11</v>
      </c>
      <c r="F221">
        <v>23</v>
      </c>
      <c r="G221" s="1">
        <f>DATEVALUE(_xlfn.CONCAT(BBDD_Usiarios_Netflix[[#This Row],[Día Suscripción]],"/",BBDD_Usiarios_Netflix[[#This Row],[Mes Suscripción]],"/",BBDD_Usiarios_Netflix[[#This Row],[Año Suscripción]]))</f>
        <v>45256</v>
      </c>
      <c r="H221" s="1">
        <v>27</v>
      </c>
      <c r="I221" s="1">
        <v>6</v>
      </c>
      <c r="J221" s="1">
        <v>24</v>
      </c>
      <c r="K221" s="1" t="str">
        <f>TEXT(BBDD_Usiarios_Netflix[[#This Row],[Fecha Suscripción]],"dddd")</f>
        <v>domingo</v>
      </c>
      <c r="L221" s="1">
        <f>DATEVALUE(_xlfn.CONCAT(BBDD_Usiarios_Netflix[[#This Row],[Día Último Pago]],"/",BBDD_Usiarios_Netflix[[#This Row],[Mes Último Pago]],"/",BBDD_Usiarios_Netflix[[#This Row],[Año Último Pago]]))</f>
        <v>45470</v>
      </c>
      <c r="M221" s="4">
        <f>DATEDIF(BBDD_Usiarios_Netflix[[#This Row],[Fecha Suscripción]],BBDD_Usiarios_Netflix[[#This Row],[Fecha Último Pago]],"M")+1</f>
        <v>8</v>
      </c>
      <c r="N221" s="4">
        <f>BBDD_Usiarios_Netflix[[#This Row],[Ingresos Mensuales]]*BBDD_Usiarios_Netflix[[#This Row],[Meses contratados]]</f>
        <v>80</v>
      </c>
      <c r="O221" t="s">
        <v>39</v>
      </c>
      <c r="P221" t="str">
        <f>IF(BBDD_Usiarios_Netflix[[#This Row],[País]]="","Desconocido",BBDD_Usiarios_Netflix[[#This Row],[País]])</f>
        <v>Canadá</v>
      </c>
      <c r="Q221">
        <v>29</v>
      </c>
      <c r="R221" t="s">
        <v>25</v>
      </c>
      <c r="S221" t="s">
        <v>31</v>
      </c>
      <c r="T221" t="s">
        <v>41</v>
      </c>
      <c r="U221">
        <f>IF(IFERROR(VLOOKUP(BBDD_Usiarios_Netflix[[#This Row],[Identificador Usuario]],A222:$A$5870,1,FALSE),0)&lt;&gt;0,1,0)</f>
        <v>0</v>
      </c>
      <c r="V221" s="6" t="str">
        <f>IF(BBDD_Usiarios_Netflix[[#This Row],[Duración Plan]]="12 Meses",LEFT(BBDD_Usiarios_Netflix[[#This Row],[Duración Plan]],2),LEFT(BBDD_Usiarios_Netflix[[#This Row],[Duración Plan]],1))</f>
        <v>12</v>
      </c>
      <c r="W2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2" spans="1:23" x14ac:dyDescent="0.25">
      <c r="A222">
        <v>221</v>
      </c>
      <c r="B222" t="s">
        <v>23</v>
      </c>
      <c r="C222">
        <v>10</v>
      </c>
      <c r="D222" s="3">
        <v>26</v>
      </c>
      <c r="E222" s="3">
        <v>11</v>
      </c>
      <c r="F222">
        <v>23</v>
      </c>
      <c r="G222" s="1">
        <f>DATEVALUE(_xlfn.CONCAT(BBDD_Usiarios_Netflix[[#This Row],[Día Suscripción]],"/",BBDD_Usiarios_Netflix[[#This Row],[Mes Suscripción]],"/",BBDD_Usiarios_Netflix[[#This Row],[Año Suscripción]]))</f>
        <v>45256</v>
      </c>
      <c r="H222" s="1">
        <v>25</v>
      </c>
      <c r="I222" s="1">
        <v>6</v>
      </c>
      <c r="J222" s="1">
        <v>24</v>
      </c>
      <c r="K222" s="1" t="str">
        <f>TEXT(BBDD_Usiarios_Netflix[[#This Row],[Fecha Suscripción]],"dddd")</f>
        <v>domingo</v>
      </c>
      <c r="L222" s="1">
        <f>DATEVALUE(_xlfn.CONCAT(BBDD_Usiarios_Netflix[[#This Row],[Día Último Pago]],"/",BBDD_Usiarios_Netflix[[#This Row],[Mes Último Pago]],"/",BBDD_Usiarios_Netflix[[#This Row],[Año Último Pago]]))</f>
        <v>45468</v>
      </c>
      <c r="M222" s="4">
        <f>DATEDIF(BBDD_Usiarios_Netflix[[#This Row],[Fecha Suscripción]],BBDD_Usiarios_Netflix[[#This Row],[Fecha Último Pago]],"M")+1</f>
        <v>7</v>
      </c>
      <c r="N222" s="4">
        <f>BBDD_Usiarios_Netflix[[#This Row],[Ingresos Mensuales]]*BBDD_Usiarios_Netflix[[#This Row],[Meses contratados]]</f>
        <v>70</v>
      </c>
      <c r="O222" t="s">
        <v>40</v>
      </c>
      <c r="P222" t="str">
        <f>IF(BBDD_Usiarios_Netflix[[#This Row],[País]]="","Desconocido",BBDD_Usiarios_Netflix[[#This Row],[País]])</f>
        <v>Italia</v>
      </c>
      <c r="Q222">
        <v>47</v>
      </c>
      <c r="R222" t="s">
        <v>25</v>
      </c>
      <c r="S222" t="s">
        <v>26</v>
      </c>
      <c r="T222" t="s">
        <v>27</v>
      </c>
      <c r="U222">
        <f>IF(IFERROR(VLOOKUP(BBDD_Usiarios_Netflix[[#This Row],[Identificador Usuario]],A223:$A$5870,1,FALSE),0)&lt;&gt;0,1,0)</f>
        <v>0</v>
      </c>
      <c r="V222" s="6" t="str">
        <f>IF(BBDD_Usiarios_Netflix[[#This Row],[Duración Plan]]="12 Meses",LEFT(BBDD_Usiarios_Netflix[[#This Row],[Duración Plan]],2),LEFT(BBDD_Usiarios_Netflix[[#This Row],[Duración Plan]],1))</f>
        <v>1</v>
      </c>
      <c r="W2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3" spans="1:23" x14ac:dyDescent="0.25">
      <c r="A223">
        <v>222</v>
      </c>
      <c r="B223" t="s">
        <v>23</v>
      </c>
      <c r="C223">
        <v>11</v>
      </c>
      <c r="D223" s="3">
        <v>12</v>
      </c>
      <c r="E223" s="3">
        <v>12</v>
      </c>
      <c r="F223">
        <v>23</v>
      </c>
      <c r="G223" s="1">
        <f>DATEVALUE(_xlfn.CONCAT(BBDD_Usiarios_Netflix[[#This Row],[Día Suscripción]],"/",BBDD_Usiarios_Netflix[[#This Row],[Mes Suscripción]],"/",BBDD_Usiarios_Netflix[[#This Row],[Año Suscripción]]))</f>
        <v>45272</v>
      </c>
      <c r="H223" s="1">
        <v>26</v>
      </c>
      <c r="I223" s="1">
        <v>6</v>
      </c>
      <c r="J223" s="1">
        <v>24</v>
      </c>
      <c r="K223" s="1" t="str">
        <f>TEXT(BBDD_Usiarios_Netflix[[#This Row],[Fecha Suscripción]],"dddd")</f>
        <v>martes</v>
      </c>
      <c r="L223" s="1">
        <f>DATEVALUE(_xlfn.CONCAT(BBDD_Usiarios_Netflix[[#This Row],[Día Último Pago]],"/",BBDD_Usiarios_Netflix[[#This Row],[Mes Último Pago]],"/",BBDD_Usiarios_Netflix[[#This Row],[Año Último Pago]]))</f>
        <v>45469</v>
      </c>
      <c r="M223" s="4">
        <f>DATEDIF(BBDD_Usiarios_Netflix[[#This Row],[Fecha Suscripción]],BBDD_Usiarios_Netflix[[#This Row],[Fecha Último Pago]],"M")+1</f>
        <v>7</v>
      </c>
      <c r="N223" s="4">
        <f>BBDD_Usiarios_Netflix[[#This Row],[Ingresos Mensuales]]*BBDD_Usiarios_Netflix[[#This Row],[Meses contratados]]</f>
        <v>77</v>
      </c>
      <c r="O223" t="s">
        <v>45</v>
      </c>
      <c r="P223" t="str">
        <f>IF(BBDD_Usiarios_Netflix[[#This Row],[País]]="","Desconocido",BBDD_Usiarios_Netflix[[#This Row],[País]])</f>
        <v>España</v>
      </c>
      <c r="Q223">
        <v>48</v>
      </c>
      <c r="R223" t="s">
        <v>30</v>
      </c>
      <c r="S223" t="s">
        <v>26</v>
      </c>
      <c r="T223" t="s">
        <v>35</v>
      </c>
      <c r="U223">
        <f>IF(IFERROR(VLOOKUP(BBDD_Usiarios_Netflix[[#This Row],[Identificador Usuario]],A224:$A$5870,1,FALSE),0)&lt;&gt;0,1,0)</f>
        <v>0</v>
      </c>
      <c r="V223" s="6" t="str">
        <f>IF(BBDD_Usiarios_Netflix[[#This Row],[Duración Plan]]="12 Meses",LEFT(BBDD_Usiarios_Netflix[[#This Row],[Duración Plan]],2),LEFT(BBDD_Usiarios_Netflix[[#This Row],[Duración Plan]],1))</f>
        <v>6</v>
      </c>
      <c r="W2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4" spans="1:23" x14ac:dyDescent="0.25">
      <c r="A224">
        <v>223</v>
      </c>
      <c r="B224" t="s">
        <v>32</v>
      </c>
      <c r="C224">
        <v>13</v>
      </c>
      <c r="D224" s="3">
        <v>8</v>
      </c>
      <c r="E224" s="3">
        <v>1</v>
      </c>
      <c r="F224">
        <v>24</v>
      </c>
      <c r="G224" s="1">
        <f>DATEVALUE(_xlfn.CONCAT(BBDD_Usiarios_Netflix[[#This Row],[Día Suscripción]],"/",BBDD_Usiarios_Netflix[[#This Row],[Mes Suscripción]],"/",BBDD_Usiarios_Netflix[[#This Row],[Año Suscripción]]))</f>
        <v>45299</v>
      </c>
      <c r="H224" s="1">
        <v>25</v>
      </c>
      <c r="I224" s="1">
        <v>6</v>
      </c>
      <c r="J224" s="1">
        <v>24</v>
      </c>
      <c r="K224" s="1" t="str">
        <f>TEXT(BBDD_Usiarios_Netflix[[#This Row],[Fecha Suscripción]],"dddd")</f>
        <v>lunes</v>
      </c>
      <c r="L224" s="1">
        <f>DATEVALUE(_xlfn.CONCAT(BBDD_Usiarios_Netflix[[#This Row],[Día Último Pago]],"/",BBDD_Usiarios_Netflix[[#This Row],[Mes Último Pago]],"/",BBDD_Usiarios_Netflix[[#This Row],[Año Último Pago]]))</f>
        <v>45468</v>
      </c>
      <c r="M224" s="4">
        <f>DATEDIF(BBDD_Usiarios_Netflix[[#This Row],[Fecha Suscripción]],BBDD_Usiarios_Netflix[[#This Row],[Fecha Último Pago]],"M")+1</f>
        <v>6</v>
      </c>
      <c r="N224" s="4">
        <f>BBDD_Usiarios_Netflix[[#This Row],[Ingresos Mensuales]]*BBDD_Usiarios_Netflix[[#This Row],[Meses contratados]]</f>
        <v>78</v>
      </c>
      <c r="O224" t="s">
        <v>40</v>
      </c>
      <c r="P224" t="str">
        <f>IF(BBDD_Usiarios_Netflix[[#This Row],[País]]="","Desconocido",BBDD_Usiarios_Netflix[[#This Row],[País]])</f>
        <v>Italia</v>
      </c>
      <c r="Q224">
        <v>34</v>
      </c>
      <c r="R224" t="s">
        <v>30</v>
      </c>
      <c r="S224" t="s">
        <v>26</v>
      </c>
      <c r="T224" t="s">
        <v>27</v>
      </c>
      <c r="U224">
        <f>IF(IFERROR(VLOOKUP(BBDD_Usiarios_Netflix[[#This Row],[Identificador Usuario]],A225:$A$5870,1,FALSE),0)&lt;&gt;0,1,0)</f>
        <v>0</v>
      </c>
      <c r="V224" s="6" t="str">
        <f>IF(BBDD_Usiarios_Netflix[[#This Row],[Duración Plan]]="12 Meses",LEFT(BBDD_Usiarios_Netflix[[#This Row],[Duración Plan]],2),LEFT(BBDD_Usiarios_Netflix[[#This Row],[Duración Plan]],1))</f>
        <v>1</v>
      </c>
      <c r="W2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5" spans="1:23" x14ac:dyDescent="0.25">
      <c r="A225">
        <v>224</v>
      </c>
      <c r="B225" t="s">
        <v>28</v>
      </c>
      <c r="C225">
        <v>14</v>
      </c>
      <c r="D225" s="3">
        <v>27</v>
      </c>
      <c r="E225" s="3">
        <v>11</v>
      </c>
      <c r="F225">
        <v>23</v>
      </c>
      <c r="G225" s="1">
        <f>DATEVALUE(_xlfn.CONCAT(BBDD_Usiarios_Netflix[[#This Row],[Día Suscripción]],"/",BBDD_Usiarios_Netflix[[#This Row],[Mes Suscripción]],"/",BBDD_Usiarios_Netflix[[#This Row],[Año Suscripción]]))</f>
        <v>45257</v>
      </c>
      <c r="H225" s="1">
        <v>29</v>
      </c>
      <c r="I225" s="1">
        <v>6</v>
      </c>
      <c r="J225" s="1">
        <v>24</v>
      </c>
      <c r="K225" s="1" t="str">
        <f>TEXT(BBDD_Usiarios_Netflix[[#This Row],[Fecha Suscripción]],"dddd")</f>
        <v>lunes</v>
      </c>
      <c r="L225" s="1">
        <f>DATEVALUE(_xlfn.CONCAT(BBDD_Usiarios_Netflix[[#This Row],[Día Último Pago]],"/",BBDD_Usiarios_Netflix[[#This Row],[Mes Último Pago]],"/",BBDD_Usiarios_Netflix[[#This Row],[Año Último Pago]]))</f>
        <v>45472</v>
      </c>
      <c r="M225" s="4">
        <f>DATEDIF(BBDD_Usiarios_Netflix[[#This Row],[Fecha Suscripción]],BBDD_Usiarios_Netflix[[#This Row],[Fecha Último Pago]],"M")+1</f>
        <v>8</v>
      </c>
      <c r="N225" s="4">
        <f>BBDD_Usiarios_Netflix[[#This Row],[Ingresos Mensuales]]*BBDD_Usiarios_Netflix[[#This Row],[Meses contratados]]</f>
        <v>112</v>
      </c>
      <c r="O225" t="s">
        <v>40</v>
      </c>
      <c r="P225" t="str">
        <f>IF(BBDD_Usiarios_Netflix[[#This Row],[País]]="","Desconocido",BBDD_Usiarios_Netflix[[#This Row],[País]])</f>
        <v>Italia</v>
      </c>
      <c r="Q225">
        <v>40</v>
      </c>
      <c r="R225" t="s">
        <v>30</v>
      </c>
      <c r="S225" t="s">
        <v>26</v>
      </c>
      <c r="T225" t="s">
        <v>41</v>
      </c>
      <c r="U225">
        <f>IF(IFERROR(VLOOKUP(BBDD_Usiarios_Netflix[[#This Row],[Identificador Usuario]],A226:$A$5870,1,FALSE),0)&lt;&gt;0,1,0)</f>
        <v>0</v>
      </c>
      <c r="V225" s="6" t="str">
        <f>IF(BBDD_Usiarios_Netflix[[#This Row],[Duración Plan]]="12 Meses",LEFT(BBDD_Usiarios_Netflix[[#This Row],[Duración Plan]],2),LEFT(BBDD_Usiarios_Netflix[[#This Row],[Duración Plan]],1))</f>
        <v>12</v>
      </c>
      <c r="W2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6" spans="1:23" x14ac:dyDescent="0.25">
      <c r="A226">
        <v>225</v>
      </c>
      <c r="B226" t="s">
        <v>23</v>
      </c>
      <c r="C226">
        <v>10</v>
      </c>
      <c r="D226" s="3">
        <v>11</v>
      </c>
      <c r="E226" s="3">
        <v>10</v>
      </c>
      <c r="F226">
        <v>23</v>
      </c>
      <c r="G226" s="1">
        <f>DATEVALUE(_xlfn.CONCAT(BBDD_Usiarios_Netflix[[#This Row],[Día Suscripción]],"/",BBDD_Usiarios_Netflix[[#This Row],[Mes Suscripción]],"/",BBDD_Usiarios_Netflix[[#This Row],[Año Suscripción]]))</f>
        <v>45210</v>
      </c>
      <c r="H226" s="1">
        <v>27</v>
      </c>
      <c r="I226" s="1">
        <v>6</v>
      </c>
      <c r="J226" s="1">
        <v>24</v>
      </c>
      <c r="K226" s="1" t="str">
        <f>TEXT(BBDD_Usiarios_Netflix[[#This Row],[Fecha Suscripción]],"dddd")</f>
        <v>miércoles</v>
      </c>
      <c r="L226" s="1">
        <f>DATEVALUE(_xlfn.CONCAT(BBDD_Usiarios_Netflix[[#This Row],[Día Último Pago]],"/",BBDD_Usiarios_Netflix[[#This Row],[Mes Último Pago]],"/",BBDD_Usiarios_Netflix[[#This Row],[Año Último Pago]]))</f>
        <v>45470</v>
      </c>
      <c r="M226" s="4">
        <f>DATEDIF(BBDD_Usiarios_Netflix[[#This Row],[Fecha Suscripción]],BBDD_Usiarios_Netflix[[#This Row],[Fecha Último Pago]],"M")+1</f>
        <v>9</v>
      </c>
      <c r="N226" s="4">
        <f>BBDD_Usiarios_Netflix[[#This Row],[Ingresos Mensuales]]*BBDD_Usiarios_Netflix[[#This Row],[Meses contratados]]</f>
        <v>90</v>
      </c>
      <c r="O226" t="s">
        <v>42</v>
      </c>
      <c r="P226" t="str">
        <f>IF(BBDD_Usiarios_Netflix[[#This Row],[País]]="","Desconocido",BBDD_Usiarios_Netflix[[#This Row],[País]])</f>
        <v>Reino Unido</v>
      </c>
      <c r="Q226">
        <v>48</v>
      </c>
      <c r="R226" t="s">
        <v>30</v>
      </c>
      <c r="S226" t="s">
        <v>26</v>
      </c>
      <c r="T226" t="s">
        <v>35</v>
      </c>
      <c r="U226">
        <f>IF(IFERROR(VLOOKUP(BBDD_Usiarios_Netflix[[#This Row],[Identificador Usuario]],A227:$A$5870,1,FALSE),0)&lt;&gt;0,1,0)</f>
        <v>0</v>
      </c>
      <c r="V226" s="6" t="str">
        <f>IF(BBDD_Usiarios_Netflix[[#This Row],[Duración Plan]]="12 Meses",LEFT(BBDD_Usiarios_Netflix[[#This Row],[Duración Plan]],2),LEFT(BBDD_Usiarios_Netflix[[#This Row],[Duración Plan]],1))</f>
        <v>6</v>
      </c>
      <c r="W2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7" spans="1:23" x14ac:dyDescent="0.25">
      <c r="A227">
        <v>226</v>
      </c>
      <c r="B227" t="s">
        <v>23</v>
      </c>
      <c r="C227">
        <v>10</v>
      </c>
      <c r="D227" s="3">
        <v>27</v>
      </c>
      <c r="E227" s="3">
        <v>9</v>
      </c>
      <c r="F227">
        <v>23</v>
      </c>
      <c r="G227" s="1">
        <f>DATEVALUE(_xlfn.CONCAT(BBDD_Usiarios_Netflix[[#This Row],[Día Suscripción]],"/",BBDD_Usiarios_Netflix[[#This Row],[Mes Suscripción]],"/",BBDD_Usiarios_Netflix[[#This Row],[Año Suscripción]]))</f>
        <v>45196</v>
      </c>
      <c r="H227" s="1">
        <v>26</v>
      </c>
      <c r="I227" s="1">
        <v>6</v>
      </c>
      <c r="J227" s="1">
        <v>24</v>
      </c>
      <c r="K227" s="1" t="str">
        <f>TEXT(BBDD_Usiarios_Netflix[[#This Row],[Fecha Suscripción]],"dddd")</f>
        <v>miércoles</v>
      </c>
      <c r="L227" s="1">
        <f>DATEVALUE(_xlfn.CONCAT(BBDD_Usiarios_Netflix[[#This Row],[Día Último Pago]],"/",BBDD_Usiarios_Netflix[[#This Row],[Mes Último Pago]],"/",BBDD_Usiarios_Netflix[[#This Row],[Año Último Pago]]))</f>
        <v>45469</v>
      </c>
      <c r="M227" s="4">
        <f>DATEDIF(BBDD_Usiarios_Netflix[[#This Row],[Fecha Suscripción]],BBDD_Usiarios_Netflix[[#This Row],[Fecha Último Pago]],"M")+1</f>
        <v>9</v>
      </c>
      <c r="N227" s="4">
        <f>BBDD_Usiarios_Netflix[[#This Row],[Ingresos Mensuales]]*BBDD_Usiarios_Netflix[[#This Row],[Meses contratados]]</f>
        <v>90</v>
      </c>
      <c r="O227" t="s">
        <v>24</v>
      </c>
      <c r="P227" t="str">
        <f>IF(BBDD_Usiarios_Netflix[[#This Row],[País]]="","Desconocido",BBDD_Usiarios_Netflix[[#This Row],[País]])</f>
        <v>Australia</v>
      </c>
      <c r="Q227">
        <v>35</v>
      </c>
      <c r="R227" t="s">
        <v>25</v>
      </c>
      <c r="S227" t="s">
        <v>26</v>
      </c>
      <c r="T227" t="s">
        <v>35</v>
      </c>
      <c r="U227">
        <f>IF(IFERROR(VLOOKUP(BBDD_Usiarios_Netflix[[#This Row],[Identificador Usuario]],A228:$A$5870,1,FALSE),0)&lt;&gt;0,1,0)</f>
        <v>0</v>
      </c>
      <c r="V227" s="6" t="str">
        <f>IF(BBDD_Usiarios_Netflix[[#This Row],[Duración Plan]]="12 Meses",LEFT(BBDD_Usiarios_Netflix[[#This Row],[Duración Plan]],2),LEFT(BBDD_Usiarios_Netflix[[#This Row],[Duración Plan]],1))</f>
        <v>6</v>
      </c>
      <c r="W2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8" spans="1:23" x14ac:dyDescent="0.25">
      <c r="A228">
        <v>227</v>
      </c>
      <c r="B228" t="s">
        <v>28</v>
      </c>
      <c r="C228">
        <v>14</v>
      </c>
      <c r="D228" s="3">
        <v>30</v>
      </c>
      <c r="E228" s="3">
        <v>9</v>
      </c>
      <c r="F228">
        <v>23</v>
      </c>
      <c r="G228" s="1">
        <f>DATEVALUE(_xlfn.CONCAT(BBDD_Usiarios_Netflix[[#This Row],[Día Suscripción]],"/",BBDD_Usiarios_Netflix[[#This Row],[Mes Suscripción]],"/",BBDD_Usiarios_Netflix[[#This Row],[Año Suscripción]]))</f>
        <v>45199</v>
      </c>
      <c r="H228" s="1">
        <v>24</v>
      </c>
      <c r="I228" s="1">
        <v>6</v>
      </c>
      <c r="J228" s="1">
        <v>24</v>
      </c>
      <c r="K228" s="1" t="str">
        <f>TEXT(BBDD_Usiarios_Netflix[[#This Row],[Fecha Suscripción]],"dddd")</f>
        <v>sábado</v>
      </c>
      <c r="L228" s="1">
        <f>DATEVALUE(_xlfn.CONCAT(BBDD_Usiarios_Netflix[[#This Row],[Día Último Pago]],"/",BBDD_Usiarios_Netflix[[#This Row],[Mes Último Pago]],"/",BBDD_Usiarios_Netflix[[#This Row],[Año Último Pago]]))</f>
        <v>45467</v>
      </c>
      <c r="M228" s="4">
        <f>DATEDIF(BBDD_Usiarios_Netflix[[#This Row],[Fecha Suscripción]],BBDD_Usiarios_Netflix[[#This Row],[Fecha Último Pago]],"M")+1</f>
        <v>9</v>
      </c>
      <c r="N228" s="4">
        <f>BBDD_Usiarios_Netflix[[#This Row],[Ingresos Mensuales]]*BBDD_Usiarios_Netflix[[#This Row],[Meses contratados]]</f>
        <v>126</v>
      </c>
      <c r="O228" t="s">
        <v>33</v>
      </c>
      <c r="P228" t="str">
        <f>IF(BBDD_Usiarios_Netflix[[#This Row],[País]]="","Desconocido",BBDD_Usiarios_Netflix[[#This Row],[País]])</f>
        <v>Francia</v>
      </c>
      <c r="Q228">
        <v>51</v>
      </c>
      <c r="R228" t="s">
        <v>30</v>
      </c>
      <c r="S228" t="s">
        <v>26</v>
      </c>
      <c r="T228" t="s">
        <v>41</v>
      </c>
      <c r="U228">
        <f>IF(IFERROR(VLOOKUP(BBDD_Usiarios_Netflix[[#This Row],[Identificador Usuario]],A229:$A$5870,1,FALSE),0)&lt;&gt;0,1,0)</f>
        <v>0</v>
      </c>
      <c r="V228" s="6" t="str">
        <f>IF(BBDD_Usiarios_Netflix[[#This Row],[Duración Plan]]="12 Meses",LEFT(BBDD_Usiarios_Netflix[[#This Row],[Duración Plan]],2),LEFT(BBDD_Usiarios_Netflix[[#This Row],[Duración Plan]],1))</f>
        <v>12</v>
      </c>
      <c r="W2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9" spans="1:23" x14ac:dyDescent="0.25">
      <c r="A229">
        <v>228</v>
      </c>
      <c r="B229" t="s">
        <v>32</v>
      </c>
      <c r="C229">
        <v>12</v>
      </c>
      <c r="D229" s="3">
        <v>4</v>
      </c>
      <c r="E229" s="3">
        <v>11</v>
      </c>
      <c r="F229">
        <v>23</v>
      </c>
      <c r="G229" s="1">
        <f>DATEVALUE(_xlfn.CONCAT(BBDD_Usiarios_Netflix[[#This Row],[Día Suscripción]],"/",BBDD_Usiarios_Netflix[[#This Row],[Mes Suscripción]],"/",BBDD_Usiarios_Netflix[[#This Row],[Año Suscripción]]))</f>
        <v>45234</v>
      </c>
      <c r="H229" s="1">
        <v>27</v>
      </c>
      <c r="I229" s="1">
        <v>6</v>
      </c>
      <c r="J229" s="1">
        <v>24</v>
      </c>
      <c r="K229" s="1" t="str">
        <f>TEXT(BBDD_Usiarios_Netflix[[#This Row],[Fecha Suscripción]],"dddd")</f>
        <v>sábado</v>
      </c>
      <c r="L229" s="1">
        <f>DATEVALUE(_xlfn.CONCAT(BBDD_Usiarios_Netflix[[#This Row],[Día Último Pago]],"/",BBDD_Usiarios_Netflix[[#This Row],[Mes Último Pago]],"/",BBDD_Usiarios_Netflix[[#This Row],[Año Último Pago]]))</f>
        <v>45470</v>
      </c>
      <c r="M229" s="4">
        <f>DATEDIF(BBDD_Usiarios_Netflix[[#This Row],[Fecha Suscripción]],BBDD_Usiarios_Netflix[[#This Row],[Fecha Último Pago]],"M")+1</f>
        <v>8</v>
      </c>
      <c r="N229" s="4">
        <f>BBDD_Usiarios_Netflix[[#This Row],[Ingresos Mensuales]]*BBDD_Usiarios_Netflix[[#This Row],[Meses contratados]]</f>
        <v>96</v>
      </c>
      <c r="O229" t="s">
        <v>33</v>
      </c>
      <c r="P229" t="str">
        <f>IF(BBDD_Usiarios_Netflix[[#This Row],[País]]="","Desconocido",BBDD_Usiarios_Netflix[[#This Row],[País]])</f>
        <v>Francia</v>
      </c>
      <c r="Q229">
        <v>39</v>
      </c>
      <c r="R229" t="s">
        <v>25</v>
      </c>
      <c r="S229" t="s">
        <v>34</v>
      </c>
      <c r="T229" t="s">
        <v>41</v>
      </c>
      <c r="U229">
        <f>IF(IFERROR(VLOOKUP(BBDD_Usiarios_Netflix[[#This Row],[Identificador Usuario]],A230:$A$5870,1,FALSE),0)&lt;&gt;0,1,0)</f>
        <v>0</v>
      </c>
      <c r="V229" s="6" t="str">
        <f>IF(BBDD_Usiarios_Netflix[[#This Row],[Duración Plan]]="12 Meses",LEFT(BBDD_Usiarios_Netflix[[#This Row],[Duración Plan]],2),LEFT(BBDD_Usiarios_Netflix[[#This Row],[Duración Plan]],1))</f>
        <v>12</v>
      </c>
      <c r="W2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0" spans="1:23" x14ac:dyDescent="0.25">
      <c r="A230">
        <v>229</v>
      </c>
      <c r="B230" t="s">
        <v>32</v>
      </c>
      <c r="C230">
        <v>12</v>
      </c>
      <c r="D230" s="3">
        <v>4</v>
      </c>
      <c r="E230" s="3">
        <v>11</v>
      </c>
      <c r="F230">
        <v>23</v>
      </c>
      <c r="G230" s="1">
        <f>DATEVALUE(_xlfn.CONCAT(BBDD_Usiarios_Netflix[[#This Row],[Día Suscripción]],"/",BBDD_Usiarios_Netflix[[#This Row],[Mes Suscripción]],"/",BBDD_Usiarios_Netflix[[#This Row],[Año Suscripción]]))</f>
        <v>45234</v>
      </c>
      <c r="H230" s="1">
        <v>27</v>
      </c>
      <c r="I230" s="1">
        <v>6</v>
      </c>
      <c r="J230" s="1">
        <v>24</v>
      </c>
      <c r="K230" s="1" t="str">
        <f>TEXT(BBDD_Usiarios_Netflix[[#This Row],[Fecha Suscripción]],"dddd")</f>
        <v>sábado</v>
      </c>
      <c r="L230" s="1">
        <f>DATEVALUE(_xlfn.CONCAT(BBDD_Usiarios_Netflix[[#This Row],[Día Último Pago]],"/",BBDD_Usiarios_Netflix[[#This Row],[Mes Último Pago]],"/",BBDD_Usiarios_Netflix[[#This Row],[Año Último Pago]]))</f>
        <v>45470</v>
      </c>
      <c r="M230" s="4">
        <f>DATEDIF(BBDD_Usiarios_Netflix[[#This Row],[Fecha Suscripción]],BBDD_Usiarios_Netflix[[#This Row],[Fecha Último Pago]],"M")+1</f>
        <v>8</v>
      </c>
      <c r="N230" s="4">
        <f>BBDD_Usiarios_Netflix[[#This Row],[Ingresos Mensuales]]*BBDD_Usiarios_Netflix[[#This Row],[Meses contratados]]</f>
        <v>96</v>
      </c>
      <c r="O230" t="s">
        <v>42</v>
      </c>
      <c r="P230" t="str">
        <f>IF(BBDD_Usiarios_Netflix[[#This Row],[País]]="","Desconocido",BBDD_Usiarios_Netflix[[#This Row],[País]])</f>
        <v>Reino Unido</v>
      </c>
      <c r="Q230">
        <v>29</v>
      </c>
      <c r="R230" t="s">
        <v>25</v>
      </c>
      <c r="S230" t="s">
        <v>26</v>
      </c>
      <c r="T230" t="s">
        <v>27</v>
      </c>
      <c r="U230">
        <f>IF(IFERROR(VLOOKUP(BBDD_Usiarios_Netflix[[#This Row],[Identificador Usuario]],A231:$A$5870,1,FALSE),0)&lt;&gt;0,1,0)</f>
        <v>0</v>
      </c>
      <c r="V230" s="6" t="str">
        <f>IF(BBDD_Usiarios_Netflix[[#This Row],[Duración Plan]]="12 Meses",LEFT(BBDD_Usiarios_Netflix[[#This Row],[Duración Plan]],2),LEFT(BBDD_Usiarios_Netflix[[#This Row],[Duración Plan]],1))</f>
        <v>1</v>
      </c>
      <c r="W2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1" spans="1:23" x14ac:dyDescent="0.25">
      <c r="A231">
        <v>230</v>
      </c>
      <c r="B231" t="s">
        <v>23</v>
      </c>
      <c r="C231">
        <v>10</v>
      </c>
      <c r="D231" s="3">
        <v>30</v>
      </c>
      <c r="E231" s="3">
        <v>10</v>
      </c>
      <c r="F231">
        <v>23</v>
      </c>
      <c r="G231" s="1">
        <f>DATEVALUE(_xlfn.CONCAT(BBDD_Usiarios_Netflix[[#This Row],[Día Suscripción]],"/",BBDD_Usiarios_Netflix[[#This Row],[Mes Suscripción]],"/",BBDD_Usiarios_Netflix[[#This Row],[Año Suscripción]]))</f>
        <v>45229</v>
      </c>
      <c r="H231" s="1">
        <v>26</v>
      </c>
      <c r="I231" s="1">
        <v>6</v>
      </c>
      <c r="J231" s="1">
        <v>24</v>
      </c>
      <c r="K231" s="1" t="str">
        <f>TEXT(BBDD_Usiarios_Netflix[[#This Row],[Fecha Suscripción]],"dddd")</f>
        <v>lunes</v>
      </c>
      <c r="L231" s="1">
        <f>DATEVALUE(_xlfn.CONCAT(BBDD_Usiarios_Netflix[[#This Row],[Día Último Pago]],"/",BBDD_Usiarios_Netflix[[#This Row],[Mes Último Pago]],"/",BBDD_Usiarios_Netflix[[#This Row],[Año Último Pago]]))</f>
        <v>45469</v>
      </c>
      <c r="M231" s="4">
        <f>DATEDIF(BBDD_Usiarios_Netflix[[#This Row],[Fecha Suscripción]],BBDD_Usiarios_Netflix[[#This Row],[Fecha Último Pago]],"M")+1</f>
        <v>8</v>
      </c>
      <c r="N231" s="4">
        <f>BBDD_Usiarios_Netflix[[#This Row],[Ingresos Mensuales]]*BBDD_Usiarios_Netflix[[#This Row],[Meses contratados]]</f>
        <v>80</v>
      </c>
      <c r="O231" t="s">
        <v>45</v>
      </c>
      <c r="P231" t="str">
        <f>IF(BBDD_Usiarios_Netflix[[#This Row],[País]]="","Desconocido",BBDD_Usiarios_Netflix[[#This Row],[País]])</f>
        <v>España</v>
      </c>
      <c r="Q231">
        <v>51</v>
      </c>
      <c r="R231" t="s">
        <v>25</v>
      </c>
      <c r="S231" t="s">
        <v>36</v>
      </c>
      <c r="T231" t="s">
        <v>38</v>
      </c>
      <c r="U231">
        <f>IF(IFERROR(VLOOKUP(BBDD_Usiarios_Netflix[[#This Row],[Identificador Usuario]],A232:$A$5870,1,FALSE),0)&lt;&gt;0,1,0)</f>
        <v>0</v>
      </c>
      <c r="V231" s="6" t="str">
        <f>IF(BBDD_Usiarios_Netflix[[#This Row],[Duración Plan]]="12 Meses",LEFT(BBDD_Usiarios_Netflix[[#This Row],[Duración Plan]],2),LEFT(BBDD_Usiarios_Netflix[[#This Row],[Duración Plan]],1))</f>
        <v>3</v>
      </c>
      <c r="W2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2" spans="1:23" x14ac:dyDescent="0.25">
      <c r="A232">
        <v>231</v>
      </c>
      <c r="B232" t="s">
        <v>28</v>
      </c>
      <c r="C232">
        <v>14</v>
      </c>
      <c r="D232" s="3">
        <v>29</v>
      </c>
      <c r="E232" s="3">
        <v>10</v>
      </c>
      <c r="F232">
        <v>23</v>
      </c>
      <c r="G232" s="1">
        <f>DATEVALUE(_xlfn.CONCAT(BBDD_Usiarios_Netflix[[#This Row],[Día Suscripción]],"/",BBDD_Usiarios_Netflix[[#This Row],[Mes Suscripción]],"/",BBDD_Usiarios_Netflix[[#This Row],[Año Suscripción]]))</f>
        <v>45228</v>
      </c>
      <c r="H232" s="1">
        <v>24</v>
      </c>
      <c r="I232" s="1">
        <v>6</v>
      </c>
      <c r="J232" s="1">
        <v>24</v>
      </c>
      <c r="K232" s="1" t="str">
        <f>TEXT(BBDD_Usiarios_Netflix[[#This Row],[Fecha Suscripción]],"dddd")</f>
        <v>domingo</v>
      </c>
      <c r="L232" s="1">
        <f>DATEVALUE(_xlfn.CONCAT(BBDD_Usiarios_Netflix[[#This Row],[Día Último Pago]],"/",BBDD_Usiarios_Netflix[[#This Row],[Mes Último Pago]],"/",BBDD_Usiarios_Netflix[[#This Row],[Año Último Pago]]))</f>
        <v>45467</v>
      </c>
      <c r="M232" s="4">
        <f>DATEDIF(BBDD_Usiarios_Netflix[[#This Row],[Fecha Suscripción]],BBDD_Usiarios_Netflix[[#This Row],[Fecha Último Pago]],"M")+1</f>
        <v>8</v>
      </c>
      <c r="N232" s="4">
        <f>BBDD_Usiarios_Netflix[[#This Row],[Ingresos Mensuales]]*BBDD_Usiarios_Netflix[[#This Row],[Meses contratados]]</f>
        <v>112</v>
      </c>
      <c r="O232" t="s">
        <v>45</v>
      </c>
      <c r="P232" t="str">
        <f>IF(BBDD_Usiarios_Netflix[[#This Row],[País]]="","Desconocido",BBDD_Usiarios_Netflix[[#This Row],[País]])</f>
        <v>España</v>
      </c>
      <c r="Q232">
        <v>43</v>
      </c>
      <c r="R232" t="s">
        <v>25</v>
      </c>
      <c r="S232" t="s">
        <v>26</v>
      </c>
      <c r="T232" t="s">
        <v>27</v>
      </c>
      <c r="U232">
        <f>IF(IFERROR(VLOOKUP(BBDD_Usiarios_Netflix[[#This Row],[Identificador Usuario]],A233:$A$5870,1,FALSE),0)&lt;&gt;0,1,0)</f>
        <v>0</v>
      </c>
      <c r="V232" s="6" t="str">
        <f>IF(BBDD_Usiarios_Netflix[[#This Row],[Duración Plan]]="12 Meses",LEFT(BBDD_Usiarios_Netflix[[#This Row],[Duración Plan]],2),LEFT(BBDD_Usiarios_Netflix[[#This Row],[Duración Plan]],1))</f>
        <v>1</v>
      </c>
      <c r="W2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3" spans="1:23" x14ac:dyDescent="0.25">
      <c r="A233">
        <v>232</v>
      </c>
      <c r="B233" t="s">
        <v>32</v>
      </c>
      <c r="C233">
        <v>12</v>
      </c>
      <c r="D233" s="3">
        <v>30</v>
      </c>
      <c r="E233" s="3">
        <v>8</v>
      </c>
      <c r="F233">
        <v>23</v>
      </c>
      <c r="G233" s="1">
        <f>DATEVALUE(_xlfn.CONCAT(BBDD_Usiarios_Netflix[[#This Row],[Día Suscripción]],"/",BBDD_Usiarios_Netflix[[#This Row],[Mes Suscripción]],"/",BBDD_Usiarios_Netflix[[#This Row],[Año Suscripción]]))</f>
        <v>45168</v>
      </c>
      <c r="H233" s="1">
        <v>27</v>
      </c>
      <c r="I233" s="1">
        <v>6</v>
      </c>
      <c r="J233" s="1">
        <v>24</v>
      </c>
      <c r="K233" s="1" t="str">
        <f>TEXT(BBDD_Usiarios_Netflix[[#This Row],[Fecha Suscripción]],"dddd")</f>
        <v>miércoles</v>
      </c>
      <c r="L233" s="1">
        <f>DATEVALUE(_xlfn.CONCAT(BBDD_Usiarios_Netflix[[#This Row],[Día Último Pago]],"/",BBDD_Usiarios_Netflix[[#This Row],[Mes Último Pago]],"/",BBDD_Usiarios_Netflix[[#This Row],[Año Último Pago]]))</f>
        <v>45470</v>
      </c>
      <c r="M233" s="4">
        <f>DATEDIF(BBDD_Usiarios_Netflix[[#This Row],[Fecha Suscripción]],BBDD_Usiarios_Netflix[[#This Row],[Fecha Último Pago]],"M")+1</f>
        <v>10</v>
      </c>
      <c r="N233" s="4">
        <f>BBDD_Usiarios_Netflix[[#This Row],[Ingresos Mensuales]]*BBDD_Usiarios_Netflix[[#This Row],[Meses contratados]]</f>
        <v>120</v>
      </c>
      <c r="O233" t="s">
        <v>43</v>
      </c>
      <c r="P233" t="str">
        <f>IF(BBDD_Usiarios_Netflix[[#This Row],[País]]="","Desconocido",BBDD_Usiarios_Netflix[[#This Row],[País]])</f>
        <v>Alemania</v>
      </c>
      <c r="Q233">
        <v>28</v>
      </c>
      <c r="R233" t="s">
        <v>25</v>
      </c>
      <c r="S233" t="s">
        <v>26</v>
      </c>
      <c r="T233" t="s">
        <v>38</v>
      </c>
      <c r="U233">
        <f>IF(IFERROR(VLOOKUP(BBDD_Usiarios_Netflix[[#This Row],[Identificador Usuario]],A234:$A$5870,1,FALSE),0)&lt;&gt;0,1,0)</f>
        <v>0</v>
      </c>
      <c r="V233" s="6" t="str">
        <f>IF(BBDD_Usiarios_Netflix[[#This Row],[Duración Plan]]="12 Meses",LEFT(BBDD_Usiarios_Netflix[[#This Row],[Duración Plan]],2),LEFT(BBDD_Usiarios_Netflix[[#This Row],[Duración Plan]],1))</f>
        <v>3</v>
      </c>
      <c r="W2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4" spans="1:23" x14ac:dyDescent="0.25">
      <c r="A234">
        <v>233</v>
      </c>
      <c r="B234" t="s">
        <v>23</v>
      </c>
      <c r="C234">
        <v>10</v>
      </c>
      <c r="D234" s="3">
        <v>7</v>
      </c>
      <c r="E234" s="3">
        <v>7</v>
      </c>
      <c r="F234">
        <v>23</v>
      </c>
      <c r="G234" s="1">
        <f>DATEVALUE(_xlfn.CONCAT(BBDD_Usiarios_Netflix[[#This Row],[Día Suscripción]],"/",BBDD_Usiarios_Netflix[[#This Row],[Mes Suscripción]],"/",BBDD_Usiarios_Netflix[[#This Row],[Año Suscripción]]))</f>
        <v>45114</v>
      </c>
      <c r="H234" s="1">
        <v>26</v>
      </c>
      <c r="I234" s="1">
        <v>6</v>
      </c>
      <c r="J234" s="1">
        <v>24</v>
      </c>
      <c r="K234" s="1" t="str">
        <f>TEXT(BBDD_Usiarios_Netflix[[#This Row],[Fecha Suscripción]],"dddd")</f>
        <v>viernes</v>
      </c>
      <c r="L234" s="1">
        <f>DATEVALUE(_xlfn.CONCAT(BBDD_Usiarios_Netflix[[#This Row],[Día Último Pago]],"/",BBDD_Usiarios_Netflix[[#This Row],[Mes Último Pago]],"/",BBDD_Usiarios_Netflix[[#This Row],[Año Último Pago]]))</f>
        <v>45469</v>
      </c>
      <c r="M234" s="4">
        <f>DATEDIF(BBDD_Usiarios_Netflix[[#This Row],[Fecha Suscripción]],BBDD_Usiarios_Netflix[[#This Row],[Fecha Último Pago]],"M")+1</f>
        <v>12</v>
      </c>
      <c r="N234" s="4">
        <f>BBDD_Usiarios_Netflix[[#This Row],[Ingresos Mensuales]]*BBDD_Usiarios_Netflix[[#This Row],[Meses contratados]]</f>
        <v>120</v>
      </c>
      <c r="O234" t="s">
        <v>43</v>
      </c>
      <c r="P234" t="str">
        <f>IF(BBDD_Usiarios_Netflix[[#This Row],[País]]="","Desconocido",BBDD_Usiarios_Netflix[[#This Row],[País]])</f>
        <v>Alemania</v>
      </c>
      <c r="Q234">
        <v>50</v>
      </c>
      <c r="R234" t="s">
        <v>30</v>
      </c>
      <c r="S234" t="s">
        <v>34</v>
      </c>
      <c r="T234" t="s">
        <v>38</v>
      </c>
      <c r="U234">
        <f>IF(IFERROR(VLOOKUP(BBDD_Usiarios_Netflix[[#This Row],[Identificador Usuario]],A235:$A$5870,1,FALSE),0)&lt;&gt;0,1,0)</f>
        <v>0</v>
      </c>
      <c r="V234" s="6" t="str">
        <f>IF(BBDD_Usiarios_Netflix[[#This Row],[Duración Plan]]="12 Meses",LEFT(BBDD_Usiarios_Netflix[[#This Row],[Duración Plan]],2),LEFT(BBDD_Usiarios_Netflix[[#This Row],[Duración Plan]],1))</f>
        <v>3</v>
      </c>
      <c r="W2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5" spans="1:23" x14ac:dyDescent="0.25">
      <c r="A235">
        <v>234</v>
      </c>
      <c r="B235" t="s">
        <v>32</v>
      </c>
      <c r="C235">
        <v>13</v>
      </c>
      <c r="D235" s="3">
        <v>26</v>
      </c>
      <c r="E235" s="3">
        <v>5</v>
      </c>
      <c r="F235">
        <v>23</v>
      </c>
      <c r="G235" s="1">
        <f>DATEVALUE(_xlfn.CONCAT(BBDD_Usiarios_Netflix[[#This Row],[Día Suscripción]],"/",BBDD_Usiarios_Netflix[[#This Row],[Mes Suscripción]],"/",BBDD_Usiarios_Netflix[[#This Row],[Año Suscripción]]))</f>
        <v>45072</v>
      </c>
      <c r="H235" s="1">
        <v>27</v>
      </c>
      <c r="I235" s="1">
        <v>6</v>
      </c>
      <c r="J235" s="1">
        <v>24</v>
      </c>
      <c r="K235" s="1" t="str">
        <f>TEXT(BBDD_Usiarios_Netflix[[#This Row],[Fecha Suscripción]],"dddd")</f>
        <v>viernes</v>
      </c>
      <c r="L235" s="1">
        <f>DATEVALUE(_xlfn.CONCAT(BBDD_Usiarios_Netflix[[#This Row],[Día Último Pago]],"/",BBDD_Usiarios_Netflix[[#This Row],[Mes Último Pago]],"/",BBDD_Usiarios_Netflix[[#This Row],[Año Último Pago]]))</f>
        <v>45470</v>
      </c>
      <c r="M235" s="4">
        <f>DATEDIF(BBDD_Usiarios_Netflix[[#This Row],[Fecha Suscripción]],BBDD_Usiarios_Netflix[[#This Row],[Fecha Último Pago]],"M")+1</f>
        <v>14</v>
      </c>
      <c r="N235" s="4">
        <f>BBDD_Usiarios_Netflix[[#This Row],[Ingresos Mensuales]]*BBDD_Usiarios_Netflix[[#This Row],[Meses contratados]]</f>
        <v>182</v>
      </c>
      <c r="O235" t="s">
        <v>24</v>
      </c>
      <c r="P235" t="str">
        <f>IF(BBDD_Usiarios_Netflix[[#This Row],[País]]="","Desconocido",BBDD_Usiarios_Netflix[[#This Row],[País]])</f>
        <v>Australia</v>
      </c>
      <c r="Q235">
        <v>44</v>
      </c>
      <c r="R235" t="s">
        <v>30</v>
      </c>
      <c r="S235" t="s">
        <v>36</v>
      </c>
      <c r="T235" t="s">
        <v>27</v>
      </c>
      <c r="U235">
        <f>IF(IFERROR(VLOOKUP(BBDD_Usiarios_Netflix[[#This Row],[Identificador Usuario]],A236:$A$5870,1,FALSE),0)&lt;&gt;0,1,0)</f>
        <v>0</v>
      </c>
      <c r="V235" s="6" t="str">
        <f>IF(BBDD_Usiarios_Netflix[[#This Row],[Duración Plan]]="12 Meses",LEFT(BBDD_Usiarios_Netflix[[#This Row],[Duración Plan]],2),LEFT(BBDD_Usiarios_Netflix[[#This Row],[Duración Plan]],1))</f>
        <v>1</v>
      </c>
      <c r="W2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6" spans="1:23" x14ac:dyDescent="0.25">
      <c r="A236">
        <v>235</v>
      </c>
      <c r="B236" t="s">
        <v>28</v>
      </c>
      <c r="C236">
        <v>15</v>
      </c>
      <c r="D236" s="3">
        <v>17</v>
      </c>
      <c r="E236" s="3">
        <v>5</v>
      </c>
      <c r="F236">
        <v>23</v>
      </c>
      <c r="G236" s="1">
        <f>DATEVALUE(_xlfn.CONCAT(BBDD_Usiarios_Netflix[[#This Row],[Día Suscripción]],"/",BBDD_Usiarios_Netflix[[#This Row],[Mes Suscripción]],"/",BBDD_Usiarios_Netflix[[#This Row],[Año Suscripción]]))</f>
        <v>45063</v>
      </c>
      <c r="H236" s="1">
        <v>25</v>
      </c>
      <c r="I236" s="1">
        <v>6</v>
      </c>
      <c r="J236" s="1">
        <v>24</v>
      </c>
      <c r="K236" s="1" t="str">
        <f>TEXT(BBDD_Usiarios_Netflix[[#This Row],[Fecha Suscripción]],"dddd")</f>
        <v>miércoles</v>
      </c>
      <c r="L236" s="1">
        <f>DATEVALUE(_xlfn.CONCAT(BBDD_Usiarios_Netflix[[#This Row],[Día Último Pago]],"/",BBDD_Usiarios_Netflix[[#This Row],[Mes Último Pago]],"/",BBDD_Usiarios_Netflix[[#This Row],[Año Último Pago]]))</f>
        <v>45468</v>
      </c>
      <c r="M236" s="4">
        <f>DATEDIF(BBDD_Usiarios_Netflix[[#This Row],[Fecha Suscripción]],BBDD_Usiarios_Netflix[[#This Row],[Fecha Último Pago]],"M")+1</f>
        <v>14</v>
      </c>
      <c r="N236" s="4">
        <f>BBDD_Usiarios_Netflix[[#This Row],[Ingresos Mensuales]]*BBDD_Usiarios_Netflix[[#This Row],[Meses contratados]]</f>
        <v>210</v>
      </c>
      <c r="O236" t="s">
        <v>45</v>
      </c>
      <c r="P236" t="str">
        <f>IF(BBDD_Usiarios_Netflix[[#This Row],[País]]="","Desconocido",BBDD_Usiarios_Netflix[[#This Row],[País]])</f>
        <v>España</v>
      </c>
      <c r="Q236">
        <v>50</v>
      </c>
      <c r="R236" t="s">
        <v>25</v>
      </c>
      <c r="S236" t="s">
        <v>36</v>
      </c>
      <c r="T236" t="s">
        <v>27</v>
      </c>
      <c r="U236">
        <f>IF(IFERROR(VLOOKUP(BBDD_Usiarios_Netflix[[#This Row],[Identificador Usuario]],A237:$A$5870,1,FALSE),0)&lt;&gt;0,1,0)</f>
        <v>0</v>
      </c>
      <c r="V236" s="6" t="str">
        <f>IF(BBDD_Usiarios_Netflix[[#This Row],[Duración Plan]]="12 Meses",LEFT(BBDD_Usiarios_Netflix[[#This Row],[Duración Plan]],2),LEFT(BBDD_Usiarios_Netflix[[#This Row],[Duración Plan]],1))</f>
        <v>1</v>
      </c>
      <c r="W2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" spans="1:23" x14ac:dyDescent="0.25">
      <c r="A237">
        <v>236</v>
      </c>
      <c r="B237" t="s">
        <v>23</v>
      </c>
      <c r="C237">
        <v>11</v>
      </c>
      <c r="D237" s="3">
        <v>8</v>
      </c>
      <c r="E237" s="3">
        <v>5</v>
      </c>
      <c r="F237">
        <v>23</v>
      </c>
      <c r="G237" s="1">
        <f>DATEVALUE(_xlfn.CONCAT(BBDD_Usiarios_Netflix[[#This Row],[Día Suscripción]],"/",BBDD_Usiarios_Netflix[[#This Row],[Mes Suscripción]],"/",BBDD_Usiarios_Netflix[[#This Row],[Año Suscripción]]))</f>
        <v>45054</v>
      </c>
      <c r="H237" s="1">
        <v>26</v>
      </c>
      <c r="I237" s="1">
        <v>6</v>
      </c>
      <c r="J237" s="1">
        <v>24</v>
      </c>
      <c r="K237" s="1" t="str">
        <f>TEXT(BBDD_Usiarios_Netflix[[#This Row],[Fecha Suscripción]],"dddd")</f>
        <v>lunes</v>
      </c>
      <c r="L237" s="1">
        <f>DATEVALUE(_xlfn.CONCAT(BBDD_Usiarios_Netflix[[#This Row],[Día Último Pago]],"/",BBDD_Usiarios_Netflix[[#This Row],[Mes Último Pago]],"/",BBDD_Usiarios_Netflix[[#This Row],[Año Último Pago]]))</f>
        <v>45469</v>
      </c>
      <c r="M237" s="4">
        <f>DATEDIF(BBDD_Usiarios_Netflix[[#This Row],[Fecha Suscripción]],BBDD_Usiarios_Netflix[[#This Row],[Fecha Último Pago]],"M")+1</f>
        <v>14</v>
      </c>
      <c r="N237" s="4">
        <f>BBDD_Usiarios_Netflix[[#This Row],[Ingresos Mensuales]]*BBDD_Usiarios_Netflix[[#This Row],[Meses contratados]]</f>
        <v>154</v>
      </c>
      <c r="O237" t="s">
        <v>45</v>
      </c>
      <c r="P237" t="str">
        <f>IF(BBDD_Usiarios_Netflix[[#This Row],[País]]="","Desconocido",BBDD_Usiarios_Netflix[[#This Row],[País]])</f>
        <v>España</v>
      </c>
      <c r="Q237">
        <v>39</v>
      </c>
      <c r="R237" t="s">
        <v>30</v>
      </c>
      <c r="S237" t="s">
        <v>26</v>
      </c>
      <c r="T237" t="s">
        <v>27</v>
      </c>
      <c r="U237">
        <f>IF(IFERROR(VLOOKUP(BBDD_Usiarios_Netflix[[#This Row],[Identificador Usuario]],A238:$A$5870,1,FALSE),0)&lt;&gt;0,1,0)</f>
        <v>0</v>
      </c>
      <c r="V237" s="6" t="str">
        <f>IF(BBDD_Usiarios_Netflix[[#This Row],[Duración Plan]]="12 Meses",LEFT(BBDD_Usiarios_Netflix[[#This Row],[Duración Plan]],2),LEFT(BBDD_Usiarios_Netflix[[#This Row],[Duración Plan]],1))</f>
        <v>1</v>
      </c>
      <c r="W2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8" spans="1:23" x14ac:dyDescent="0.25">
      <c r="A238">
        <v>237</v>
      </c>
      <c r="B238" t="s">
        <v>28</v>
      </c>
      <c r="C238">
        <v>14</v>
      </c>
      <c r="D238" s="3">
        <v>7</v>
      </c>
      <c r="E238" s="3">
        <v>7</v>
      </c>
      <c r="F238">
        <v>23</v>
      </c>
      <c r="G238" s="1">
        <f>DATEVALUE(_xlfn.CONCAT(BBDD_Usiarios_Netflix[[#This Row],[Día Suscripción]],"/",BBDD_Usiarios_Netflix[[#This Row],[Mes Suscripción]],"/",BBDD_Usiarios_Netflix[[#This Row],[Año Suscripción]]))</f>
        <v>45114</v>
      </c>
      <c r="H238" s="1">
        <v>25</v>
      </c>
      <c r="I238" s="1">
        <v>6</v>
      </c>
      <c r="J238" s="1">
        <v>24</v>
      </c>
      <c r="K238" s="1" t="str">
        <f>TEXT(BBDD_Usiarios_Netflix[[#This Row],[Fecha Suscripción]],"dddd")</f>
        <v>viernes</v>
      </c>
      <c r="L238" s="1">
        <f>DATEVALUE(_xlfn.CONCAT(BBDD_Usiarios_Netflix[[#This Row],[Día Último Pago]],"/",BBDD_Usiarios_Netflix[[#This Row],[Mes Último Pago]],"/",BBDD_Usiarios_Netflix[[#This Row],[Año Último Pago]]))</f>
        <v>45468</v>
      </c>
      <c r="M238" s="4">
        <f>DATEDIF(BBDD_Usiarios_Netflix[[#This Row],[Fecha Suscripción]],BBDD_Usiarios_Netflix[[#This Row],[Fecha Último Pago]],"M")+1</f>
        <v>12</v>
      </c>
      <c r="N238" s="4">
        <f>BBDD_Usiarios_Netflix[[#This Row],[Ingresos Mensuales]]*BBDD_Usiarios_Netflix[[#This Row],[Meses contratados]]</f>
        <v>168</v>
      </c>
      <c r="O238" t="s">
        <v>45</v>
      </c>
      <c r="P238" t="str">
        <f>IF(BBDD_Usiarios_Netflix[[#This Row],[País]]="","Desconocido",BBDD_Usiarios_Netflix[[#This Row],[País]])</f>
        <v>España</v>
      </c>
      <c r="Q238">
        <v>46</v>
      </c>
      <c r="R238" t="s">
        <v>30</v>
      </c>
      <c r="S238" t="s">
        <v>31</v>
      </c>
      <c r="T238" t="s">
        <v>35</v>
      </c>
      <c r="U238">
        <f>IF(IFERROR(VLOOKUP(BBDD_Usiarios_Netflix[[#This Row],[Identificador Usuario]],A239:$A$5870,1,FALSE),0)&lt;&gt;0,1,0)</f>
        <v>0</v>
      </c>
      <c r="V238" s="6" t="str">
        <f>IF(BBDD_Usiarios_Netflix[[#This Row],[Duración Plan]]="12 Meses",LEFT(BBDD_Usiarios_Netflix[[#This Row],[Duración Plan]],2),LEFT(BBDD_Usiarios_Netflix[[#This Row],[Duración Plan]],1))</f>
        <v>6</v>
      </c>
      <c r="W2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9" spans="1:23" x14ac:dyDescent="0.25">
      <c r="A239">
        <v>238</v>
      </c>
      <c r="B239" t="s">
        <v>32</v>
      </c>
      <c r="C239">
        <v>12</v>
      </c>
      <c r="D239" s="3">
        <v>17</v>
      </c>
      <c r="E239" s="3">
        <v>7</v>
      </c>
      <c r="F239">
        <v>23</v>
      </c>
      <c r="G239" s="1">
        <f>DATEVALUE(_xlfn.CONCAT(BBDD_Usiarios_Netflix[[#This Row],[Día Suscripción]],"/",BBDD_Usiarios_Netflix[[#This Row],[Mes Suscripción]],"/",BBDD_Usiarios_Netflix[[#This Row],[Año Suscripción]]))</f>
        <v>45124</v>
      </c>
      <c r="H239" s="1">
        <v>28</v>
      </c>
      <c r="I239" s="1">
        <v>6</v>
      </c>
      <c r="J239" s="1">
        <v>24</v>
      </c>
      <c r="K239" s="1" t="str">
        <f>TEXT(BBDD_Usiarios_Netflix[[#This Row],[Fecha Suscripción]],"dddd")</f>
        <v>lunes</v>
      </c>
      <c r="L239" s="1">
        <f>DATEVALUE(_xlfn.CONCAT(BBDD_Usiarios_Netflix[[#This Row],[Día Último Pago]],"/",BBDD_Usiarios_Netflix[[#This Row],[Mes Último Pago]],"/",BBDD_Usiarios_Netflix[[#This Row],[Año Último Pago]]))</f>
        <v>45471</v>
      </c>
      <c r="M239" s="4">
        <f>DATEDIF(BBDD_Usiarios_Netflix[[#This Row],[Fecha Suscripción]],BBDD_Usiarios_Netflix[[#This Row],[Fecha Último Pago]],"M")+1</f>
        <v>12</v>
      </c>
      <c r="N239" s="4">
        <f>BBDD_Usiarios_Netflix[[#This Row],[Ingresos Mensuales]]*BBDD_Usiarios_Netflix[[#This Row],[Meses contratados]]</f>
        <v>144</v>
      </c>
      <c r="O239" t="s">
        <v>43</v>
      </c>
      <c r="P239" t="str">
        <f>IF(BBDD_Usiarios_Netflix[[#This Row],[País]]="","Desconocido",BBDD_Usiarios_Netflix[[#This Row],[País]])</f>
        <v>Alemania</v>
      </c>
      <c r="Q239">
        <v>48</v>
      </c>
      <c r="R239" t="s">
        <v>25</v>
      </c>
      <c r="S239" t="s">
        <v>26</v>
      </c>
      <c r="T239" t="s">
        <v>38</v>
      </c>
      <c r="U239">
        <f>IF(IFERROR(VLOOKUP(BBDD_Usiarios_Netflix[[#This Row],[Identificador Usuario]],A240:$A$5870,1,FALSE),0)&lt;&gt;0,1,0)</f>
        <v>0</v>
      </c>
      <c r="V239" s="6" t="str">
        <f>IF(BBDD_Usiarios_Netflix[[#This Row],[Duración Plan]]="12 Meses",LEFT(BBDD_Usiarios_Netflix[[#This Row],[Duración Plan]],2),LEFT(BBDD_Usiarios_Netflix[[#This Row],[Duración Plan]],1))</f>
        <v>3</v>
      </c>
      <c r="W2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0" spans="1:23" x14ac:dyDescent="0.25">
      <c r="A240">
        <v>239</v>
      </c>
      <c r="B240" t="s">
        <v>23</v>
      </c>
      <c r="C240">
        <v>11</v>
      </c>
      <c r="D240" s="3">
        <v>23</v>
      </c>
      <c r="E240" s="3">
        <v>12</v>
      </c>
      <c r="F240">
        <v>23</v>
      </c>
      <c r="G240" s="1">
        <f>DATEVALUE(_xlfn.CONCAT(BBDD_Usiarios_Netflix[[#This Row],[Día Suscripción]],"/",BBDD_Usiarios_Netflix[[#This Row],[Mes Suscripción]],"/",BBDD_Usiarios_Netflix[[#This Row],[Año Suscripción]]))</f>
        <v>45283</v>
      </c>
      <c r="H240" s="1">
        <v>26</v>
      </c>
      <c r="I240" s="1">
        <v>6</v>
      </c>
      <c r="J240" s="1">
        <v>24</v>
      </c>
      <c r="K240" s="1" t="str">
        <f>TEXT(BBDD_Usiarios_Netflix[[#This Row],[Fecha Suscripción]],"dddd")</f>
        <v>sábado</v>
      </c>
      <c r="L240" s="1">
        <f>DATEVALUE(_xlfn.CONCAT(BBDD_Usiarios_Netflix[[#This Row],[Día Último Pago]],"/",BBDD_Usiarios_Netflix[[#This Row],[Mes Último Pago]],"/",BBDD_Usiarios_Netflix[[#This Row],[Año Último Pago]]))</f>
        <v>45469</v>
      </c>
      <c r="M240" s="4">
        <f>DATEDIF(BBDD_Usiarios_Netflix[[#This Row],[Fecha Suscripción]],BBDD_Usiarios_Netflix[[#This Row],[Fecha Último Pago]],"M")+1</f>
        <v>7</v>
      </c>
      <c r="N240" s="4">
        <f>BBDD_Usiarios_Netflix[[#This Row],[Ingresos Mensuales]]*BBDD_Usiarios_Netflix[[#This Row],[Meses contratados]]</f>
        <v>77</v>
      </c>
      <c r="O240" t="s">
        <v>42</v>
      </c>
      <c r="P240" t="str">
        <f>IF(BBDD_Usiarios_Netflix[[#This Row],[País]]="","Desconocido",BBDD_Usiarios_Netflix[[#This Row],[País]])</f>
        <v>Reino Unido</v>
      </c>
      <c r="Q240">
        <v>38</v>
      </c>
      <c r="R240" t="s">
        <v>25</v>
      </c>
      <c r="S240" t="s">
        <v>34</v>
      </c>
      <c r="T240" t="s">
        <v>35</v>
      </c>
      <c r="U240">
        <f>IF(IFERROR(VLOOKUP(BBDD_Usiarios_Netflix[[#This Row],[Identificador Usuario]],A241:$A$5870,1,FALSE),0)&lt;&gt;0,1,0)</f>
        <v>0</v>
      </c>
      <c r="V240" s="6" t="str">
        <f>IF(BBDD_Usiarios_Netflix[[#This Row],[Duración Plan]]="12 Meses",LEFT(BBDD_Usiarios_Netflix[[#This Row],[Duración Plan]],2),LEFT(BBDD_Usiarios_Netflix[[#This Row],[Duración Plan]],1))</f>
        <v>6</v>
      </c>
      <c r="W2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1" spans="1:23" x14ac:dyDescent="0.25">
      <c r="A241">
        <v>240</v>
      </c>
      <c r="B241" t="s">
        <v>32</v>
      </c>
      <c r="C241">
        <v>12</v>
      </c>
      <c r="D241" s="3">
        <v>27</v>
      </c>
      <c r="E241" s="3">
        <v>6</v>
      </c>
      <c r="F241">
        <v>23</v>
      </c>
      <c r="G241" s="1">
        <f>DATEVALUE(_xlfn.CONCAT(BBDD_Usiarios_Netflix[[#This Row],[Día Suscripción]],"/",BBDD_Usiarios_Netflix[[#This Row],[Mes Suscripción]],"/",BBDD_Usiarios_Netflix[[#This Row],[Año Suscripción]]))</f>
        <v>45104</v>
      </c>
      <c r="H241" s="1">
        <v>26</v>
      </c>
      <c r="I241" s="1">
        <v>6</v>
      </c>
      <c r="J241" s="1">
        <v>24</v>
      </c>
      <c r="K241" s="1" t="str">
        <f>TEXT(BBDD_Usiarios_Netflix[[#This Row],[Fecha Suscripción]],"dddd")</f>
        <v>martes</v>
      </c>
      <c r="L241" s="1">
        <f>DATEVALUE(_xlfn.CONCAT(BBDD_Usiarios_Netflix[[#This Row],[Día Último Pago]],"/",BBDD_Usiarios_Netflix[[#This Row],[Mes Último Pago]],"/",BBDD_Usiarios_Netflix[[#This Row],[Año Último Pago]]))</f>
        <v>45469</v>
      </c>
      <c r="M241" s="4">
        <f>DATEDIF(BBDD_Usiarios_Netflix[[#This Row],[Fecha Suscripción]],BBDD_Usiarios_Netflix[[#This Row],[Fecha Último Pago]],"M")+1</f>
        <v>12</v>
      </c>
      <c r="N241" s="4">
        <f>BBDD_Usiarios_Netflix[[#This Row],[Ingresos Mensuales]]*BBDD_Usiarios_Netflix[[#This Row],[Meses contratados]]</f>
        <v>144</v>
      </c>
      <c r="O241" t="s">
        <v>24</v>
      </c>
      <c r="P241" t="str">
        <f>IF(BBDD_Usiarios_Netflix[[#This Row],[País]]="","Desconocido",BBDD_Usiarios_Netflix[[#This Row],[País]])</f>
        <v>Australia</v>
      </c>
      <c r="Q241">
        <v>38</v>
      </c>
      <c r="R241" t="s">
        <v>25</v>
      </c>
      <c r="S241" t="s">
        <v>26</v>
      </c>
      <c r="T241" t="s">
        <v>41</v>
      </c>
      <c r="U241">
        <f>IF(IFERROR(VLOOKUP(BBDD_Usiarios_Netflix[[#This Row],[Identificador Usuario]],A242:$A$5870,1,FALSE),0)&lt;&gt;0,1,0)</f>
        <v>0</v>
      </c>
      <c r="V241" s="6" t="str">
        <f>IF(BBDD_Usiarios_Netflix[[#This Row],[Duración Plan]]="12 Meses",LEFT(BBDD_Usiarios_Netflix[[#This Row],[Duración Plan]],2),LEFT(BBDD_Usiarios_Netflix[[#This Row],[Duración Plan]],1))</f>
        <v>12</v>
      </c>
      <c r="W2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2" spans="1:23" x14ac:dyDescent="0.25">
      <c r="A242">
        <v>241</v>
      </c>
      <c r="B242" t="s">
        <v>28</v>
      </c>
      <c r="C242">
        <v>15</v>
      </c>
      <c r="D242" s="3">
        <v>31</v>
      </c>
      <c r="E242" s="3">
        <v>5</v>
      </c>
      <c r="F242">
        <v>23</v>
      </c>
      <c r="G242" s="1">
        <f>DATEVALUE(_xlfn.CONCAT(BBDD_Usiarios_Netflix[[#This Row],[Día Suscripción]],"/",BBDD_Usiarios_Netflix[[#This Row],[Mes Suscripción]],"/",BBDD_Usiarios_Netflix[[#This Row],[Año Suscripción]]))</f>
        <v>45077</v>
      </c>
      <c r="H242" s="1">
        <v>27</v>
      </c>
      <c r="I242" s="1">
        <v>6</v>
      </c>
      <c r="J242" s="1">
        <v>24</v>
      </c>
      <c r="K242" s="1" t="str">
        <f>TEXT(BBDD_Usiarios_Netflix[[#This Row],[Fecha Suscripción]],"dddd")</f>
        <v>miércoles</v>
      </c>
      <c r="L242" s="1">
        <f>DATEVALUE(_xlfn.CONCAT(BBDD_Usiarios_Netflix[[#This Row],[Día Último Pago]],"/",BBDD_Usiarios_Netflix[[#This Row],[Mes Último Pago]],"/",BBDD_Usiarios_Netflix[[#This Row],[Año Último Pago]]))</f>
        <v>45470</v>
      </c>
      <c r="M242" s="4">
        <f>DATEDIF(BBDD_Usiarios_Netflix[[#This Row],[Fecha Suscripción]],BBDD_Usiarios_Netflix[[#This Row],[Fecha Último Pago]],"M")+1</f>
        <v>13</v>
      </c>
      <c r="N242" s="4">
        <f>BBDD_Usiarios_Netflix[[#This Row],[Ingresos Mensuales]]*BBDD_Usiarios_Netflix[[#This Row],[Meses contratados]]</f>
        <v>195</v>
      </c>
      <c r="O242" t="s">
        <v>43</v>
      </c>
      <c r="P242" t="str">
        <f>IF(BBDD_Usiarios_Netflix[[#This Row],[País]]="","Desconocido",BBDD_Usiarios_Netflix[[#This Row],[País]])</f>
        <v>Alemania</v>
      </c>
      <c r="Q242">
        <v>47</v>
      </c>
      <c r="R242" t="s">
        <v>25</v>
      </c>
      <c r="S242" t="s">
        <v>36</v>
      </c>
      <c r="T242" t="s">
        <v>27</v>
      </c>
      <c r="U242">
        <f>IF(IFERROR(VLOOKUP(BBDD_Usiarios_Netflix[[#This Row],[Identificador Usuario]],A243:$A$5870,1,FALSE),0)&lt;&gt;0,1,0)</f>
        <v>0</v>
      </c>
      <c r="V242" s="6" t="str">
        <f>IF(BBDD_Usiarios_Netflix[[#This Row],[Duración Plan]]="12 Meses",LEFT(BBDD_Usiarios_Netflix[[#This Row],[Duración Plan]],2),LEFT(BBDD_Usiarios_Netflix[[#This Row],[Duración Plan]],1))</f>
        <v>1</v>
      </c>
      <c r="W2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3" spans="1:23" x14ac:dyDescent="0.25">
      <c r="A243">
        <v>242</v>
      </c>
      <c r="B243" t="s">
        <v>23</v>
      </c>
      <c r="C243">
        <v>10</v>
      </c>
      <c r="D243" s="3">
        <v>2</v>
      </c>
      <c r="E243" s="3">
        <v>6</v>
      </c>
      <c r="F243">
        <v>23</v>
      </c>
      <c r="G243" s="1">
        <f>DATEVALUE(_xlfn.CONCAT(BBDD_Usiarios_Netflix[[#This Row],[Día Suscripción]],"/",BBDD_Usiarios_Netflix[[#This Row],[Mes Suscripción]],"/",BBDD_Usiarios_Netflix[[#This Row],[Año Suscripción]]))</f>
        <v>45079</v>
      </c>
      <c r="H243" s="1">
        <v>26</v>
      </c>
      <c r="I243" s="1">
        <v>6</v>
      </c>
      <c r="J243" s="1">
        <v>24</v>
      </c>
      <c r="K243" s="1" t="str">
        <f>TEXT(BBDD_Usiarios_Netflix[[#This Row],[Fecha Suscripción]],"dddd")</f>
        <v>viernes</v>
      </c>
      <c r="L243" s="1">
        <f>DATEVALUE(_xlfn.CONCAT(BBDD_Usiarios_Netflix[[#This Row],[Día Último Pago]],"/",BBDD_Usiarios_Netflix[[#This Row],[Mes Último Pago]],"/",BBDD_Usiarios_Netflix[[#This Row],[Año Último Pago]]))</f>
        <v>45469</v>
      </c>
      <c r="M243" s="4">
        <f>DATEDIF(BBDD_Usiarios_Netflix[[#This Row],[Fecha Suscripción]],BBDD_Usiarios_Netflix[[#This Row],[Fecha Último Pago]],"M")+1</f>
        <v>13</v>
      </c>
      <c r="N243" s="4">
        <f>BBDD_Usiarios_Netflix[[#This Row],[Ingresos Mensuales]]*BBDD_Usiarios_Netflix[[#This Row],[Meses contratados]]</f>
        <v>130</v>
      </c>
      <c r="O243" t="s">
        <v>24</v>
      </c>
      <c r="P243" t="str">
        <f>IF(BBDD_Usiarios_Netflix[[#This Row],[País]]="","Desconocido",BBDD_Usiarios_Netflix[[#This Row],[País]])</f>
        <v>Australia</v>
      </c>
      <c r="Q243">
        <v>37</v>
      </c>
      <c r="R243" t="s">
        <v>25</v>
      </c>
      <c r="S243" t="s">
        <v>36</v>
      </c>
      <c r="T243" t="s">
        <v>35</v>
      </c>
      <c r="U243">
        <f>IF(IFERROR(VLOOKUP(BBDD_Usiarios_Netflix[[#This Row],[Identificador Usuario]],A244:$A$5870,1,FALSE),0)&lt;&gt;0,1,0)</f>
        <v>0</v>
      </c>
      <c r="V243" s="6" t="str">
        <f>IF(BBDD_Usiarios_Netflix[[#This Row],[Duración Plan]]="12 Meses",LEFT(BBDD_Usiarios_Netflix[[#This Row],[Duración Plan]],2),LEFT(BBDD_Usiarios_Netflix[[#This Row],[Duración Plan]],1))</f>
        <v>6</v>
      </c>
      <c r="W2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4" spans="1:23" x14ac:dyDescent="0.25">
      <c r="A244">
        <v>243</v>
      </c>
      <c r="B244" t="s">
        <v>32</v>
      </c>
      <c r="C244">
        <v>13</v>
      </c>
      <c r="D244" s="3">
        <v>25</v>
      </c>
      <c r="E244" s="3">
        <v>5</v>
      </c>
      <c r="F244">
        <v>23</v>
      </c>
      <c r="G244" s="1">
        <f>DATEVALUE(_xlfn.CONCAT(BBDD_Usiarios_Netflix[[#This Row],[Día Suscripción]],"/",BBDD_Usiarios_Netflix[[#This Row],[Mes Suscripción]],"/",BBDD_Usiarios_Netflix[[#This Row],[Año Suscripción]]))</f>
        <v>45071</v>
      </c>
      <c r="H244" s="1">
        <v>27</v>
      </c>
      <c r="I244" s="1">
        <v>6</v>
      </c>
      <c r="J244" s="1">
        <v>24</v>
      </c>
      <c r="K244" s="1" t="str">
        <f>TEXT(BBDD_Usiarios_Netflix[[#This Row],[Fecha Suscripción]],"dddd")</f>
        <v>jueves</v>
      </c>
      <c r="L244" s="1">
        <f>DATEVALUE(_xlfn.CONCAT(BBDD_Usiarios_Netflix[[#This Row],[Día Último Pago]],"/",BBDD_Usiarios_Netflix[[#This Row],[Mes Último Pago]],"/",BBDD_Usiarios_Netflix[[#This Row],[Año Último Pago]]))</f>
        <v>45470</v>
      </c>
      <c r="M244" s="4">
        <f>DATEDIF(BBDD_Usiarios_Netflix[[#This Row],[Fecha Suscripción]],BBDD_Usiarios_Netflix[[#This Row],[Fecha Último Pago]],"M")+1</f>
        <v>14</v>
      </c>
      <c r="N244" s="4">
        <f>BBDD_Usiarios_Netflix[[#This Row],[Ingresos Mensuales]]*BBDD_Usiarios_Netflix[[#This Row],[Meses contratados]]</f>
        <v>182</v>
      </c>
      <c r="O244" t="s">
        <v>29</v>
      </c>
      <c r="P244" t="str">
        <f>IF(BBDD_Usiarios_Netflix[[#This Row],[País]]="","Desconocido",BBDD_Usiarios_Netflix[[#This Row],[País]])</f>
        <v>EEUU</v>
      </c>
      <c r="Q244">
        <v>33</v>
      </c>
      <c r="R244" t="s">
        <v>25</v>
      </c>
      <c r="S244" t="s">
        <v>36</v>
      </c>
      <c r="T244" t="s">
        <v>27</v>
      </c>
      <c r="U244">
        <f>IF(IFERROR(VLOOKUP(BBDD_Usiarios_Netflix[[#This Row],[Identificador Usuario]],A245:$A$5870,1,FALSE),0)&lt;&gt;0,1,0)</f>
        <v>0</v>
      </c>
      <c r="V244" s="6" t="str">
        <f>IF(BBDD_Usiarios_Netflix[[#This Row],[Duración Plan]]="12 Meses",LEFT(BBDD_Usiarios_Netflix[[#This Row],[Duración Plan]],2),LEFT(BBDD_Usiarios_Netflix[[#This Row],[Duración Plan]],1))</f>
        <v>1</v>
      </c>
      <c r="W2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5" spans="1:23" x14ac:dyDescent="0.25">
      <c r="A245">
        <v>244</v>
      </c>
      <c r="B245" t="s">
        <v>28</v>
      </c>
      <c r="C245">
        <v>15</v>
      </c>
      <c r="D245" s="3">
        <v>26</v>
      </c>
      <c r="E245" s="3">
        <v>4</v>
      </c>
      <c r="F245">
        <v>23</v>
      </c>
      <c r="G245" s="1">
        <f>DATEVALUE(_xlfn.CONCAT(BBDD_Usiarios_Netflix[[#This Row],[Día Suscripción]],"/",BBDD_Usiarios_Netflix[[#This Row],[Mes Suscripción]],"/",BBDD_Usiarios_Netflix[[#This Row],[Año Suscripción]]))</f>
        <v>45042</v>
      </c>
      <c r="H245" s="1">
        <v>26</v>
      </c>
      <c r="I245" s="1">
        <v>6</v>
      </c>
      <c r="J245" s="1">
        <v>24</v>
      </c>
      <c r="K245" s="1" t="str">
        <f>TEXT(BBDD_Usiarios_Netflix[[#This Row],[Fecha Suscripción]],"dddd")</f>
        <v>miércoles</v>
      </c>
      <c r="L245" s="1">
        <f>DATEVALUE(_xlfn.CONCAT(BBDD_Usiarios_Netflix[[#This Row],[Día Último Pago]],"/",BBDD_Usiarios_Netflix[[#This Row],[Mes Último Pago]],"/",BBDD_Usiarios_Netflix[[#This Row],[Año Último Pago]]))</f>
        <v>45469</v>
      </c>
      <c r="M245" s="4">
        <f>DATEDIF(BBDD_Usiarios_Netflix[[#This Row],[Fecha Suscripción]],BBDD_Usiarios_Netflix[[#This Row],[Fecha Último Pago]],"M")+1</f>
        <v>15</v>
      </c>
      <c r="N245" s="4">
        <f>BBDD_Usiarios_Netflix[[#This Row],[Ingresos Mensuales]]*BBDD_Usiarios_Netflix[[#This Row],[Meses contratados]]</f>
        <v>225</v>
      </c>
      <c r="O245" t="s">
        <v>44</v>
      </c>
      <c r="P245" t="str">
        <f>IF(BBDD_Usiarios_Netflix[[#This Row],[País]]="","Desconocido",BBDD_Usiarios_Netflix[[#This Row],[País]])</f>
        <v>Desconocido</v>
      </c>
      <c r="Q245">
        <v>28</v>
      </c>
      <c r="R245" t="s">
        <v>25</v>
      </c>
      <c r="S245" t="s">
        <v>26</v>
      </c>
      <c r="T245" t="s">
        <v>27</v>
      </c>
      <c r="U245">
        <f>IF(IFERROR(VLOOKUP(BBDD_Usiarios_Netflix[[#This Row],[Identificador Usuario]],A246:$A$5870,1,FALSE),0)&lt;&gt;0,1,0)</f>
        <v>0</v>
      </c>
      <c r="V245" s="6" t="str">
        <f>IF(BBDD_Usiarios_Netflix[[#This Row],[Duración Plan]]="12 Meses",LEFT(BBDD_Usiarios_Netflix[[#This Row],[Duración Plan]],2),LEFT(BBDD_Usiarios_Netflix[[#This Row],[Duración Plan]],1))</f>
        <v>1</v>
      </c>
      <c r="W2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6" spans="1:23" x14ac:dyDescent="0.25">
      <c r="A246">
        <v>245</v>
      </c>
      <c r="B246" t="s">
        <v>23</v>
      </c>
      <c r="C246">
        <v>11</v>
      </c>
      <c r="D246" s="3">
        <v>20</v>
      </c>
      <c r="E246" s="3">
        <v>4</v>
      </c>
      <c r="F246">
        <v>23</v>
      </c>
      <c r="G246" s="1">
        <f>DATEVALUE(_xlfn.CONCAT(BBDD_Usiarios_Netflix[[#This Row],[Día Suscripción]],"/",BBDD_Usiarios_Netflix[[#This Row],[Mes Suscripción]],"/",BBDD_Usiarios_Netflix[[#This Row],[Año Suscripción]]))</f>
        <v>45036</v>
      </c>
      <c r="H246" s="1">
        <v>26</v>
      </c>
      <c r="I246" s="1">
        <v>6</v>
      </c>
      <c r="J246" s="1">
        <v>24</v>
      </c>
      <c r="K246" s="1" t="str">
        <f>TEXT(BBDD_Usiarios_Netflix[[#This Row],[Fecha Suscripción]],"dddd")</f>
        <v>jueves</v>
      </c>
      <c r="L246" s="1">
        <f>DATEVALUE(_xlfn.CONCAT(BBDD_Usiarios_Netflix[[#This Row],[Día Último Pago]],"/",BBDD_Usiarios_Netflix[[#This Row],[Mes Último Pago]],"/",BBDD_Usiarios_Netflix[[#This Row],[Año Último Pago]]))</f>
        <v>45469</v>
      </c>
      <c r="M246" s="4">
        <f>DATEDIF(BBDD_Usiarios_Netflix[[#This Row],[Fecha Suscripción]],BBDD_Usiarios_Netflix[[#This Row],[Fecha Último Pago]],"M")+1</f>
        <v>15</v>
      </c>
      <c r="N246" s="4">
        <f>BBDD_Usiarios_Netflix[[#This Row],[Ingresos Mensuales]]*BBDD_Usiarios_Netflix[[#This Row],[Meses contratados]]</f>
        <v>165</v>
      </c>
      <c r="O246" t="s">
        <v>40</v>
      </c>
      <c r="P246" t="str">
        <f>IF(BBDD_Usiarios_Netflix[[#This Row],[País]]="","Desconocido",BBDD_Usiarios_Netflix[[#This Row],[País]])</f>
        <v>Italia</v>
      </c>
      <c r="Q246">
        <v>47</v>
      </c>
      <c r="R246" t="s">
        <v>25</v>
      </c>
      <c r="S246" t="s">
        <v>34</v>
      </c>
      <c r="T246" t="s">
        <v>38</v>
      </c>
      <c r="U246">
        <f>IF(IFERROR(VLOOKUP(BBDD_Usiarios_Netflix[[#This Row],[Identificador Usuario]],A247:$A$5870,1,FALSE),0)&lt;&gt;0,1,0)</f>
        <v>0</v>
      </c>
      <c r="V246" s="6" t="str">
        <f>IF(BBDD_Usiarios_Netflix[[#This Row],[Duración Plan]]="12 Meses",LEFT(BBDD_Usiarios_Netflix[[#This Row],[Duración Plan]],2),LEFT(BBDD_Usiarios_Netflix[[#This Row],[Duración Plan]],1))</f>
        <v>3</v>
      </c>
      <c r="W2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7" spans="1:23" x14ac:dyDescent="0.25">
      <c r="A247">
        <v>246</v>
      </c>
      <c r="B247" t="s">
        <v>28</v>
      </c>
      <c r="C247">
        <v>15</v>
      </c>
      <c r="D247" s="3">
        <v>3</v>
      </c>
      <c r="E247" s="3">
        <v>5</v>
      </c>
      <c r="F247">
        <v>23</v>
      </c>
      <c r="G247" s="1">
        <f>DATEVALUE(_xlfn.CONCAT(BBDD_Usiarios_Netflix[[#This Row],[Día Suscripción]],"/",BBDD_Usiarios_Netflix[[#This Row],[Mes Suscripción]],"/",BBDD_Usiarios_Netflix[[#This Row],[Año Suscripción]]))</f>
        <v>45049</v>
      </c>
      <c r="H247" s="1">
        <v>25</v>
      </c>
      <c r="I247" s="1">
        <v>6</v>
      </c>
      <c r="J247" s="1">
        <v>24</v>
      </c>
      <c r="K247" s="1" t="str">
        <f>TEXT(BBDD_Usiarios_Netflix[[#This Row],[Fecha Suscripción]],"dddd")</f>
        <v>miércoles</v>
      </c>
      <c r="L247" s="1">
        <f>DATEVALUE(_xlfn.CONCAT(BBDD_Usiarios_Netflix[[#This Row],[Día Último Pago]],"/",BBDD_Usiarios_Netflix[[#This Row],[Mes Último Pago]],"/",BBDD_Usiarios_Netflix[[#This Row],[Año Último Pago]]))</f>
        <v>45468</v>
      </c>
      <c r="M247" s="4">
        <f>DATEDIF(BBDD_Usiarios_Netflix[[#This Row],[Fecha Suscripción]],BBDD_Usiarios_Netflix[[#This Row],[Fecha Último Pago]],"M")+1</f>
        <v>14</v>
      </c>
      <c r="N247" s="4">
        <f>BBDD_Usiarios_Netflix[[#This Row],[Ingresos Mensuales]]*BBDD_Usiarios_Netflix[[#This Row],[Meses contratados]]</f>
        <v>210</v>
      </c>
      <c r="O247" t="s">
        <v>42</v>
      </c>
      <c r="P247" t="str">
        <f>IF(BBDD_Usiarios_Netflix[[#This Row],[País]]="","Desconocido",BBDD_Usiarios_Netflix[[#This Row],[País]])</f>
        <v>Reino Unido</v>
      </c>
      <c r="Q247">
        <v>38</v>
      </c>
      <c r="R247" t="s">
        <v>30</v>
      </c>
      <c r="S247" t="s">
        <v>26</v>
      </c>
      <c r="T247" t="s">
        <v>27</v>
      </c>
      <c r="U247">
        <f>IF(IFERROR(VLOOKUP(BBDD_Usiarios_Netflix[[#This Row],[Identificador Usuario]],A248:$A$5870,1,FALSE),0)&lt;&gt;0,1,0)</f>
        <v>0</v>
      </c>
      <c r="V247" s="6" t="str">
        <f>IF(BBDD_Usiarios_Netflix[[#This Row],[Duración Plan]]="12 Meses",LEFT(BBDD_Usiarios_Netflix[[#This Row],[Duración Plan]],2),LEFT(BBDD_Usiarios_Netflix[[#This Row],[Duración Plan]],1))</f>
        <v>1</v>
      </c>
      <c r="W2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" spans="1:23" x14ac:dyDescent="0.25">
      <c r="A248">
        <v>247</v>
      </c>
      <c r="B248" t="s">
        <v>23</v>
      </c>
      <c r="C248">
        <v>10</v>
      </c>
      <c r="D248" s="3">
        <v>7</v>
      </c>
      <c r="E248" s="3">
        <v>7</v>
      </c>
      <c r="F248">
        <v>23</v>
      </c>
      <c r="G248" s="1">
        <f>DATEVALUE(_xlfn.CONCAT(BBDD_Usiarios_Netflix[[#This Row],[Día Suscripción]],"/",BBDD_Usiarios_Netflix[[#This Row],[Mes Suscripción]],"/",BBDD_Usiarios_Netflix[[#This Row],[Año Suscripción]]))</f>
        <v>45114</v>
      </c>
      <c r="H248" s="1">
        <v>27</v>
      </c>
      <c r="I248" s="1">
        <v>6</v>
      </c>
      <c r="J248" s="1">
        <v>24</v>
      </c>
      <c r="K248" s="1" t="str">
        <f>TEXT(BBDD_Usiarios_Netflix[[#This Row],[Fecha Suscripción]],"dddd")</f>
        <v>viernes</v>
      </c>
      <c r="L248" s="1">
        <f>DATEVALUE(_xlfn.CONCAT(BBDD_Usiarios_Netflix[[#This Row],[Día Último Pago]],"/",BBDD_Usiarios_Netflix[[#This Row],[Mes Último Pago]],"/",BBDD_Usiarios_Netflix[[#This Row],[Año Último Pago]]))</f>
        <v>45470</v>
      </c>
      <c r="M248" s="4">
        <f>DATEDIF(BBDD_Usiarios_Netflix[[#This Row],[Fecha Suscripción]],BBDD_Usiarios_Netflix[[#This Row],[Fecha Último Pago]],"M")+1</f>
        <v>12</v>
      </c>
      <c r="N248" s="4">
        <f>BBDD_Usiarios_Netflix[[#This Row],[Ingresos Mensuales]]*BBDD_Usiarios_Netflix[[#This Row],[Meses contratados]]</f>
        <v>120</v>
      </c>
      <c r="O248" t="s">
        <v>33</v>
      </c>
      <c r="P248" t="str">
        <f>IF(BBDD_Usiarios_Netflix[[#This Row],[País]]="","Desconocido",BBDD_Usiarios_Netflix[[#This Row],[País]])</f>
        <v>Francia</v>
      </c>
      <c r="Q248">
        <v>27</v>
      </c>
      <c r="R248" t="s">
        <v>25</v>
      </c>
      <c r="S248" t="s">
        <v>34</v>
      </c>
      <c r="T248" t="s">
        <v>35</v>
      </c>
      <c r="U248">
        <f>IF(IFERROR(VLOOKUP(BBDD_Usiarios_Netflix[[#This Row],[Identificador Usuario]],A249:$A$5870,1,FALSE),0)&lt;&gt;0,1,0)</f>
        <v>0</v>
      </c>
      <c r="V248" s="6" t="str">
        <f>IF(BBDD_Usiarios_Netflix[[#This Row],[Duración Plan]]="12 Meses",LEFT(BBDD_Usiarios_Netflix[[#This Row],[Duración Plan]],2),LEFT(BBDD_Usiarios_Netflix[[#This Row],[Duración Plan]],1))</f>
        <v>6</v>
      </c>
      <c r="W2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9" spans="1:23" x14ac:dyDescent="0.25">
      <c r="A249">
        <v>248</v>
      </c>
      <c r="B249" t="s">
        <v>32</v>
      </c>
      <c r="C249">
        <v>12</v>
      </c>
      <c r="D249" s="3">
        <v>15</v>
      </c>
      <c r="E249" s="3">
        <v>9</v>
      </c>
      <c r="F249">
        <v>23</v>
      </c>
      <c r="G249" s="1">
        <f>DATEVALUE(_xlfn.CONCAT(BBDD_Usiarios_Netflix[[#This Row],[Día Suscripción]],"/",BBDD_Usiarios_Netflix[[#This Row],[Mes Suscripción]],"/",BBDD_Usiarios_Netflix[[#This Row],[Año Suscripción]]))</f>
        <v>45184</v>
      </c>
      <c r="H249" s="1">
        <v>26</v>
      </c>
      <c r="I249" s="1">
        <v>6</v>
      </c>
      <c r="J249" s="1">
        <v>24</v>
      </c>
      <c r="K249" s="1" t="str">
        <f>TEXT(BBDD_Usiarios_Netflix[[#This Row],[Fecha Suscripción]],"dddd")</f>
        <v>viernes</v>
      </c>
      <c r="L249" s="1">
        <f>DATEVALUE(_xlfn.CONCAT(BBDD_Usiarios_Netflix[[#This Row],[Día Último Pago]],"/",BBDD_Usiarios_Netflix[[#This Row],[Mes Último Pago]],"/",BBDD_Usiarios_Netflix[[#This Row],[Año Último Pago]]))</f>
        <v>45469</v>
      </c>
      <c r="M249" s="4">
        <f>DATEDIF(BBDD_Usiarios_Netflix[[#This Row],[Fecha Suscripción]],BBDD_Usiarios_Netflix[[#This Row],[Fecha Último Pago]],"M")+1</f>
        <v>10</v>
      </c>
      <c r="N249" s="4">
        <f>BBDD_Usiarios_Netflix[[#This Row],[Ingresos Mensuales]]*BBDD_Usiarios_Netflix[[#This Row],[Meses contratados]]</f>
        <v>120</v>
      </c>
      <c r="O249" t="s">
        <v>39</v>
      </c>
      <c r="P249" t="str">
        <f>IF(BBDD_Usiarios_Netflix[[#This Row],[País]]="","Desconocido",BBDD_Usiarios_Netflix[[#This Row],[País]])</f>
        <v>Canadá</v>
      </c>
      <c r="Q249">
        <v>34</v>
      </c>
      <c r="R249" t="s">
        <v>25</v>
      </c>
      <c r="S249" t="s">
        <v>26</v>
      </c>
      <c r="T249" t="s">
        <v>35</v>
      </c>
      <c r="U249">
        <f>IF(IFERROR(VLOOKUP(BBDD_Usiarios_Netflix[[#This Row],[Identificador Usuario]],A250:$A$5870,1,FALSE),0)&lt;&gt;0,1,0)</f>
        <v>0</v>
      </c>
      <c r="V249" s="6" t="str">
        <f>IF(BBDD_Usiarios_Netflix[[#This Row],[Duración Plan]]="12 Meses",LEFT(BBDD_Usiarios_Netflix[[#This Row],[Duración Plan]],2),LEFT(BBDD_Usiarios_Netflix[[#This Row],[Duración Plan]],1))</f>
        <v>6</v>
      </c>
      <c r="W2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50" spans="1:23" x14ac:dyDescent="0.25">
      <c r="A250">
        <v>249</v>
      </c>
      <c r="B250" t="s">
        <v>32</v>
      </c>
      <c r="C250">
        <v>12</v>
      </c>
      <c r="D250" s="3">
        <v>16</v>
      </c>
      <c r="E250" s="3">
        <v>9</v>
      </c>
      <c r="F250">
        <v>23</v>
      </c>
      <c r="G250" s="1">
        <f>DATEVALUE(_xlfn.CONCAT(BBDD_Usiarios_Netflix[[#This Row],[Día Suscripción]],"/",BBDD_Usiarios_Netflix[[#This Row],[Mes Suscripción]],"/",BBDD_Usiarios_Netflix[[#This Row],[Año Suscripción]]))</f>
        <v>45185</v>
      </c>
      <c r="H250" s="1">
        <v>27</v>
      </c>
      <c r="I250" s="1">
        <v>6</v>
      </c>
      <c r="J250" s="1">
        <v>24</v>
      </c>
      <c r="K250" s="1" t="str">
        <f>TEXT(BBDD_Usiarios_Netflix[[#This Row],[Fecha Suscripción]],"dddd")</f>
        <v>sábado</v>
      </c>
      <c r="L250" s="1">
        <f>DATEVALUE(_xlfn.CONCAT(BBDD_Usiarios_Netflix[[#This Row],[Día Último Pago]],"/",BBDD_Usiarios_Netflix[[#This Row],[Mes Último Pago]],"/",BBDD_Usiarios_Netflix[[#This Row],[Año Último Pago]]))</f>
        <v>45470</v>
      </c>
      <c r="M250" s="4">
        <f>DATEDIF(BBDD_Usiarios_Netflix[[#This Row],[Fecha Suscripción]],BBDD_Usiarios_Netflix[[#This Row],[Fecha Último Pago]],"M")+1</f>
        <v>10</v>
      </c>
      <c r="N250" s="4">
        <f>BBDD_Usiarios_Netflix[[#This Row],[Ingresos Mensuales]]*BBDD_Usiarios_Netflix[[#This Row],[Meses contratados]]</f>
        <v>120</v>
      </c>
      <c r="O250" t="s">
        <v>37</v>
      </c>
      <c r="P250" t="str">
        <f>IF(BBDD_Usiarios_Netflix[[#This Row],[País]]="","Desconocido",BBDD_Usiarios_Netflix[[#This Row],[País]])</f>
        <v>Brasil</v>
      </c>
      <c r="Q250">
        <v>42</v>
      </c>
      <c r="R250" t="s">
        <v>30</v>
      </c>
      <c r="S250" t="s">
        <v>26</v>
      </c>
      <c r="T250" t="s">
        <v>27</v>
      </c>
      <c r="U250">
        <f>IF(IFERROR(VLOOKUP(BBDD_Usiarios_Netflix[[#This Row],[Identificador Usuario]],A251:$A$5870,1,FALSE),0)&lt;&gt;0,1,0)</f>
        <v>0</v>
      </c>
      <c r="V250" s="6" t="str">
        <f>IF(BBDD_Usiarios_Netflix[[#This Row],[Duración Plan]]="12 Meses",LEFT(BBDD_Usiarios_Netflix[[#This Row],[Duración Plan]],2),LEFT(BBDD_Usiarios_Netflix[[#This Row],[Duración Plan]],1))</f>
        <v>1</v>
      </c>
      <c r="W2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51" spans="1:23" x14ac:dyDescent="0.25">
      <c r="A251">
        <v>250</v>
      </c>
      <c r="B251" t="s">
        <v>23</v>
      </c>
      <c r="C251">
        <v>10</v>
      </c>
      <c r="D251" s="3">
        <v>9</v>
      </c>
      <c r="E251" s="3">
        <v>8</v>
      </c>
      <c r="F251">
        <v>23</v>
      </c>
      <c r="G251" s="1">
        <f>DATEVALUE(_xlfn.CONCAT(BBDD_Usiarios_Netflix[[#This Row],[Día Suscripción]],"/",BBDD_Usiarios_Netflix[[#This Row],[Mes Suscripción]],"/",BBDD_Usiarios_Netflix[[#This Row],[Año Suscripción]]))</f>
        <v>45147</v>
      </c>
      <c r="H251" s="1">
        <v>26</v>
      </c>
      <c r="I251" s="1">
        <v>6</v>
      </c>
      <c r="J251" s="1">
        <v>24</v>
      </c>
      <c r="K251" s="1" t="str">
        <f>TEXT(BBDD_Usiarios_Netflix[[#This Row],[Fecha Suscripción]],"dddd")</f>
        <v>miércoles</v>
      </c>
      <c r="L251" s="1">
        <f>DATEVALUE(_xlfn.CONCAT(BBDD_Usiarios_Netflix[[#This Row],[Día Último Pago]],"/",BBDD_Usiarios_Netflix[[#This Row],[Mes Último Pago]],"/",BBDD_Usiarios_Netflix[[#This Row],[Año Último Pago]]))</f>
        <v>45469</v>
      </c>
      <c r="M251" s="4">
        <f>DATEDIF(BBDD_Usiarios_Netflix[[#This Row],[Fecha Suscripción]],BBDD_Usiarios_Netflix[[#This Row],[Fecha Último Pago]],"M")+1</f>
        <v>11</v>
      </c>
      <c r="N251" s="4">
        <f>BBDD_Usiarios_Netflix[[#This Row],[Ingresos Mensuales]]*BBDD_Usiarios_Netflix[[#This Row],[Meses contratados]]</f>
        <v>110</v>
      </c>
      <c r="O251" t="s">
        <v>44</v>
      </c>
      <c r="P251" t="str">
        <f>IF(BBDD_Usiarios_Netflix[[#This Row],[País]]="","Desconocido",BBDD_Usiarios_Netflix[[#This Row],[País]])</f>
        <v>Desconocido</v>
      </c>
      <c r="Q251">
        <v>28</v>
      </c>
      <c r="R251" t="s">
        <v>25</v>
      </c>
      <c r="S251" t="s">
        <v>36</v>
      </c>
      <c r="T251" t="s">
        <v>27</v>
      </c>
      <c r="U251">
        <f>IF(IFERROR(VLOOKUP(BBDD_Usiarios_Netflix[[#This Row],[Identificador Usuario]],A252:$A$5870,1,FALSE),0)&lt;&gt;0,1,0)</f>
        <v>0</v>
      </c>
      <c r="V251" s="6" t="str">
        <f>IF(BBDD_Usiarios_Netflix[[#This Row],[Duración Plan]]="12 Meses",LEFT(BBDD_Usiarios_Netflix[[#This Row],[Duración Plan]],2),LEFT(BBDD_Usiarios_Netflix[[#This Row],[Duración Plan]],1))</f>
        <v>1</v>
      </c>
      <c r="W2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52" spans="1:23" x14ac:dyDescent="0.25">
      <c r="A252">
        <v>251</v>
      </c>
      <c r="B252" t="s">
        <v>28</v>
      </c>
      <c r="C252">
        <v>14</v>
      </c>
      <c r="D252" s="3">
        <v>25</v>
      </c>
      <c r="E252" s="3">
        <v>6</v>
      </c>
      <c r="F252">
        <v>23</v>
      </c>
      <c r="G252" s="1">
        <f>DATEVALUE(_xlfn.CONCAT(BBDD_Usiarios_Netflix[[#This Row],[Día Suscripción]],"/",BBDD_Usiarios_Netflix[[#This Row],[Mes Suscripción]],"/",BBDD_Usiarios_Netflix[[#This Row],[Año Suscripción]]))</f>
        <v>45102</v>
      </c>
      <c r="H252" s="1">
        <v>27</v>
      </c>
      <c r="I252" s="1">
        <v>6</v>
      </c>
      <c r="J252" s="1">
        <v>24</v>
      </c>
      <c r="K252" s="1" t="str">
        <f>TEXT(BBDD_Usiarios_Netflix[[#This Row],[Fecha Suscripción]],"dddd")</f>
        <v>domingo</v>
      </c>
      <c r="L252" s="1">
        <f>DATEVALUE(_xlfn.CONCAT(BBDD_Usiarios_Netflix[[#This Row],[Día Último Pago]],"/",BBDD_Usiarios_Netflix[[#This Row],[Mes Último Pago]],"/",BBDD_Usiarios_Netflix[[#This Row],[Año Último Pago]]))</f>
        <v>45470</v>
      </c>
      <c r="M252" s="4">
        <f>DATEDIF(BBDD_Usiarios_Netflix[[#This Row],[Fecha Suscripción]],BBDD_Usiarios_Netflix[[#This Row],[Fecha Último Pago]],"M")+1</f>
        <v>13</v>
      </c>
      <c r="N252" s="4">
        <f>BBDD_Usiarios_Netflix[[#This Row],[Ingresos Mensuales]]*BBDD_Usiarios_Netflix[[#This Row],[Meses contratados]]</f>
        <v>182</v>
      </c>
      <c r="O252" t="s">
        <v>24</v>
      </c>
      <c r="P252" t="str">
        <f>IF(BBDD_Usiarios_Netflix[[#This Row],[País]]="","Desconocido",BBDD_Usiarios_Netflix[[#This Row],[País]])</f>
        <v>Australia</v>
      </c>
      <c r="Q252">
        <v>30</v>
      </c>
      <c r="R252" t="s">
        <v>25</v>
      </c>
      <c r="S252" t="s">
        <v>36</v>
      </c>
      <c r="T252" t="s">
        <v>27</v>
      </c>
      <c r="U252">
        <f>IF(IFERROR(VLOOKUP(BBDD_Usiarios_Netflix[[#This Row],[Identificador Usuario]],A253:$A$5870,1,FALSE),0)&lt;&gt;0,1,0)</f>
        <v>0</v>
      </c>
      <c r="V252" s="6" t="str">
        <f>IF(BBDD_Usiarios_Netflix[[#This Row],[Duración Plan]]="12 Meses",LEFT(BBDD_Usiarios_Netflix[[#This Row],[Duración Plan]],2),LEFT(BBDD_Usiarios_Netflix[[#This Row],[Duración Plan]],1))</f>
        <v>1</v>
      </c>
      <c r="W2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53" spans="1:23" x14ac:dyDescent="0.25">
      <c r="A253">
        <v>252</v>
      </c>
      <c r="B253" t="s">
        <v>23</v>
      </c>
      <c r="C253">
        <v>11</v>
      </c>
      <c r="D253" s="3">
        <v>30</v>
      </c>
      <c r="E253" s="3">
        <v>5</v>
      </c>
      <c r="F253">
        <v>23</v>
      </c>
      <c r="G253" s="1">
        <f>DATEVALUE(_xlfn.CONCAT(BBDD_Usiarios_Netflix[[#This Row],[Día Suscripción]],"/",BBDD_Usiarios_Netflix[[#This Row],[Mes Suscripción]],"/",BBDD_Usiarios_Netflix[[#This Row],[Año Suscripción]]))</f>
        <v>45076</v>
      </c>
      <c r="H253" s="1">
        <v>26</v>
      </c>
      <c r="I253" s="1">
        <v>6</v>
      </c>
      <c r="J253" s="1">
        <v>24</v>
      </c>
      <c r="K253" s="1" t="str">
        <f>TEXT(BBDD_Usiarios_Netflix[[#This Row],[Fecha Suscripción]],"dddd")</f>
        <v>martes</v>
      </c>
      <c r="L253" s="1">
        <f>DATEVALUE(_xlfn.CONCAT(BBDD_Usiarios_Netflix[[#This Row],[Día Último Pago]],"/",BBDD_Usiarios_Netflix[[#This Row],[Mes Último Pago]],"/",BBDD_Usiarios_Netflix[[#This Row],[Año Último Pago]]))</f>
        <v>45469</v>
      </c>
      <c r="M253" s="4">
        <f>DATEDIF(BBDD_Usiarios_Netflix[[#This Row],[Fecha Suscripción]],BBDD_Usiarios_Netflix[[#This Row],[Fecha Último Pago]],"M")+1</f>
        <v>13</v>
      </c>
      <c r="N253" s="4">
        <f>BBDD_Usiarios_Netflix[[#This Row],[Ingresos Mensuales]]*BBDD_Usiarios_Netflix[[#This Row],[Meses contratados]]</f>
        <v>143</v>
      </c>
      <c r="O253" t="s">
        <v>39</v>
      </c>
      <c r="P253" t="str">
        <f>IF(BBDD_Usiarios_Netflix[[#This Row],[País]]="","Desconocido",BBDD_Usiarios_Netflix[[#This Row],[País]])</f>
        <v>Canadá</v>
      </c>
      <c r="Q253">
        <v>38</v>
      </c>
      <c r="R253" t="s">
        <v>30</v>
      </c>
      <c r="S253" t="s">
        <v>26</v>
      </c>
      <c r="T253" t="s">
        <v>27</v>
      </c>
      <c r="U253">
        <f>IF(IFERROR(VLOOKUP(BBDD_Usiarios_Netflix[[#This Row],[Identificador Usuario]],A254:$A$5870,1,FALSE),0)&lt;&gt;0,1,0)</f>
        <v>0</v>
      </c>
      <c r="V253" s="6" t="str">
        <f>IF(BBDD_Usiarios_Netflix[[#This Row],[Duración Plan]]="12 Meses",LEFT(BBDD_Usiarios_Netflix[[#This Row],[Duración Plan]],2),LEFT(BBDD_Usiarios_Netflix[[#This Row],[Duración Plan]],1))</f>
        <v>1</v>
      </c>
      <c r="W2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54" spans="1:23" x14ac:dyDescent="0.25">
      <c r="A254">
        <v>253</v>
      </c>
      <c r="B254" t="s">
        <v>32</v>
      </c>
      <c r="C254">
        <v>13</v>
      </c>
      <c r="D254" s="3">
        <v>21</v>
      </c>
      <c r="E254" s="3">
        <v>5</v>
      </c>
      <c r="F254">
        <v>23</v>
      </c>
      <c r="G254" s="1">
        <f>DATEVALUE(_xlfn.CONCAT(BBDD_Usiarios_Netflix[[#This Row],[Día Suscripción]],"/",BBDD_Usiarios_Netflix[[#This Row],[Mes Suscripción]],"/",BBDD_Usiarios_Netflix[[#This Row],[Año Suscripción]]))</f>
        <v>45067</v>
      </c>
      <c r="H254" s="1">
        <v>25</v>
      </c>
      <c r="I254" s="1">
        <v>6</v>
      </c>
      <c r="J254" s="1">
        <v>24</v>
      </c>
      <c r="K254" s="1" t="str">
        <f>TEXT(BBDD_Usiarios_Netflix[[#This Row],[Fecha Suscripción]],"dddd")</f>
        <v>domingo</v>
      </c>
      <c r="L254" s="1">
        <f>DATEVALUE(_xlfn.CONCAT(BBDD_Usiarios_Netflix[[#This Row],[Día Último Pago]],"/",BBDD_Usiarios_Netflix[[#This Row],[Mes Último Pago]],"/",BBDD_Usiarios_Netflix[[#This Row],[Año Último Pago]]))</f>
        <v>45468</v>
      </c>
      <c r="M254" s="4">
        <f>DATEDIF(BBDD_Usiarios_Netflix[[#This Row],[Fecha Suscripción]],BBDD_Usiarios_Netflix[[#This Row],[Fecha Último Pago]],"M")+1</f>
        <v>14</v>
      </c>
      <c r="N254" s="4">
        <f>BBDD_Usiarios_Netflix[[#This Row],[Ingresos Mensuales]]*BBDD_Usiarios_Netflix[[#This Row],[Meses contratados]]</f>
        <v>182</v>
      </c>
      <c r="O254" t="s">
        <v>33</v>
      </c>
      <c r="P254" t="str">
        <f>IF(BBDD_Usiarios_Netflix[[#This Row],[País]]="","Desconocido",BBDD_Usiarios_Netflix[[#This Row],[País]])</f>
        <v>Francia</v>
      </c>
      <c r="Q254">
        <v>45</v>
      </c>
      <c r="R254" t="s">
        <v>30</v>
      </c>
      <c r="S254" t="s">
        <v>31</v>
      </c>
      <c r="T254" t="s">
        <v>35</v>
      </c>
      <c r="U254">
        <f>IF(IFERROR(VLOOKUP(BBDD_Usiarios_Netflix[[#This Row],[Identificador Usuario]],A255:$A$5870,1,FALSE),0)&lt;&gt;0,1,0)</f>
        <v>0</v>
      </c>
      <c r="V254" s="6" t="str">
        <f>IF(BBDD_Usiarios_Netflix[[#This Row],[Duración Plan]]="12 Meses",LEFT(BBDD_Usiarios_Netflix[[#This Row],[Duración Plan]],2),LEFT(BBDD_Usiarios_Netflix[[#This Row],[Duración Plan]],1))</f>
        <v>6</v>
      </c>
      <c r="W2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55" spans="1:23" x14ac:dyDescent="0.25">
      <c r="A255">
        <v>254</v>
      </c>
      <c r="B255" t="s">
        <v>28</v>
      </c>
      <c r="C255">
        <v>15</v>
      </c>
      <c r="D255" s="3">
        <v>20</v>
      </c>
      <c r="E255" s="3">
        <v>5</v>
      </c>
      <c r="F255">
        <v>23</v>
      </c>
      <c r="G255" s="1">
        <f>DATEVALUE(_xlfn.CONCAT(BBDD_Usiarios_Netflix[[#This Row],[Día Suscripción]],"/",BBDD_Usiarios_Netflix[[#This Row],[Mes Suscripción]],"/",BBDD_Usiarios_Netflix[[#This Row],[Año Suscripción]]))</f>
        <v>45066</v>
      </c>
      <c r="H255" s="1">
        <v>27</v>
      </c>
      <c r="I255" s="1">
        <v>6</v>
      </c>
      <c r="J255" s="1">
        <v>24</v>
      </c>
      <c r="K255" s="1" t="str">
        <f>TEXT(BBDD_Usiarios_Netflix[[#This Row],[Fecha Suscripción]],"dddd")</f>
        <v>sábado</v>
      </c>
      <c r="L255" s="1">
        <f>DATEVALUE(_xlfn.CONCAT(BBDD_Usiarios_Netflix[[#This Row],[Día Último Pago]],"/",BBDD_Usiarios_Netflix[[#This Row],[Mes Último Pago]],"/",BBDD_Usiarios_Netflix[[#This Row],[Año Último Pago]]))</f>
        <v>45470</v>
      </c>
      <c r="M255" s="4">
        <f>DATEDIF(BBDD_Usiarios_Netflix[[#This Row],[Fecha Suscripción]],BBDD_Usiarios_Netflix[[#This Row],[Fecha Último Pago]],"M")+1</f>
        <v>14</v>
      </c>
      <c r="N255" s="4">
        <f>BBDD_Usiarios_Netflix[[#This Row],[Ingresos Mensuales]]*BBDD_Usiarios_Netflix[[#This Row],[Meses contratados]]</f>
        <v>210</v>
      </c>
      <c r="O255" t="s">
        <v>40</v>
      </c>
      <c r="P255" t="str">
        <f>IF(BBDD_Usiarios_Netflix[[#This Row],[País]]="","Desconocido",BBDD_Usiarios_Netflix[[#This Row],[País]])</f>
        <v>Italia</v>
      </c>
      <c r="Q255">
        <v>48</v>
      </c>
      <c r="R255" t="s">
        <v>30</v>
      </c>
      <c r="S255" t="s">
        <v>34</v>
      </c>
      <c r="T255" t="s">
        <v>35</v>
      </c>
      <c r="U255">
        <f>IF(IFERROR(VLOOKUP(BBDD_Usiarios_Netflix[[#This Row],[Identificador Usuario]],A256:$A$5870,1,FALSE),0)&lt;&gt;0,1,0)</f>
        <v>0</v>
      </c>
      <c r="V255" s="6" t="str">
        <f>IF(BBDD_Usiarios_Netflix[[#This Row],[Duración Plan]]="12 Meses",LEFT(BBDD_Usiarios_Netflix[[#This Row],[Duración Plan]],2),LEFT(BBDD_Usiarios_Netflix[[#This Row],[Duración Plan]],1))</f>
        <v>6</v>
      </c>
      <c r="W2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56" spans="1:23" x14ac:dyDescent="0.25">
      <c r="A256">
        <v>255</v>
      </c>
      <c r="B256" t="s">
        <v>23</v>
      </c>
      <c r="C256">
        <v>11</v>
      </c>
      <c r="D256" s="3">
        <v>20</v>
      </c>
      <c r="E256" s="3">
        <v>5</v>
      </c>
      <c r="F256">
        <v>23</v>
      </c>
      <c r="G256" s="1">
        <f>DATEVALUE(_xlfn.CONCAT(BBDD_Usiarios_Netflix[[#This Row],[Día Suscripción]],"/",BBDD_Usiarios_Netflix[[#This Row],[Mes Suscripción]],"/",BBDD_Usiarios_Netflix[[#This Row],[Año Suscripción]]))</f>
        <v>45066</v>
      </c>
      <c r="H256" s="1">
        <v>26</v>
      </c>
      <c r="I256" s="1">
        <v>6</v>
      </c>
      <c r="J256" s="1">
        <v>24</v>
      </c>
      <c r="K256" s="1" t="str">
        <f>TEXT(BBDD_Usiarios_Netflix[[#This Row],[Fecha Suscripción]],"dddd")</f>
        <v>sábado</v>
      </c>
      <c r="L256" s="1">
        <f>DATEVALUE(_xlfn.CONCAT(BBDD_Usiarios_Netflix[[#This Row],[Día Último Pago]],"/",BBDD_Usiarios_Netflix[[#This Row],[Mes Último Pago]],"/",BBDD_Usiarios_Netflix[[#This Row],[Año Último Pago]]))</f>
        <v>45469</v>
      </c>
      <c r="M256" s="4">
        <f>DATEDIF(BBDD_Usiarios_Netflix[[#This Row],[Fecha Suscripción]],BBDD_Usiarios_Netflix[[#This Row],[Fecha Último Pago]],"M")+1</f>
        <v>14</v>
      </c>
      <c r="N256" s="4">
        <f>BBDD_Usiarios_Netflix[[#This Row],[Ingresos Mensuales]]*BBDD_Usiarios_Netflix[[#This Row],[Meses contratados]]</f>
        <v>154</v>
      </c>
      <c r="O256" t="s">
        <v>29</v>
      </c>
      <c r="P256" t="str">
        <f>IF(BBDD_Usiarios_Netflix[[#This Row],[País]]="","Desconocido",BBDD_Usiarios_Netflix[[#This Row],[País]])</f>
        <v>EEUU</v>
      </c>
      <c r="Q256">
        <v>46</v>
      </c>
      <c r="R256" t="s">
        <v>30</v>
      </c>
      <c r="S256" t="s">
        <v>34</v>
      </c>
      <c r="T256" t="s">
        <v>38</v>
      </c>
      <c r="U256">
        <f>IF(IFERROR(VLOOKUP(BBDD_Usiarios_Netflix[[#This Row],[Identificador Usuario]],A257:$A$5870,1,FALSE),0)&lt;&gt;0,1,0)</f>
        <v>0</v>
      </c>
      <c r="V256" s="6" t="str">
        <f>IF(BBDD_Usiarios_Netflix[[#This Row],[Duración Plan]]="12 Meses",LEFT(BBDD_Usiarios_Netflix[[#This Row],[Duración Plan]],2),LEFT(BBDD_Usiarios_Netflix[[#This Row],[Duración Plan]],1))</f>
        <v>3</v>
      </c>
      <c r="W2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57" spans="1:23" x14ac:dyDescent="0.25">
      <c r="A257">
        <v>256</v>
      </c>
      <c r="B257" t="s">
        <v>28</v>
      </c>
      <c r="C257">
        <v>15</v>
      </c>
      <c r="D257" s="3">
        <v>30</v>
      </c>
      <c r="E257" s="3">
        <v>5</v>
      </c>
      <c r="F257">
        <v>23</v>
      </c>
      <c r="G257" s="1">
        <f>DATEVALUE(_xlfn.CONCAT(BBDD_Usiarios_Netflix[[#This Row],[Día Suscripción]],"/",BBDD_Usiarios_Netflix[[#This Row],[Mes Suscripción]],"/",BBDD_Usiarios_Netflix[[#This Row],[Año Suscripción]]))</f>
        <v>45076</v>
      </c>
      <c r="H257" s="1">
        <v>26</v>
      </c>
      <c r="I257" s="1">
        <v>6</v>
      </c>
      <c r="J257" s="1">
        <v>24</v>
      </c>
      <c r="K257" s="1" t="str">
        <f>TEXT(BBDD_Usiarios_Netflix[[#This Row],[Fecha Suscripción]],"dddd")</f>
        <v>martes</v>
      </c>
      <c r="L257" s="1">
        <f>DATEVALUE(_xlfn.CONCAT(BBDD_Usiarios_Netflix[[#This Row],[Día Último Pago]],"/",BBDD_Usiarios_Netflix[[#This Row],[Mes Último Pago]],"/",BBDD_Usiarios_Netflix[[#This Row],[Año Último Pago]]))</f>
        <v>45469</v>
      </c>
      <c r="M257" s="4">
        <f>DATEDIF(BBDD_Usiarios_Netflix[[#This Row],[Fecha Suscripción]],BBDD_Usiarios_Netflix[[#This Row],[Fecha Último Pago]],"M")+1</f>
        <v>13</v>
      </c>
      <c r="N257" s="4">
        <f>BBDD_Usiarios_Netflix[[#This Row],[Ingresos Mensuales]]*BBDD_Usiarios_Netflix[[#This Row],[Meses contratados]]</f>
        <v>195</v>
      </c>
      <c r="O257" t="s">
        <v>42</v>
      </c>
      <c r="P257" t="str">
        <f>IF(BBDD_Usiarios_Netflix[[#This Row],[País]]="","Desconocido",BBDD_Usiarios_Netflix[[#This Row],[País]])</f>
        <v>Reino Unido</v>
      </c>
      <c r="Q257">
        <v>34</v>
      </c>
      <c r="R257" t="s">
        <v>25</v>
      </c>
      <c r="S257" t="s">
        <v>31</v>
      </c>
      <c r="T257" t="s">
        <v>41</v>
      </c>
      <c r="U257">
        <f>IF(IFERROR(VLOOKUP(BBDD_Usiarios_Netflix[[#This Row],[Identificador Usuario]],A258:$A$5870,1,FALSE),0)&lt;&gt;0,1,0)</f>
        <v>0</v>
      </c>
      <c r="V257" s="6" t="str">
        <f>IF(BBDD_Usiarios_Netflix[[#This Row],[Duración Plan]]="12 Meses",LEFT(BBDD_Usiarios_Netflix[[#This Row],[Duración Plan]],2),LEFT(BBDD_Usiarios_Netflix[[#This Row],[Duración Plan]],1))</f>
        <v>12</v>
      </c>
      <c r="W2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58" spans="1:23" x14ac:dyDescent="0.25">
      <c r="A258">
        <v>257</v>
      </c>
      <c r="B258" t="s">
        <v>23</v>
      </c>
      <c r="C258">
        <v>10</v>
      </c>
      <c r="D258" s="3">
        <v>17</v>
      </c>
      <c r="E258" s="3">
        <v>6</v>
      </c>
      <c r="F258">
        <v>23</v>
      </c>
      <c r="G258" s="1">
        <f>DATEVALUE(_xlfn.CONCAT(BBDD_Usiarios_Netflix[[#This Row],[Día Suscripción]],"/",BBDD_Usiarios_Netflix[[#This Row],[Mes Suscripción]],"/",BBDD_Usiarios_Netflix[[#This Row],[Año Suscripción]]))</f>
        <v>45094</v>
      </c>
      <c r="H258" s="1">
        <v>25</v>
      </c>
      <c r="I258" s="1">
        <v>6</v>
      </c>
      <c r="J258" s="1">
        <v>24</v>
      </c>
      <c r="K258" s="1" t="str">
        <f>TEXT(BBDD_Usiarios_Netflix[[#This Row],[Fecha Suscripción]],"dddd")</f>
        <v>sábado</v>
      </c>
      <c r="L258" s="1">
        <f>DATEVALUE(_xlfn.CONCAT(BBDD_Usiarios_Netflix[[#This Row],[Día Último Pago]],"/",BBDD_Usiarios_Netflix[[#This Row],[Mes Último Pago]],"/",BBDD_Usiarios_Netflix[[#This Row],[Año Último Pago]]))</f>
        <v>45468</v>
      </c>
      <c r="M258" s="4">
        <f>DATEDIF(BBDD_Usiarios_Netflix[[#This Row],[Fecha Suscripción]],BBDD_Usiarios_Netflix[[#This Row],[Fecha Último Pago]],"M")+1</f>
        <v>13</v>
      </c>
      <c r="N258" s="4">
        <f>BBDD_Usiarios_Netflix[[#This Row],[Ingresos Mensuales]]*BBDD_Usiarios_Netflix[[#This Row],[Meses contratados]]</f>
        <v>130</v>
      </c>
      <c r="O258" t="s">
        <v>43</v>
      </c>
      <c r="P258" t="str">
        <f>IF(BBDD_Usiarios_Netflix[[#This Row],[País]]="","Desconocido",BBDD_Usiarios_Netflix[[#This Row],[País]])</f>
        <v>Alemania</v>
      </c>
      <c r="Q258">
        <v>46</v>
      </c>
      <c r="R258" t="s">
        <v>25</v>
      </c>
      <c r="S258" t="s">
        <v>36</v>
      </c>
      <c r="T258" t="s">
        <v>27</v>
      </c>
      <c r="U258">
        <f>IF(IFERROR(VLOOKUP(BBDD_Usiarios_Netflix[[#This Row],[Identificador Usuario]],A259:$A$5870,1,FALSE),0)&lt;&gt;0,1,0)</f>
        <v>0</v>
      </c>
      <c r="V258" s="6" t="str">
        <f>IF(BBDD_Usiarios_Netflix[[#This Row],[Duración Plan]]="12 Meses",LEFT(BBDD_Usiarios_Netflix[[#This Row],[Duración Plan]],2),LEFT(BBDD_Usiarios_Netflix[[#This Row],[Duración Plan]],1))</f>
        <v>1</v>
      </c>
      <c r="W2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59" spans="1:23" x14ac:dyDescent="0.25">
      <c r="A259">
        <v>258</v>
      </c>
      <c r="B259" t="s">
        <v>32</v>
      </c>
      <c r="C259">
        <v>12</v>
      </c>
      <c r="D259" s="3">
        <v>16</v>
      </c>
      <c r="E259" s="3">
        <v>7</v>
      </c>
      <c r="F259">
        <v>23</v>
      </c>
      <c r="G259" s="1">
        <f>DATEVALUE(_xlfn.CONCAT(BBDD_Usiarios_Netflix[[#This Row],[Día Suscripción]],"/",BBDD_Usiarios_Netflix[[#This Row],[Mes Suscripción]],"/",BBDD_Usiarios_Netflix[[#This Row],[Año Suscripción]]))</f>
        <v>45123</v>
      </c>
      <c r="H259" s="1">
        <v>28</v>
      </c>
      <c r="I259" s="1">
        <v>6</v>
      </c>
      <c r="J259" s="1">
        <v>24</v>
      </c>
      <c r="K259" s="1" t="str">
        <f>TEXT(BBDD_Usiarios_Netflix[[#This Row],[Fecha Suscripción]],"dddd")</f>
        <v>domingo</v>
      </c>
      <c r="L259" s="1">
        <f>DATEVALUE(_xlfn.CONCAT(BBDD_Usiarios_Netflix[[#This Row],[Día Último Pago]],"/",BBDD_Usiarios_Netflix[[#This Row],[Mes Último Pago]],"/",BBDD_Usiarios_Netflix[[#This Row],[Año Último Pago]]))</f>
        <v>45471</v>
      </c>
      <c r="M259" s="4">
        <f>DATEDIF(BBDD_Usiarios_Netflix[[#This Row],[Fecha Suscripción]],BBDD_Usiarios_Netflix[[#This Row],[Fecha Último Pago]],"M")+1</f>
        <v>12</v>
      </c>
      <c r="N259" s="4">
        <f>BBDD_Usiarios_Netflix[[#This Row],[Ingresos Mensuales]]*BBDD_Usiarios_Netflix[[#This Row],[Meses contratados]]</f>
        <v>144</v>
      </c>
      <c r="O259" t="s">
        <v>43</v>
      </c>
      <c r="P259" t="str">
        <f>IF(BBDD_Usiarios_Netflix[[#This Row],[País]]="","Desconocido",BBDD_Usiarios_Netflix[[#This Row],[País]])</f>
        <v>Alemania</v>
      </c>
      <c r="Q259">
        <v>41</v>
      </c>
      <c r="R259" t="s">
        <v>30</v>
      </c>
      <c r="S259" t="s">
        <v>26</v>
      </c>
      <c r="T259" t="s">
        <v>41</v>
      </c>
      <c r="U259">
        <f>IF(IFERROR(VLOOKUP(BBDD_Usiarios_Netflix[[#This Row],[Identificador Usuario]],A260:$A$5870,1,FALSE),0)&lt;&gt;0,1,0)</f>
        <v>0</v>
      </c>
      <c r="V259" s="6" t="str">
        <f>IF(BBDD_Usiarios_Netflix[[#This Row],[Duración Plan]]="12 Meses",LEFT(BBDD_Usiarios_Netflix[[#This Row],[Duración Plan]],2),LEFT(BBDD_Usiarios_Netflix[[#This Row],[Duración Plan]],1))</f>
        <v>12</v>
      </c>
      <c r="W2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60" spans="1:23" x14ac:dyDescent="0.25">
      <c r="A260">
        <v>259</v>
      </c>
      <c r="B260" t="s">
        <v>32</v>
      </c>
      <c r="C260">
        <v>12</v>
      </c>
      <c r="D260" s="3">
        <v>5</v>
      </c>
      <c r="E260" s="3">
        <v>8</v>
      </c>
      <c r="F260">
        <v>23</v>
      </c>
      <c r="G260" s="1">
        <f>DATEVALUE(_xlfn.CONCAT(BBDD_Usiarios_Netflix[[#This Row],[Día Suscripción]],"/",BBDD_Usiarios_Netflix[[#This Row],[Mes Suscripción]],"/",BBDD_Usiarios_Netflix[[#This Row],[Año Suscripción]]))</f>
        <v>45143</v>
      </c>
      <c r="H260" s="1">
        <v>26</v>
      </c>
      <c r="I260" s="1">
        <v>6</v>
      </c>
      <c r="J260" s="1">
        <v>24</v>
      </c>
      <c r="K260" s="1" t="str">
        <f>TEXT(BBDD_Usiarios_Netflix[[#This Row],[Fecha Suscripción]],"dddd")</f>
        <v>sábado</v>
      </c>
      <c r="L260" s="1">
        <f>DATEVALUE(_xlfn.CONCAT(BBDD_Usiarios_Netflix[[#This Row],[Día Último Pago]],"/",BBDD_Usiarios_Netflix[[#This Row],[Mes Último Pago]],"/",BBDD_Usiarios_Netflix[[#This Row],[Año Último Pago]]))</f>
        <v>45469</v>
      </c>
      <c r="M260" s="4">
        <f>DATEDIF(BBDD_Usiarios_Netflix[[#This Row],[Fecha Suscripción]],BBDD_Usiarios_Netflix[[#This Row],[Fecha Último Pago]],"M")+1</f>
        <v>11</v>
      </c>
      <c r="N260" s="4">
        <f>BBDD_Usiarios_Netflix[[#This Row],[Ingresos Mensuales]]*BBDD_Usiarios_Netflix[[#This Row],[Meses contratados]]</f>
        <v>132</v>
      </c>
      <c r="O260" t="s">
        <v>40</v>
      </c>
      <c r="P260" t="str">
        <f>IF(BBDD_Usiarios_Netflix[[#This Row],[País]]="","Desconocido",BBDD_Usiarios_Netflix[[#This Row],[País]])</f>
        <v>Italia</v>
      </c>
      <c r="Q260">
        <v>28</v>
      </c>
      <c r="R260" t="s">
        <v>25</v>
      </c>
      <c r="S260" t="s">
        <v>26</v>
      </c>
      <c r="T260" t="s">
        <v>41</v>
      </c>
      <c r="U260">
        <f>IF(IFERROR(VLOOKUP(BBDD_Usiarios_Netflix[[#This Row],[Identificador Usuario]],A261:$A$5870,1,FALSE),0)&lt;&gt;0,1,0)</f>
        <v>0</v>
      </c>
      <c r="V260" s="6" t="str">
        <f>IF(BBDD_Usiarios_Netflix[[#This Row],[Duración Plan]]="12 Meses",LEFT(BBDD_Usiarios_Netflix[[#This Row],[Duración Plan]],2),LEFT(BBDD_Usiarios_Netflix[[#This Row],[Duración Plan]],1))</f>
        <v>12</v>
      </c>
      <c r="W2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61" spans="1:23" x14ac:dyDescent="0.25">
      <c r="A261">
        <v>260</v>
      </c>
      <c r="B261" t="s">
        <v>23</v>
      </c>
      <c r="C261">
        <v>10</v>
      </c>
      <c r="D261" s="3">
        <v>17</v>
      </c>
      <c r="E261" s="3">
        <v>7</v>
      </c>
      <c r="F261">
        <v>23</v>
      </c>
      <c r="G261" s="1">
        <f>DATEVALUE(_xlfn.CONCAT(BBDD_Usiarios_Netflix[[#This Row],[Día Suscripción]],"/",BBDD_Usiarios_Netflix[[#This Row],[Mes Suscripción]],"/",BBDD_Usiarios_Netflix[[#This Row],[Año Suscripción]]))</f>
        <v>45124</v>
      </c>
      <c r="H261" s="1">
        <v>26</v>
      </c>
      <c r="I261" s="1">
        <v>6</v>
      </c>
      <c r="J261" s="1">
        <v>24</v>
      </c>
      <c r="K261" s="1" t="str">
        <f>TEXT(BBDD_Usiarios_Netflix[[#This Row],[Fecha Suscripción]],"dddd")</f>
        <v>lunes</v>
      </c>
      <c r="L261" s="1">
        <f>DATEVALUE(_xlfn.CONCAT(BBDD_Usiarios_Netflix[[#This Row],[Día Último Pago]],"/",BBDD_Usiarios_Netflix[[#This Row],[Mes Último Pago]],"/",BBDD_Usiarios_Netflix[[#This Row],[Año Último Pago]]))</f>
        <v>45469</v>
      </c>
      <c r="M261" s="4">
        <f>DATEDIF(BBDD_Usiarios_Netflix[[#This Row],[Fecha Suscripción]],BBDD_Usiarios_Netflix[[#This Row],[Fecha Último Pago]],"M")+1</f>
        <v>12</v>
      </c>
      <c r="N261" s="4">
        <f>BBDD_Usiarios_Netflix[[#This Row],[Ingresos Mensuales]]*BBDD_Usiarios_Netflix[[#This Row],[Meses contratados]]</f>
        <v>120</v>
      </c>
      <c r="O261" t="s">
        <v>24</v>
      </c>
      <c r="P261" t="str">
        <f>IF(BBDD_Usiarios_Netflix[[#This Row],[País]]="","Desconocido",BBDD_Usiarios_Netflix[[#This Row],[País]])</f>
        <v>Australia</v>
      </c>
      <c r="Q261">
        <v>27</v>
      </c>
      <c r="R261" t="s">
        <v>30</v>
      </c>
      <c r="S261" t="s">
        <v>26</v>
      </c>
      <c r="T261" t="s">
        <v>35</v>
      </c>
      <c r="U261">
        <f>IF(IFERROR(VLOOKUP(BBDD_Usiarios_Netflix[[#This Row],[Identificador Usuario]],A262:$A$5870,1,FALSE),0)&lt;&gt;0,1,0)</f>
        <v>0</v>
      </c>
      <c r="V261" s="6" t="str">
        <f>IF(BBDD_Usiarios_Netflix[[#This Row],[Duración Plan]]="12 Meses",LEFT(BBDD_Usiarios_Netflix[[#This Row],[Duración Plan]],2),LEFT(BBDD_Usiarios_Netflix[[#This Row],[Duración Plan]],1))</f>
        <v>6</v>
      </c>
      <c r="W2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62" spans="1:23" x14ac:dyDescent="0.25">
      <c r="A262">
        <v>261</v>
      </c>
      <c r="B262" t="s">
        <v>28</v>
      </c>
      <c r="C262">
        <v>14</v>
      </c>
      <c r="D262" s="3">
        <v>4</v>
      </c>
      <c r="E262" s="3">
        <v>7</v>
      </c>
      <c r="F262">
        <v>23</v>
      </c>
      <c r="G262" s="1">
        <f>DATEVALUE(_xlfn.CONCAT(BBDD_Usiarios_Netflix[[#This Row],[Día Suscripción]],"/",BBDD_Usiarios_Netflix[[#This Row],[Mes Suscripción]],"/",BBDD_Usiarios_Netflix[[#This Row],[Año Suscripción]]))</f>
        <v>45111</v>
      </c>
      <c r="H262" s="1">
        <v>25</v>
      </c>
      <c r="I262" s="1">
        <v>6</v>
      </c>
      <c r="J262" s="1">
        <v>24</v>
      </c>
      <c r="K262" s="1" t="str">
        <f>TEXT(BBDD_Usiarios_Netflix[[#This Row],[Fecha Suscripción]],"dddd")</f>
        <v>martes</v>
      </c>
      <c r="L262" s="1">
        <f>DATEVALUE(_xlfn.CONCAT(BBDD_Usiarios_Netflix[[#This Row],[Día Último Pago]],"/",BBDD_Usiarios_Netflix[[#This Row],[Mes Último Pago]],"/",BBDD_Usiarios_Netflix[[#This Row],[Año Último Pago]]))</f>
        <v>45468</v>
      </c>
      <c r="M262" s="4">
        <f>DATEDIF(BBDD_Usiarios_Netflix[[#This Row],[Fecha Suscripción]],BBDD_Usiarios_Netflix[[#This Row],[Fecha Último Pago]],"M")+1</f>
        <v>12</v>
      </c>
      <c r="N262" s="4">
        <f>BBDD_Usiarios_Netflix[[#This Row],[Ingresos Mensuales]]*BBDD_Usiarios_Netflix[[#This Row],[Meses contratados]]</f>
        <v>168</v>
      </c>
      <c r="O262" t="s">
        <v>43</v>
      </c>
      <c r="P262" t="str">
        <f>IF(BBDD_Usiarios_Netflix[[#This Row],[País]]="","Desconocido",BBDD_Usiarios_Netflix[[#This Row],[País]])</f>
        <v>Alemania</v>
      </c>
      <c r="Q262">
        <v>27</v>
      </c>
      <c r="R262" t="s">
        <v>30</v>
      </c>
      <c r="S262" t="s">
        <v>34</v>
      </c>
      <c r="T262" t="s">
        <v>38</v>
      </c>
      <c r="U262">
        <f>IF(IFERROR(VLOOKUP(BBDD_Usiarios_Netflix[[#This Row],[Identificador Usuario]],A263:$A$5870,1,FALSE),0)&lt;&gt;0,1,0)</f>
        <v>0</v>
      </c>
      <c r="V262" s="6" t="str">
        <f>IF(BBDD_Usiarios_Netflix[[#This Row],[Duración Plan]]="12 Meses",LEFT(BBDD_Usiarios_Netflix[[#This Row],[Duración Plan]],2),LEFT(BBDD_Usiarios_Netflix[[#This Row],[Duración Plan]],1))</f>
        <v>3</v>
      </c>
      <c r="W2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63" spans="1:23" x14ac:dyDescent="0.25">
      <c r="A263">
        <v>262</v>
      </c>
      <c r="B263" t="s">
        <v>23</v>
      </c>
      <c r="C263">
        <v>10</v>
      </c>
      <c r="D263" s="3">
        <v>13</v>
      </c>
      <c r="E263" s="3">
        <v>7</v>
      </c>
      <c r="F263">
        <v>23</v>
      </c>
      <c r="G263" s="1">
        <f>DATEVALUE(_xlfn.CONCAT(BBDD_Usiarios_Netflix[[#This Row],[Día Suscripción]],"/",BBDD_Usiarios_Netflix[[#This Row],[Mes Suscripción]],"/",BBDD_Usiarios_Netflix[[#This Row],[Año Suscripción]]))</f>
        <v>45120</v>
      </c>
      <c r="H263" s="1">
        <v>26</v>
      </c>
      <c r="I263" s="1">
        <v>6</v>
      </c>
      <c r="J263" s="1">
        <v>24</v>
      </c>
      <c r="K263" s="1" t="str">
        <f>TEXT(BBDD_Usiarios_Netflix[[#This Row],[Fecha Suscripción]],"dddd")</f>
        <v>jueves</v>
      </c>
      <c r="L263" s="1">
        <f>DATEVALUE(_xlfn.CONCAT(BBDD_Usiarios_Netflix[[#This Row],[Día Último Pago]],"/",BBDD_Usiarios_Netflix[[#This Row],[Mes Último Pago]],"/",BBDD_Usiarios_Netflix[[#This Row],[Año Último Pago]]))</f>
        <v>45469</v>
      </c>
      <c r="M263" s="4">
        <f>DATEDIF(BBDD_Usiarios_Netflix[[#This Row],[Fecha Suscripción]],BBDD_Usiarios_Netflix[[#This Row],[Fecha Último Pago]],"M")+1</f>
        <v>12</v>
      </c>
      <c r="N263" s="4">
        <f>BBDD_Usiarios_Netflix[[#This Row],[Ingresos Mensuales]]*BBDD_Usiarios_Netflix[[#This Row],[Meses contratados]]</f>
        <v>120</v>
      </c>
      <c r="O263" t="s">
        <v>33</v>
      </c>
      <c r="P263" t="str">
        <f>IF(BBDD_Usiarios_Netflix[[#This Row],[País]]="","Desconocido",BBDD_Usiarios_Netflix[[#This Row],[País]])</f>
        <v>Francia</v>
      </c>
      <c r="Q263">
        <v>28</v>
      </c>
      <c r="R263" t="s">
        <v>30</v>
      </c>
      <c r="S263" t="s">
        <v>31</v>
      </c>
      <c r="T263" t="s">
        <v>38</v>
      </c>
      <c r="U263">
        <f>IF(IFERROR(VLOOKUP(BBDD_Usiarios_Netflix[[#This Row],[Identificador Usuario]],A264:$A$5870,1,FALSE),0)&lt;&gt;0,1,0)</f>
        <v>0</v>
      </c>
      <c r="V263" s="6" t="str">
        <f>IF(BBDD_Usiarios_Netflix[[#This Row],[Duración Plan]]="12 Meses",LEFT(BBDD_Usiarios_Netflix[[#This Row],[Duración Plan]],2),LEFT(BBDD_Usiarios_Netflix[[#This Row],[Duración Plan]],1))</f>
        <v>3</v>
      </c>
      <c r="W2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64" spans="1:23" x14ac:dyDescent="0.25">
      <c r="A264">
        <v>263</v>
      </c>
      <c r="B264" t="s">
        <v>32</v>
      </c>
      <c r="C264">
        <v>12</v>
      </c>
      <c r="D264" s="3">
        <v>25</v>
      </c>
      <c r="E264" s="3">
        <v>7</v>
      </c>
      <c r="F264">
        <v>23</v>
      </c>
      <c r="G264" s="1">
        <f>DATEVALUE(_xlfn.CONCAT(BBDD_Usiarios_Netflix[[#This Row],[Día Suscripción]],"/",BBDD_Usiarios_Netflix[[#This Row],[Mes Suscripción]],"/",BBDD_Usiarios_Netflix[[#This Row],[Año Suscripción]]))</f>
        <v>45132</v>
      </c>
      <c r="H264" s="1">
        <v>24</v>
      </c>
      <c r="I264" s="1">
        <v>6</v>
      </c>
      <c r="J264" s="1">
        <v>24</v>
      </c>
      <c r="K264" s="1" t="str">
        <f>TEXT(BBDD_Usiarios_Netflix[[#This Row],[Fecha Suscripción]],"dddd")</f>
        <v>martes</v>
      </c>
      <c r="L264" s="1">
        <f>DATEVALUE(_xlfn.CONCAT(BBDD_Usiarios_Netflix[[#This Row],[Día Último Pago]],"/",BBDD_Usiarios_Netflix[[#This Row],[Mes Último Pago]],"/",BBDD_Usiarios_Netflix[[#This Row],[Año Último Pago]]))</f>
        <v>45467</v>
      </c>
      <c r="M264" s="4">
        <f>DATEDIF(BBDD_Usiarios_Netflix[[#This Row],[Fecha Suscripción]],BBDD_Usiarios_Netflix[[#This Row],[Fecha Último Pago]],"M")+1</f>
        <v>11</v>
      </c>
      <c r="N264" s="4">
        <f>BBDD_Usiarios_Netflix[[#This Row],[Ingresos Mensuales]]*BBDD_Usiarios_Netflix[[#This Row],[Meses contratados]]</f>
        <v>132</v>
      </c>
      <c r="O264" t="s">
        <v>29</v>
      </c>
      <c r="P264" t="str">
        <f>IF(BBDD_Usiarios_Netflix[[#This Row],[País]]="","Desconocido",BBDD_Usiarios_Netflix[[#This Row],[País]])</f>
        <v>EEUU</v>
      </c>
      <c r="Q264">
        <v>46</v>
      </c>
      <c r="R264" t="s">
        <v>25</v>
      </c>
      <c r="S264" t="s">
        <v>26</v>
      </c>
      <c r="T264" t="s">
        <v>38</v>
      </c>
      <c r="U264">
        <f>IF(IFERROR(VLOOKUP(BBDD_Usiarios_Netflix[[#This Row],[Identificador Usuario]],A265:$A$5870,1,FALSE),0)&lt;&gt;0,1,0)</f>
        <v>0</v>
      </c>
      <c r="V264" s="6" t="str">
        <f>IF(BBDD_Usiarios_Netflix[[#This Row],[Duración Plan]]="12 Meses",LEFT(BBDD_Usiarios_Netflix[[#This Row],[Duración Plan]],2),LEFT(BBDD_Usiarios_Netflix[[#This Row],[Duración Plan]],1))</f>
        <v>3</v>
      </c>
      <c r="W2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65" spans="1:23" x14ac:dyDescent="0.25">
      <c r="A265">
        <v>264</v>
      </c>
      <c r="B265" t="s">
        <v>28</v>
      </c>
      <c r="C265">
        <v>14</v>
      </c>
      <c r="D265" s="3">
        <v>9</v>
      </c>
      <c r="E265" s="3">
        <v>8</v>
      </c>
      <c r="F265">
        <v>23</v>
      </c>
      <c r="G265" s="1">
        <f>DATEVALUE(_xlfn.CONCAT(BBDD_Usiarios_Netflix[[#This Row],[Día Suscripción]],"/",BBDD_Usiarios_Netflix[[#This Row],[Mes Suscripción]],"/",BBDD_Usiarios_Netflix[[#This Row],[Año Suscripción]]))</f>
        <v>45147</v>
      </c>
      <c r="H265" s="1">
        <v>27</v>
      </c>
      <c r="I265" s="1">
        <v>6</v>
      </c>
      <c r="J265" s="1">
        <v>24</v>
      </c>
      <c r="K265" s="1" t="str">
        <f>TEXT(BBDD_Usiarios_Netflix[[#This Row],[Fecha Suscripción]],"dddd")</f>
        <v>miércoles</v>
      </c>
      <c r="L265" s="1">
        <f>DATEVALUE(_xlfn.CONCAT(BBDD_Usiarios_Netflix[[#This Row],[Día Último Pago]],"/",BBDD_Usiarios_Netflix[[#This Row],[Mes Último Pago]],"/",BBDD_Usiarios_Netflix[[#This Row],[Año Último Pago]]))</f>
        <v>45470</v>
      </c>
      <c r="M265" s="4">
        <f>DATEDIF(BBDD_Usiarios_Netflix[[#This Row],[Fecha Suscripción]],BBDD_Usiarios_Netflix[[#This Row],[Fecha Último Pago]],"M")+1</f>
        <v>11</v>
      </c>
      <c r="N265" s="4">
        <f>BBDD_Usiarios_Netflix[[#This Row],[Ingresos Mensuales]]*BBDD_Usiarios_Netflix[[#This Row],[Meses contratados]]</f>
        <v>154</v>
      </c>
      <c r="O265" t="s">
        <v>40</v>
      </c>
      <c r="P265" t="str">
        <f>IF(BBDD_Usiarios_Netflix[[#This Row],[País]]="","Desconocido",BBDD_Usiarios_Netflix[[#This Row],[País]])</f>
        <v>Italia</v>
      </c>
      <c r="Q265">
        <v>51</v>
      </c>
      <c r="R265" t="s">
        <v>25</v>
      </c>
      <c r="S265" t="s">
        <v>26</v>
      </c>
      <c r="T265" t="s">
        <v>41</v>
      </c>
      <c r="U265">
        <f>IF(IFERROR(VLOOKUP(BBDD_Usiarios_Netflix[[#This Row],[Identificador Usuario]],A266:$A$5870,1,FALSE),0)&lt;&gt;0,1,0)</f>
        <v>0</v>
      </c>
      <c r="V265" s="6" t="str">
        <f>IF(BBDD_Usiarios_Netflix[[#This Row],[Duración Plan]]="12 Meses",LEFT(BBDD_Usiarios_Netflix[[#This Row],[Duración Plan]],2),LEFT(BBDD_Usiarios_Netflix[[#This Row],[Duración Plan]],1))</f>
        <v>12</v>
      </c>
      <c r="W2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66" spans="1:23" x14ac:dyDescent="0.25">
      <c r="A266">
        <v>265</v>
      </c>
      <c r="B266" t="s">
        <v>23</v>
      </c>
      <c r="C266">
        <v>10</v>
      </c>
      <c r="D266" s="3">
        <v>5</v>
      </c>
      <c r="E266" s="3">
        <v>8</v>
      </c>
      <c r="F266">
        <v>23</v>
      </c>
      <c r="G266" s="1">
        <f>DATEVALUE(_xlfn.CONCAT(BBDD_Usiarios_Netflix[[#This Row],[Día Suscripción]],"/",BBDD_Usiarios_Netflix[[#This Row],[Mes Suscripción]],"/",BBDD_Usiarios_Netflix[[#This Row],[Año Suscripción]]))</f>
        <v>45143</v>
      </c>
      <c r="H266" s="1">
        <v>25</v>
      </c>
      <c r="I266" s="1">
        <v>6</v>
      </c>
      <c r="J266" s="1">
        <v>24</v>
      </c>
      <c r="K266" s="1" t="str">
        <f>TEXT(BBDD_Usiarios_Netflix[[#This Row],[Fecha Suscripción]],"dddd")</f>
        <v>sábado</v>
      </c>
      <c r="L266" s="1">
        <f>DATEVALUE(_xlfn.CONCAT(BBDD_Usiarios_Netflix[[#This Row],[Día Último Pago]],"/",BBDD_Usiarios_Netflix[[#This Row],[Mes Último Pago]],"/",BBDD_Usiarios_Netflix[[#This Row],[Año Último Pago]]))</f>
        <v>45468</v>
      </c>
      <c r="M266" s="4">
        <f>DATEDIF(BBDD_Usiarios_Netflix[[#This Row],[Fecha Suscripción]],BBDD_Usiarios_Netflix[[#This Row],[Fecha Último Pago]],"M")+1</f>
        <v>11</v>
      </c>
      <c r="N266" s="4">
        <f>BBDD_Usiarios_Netflix[[#This Row],[Ingresos Mensuales]]*BBDD_Usiarios_Netflix[[#This Row],[Meses contratados]]</f>
        <v>110</v>
      </c>
      <c r="O266" t="s">
        <v>29</v>
      </c>
      <c r="P266" t="str">
        <f>IF(BBDD_Usiarios_Netflix[[#This Row],[País]]="","Desconocido",BBDD_Usiarios_Netflix[[#This Row],[País]])</f>
        <v>EEUU</v>
      </c>
      <c r="Q266">
        <v>32</v>
      </c>
      <c r="R266" t="s">
        <v>30</v>
      </c>
      <c r="S266" t="s">
        <v>34</v>
      </c>
      <c r="T266" t="s">
        <v>27</v>
      </c>
      <c r="U266">
        <f>IF(IFERROR(VLOOKUP(BBDD_Usiarios_Netflix[[#This Row],[Identificador Usuario]],A267:$A$5870,1,FALSE),0)&lt;&gt;0,1,0)</f>
        <v>0</v>
      </c>
      <c r="V266" s="6" t="str">
        <f>IF(BBDD_Usiarios_Netflix[[#This Row],[Duración Plan]]="12 Meses",LEFT(BBDD_Usiarios_Netflix[[#This Row],[Duración Plan]],2),LEFT(BBDD_Usiarios_Netflix[[#This Row],[Duración Plan]],1))</f>
        <v>1</v>
      </c>
      <c r="W2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67" spans="1:23" x14ac:dyDescent="0.25">
      <c r="A267">
        <v>266</v>
      </c>
      <c r="B267" t="s">
        <v>28</v>
      </c>
      <c r="C267">
        <v>14</v>
      </c>
      <c r="D267" s="3">
        <v>17</v>
      </c>
      <c r="E267" s="3">
        <v>8</v>
      </c>
      <c r="F267">
        <v>23</v>
      </c>
      <c r="G267" s="1">
        <f>DATEVALUE(_xlfn.CONCAT(BBDD_Usiarios_Netflix[[#This Row],[Día Suscripción]],"/",BBDD_Usiarios_Netflix[[#This Row],[Mes Suscripción]],"/",BBDD_Usiarios_Netflix[[#This Row],[Año Suscripción]]))</f>
        <v>45155</v>
      </c>
      <c r="H267" s="1">
        <v>26</v>
      </c>
      <c r="I267" s="1">
        <v>6</v>
      </c>
      <c r="J267" s="1">
        <v>24</v>
      </c>
      <c r="K267" s="1" t="str">
        <f>TEXT(BBDD_Usiarios_Netflix[[#This Row],[Fecha Suscripción]],"dddd")</f>
        <v>jueves</v>
      </c>
      <c r="L267" s="1">
        <f>DATEVALUE(_xlfn.CONCAT(BBDD_Usiarios_Netflix[[#This Row],[Día Último Pago]],"/",BBDD_Usiarios_Netflix[[#This Row],[Mes Último Pago]],"/",BBDD_Usiarios_Netflix[[#This Row],[Año Último Pago]]))</f>
        <v>45469</v>
      </c>
      <c r="M267" s="4">
        <f>DATEDIF(BBDD_Usiarios_Netflix[[#This Row],[Fecha Suscripción]],BBDD_Usiarios_Netflix[[#This Row],[Fecha Último Pago]],"M")+1</f>
        <v>11</v>
      </c>
      <c r="N267" s="4">
        <f>BBDD_Usiarios_Netflix[[#This Row],[Ingresos Mensuales]]*BBDD_Usiarios_Netflix[[#This Row],[Meses contratados]]</f>
        <v>154</v>
      </c>
      <c r="O267" t="s">
        <v>29</v>
      </c>
      <c r="P267" t="str">
        <f>IF(BBDD_Usiarios_Netflix[[#This Row],[País]]="","Desconocido",BBDD_Usiarios_Netflix[[#This Row],[País]])</f>
        <v>EEUU</v>
      </c>
      <c r="Q267">
        <v>44</v>
      </c>
      <c r="R267" t="s">
        <v>25</v>
      </c>
      <c r="S267" t="s">
        <v>31</v>
      </c>
      <c r="T267" t="s">
        <v>27</v>
      </c>
      <c r="U267">
        <f>IF(IFERROR(VLOOKUP(BBDD_Usiarios_Netflix[[#This Row],[Identificador Usuario]],A268:$A$5870,1,FALSE),0)&lt;&gt;0,1,0)</f>
        <v>0</v>
      </c>
      <c r="V267" s="6" t="str">
        <f>IF(BBDD_Usiarios_Netflix[[#This Row],[Duración Plan]]="12 Meses",LEFT(BBDD_Usiarios_Netflix[[#This Row],[Duración Plan]],2),LEFT(BBDD_Usiarios_Netflix[[#This Row],[Duración Plan]],1))</f>
        <v>1</v>
      </c>
      <c r="W2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68" spans="1:23" x14ac:dyDescent="0.25">
      <c r="A268">
        <v>267</v>
      </c>
      <c r="B268" t="s">
        <v>23</v>
      </c>
      <c r="C268">
        <v>10</v>
      </c>
      <c r="D268" s="3">
        <v>8</v>
      </c>
      <c r="E268" s="3">
        <v>9</v>
      </c>
      <c r="F268">
        <v>23</v>
      </c>
      <c r="G268" s="1">
        <f>DATEVALUE(_xlfn.CONCAT(BBDD_Usiarios_Netflix[[#This Row],[Día Suscripción]],"/",BBDD_Usiarios_Netflix[[#This Row],[Mes Suscripción]],"/",BBDD_Usiarios_Netflix[[#This Row],[Año Suscripción]]))</f>
        <v>45177</v>
      </c>
      <c r="H268" s="1">
        <v>27</v>
      </c>
      <c r="I268" s="1">
        <v>6</v>
      </c>
      <c r="J268" s="1">
        <v>24</v>
      </c>
      <c r="K268" s="1" t="str">
        <f>TEXT(BBDD_Usiarios_Netflix[[#This Row],[Fecha Suscripción]],"dddd")</f>
        <v>viernes</v>
      </c>
      <c r="L268" s="1">
        <f>DATEVALUE(_xlfn.CONCAT(BBDD_Usiarios_Netflix[[#This Row],[Día Último Pago]],"/",BBDD_Usiarios_Netflix[[#This Row],[Mes Último Pago]],"/",BBDD_Usiarios_Netflix[[#This Row],[Año Último Pago]]))</f>
        <v>45470</v>
      </c>
      <c r="M268" s="4">
        <f>DATEDIF(BBDD_Usiarios_Netflix[[#This Row],[Fecha Suscripción]],BBDD_Usiarios_Netflix[[#This Row],[Fecha Último Pago]],"M")+1</f>
        <v>10</v>
      </c>
      <c r="N268" s="4">
        <f>BBDD_Usiarios_Netflix[[#This Row],[Ingresos Mensuales]]*BBDD_Usiarios_Netflix[[#This Row],[Meses contratados]]</f>
        <v>100</v>
      </c>
      <c r="O268" t="s">
        <v>43</v>
      </c>
      <c r="P268" t="str">
        <f>IF(BBDD_Usiarios_Netflix[[#This Row],[País]]="","Desconocido",BBDD_Usiarios_Netflix[[#This Row],[País]])</f>
        <v>Alemania</v>
      </c>
      <c r="Q268">
        <v>44</v>
      </c>
      <c r="R268" t="s">
        <v>30</v>
      </c>
      <c r="S268" t="s">
        <v>36</v>
      </c>
      <c r="T268" t="s">
        <v>38</v>
      </c>
      <c r="U268">
        <f>IF(IFERROR(VLOOKUP(BBDD_Usiarios_Netflix[[#This Row],[Identificador Usuario]],A269:$A$5870,1,FALSE),0)&lt;&gt;0,1,0)</f>
        <v>0</v>
      </c>
      <c r="V268" s="6" t="str">
        <f>IF(BBDD_Usiarios_Netflix[[#This Row],[Duración Plan]]="12 Meses",LEFT(BBDD_Usiarios_Netflix[[#This Row],[Duración Plan]],2),LEFT(BBDD_Usiarios_Netflix[[#This Row],[Duración Plan]],1))</f>
        <v>3</v>
      </c>
      <c r="W2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69" spans="1:23" x14ac:dyDescent="0.25">
      <c r="A269">
        <v>268</v>
      </c>
      <c r="B269" t="s">
        <v>32</v>
      </c>
      <c r="C269">
        <v>12</v>
      </c>
      <c r="D269" s="3">
        <v>16</v>
      </c>
      <c r="E269" s="3">
        <v>10</v>
      </c>
      <c r="F269">
        <v>23</v>
      </c>
      <c r="G269" s="1">
        <f>DATEVALUE(_xlfn.CONCAT(BBDD_Usiarios_Netflix[[#This Row],[Día Suscripción]],"/",BBDD_Usiarios_Netflix[[#This Row],[Mes Suscripción]],"/",BBDD_Usiarios_Netflix[[#This Row],[Año Suscripción]]))</f>
        <v>45215</v>
      </c>
      <c r="H269" s="1">
        <v>28</v>
      </c>
      <c r="I269" s="1">
        <v>6</v>
      </c>
      <c r="J269" s="1">
        <v>24</v>
      </c>
      <c r="K269" s="1" t="str">
        <f>TEXT(BBDD_Usiarios_Netflix[[#This Row],[Fecha Suscripción]],"dddd")</f>
        <v>lunes</v>
      </c>
      <c r="L269" s="1">
        <f>DATEVALUE(_xlfn.CONCAT(BBDD_Usiarios_Netflix[[#This Row],[Día Último Pago]],"/",BBDD_Usiarios_Netflix[[#This Row],[Mes Último Pago]],"/",BBDD_Usiarios_Netflix[[#This Row],[Año Último Pago]]))</f>
        <v>45471</v>
      </c>
      <c r="M269" s="4">
        <f>DATEDIF(BBDD_Usiarios_Netflix[[#This Row],[Fecha Suscripción]],BBDD_Usiarios_Netflix[[#This Row],[Fecha Último Pago]],"M")+1</f>
        <v>9</v>
      </c>
      <c r="N269" s="4">
        <f>BBDD_Usiarios_Netflix[[#This Row],[Ingresos Mensuales]]*BBDD_Usiarios_Netflix[[#This Row],[Meses contratados]]</f>
        <v>108</v>
      </c>
      <c r="O269" t="s">
        <v>29</v>
      </c>
      <c r="P269" t="str">
        <f>IF(BBDD_Usiarios_Netflix[[#This Row],[País]]="","Desconocido",BBDD_Usiarios_Netflix[[#This Row],[País]])</f>
        <v>EEUU</v>
      </c>
      <c r="Q269">
        <v>34</v>
      </c>
      <c r="R269" t="s">
        <v>30</v>
      </c>
      <c r="S269" t="s">
        <v>34</v>
      </c>
      <c r="T269" t="s">
        <v>27</v>
      </c>
      <c r="U269">
        <f>IF(IFERROR(VLOOKUP(BBDD_Usiarios_Netflix[[#This Row],[Identificador Usuario]],A270:$A$5870,1,FALSE),0)&lt;&gt;0,1,0)</f>
        <v>0</v>
      </c>
      <c r="V269" s="6" t="str">
        <f>IF(BBDD_Usiarios_Netflix[[#This Row],[Duración Plan]]="12 Meses",LEFT(BBDD_Usiarios_Netflix[[#This Row],[Duración Plan]],2),LEFT(BBDD_Usiarios_Netflix[[#This Row],[Duración Plan]],1))</f>
        <v>1</v>
      </c>
      <c r="W2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70" spans="1:23" x14ac:dyDescent="0.25">
      <c r="A270">
        <v>269</v>
      </c>
      <c r="B270" t="s">
        <v>32</v>
      </c>
      <c r="C270">
        <v>12</v>
      </c>
      <c r="D270" s="3">
        <v>15</v>
      </c>
      <c r="E270" s="3">
        <v>10</v>
      </c>
      <c r="F270">
        <v>23</v>
      </c>
      <c r="G270" s="1">
        <f>DATEVALUE(_xlfn.CONCAT(BBDD_Usiarios_Netflix[[#This Row],[Día Suscripción]],"/",BBDD_Usiarios_Netflix[[#This Row],[Mes Suscripción]],"/",BBDD_Usiarios_Netflix[[#This Row],[Año Suscripción]]))</f>
        <v>45214</v>
      </c>
      <c r="H270" s="1">
        <v>25</v>
      </c>
      <c r="I270" s="1">
        <v>6</v>
      </c>
      <c r="J270" s="1">
        <v>24</v>
      </c>
      <c r="K270" s="1" t="str">
        <f>TEXT(BBDD_Usiarios_Netflix[[#This Row],[Fecha Suscripción]],"dddd")</f>
        <v>domingo</v>
      </c>
      <c r="L270" s="1">
        <f>DATEVALUE(_xlfn.CONCAT(BBDD_Usiarios_Netflix[[#This Row],[Día Último Pago]],"/",BBDD_Usiarios_Netflix[[#This Row],[Mes Último Pago]],"/",BBDD_Usiarios_Netflix[[#This Row],[Año Último Pago]]))</f>
        <v>45468</v>
      </c>
      <c r="M270" s="4">
        <f>DATEDIF(BBDD_Usiarios_Netflix[[#This Row],[Fecha Suscripción]],BBDD_Usiarios_Netflix[[#This Row],[Fecha Último Pago]],"M")+1</f>
        <v>9</v>
      </c>
      <c r="N270" s="4">
        <f>BBDD_Usiarios_Netflix[[#This Row],[Ingresos Mensuales]]*BBDD_Usiarios_Netflix[[#This Row],[Meses contratados]]</f>
        <v>108</v>
      </c>
      <c r="O270" t="s">
        <v>43</v>
      </c>
      <c r="P270" t="str">
        <f>IF(BBDD_Usiarios_Netflix[[#This Row],[País]]="","Desconocido",BBDD_Usiarios_Netflix[[#This Row],[País]])</f>
        <v>Alemania</v>
      </c>
      <c r="Q270">
        <v>29</v>
      </c>
      <c r="R270" t="s">
        <v>30</v>
      </c>
      <c r="S270" t="s">
        <v>36</v>
      </c>
      <c r="T270" t="s">
        <v>41</v>
      </c>
      <c r="U270">
        <f>IF(IFERROR(VLOOKUP(BBDD_Usiarios_Netflix[[#This Row],[Identificador Usuario]],A271:$A$5870,1,FALSE),0)&lt;&gt;0,1,0)</f>
        <v>0</v>
      </c>
      <c r="V270" s="6" t="str">
        <f>IF(BBDD_Usiarios_Netflix[[#This Row],[Duración Plan]]="12 Meses",LEFT(BBDD_Usiarios_Netflix[[#This Row],[Duración Plan]],2),LEFT(BBDD_Usiarios_Netflix[[#This Row],[Duración Plan]],1))</f>
        <v>12</v>
      </c>
      <c r="W2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71" spans="1:23" x14ac:dyDescent="0.25">
      <c r="A271">
        <v>270</v>
      </c>
      <c r="B271" t="s">
        <v>23</v>
      </c>
      <c r="C271">
        <v>10</v>
      </c>
      <c r="D271" s="3">
        <v>4</v>
      </c>
      <c r="E271" s="3">
        <v>9</v>
      </c>
      <c r="F271">
        <v>23</v>
      </c>
      <c r="G271" s="1">
        <f>DATEVALUE(_xlfn.CONCAT(BBDD_Usiarios_Netflix[[#This Row],[Día Suscripción]],"/",BBDD_Usiarios_Netflix[[#This Row],[Mes Suscripción]],"/",BBDD_Usiarios_Netflix[[#This Row],[Año Suscripción]]))</f>
        <v>45173</v>
      </c>
      <c r="H271" s="1">
        <v>25</v>
      </c>
      <c r="I271" s="1">
        <v>6</v>
      </c>
      <c r="J271" s="1">
        <v>24</v>
      </c>
      <c r="K271" s="1" t="str">
        <f>TEXT(BBDD_Usiarios_Netflix[[#This Row],[Fecha Suscripción]],"dddd")</f>
        <v>lunes</v>
      </c>
      <c r="L271" s="1">
        <f>DATEVALUE(_xlfn.CONCAT(BBDD_Usiarios_Netflix[[#This Row],[Día Último Pago]],"/",BBDD_Usiarios_Netflix[[#This Row],[Mes Último Pago]],"/",BBDD_Usiarios_Netflix[[#This Row],[Año Último Pago]]))</f>
        <v>45468</v>
      </c>
      <c r="M271" s="4">
        <f>DATEDIF(BBDD_Usiarios_Netflix[[#This Row],[Fecha Suscripción]],BBDD_Usiarios_Netflix[[#This Row],[Fecha Último Pago]],"M")+1</f>
        <v>10</v>
      </c>
      <c r="N271" s="4">
        <f>BBDD_Usiarios_Netflix[[#This Row],[Ingresos Mensuales]]*BBDD_Usiarios_Netflix[[#This Row],[Meses contratados]]</f>
        <v>100</v>
      </c>
      <c r="O271" t="s">
        <v>45</v>
      </c>
      <c r="P271" t="str">
        <f>IF(BBDD_Usiarios_Netflix[[#This Row],[País]]="","Desconocido",BBDD_Usiarios_Netflix[[#This Row],[País]])</f>
        <v>España</v>
      </c>
      <c r="Q271">
        <v>47</v>
      </c>
      <c r="R271" t="s">
        <v>25</v>
      </c>
      <c r="S271" t="s">
        <v>34</v>
      </c>
      <c r="T271" t="s">
        <v>38</v>
      </c>
      <c r="U271">
        <f>IF(IFERROR(VLOOKUP(BBDD_Usiarios_Netflix[[#This Row],[Identificador Usuario]],A272:$A$5870,1,FALSE),0)&lt;&gt;0,1,0)</f>
        <v>0</v>
      </c>
      <c r="V271" s="6" t="str">
        <f>IF(BBDD_Usiarios_Netflix[[#This Row],[Duración Plan]]="12 Meses",LEFT(BBDD_Usiarios_Netflix[[#This Row],[Duración Plan]],2),LEFT(BBDD_Usiarios_Netflix[[#This Row],[Duración Plan]],1))</f>
        <v>3</v>
      </c>
      <c r="W2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72" spans="1:23" x14ac:dyDescent="0.25">
      <c r="A272">
        <v>271</v>
      </c>
      <c r="B272" t="s">
        <v>28</v>
      </c>
      <c r="C272">
        <v>14</v>
      </c>
      <c r="D272" s="3">
        <v>20</v>
      </c>
      <c r="E272" s="3">
        <v>8</v>
      </c>
      <c r="F272">
        <v>23</v>
      </c>
      <c r="G272" s="1">
        <f>DATEVALUE(_xlfn.CONCAT(BBDD_Usiarios_Netflix[[#This Row],[Día Suscripción]],"/",BBDD_Usiarios_Netflix[[#This Row],[Mes Suscripción]],"/",BBDD_Usiarios_Netflix[[#This Row],[Año Suscripción]]))</f>
        <v>45158</v>
      </c>
      <c r="H272" s="1">
        <v>26</v>
      </c>
      <c r="I272" s="1">
        <v>6</v>
      </c>
      <c r="J272" s="1">
        <v>24</v>
      </c>
      <c r="K272" s="1" t="str">
        <f>TEXT(BBDD_Usiarios_Netflix[[#This Row],[Fecha Suscripción]],"dddd")</f>
        <v>domingo</v>
      </c>
      <c r="L272" s="1">
        <f>DATEVALUE(_xlfn.CONCAT(BBDD_Usiarios_Netflix[[#This Row],[Día Último Pago]],"/",BBDD_Usiarios_Netflix[[#This Row],[Mes Último Pago]],"/",BBDD_Usiarios_Netflix[[#This Row],[Año Último Pago]]))</f>
        <v>45469</v>
      </c>
      <c r="M272" s="4">
        <f>DATEDIF(BBDD_Usiarios_Netflix[[#This Row],[Fecha Suscripción]],BBDD_Usiarios_Netflix[[#This Row],[Fecha Último Pago]],"M")+1</f>
        <v>11</v>
      </c>
      <c r="N272" s="4">
        <f>BBDD_Usiarios_Netflix[[#This Row],[Ingresos Mensuales]]*BBDD_Usiarios_Netflix[[#This Row],[Meses contratados]]</f>
        <v>154</v>
      </c>
      <c r="O272" t="s">
        <v>39</v>
      </c>
      <c r="P272" t="str">
        <f>IF(BBDD_Usiarios_Netflix[[#This Row],[País]]="","Desconocido",BBDD_Usiarios_Netflix[[#This Row],[País]])</f>
        <v>Canadá</v>
      </c>
      <c r="Q272">
        <v>41</v>
      </c>
      <c r="R272" t="s">
        <v>25</v>
      </c>
      <c r="S272" t="s">
        <v>36</v>
      </c>
      <c r="T272" t="s">
        <v>27</v>
      </c>
      <c r="U272">
        <f>IF(IFERROR(VLOOKUP(BBDD_Usiarios_Netflix[[#This Row],[Identificador Usuario]],A273:$A$5870,1,FALSE),0)&lt;&gt;0,1,0)</f>
        <v>0</v>
      </c>
      <c r="V272" s="6" t="str">
        <f>IF(BBDD_Usiarios_Netflix[[#This Row],[Duración Plan]]="12 Meses",LEFT(BBDD_Usiarios_Netflix[[#This Row],[Duración Plan]],2),LEFT(BBDD_Usiarios_Netflix[[#This Row],[Duración Plan]],1))</f>
        <v>1</v>
      </c>
      <c r="W2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73" spans="1:23" x14ac:dyDescent="0.25">
      <c r="A273">
        <v>272</v>
      </c>
      <c r="B273" t="s">
        <v>23</v>
      </c>
      <c r="C273">
        <v>10</v>
      </c>
      <c r="D273" s="3">
        <v>10</v>
      </c>
      <c r="E273" s="3">
        <v>8</v>
      </c>
      <c r="F273">
        <v>23</v>
      </c>
      <c r="G273" s="1">
        <f>DATEVALUE(_xlfn.CONCAT(BBDD_Usiarios_Netflix[[#This Row],[Día Suscripción]],"/",BBDD_Usiarios_Netflix[[#This Row],[Mes Suscripción]],"/",BBDD_Usiarios_Netflix[[#This Row],[Año Suscripción]]))</f>
        <v>45148</v>
      </c>
      <c r="H273" s="1">
        <v>26</v>
      </c>
      <c r="I273" s="1">
        <v>6</v>
      </c>
      <c r="J273" s="1">
        <v>24</v>
      </c>
      <c r="K273" s="1" t="str">
        <f>TEXT(BBDD_Usiarios_Netflix[[#This Row],[Fecha Suscripción]],"dddd")</f>
        <v>jueves</v>
      </c>
      <c r="L273" s="1">
        <f>DATEVALUE(_xlfn.CONCAT(BBDD_Usiarios_Netflix[[#This Row],[Día Último Pago]],"/",BBDD_Usiarios_Netflix[[#This Row],[Mes Último Pago]],"/",BBDD_Usiarios_Netflix[[#This Row],[Año Último Pago]]))</f>
        <v>45469</v>
      </c>
      <c r="M273" s="4">
        <f>DATEDIF(BBDD_Usiarios_Netflix[[#This Row],[Fecha Suscripción]],BBDD_Usiarios_Netflix[[#This Row],[Fecha Último Pago]],"M")+1</f>
        <v>11</v>
      </c>
      <c r="N273" s="4">
        <f>BBDD_Usiarios_Netflix[[#This Row],[Ingresos Mensuales]]*BBDD_Usiarios_Netflix[[#This Row],[Meses contratados]]</f>
        <v>110</v>
      </c>
      <c r="O273" t="s">
        <v>39</v>
      </c>
      <c r="P273" t="str">
        <f>IF(BBDD_Usiarios_Netflix[[#This Row],[País]]="","Desconocido",BBDD_Usiarios_Netflix[[#This Row],[País]])</f>
        <v>Canadá</v>
      </c>
      <c r="Q273">
        <v>36</v>
      </c>
      <c r="R273" t="s">
        <v>30</v>
      </c>
      <c r="S273" t="s">
        <v>26</v>
      </c>
      <c r="T273" t="s">
        <v>38</v>
      </c>
      <c r="U273">
        <f>IF(IFERROR(VLOOKUP(BBDD_Usiarios_Netflix[[#This Row],[Identificador Usuario]],A274:$A$5870,1,FALSE),0)&lt;&gt;0,1,0)</f>
        <v>0</v>
      </c>
      <c r="V273" s="6" t="str">
        <f>IF(BBDD_Usiarios_Netflix[[#This Row],[Duración Plan]]="12 Meses",LEFT(BBDD_Usiarios_Netflix[[#This Row],[Duración Plan]],2),LEFT(BBDD_Usiarios_Netflix[[#This Row],[Duración Plan]],1))</f>
        <v>3</v>
      </c>
      <c r="W2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74" spans="1:23" x14ac:dyDescent="0.25">
      <c r="A274">
        <v>273</v>
      </c>
      <c r="B274" t="s">
        <v>32</v>
      </c>
      <c r="C274">
        <v>12</v>
      </c>
      <c r="D274" s="3">
        <v>2</v>
      </c>
      <c r="E274" s="3">
        <v>8</v>
      </c>
      <c r="F274">
        <v>23</v>
      </c>
      <c r="G274" s="1">
        <f>DATEVALUE(_xlfn.CONCAT(BBDD_Usiarios_Netflix[[#This Row],[Día Suscripción]],"/",BBDD_Usiarios_Netflix[[#This Row],[Mes Suscripción]],"/",BBDD_Usiarios_Netflix[[#This Row],[Año Suscripción]]))</f>
        <v>45140</v>
      </c>
      <c r="H274" s="1">
        <v>25</v>
      </c>
      <c r="I274" s="1">
        <v>6</v>
      </c>
      <c r="J274" s="1">
        <v>24</v>
      </c>
      <c r="K274" s="1" t="str">
        <f>TEXT(BBDD_Usiarios_Netflix[[#This Row],[Fecha Suscripción]],"dddd")</f>
        <v>miércoles</v>
      </c>
      <c r="L274" s="1">
        <f>DATEVALUE(_xlfn.CONCAT(BBDD_Usiarios_Netflix[[#This Row],[Día Último Pago]],"/",BBDD_Usiarios_Netflix[[#This Row],[Mes Último Pago]],"/",BBDD_Usiarios_Netflix[[#This Row],[Año Último Pago]]))</f>
        <v>45468</v>
      </c>
      <c r="M274" s="4">
        <f>DATEDIF(BBDD_Usiarios_Netflix[[#This Row],[Fecha Suscripción]],BBDD_Usiarios_Netflix[[#This Row],[Fecha Último Pago]],"M")+1</f>
        <v>11</v>
      </c>
      <c r="N274" s="4">
        <f>BBDD_Usiarios_Netflix[[#This Row],[Ingresos Mensuales]]*BBDD_Usiarios_Netflix[[#This Row],[Meses contratados]]</f>
        <v>132</v>
      </c>
      <c r="O274" t="s">
        <v>44</v>
      </c>
      <c r="P274" t="str">
        <f>IF(BBDD_Usiarios_Netflix[[#This Row],[País]]="","Desconocido",BBDD_Usiarios_Netflix[[#This Row],[País]])</f>
        <v>Desconocido</v>
      </c>
      <c r="Q274">
        <v>28</v>
      </c>
      <c r="R274" t="s">
        <v>30</v>
      </c>
      <c r="S274" t="s">
        <v>36</v>
      </c>
      <c r="T274" t="s">
        <v>38</v>
      </c>
      <c r="U274">
        <f>IF(IFERROR(VLOOKUP(BBDD_Usiarios_Netflix[[#This Row],[Identificador Usuario]],A275:$A$5870,1,FALSE),0)&lt;&gt;0,1,0)</f>
        <v>0</v>
      </c>
      <c r="V274" s="6" t="str">
        <f>IF(BBDD_Usiarios_Netflix[[#This Row],[Duración Plan]]="12 Meses",LEFT(BBDD_Usiarios_Netflix[[#This Row],[Duración Plan]],2),LEFT(BBDD_Usiarios_Netflix[[#This Row],[Duración Plan]],1))</f>
        <v>3</v>
      </c>
      <c r="W2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75" spans="1:23" x14ac:dyDescent="0.25">
      <c r="A275">
        <v>274</v>
      </c>
      <c r="B275" t="s">
        <v>28</v>
      </c>
      <c r="C275">
        <v>14</v>
      </c>
      <c r="D275" s="3">
        <v>1</v>
      </c>
      <c r="E275" s="3">
        <v>8</v>
      </c>
      <c r="F275">
        <v>23</v>
      </c>
      <c r="G275" s="1">
        <f>DATEVALUE(_xlfn.CONCAT(BBDD_Usiarios_Netflix[[#This Row],[Día Suscripción]],"/",BBDD_Usiarios_Netflix[[#This Row],[Mes Suscripción]],"/",BBDD_Usiarios_Netflix[[#This Row],[Año Suscripción]]))</f>
        <v>45139</v>
      </c>
      <c r="H275" s="1">
        <v>24</v>
      </c>
      <c r="I275" s="1">
        <v>6</v>
      </c>
      <c r="J275" s="1">
        <v>24</v>
      </c>
      <c r="K275" s="1" t="str">
        <f>TEXT(BBDD_Usiarios_Netflix[[#This Row],[Fecha Suscripción]],"dddd")</f>
        <v>martes</v>
      </c>
      <c r="L275" s="1">
        <f>DATEVALUE(_xlfn.CONCAT(BBDD_Usiarios_Netflix[[#This Row],[Día Último Pago]],"/",BBDD_Usiarios_Netflix[[#This Row],[Mes Último Pago]],"/",BBDD_Usiarios_Netflix[[#This Row],[Año Último Pago]]))</f>
        <v>45467</v>
      </c>
      <c r="M275" s="4">
        <f>DATEDIF(BBDD_Usiarios_Netflix[[#This Row],[Fecha Suscripción]],BBDD_Usiarios_Netflix[[#This Row],[Fecha Último Pago]],"M")+1</f>
        <v>11</v>
      </c>
      <c r="N275" s="4">
        <f>BBDD_Usiarios_Netflix[[#This Row],[Ingresos Mensuales]]*BBDD_Usiarios_Netflix[[#This Row],[Meses contratados]]</f>
        <v>154</v>
      </c>
      <c r="O275" t="s">
        <v>44</v>
      </c>
      <c r="P275" t="str">
        <f>IF(BBDD_Usiarios_Netflix[[#This Row],[País]]="","Desconocido",BBDD_Usiarios_Netflix[[#This Row],[País]])</f>
        <v>Desconocido</v>
      </c>
      <c r="Q275">
        <v>27</v>
      </c>
      <c r="R275" t="s">
        <v>30</v>
      </c>
      <c r="S275" t="s">
        <v>31</v>
      </c>
      <c r="T275" t="s">
        <v>41</v>
      </c>
      <c r="U275">
        <f>IF(IFERROR(VLOOKUP(BBDD_Usiarios_Netflix[[#This Row],[Identificador Usuario]],A276:$A$5870,1,FALSE),0)&lt;&gt;0,1,0)</f>
        <v>0</v>
      </c>
      <c r="V275" s="6" t="str">
        <f>IF(BBDD_Usiarios_Netflix[[#This Row],[Duración Plan]]="12 Meses",LEFT(BBDD_Usiarios_Netflix[[#This Row],[Duración Plan]],2),LEFT(BBDD_Usiarios_Netflix[[#This Row],[Duración Plan]],1))</f>
        <v>12</v>
      </c>
      <c r="W2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76" spans="1:23" x14ac:dyDescent="0.25">
      <c r="A276">
        <v>275</v>
      </c>
      <c r="B276" t="s">
        <v>23</v>
      </c>
      <c r="C276">
        <v>10</v>
      </c>
      <c r="D276" s="3">
        <v>6</v>
      </c>
      <c r="E276" s="3">
        <v>8</v>
      </c>
      <c r="F276">
        <v>23</v>
      </c>
      <c r="G276" s="1">
        <f>DATEVALUE(_xlfn.CONCAT(BBDD_Usiarios_Netflix[[#This Row],[Día Suscripción]],"/",BBDD_Usiarios_Netflix[[#This Row],[Mes Suscripción]],"/",BBDD_Usiarios_Netflix[[#This Row],[Año Suscripción]]))</f>
        <v>45144</v>
      </c>
      <c r="H276" s="1">
        <v>25</v>
      </c>
      <c r="I276" s="1">
        <v>6</v>
      </c>
      <c r="J276" s="1">
        <v>24</v>
      </c>
      <c r="K276" s="1" t="str">
        <f>TEXT(BBDD_Usiarios_Netflix[[#This Row],[Fecha Suscripción]],"dddd")</f>
        <v>domingo</v>
      </c>
      <c r="L276" s="1">
        <f>DATEVALUE(_xlfn.CONCAT(BBDD_Usiarios_Netflix[[#This Row],[Día Último Pago]],"/",BBDD_Usiarios_Netflix[[#This Row],[Mes Último Pago]],"/",BBDD_Usiarios_Netflix[[#This Row],[Año Último Pago]]))</f>
        <v>45468</v>
      </c>
      <c r="M276" s="4">
        <f>DATEDIF(BBDD_Usiarios_Netflix[[#This Row],[Fecha Suscripción]],BBDD_Usiarios_Netflix[[#This Row],[Fecha Último Pago]],"M")+1</f>
        <v>11</v>
      </c>
      <c r="N276" s="4">
        <f>BBDD_Usiarios_Netflix[[#This Row],[Ingresos Mensuales]]*BBDD_Usiarios_Netflix[[#This Row],[Meses contratados]]</f>
        <v>110</v>
      </c>
      <c r="O276" t="s">
        <v>45</v>
      </c>
      <c r="P276" t="str">
        <f>IF(BBDD_Usiarios_Netflix[[#This Row],[País]]="","Desconocido",BBDD_Usiarios_Netflix[[#This Row],[País]])</f>
        <v>España</v>
      </c>
      <c r="Q276">
        <v>34</v>
      </c>
      <c r="R276" t="s">
        <v>30</v>
      </c>
      <c r="S276" t="s">
        <v>36</v>
      </c>
      <c r="T276" t="s">
        <v>27</v>
      </c>
      <c r="U276">
        <f>IF(IFERROR(VLOOKUP(BBDD_Usiarios_Netflix[[#This Row],[Identificador Usuario]],A277:$A$5870,1,FALSE),0)&lt;&gt;0,1,0)</f>
        <v>0</v>
      </c>
      <c r="V276" s="6" t="str">
        <f>IF(BBDD_Usiarios_Netflix[[#This Row],[Duración Plan]]="12 Meses",LEFT(BBDD_Usiarios_Netflix[[#This Row],[Duración Plan]],2),LEFT(BBDD_Usiarios_Netflix[[#This Row],[Duración Plan]],1))</f>
        <v>1</v>
      </c>
      <c r="W2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77" spans="1:23" x14ac:dyDescent="0.25">
      <c r="A277">
        <v>276</v>
      </c>
      <c r="B277" t="s">
        <v>28</v>
      </c>
      <c r="C277">
        <v>14</v>
      </c>
      <c r="D277" s="3">
        <v>9</v>
      </c>
      <c r="E277" s="3">
        <v>8</v>
      </c>
      <c r="F277">
        <v>23</v>
      </c>
      <c r="G277" s="1">
        <f>DATEVALUE(_xlfn.CONCAT(BBDD_Usiarios_Netflix[[#This Row],[Día Suscripción]],"/",BBDD_Usiarios_Netflix[[#This Row],[Mes Suscripción]],"/",BBDD_Usiarios_Netflix[[#This Row],[Año Suscripción]]))</f>
        <v>45147</v>
      </c>
      <c r="H277" s="1">
        <v>25</v>
      </c>
      <c r="I277" s="1">
        <v>6</v>
      </c>
      <c r="J277" s="1">
        <v>24</v>
      </c>
      <c r="K277" s="1" t="str">
        <f>TEXT(BBDD_Usiarios_Netflix[[#This Row],[Fecha Suscripción]],"dddd")</f>
        <v>miércoles</v>
      </c>
      <c r="L277" s="1">
        <f>DATEVALUE(_xlfn.CONCAT(BBDD_Usiarios_Netflix[[#This Row],[Día Último Pago]],"/",BBDD_Usiarios_Netflix[[#This Row],[Mes Último Pago]],"/",BBDD_Usiarios_Netflix[[#This Row],[Año Último Pago]]))</f>
        <v>45468</v>
      </c>
      <c r="M277" s="4">
        <f>DATEDIF(BBDD_Usiarios_Netflix[[#This Row],[Fecha Suscripción]],BBDD_Usiarios_Netflix[[#This Row],[Fecha Último Pago]],"M")+1</f>
        <v>11</v>
      </c>
      <c r="N277" s="4">
        <f>BBDD_Usiarios_Netflix[[#This Row],[Ingresos Mensuales]]*BBDD_Usiarios_Netflix[[#This Row],[Meses contratados]]</f>
        <v>154</v>
      </c>
      <c r="O277" t="s">
        <v>29</v>
      </c>
      <c r="P277" t="str">
        <f>IF(BBDD_Usiarios_Netflix[[#This Row],[País]]="","Desconocido",BBDD_Usiarios_Netflix[[#This Row],[País]])</f>
        <v>EEUU</v>
      </c>
      <c r="Q277">
        <v>34</v>
      </c>
      <c r="R277" t="s">
        <v>30</v>
      </c>
      <c r="S277" t="s">
        <v>34</v>
      </c>
      <c r="T277" t="s">
        <v>27</v>
      </c>
      <c r="U277">
        <f>IF(IFERROR(VLOOKUP(BBDD_Usiarios_Netflix[[#This Row],[Identificador Usuario]],A278:$A$5870,1,FALSE),0)&lt;&gt;0,1,0)</f>
        <v>0</v>
      </c>
      <c r="V277" s="6" t="str">
        <f>IF(BBDD_Usiarios_Netflix[[#This Row],[Duración Plan]]="12 Meses",LEFT(BBDD_Usiarios_Netflix[[#This Row],[Duración Plan]],2),LEFT(BBDD_Usiarios_Netflix[[#This Row],[Duración Plan]],1))</f>
        <v>1</v>
      </c>
      <c r="W2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78" spans="1:23" x14ac:dyDescent="0.25">
      <c r="A278">
        <v>277</v>
      </c>
      <c r="B278" t="s">
        <v>23</v>
      </c>
      <c r="C278">
        <v>10</v>
      </c>
      <c r="D278" s="3">
        <v>12</v>
      </c>
      <c r="E278" s="3">
        <v>9</v>
      </c>
      <c r="F278">
        <v>23</v>
      </c>
      <c r="G278" s="1">
        <f>DATEVALUE(_xlfn.CONCAT(BBDD_Usiarios_Netflix[[#This Row],[Día Suscripción]],"/",BBDD_Usiarios_Netflix[[#This Row],[Mes Suscripción]],"/",BBDD_Usiarios_Netflix[[#This Row],[Año Suscripción]]))</f>
        <v>45181</v>
      </c>
      <c r="H278" s="1">
        <v>26</v>
      </c>
      <c r="I278" s="1">
        <v>6</v>
      </c>
      <c r="J278" s="1">
        <v>24</v>
      </c>
      <c r="K278" s="1" t="str">
        <f>TEXT(BBDD_Usiarios_Netflix[[#This Row],[Fecha Suscripción]],"dddd")</f>
        <v>martes</v>
      </c>
      <c r="L278" s="1">
        <f>DATEVALUE(_xlfn.CONCAT(BBDD_Usiarios_Netflix[[#This Row],[Día Último Pago]],"/",BBDD_Usiarios_Netflix[[#This Row],[Mes Último Pago]],"/",BBDD_Usiarios_Netflix[[#This Row],[Año Último Pago]]))</f>
        <v>45469</v>
      </c>
      <c r="M278" s="4">
        <f>DATEDIF(BBDD_Usiarios_Netflix[[#This Row],[Fecha Suscripción]],BBDD_Usiarios_Netflix[[#This Row],[Fecha Último Pago]],"M")+1</f>
        <v>10</v>
      </c>
      <c r="N278" s="4">
        <f>BBDD_Usiarios_Netflix[[#This Row],[Ingresos Mensuales]]*BBDD_Usiarios_Netflix[[#This Row],[Meses contratados]]</f>
        <v>100</v>
      </c>
      <c r="O278" t="s">
        <v>43</v>
      </c>
      <c r="P278" t="str">
        <f>IF(BBDD_Usiarios_Netflix[[#This Row],[País]]="","Desconocido",BBDD_Usiarios_Netflix[[#This Row],[País]])</f>
        <v>Alemania</v>
      </c>
      <c r="Q278">
        <v>37</v>
      </c>
      <c r="R278" t="s">
        <v>30</v>
      </c>
      <c r="S278" t="s">
        <v>31</v>
      </c>
      <c r="T278" t="s">
        <v>27</v>
      </c>
      <c r="U278">
        <f>IF(IFERROR(VLOOKUP(BBDD_Usiarios_Netflix[[#This Row],[Identificador Usuario]],A279:$A$5870,1,FALSE),0)&lt;&gt;0,1,0)</f>
        <v>0</v>
      </c>
      <c r="V278" s="6" t="str">
        <f>IF(BBDD_Usiarios_Netflix[[#This Row],[Duración Plan]]="12 Meses",LEFT(BBDD_Usiarios_Netflix[[#This Row],[Duración Plan]],2),LEFT(BBDD_Usiarios_Netflix[[#This Row],[Duración Plan]],1))</f>
        <v>1</v>
      </c>
      <c r="W2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79" spans="1:23" x14ac:dyDescent="0.25">
      <c r="A279">
        <v>278</v>
      </c>
      <c r="B279" t="s">
        <v>32</v>
      </c>
      <c r="C279">
        <v>12</v>
      </c>
      <c r="D279" s="3">
        <v>27</v>
      </c>
      <c r="E279" s="3">
        <v>9</v>
      </c>
      <c r="F279">
        <v>23</v>
      </c>
      <c r="G279" s="1">
        <f>DATEVALUE(_xlfn.CONCAT(BBDD_Usiarios_Netflix[[#This Row],[Día Suscripción]],"/",BBDD_Usiarios_Netflix[[#This Row],[Mes Suscripción]],"/",BBDD_Usiarios_Netflix[[#This Row],[Año Suscripción]]))</f>
        <v>45196</v>
      </c>
      <c r="H279" s="1">
        <v>26</v>
      </c>
      <c r="I279" s="1">
        <v>6</v>
      </c>
      <c r="J279" s="1">
        <v>24</v>
      </c>
      <c r="K279" s="1" t="str">
        <f>TEXT(BBDD_Usiarios_Netflix[[#This Row],[Fecha Suscripción]],"dddd")</f>
        <v>miércoles</v>
      </c>
      <c r="L279" s="1">
        <f>DATEVALUE(_xlfn.CONCAT(BBDD_Usiarios_Netflix[[#This Row],[Día Último Pago]],"/",BBDD_Usiarios_Netflix[[#This Row],[Mes Último Pago]],"/",BBDD_Usiarios_Netflix[[#This Row],[Año Último Pago]]))</f>
        <v>45469</v>
      </c>
      <c r="M279" s="4">
        <f>DATEDIF(BBDD_Usiarios_Netflix[[#This Row],[Fecha Suscripción]],BBDD_Usiarios_Netflix[[#This Row],[Fecha Último Pago]],"M")+1</f>
        <v>9</v>
      </c>
      <c r="N279" s="4">
        <f>BBDD_Usiarios_Netflix[[#This Row],[Ingresos Mensuales]]*BBDD_Usiarios_Netflix[[#This Row],[Meses contratados]]</f>
        <v>108</v>
      </c>
      <c r="O279" t="s">
        <v>43</v>
      </c>
      <c r="P279" t="str">
        <f>IF(BBDD_Usiarios_Netflix[[#This Row],[País]]="","Desconocido",BBDD_Usiarios_Netflix[[#This Row],[País]])</f>
        <v>Alemania</v>
      </c>
      <c r="Q279">
        <v>34</v>
      </c>
      <c r="R279" t="s">
        <v>30</v>
      </c>
      <c r="S279" t="s">
        <v>36</v>
      </c>
      <c r="T279" t="s">
        <v>27</v>
      </c>
      <c r="U279">
        <f>IF(IFERROR(VLOOKUP(BBDD_Usiarios_Netflix[[#This Row],[Identificador Usuario]],A280:$A$5870,1,FALSE),0)&lt;&gt;0,1,0)</f>
        <v>0</v>
      </c>
      <c r="V279" s="6" t="str">
        <f>IF(BBDD_Usiarios_Netflix[[#This Row],[Duración Plan]]="12 Meses",LEFT(BBDD_Usiarios_Netflix[[#This Row],[Duración Plan]],2),LEFT(BBDD_Usiarios_Netflix[[#This Row],[Duración Plan]],1))</f>
        <v>1</v>
      </c>
      <c r="W2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0" spans="1:23" x14ac:dyDescent="0.25">
      <c r="A280">
        <v>279</v>
      </c>
      <c r="B280" t="s">
        <v>32</v>
      </c>
      <c r="C280">
        <v>12</v>
      </c>
      <c r="D280" s="3">
        <v>12</v>
      </c>
      <c r="E280" s="3">
        <v>11</v>
      </c>
      <c r="F280">
        <v>23</v>
      </c>
      <c r="G280" s="1">
        <f>DATEVALUE(_xlfn.CONCAT(BBDD_Usiarios_Netflix[[#This Row],[Día Suscripción]],"/",BBDD_Usiarios_Netflix[[#This Row],[Mes Suscripción]],"/",BBDD_Usiarios_Netflix[[#This Row],[Año Suscripción]]))</f>
        <v>45242</v>
      </c>
      <c r="H280" s="1">
        <v>24</v>
      </c>
      <c r="I280" s="1">
        <v>6</v>
      </c>
      <c r="J280" s="1">
        <v>24</v>
      </c>
      <c r="K280" s="1" t="str">
        <f>TEXT(BBDD_Usiarios_Netflix[[#This Row],[Fecha Suscripción]],"dddd")</f>
        <v>domingo</v>
      </c>
      <c r="L280" s="1">
        <f>DATEVALUE(_xlfn.CONCAT(BBDD_Usiarios_Netflix[[#This Row],[Día Último Pago]],"/",BBDD_Usiarios_Netflix[[#This Row],[Mes Último Pago]],"/",BBDD_Usiarios_Netflix[[#This Row],[Año Último Pago]]))</f>
        <v>45467</v>
      </c>
      <c r="M280" s="4">
        <f>DATEDIF(BBDD_Usiarios_Netflix[[#This Row],[Fecha Suscripción]],BBDD_Usiarios_Netflix[[#This Row],[Fecha Último Pago]],"M")+1</f>
        <v>8</v>
      </c>
      <c r="N280" s="4">
        <f>BBDD_Usiarios_Netflix[[#This Row],[Ingresos Mensuales]]*BBDD_Usiarios_Netflix[[#This Row],[Meses contratados]]</f>
        <v>96</v>
      </c>
      <c r="O280" t="s">
        <v>29</v>
      </c>
      <c r="P280" t="str">
        <f>IF(BBDD_Usiarios_Netflix[[#This Row],[País]]="","Desconocido",BBDD_Usiarios_Netflix[[#This Row],[País]])</f>
        <v>EEUU</v>
      </c>
      <c r="Q280">
        <v>50</v>
      </c>
      <c r="R280" t="s">
        <v>30</v>
      </c>
      <c r="S280" t="s">
        <v>36</v>
      </c>
      <c r="T280" t="s">
        <v>27</v>
      </c>
      <c r="U280">
        <f>IF(IFERROR(VLOOKUP(BBDD_Usiarios_Netflix[[#This Row],[Identificador Usuario]],A281:$A$5870,1,FALSE),0)&lt;&gt;0,1,0)</f>
        <v>0</v>
      </c>
      <c r="V280" s="6" t="str">
        <f>IF(BBDD_Usiarios_Netflix[[#This Row],[Duración Plan]]="12 Meses",LEFT(BBDD_Usiarios_Netflix[[#This Row],[Duración Plan]],2),LEFT(BBDD_Usiarios_Netflix[[#This Row],[Duración Plan]],1))</f>
        <v>1</v>
      </c>
      <c r="W2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1" spans="1:23" x14ac:dyDescent="0.25">
      <c r="A281">
        <v>280</v>
      </c>
      <c r="B281" t="s">
        <v>23</v>
      </c>
      <c r="C281">
        <v>10</v>
      </c>
      <c r="D281" s="3">
        <v>13</v>
      </c>
      <c r="E281" s="3">
        <v>11</v>
      </c>
      <c r="F281">
        <v>23</v>
      </c>
      <c r="G281" s="1">
        <f>DATEVALUE(_xlfn.CONCAT(BBDD_Usiarios_Netflix[[#This Row],[Día Suscripción]],"/",BBDD_Usiarios_Netflix[[#This Row],[Mes Suscripción]],"/",BBDD_Usiarios_Netflix[[#This Row],[Año Suscripción]]))</f>
        <v>45243</v>
      </c>
      <c r="H281" s="1">
        <v>27</v>
      </c>
      <c r="I281" s="1">
        <v>6</v>
      </c>
      <c r="J281" s="1">
        <v>24</v>
      </c>
      <c r="K281" s="1" t="str">
        <f>TEXT(BBDD_Usiarios_Netflix[[#This Row],[Fecha Suscripción]],"dddd")</f>
        <v>lunes</v>
      </c>
      <c r="L281" s="1">
        <f>DATEVALUE(_xlfn.CONCAT(BBDD_Usiarios_Netflix[[#This Row],[Día Último Pago]],"/",BBDD_Usiarios_Netflix[[#This Row],[Mes Último Pago]],"/",BBDD_Usiarios_Netflix[[#This Row],[Año Último Pago]]))</f>
        <v>45470</v>
      </c>
      <c r="M281" s="4">
        <f>DATEDIF(BBDD_Usiarios_Netflix[[#This Row],[Fecha Suscripción]],BBDD_Usiarios_Netflix[[#This Row],[Fecha Último Pago]],"M")+1</f>
        <v>8</v>
      </c>
      <c r="N281" s="4">
        <f>BBDD_Usiarios_Netflix[[#This Row],[Ingresos Mensuales]]*BBDD_Usiarios_Netflix[[#This Row],[Meses contratados]]</f>
        <v>80</v>
      </c>
      <c r="O281" t="s">
        <v>45</v>
      </c>
      <c r="P281" t="str">
        <f>IF(BBDD_Usiarios_Netflix[[#This Row],[País]]="","Desconocido",BBDD_Usiarios_Netflix[[#This Row],[País]])</f>
        <v>España</v>
      </c>
      <c r="Q281">
        <v>34</v>
      </c>
      <c r="R281" t="s">
        <v>30</v>
      </c>
      <c r="S281" t="s">
        <v>36</v>
      </c>
      <c r="T281" t="s">
        <v>27</v>
      </c>
      <c r="U281">
        <f>IF(IFERROR(VLOOKUP(BBDD_Usiarios_Netflix[[#This Row],[Identificador Usuario]],A282:$A$5870,1,FALSE),0)&lt;&gt;0,1,0)</f>
        <v>0</v>
      </c>
      <c r="V281" s="6" t="str">
        <f>IF(BBDD_Usiarios_Netflix[[#This Row],[Duración Plan]]="12 Meses",LEFT(BBDD_Usiarios_Netflix[[#This Row],[Duración Plan]],2),LEFT(BBDD_Usiarios_Netflix[[#This Row],[Duración Plan]],1))</f>
        <v>1</v>
      </c>
      <c r="W2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2" spans="1:23" x14ac:dyDescent="0.25">
      <c r="A282">
        <v>281</v>
      </c>
      <c r="B282" t="s">
        <v>28</v>
      </c>
      <c r="C282">
        <v>14</v>
      </c>
      <c r="D282" s="3">
        <v>2</v>
      </c>
      <c r="E282" s="3">
        <v>11</v>
      </c>
      <c r="F282">
        <v>23</v>
      </c>
      <c r="G282" s="1">
        <f>DATEVALUE(_xlfn.CONCAT(BBDD_Usiarios_Netflix[[#This Row],[Día Suscripción]],"/",BBDD_Usiarios_Netflix[[#This Row],[Mes Suscripción]],"/",BBDD_Usiarios_Netflix[[#This Row],[Año Suscripción]]))</f>
        <v>45232</v>
      </c>
      <c r="H282" s="1">
        <v>28</v>
      </c>
      <c r="I282" s="1">
        <v>6</v>
      </c>
      <c r="J282" s="1">
        <v>24</v>
      </c>
      <c r="K282" s="1" t="str">
        <f>TEXT(BBDD_Usiarios_Netflix[[#This Row],[Fecha Suscripción]],"dddd")</f>
        <v>jueves</v>
      </c>
      <c r="L282" s="1">
        <f>DATEVALUE(_xlfn.CONCAT(BBDD_Usiarios_Netflix[[#This Row],[Día Último Pago]],"/",BBDD_Usiarios_Netflix[[#This Row],[Mes Último Pago]],"/",BBDD_Usiarios_Netflix[[#This Row],[Año Último Pago]]))</f>
        <v>45471</v>
      </c>
      <c r="M282" s="4">
        <f>DATEDIF(BBDD_Usiarios_Netflix[[#This Row],[Fecha Suscripción]],BBDD_Usiarios_Netflix[[#This Row],[Fecha Último Pago]],"M")+1</f>
        <v>8</v>
      </c>
      <c r="N282" s="4">
        <f>BBDD_Usiarios_Netflix[[#This Row],[Ingresos Mensuales]]*BBDD_Usiarios_Netflix[[#This Row],[Meses contratados]]</f>
        <v>112</v>
      </c>
      <c r="O282" t="s">
        <v>42</v>
      </c>
      <c r="P282" t="str">
        <f>IF(BBDD_Usiarios_Netflix[[#This Row],[País]]="","Desconocido",BBDD_Usiarios_Netflix[[#This Row],[País]])</f>
        <v>Reino Unido</v>
      </c>
      <c r="Q282">
        <v>33</v>
      </c>
      <c r="R282" t="s">
        <v>30</v>
      </c>
      <c r="S282" t="s">
        <v>34</v>
      </c>
      <c r="T282" t="s">
        <v>27</v>
      </c>
      <c r="U282">
        <f>IF(IFERROR(VLOOKUP(BBDD_Usiarios_Netflix[[#This Row],[Identificador Usuario]],A283:$A$5870,1,FALSE),0)&lt;&gt;0,1,0)</f>
        <v>0</v>
      </c>
      <c r="V282" s="6" t="str">
        <f>IF(BBDD_Usiarios_Netflix[[#This Row],[Duración Plan]]="12 Meses",LEFT(BBDD_Usiarios_Netflix[[#This Row],[Duración Plan]],2),LEFT(BBDD_Usiarios_Netflix[[#This Row],[Duración Plan]],1))</f>
        <v>1</v>
      </c>
      <c r="W2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3" spans="1:23" x14ac:dyDescent="0.25">
      <c r="A283">
        <v>282</v>
      </c>
      <c r="B283" t="s">
        <v>23</v>
      </c>
      <c r="C283">
        <v>10</v>
      </c>
      <c r="D283" s="3">
        <v>30</v>
      </c>
      <c r="E283" s="3">
        <v>10</v>
      </c>
      <c r="F283">
        <v>23</v>
      </c>
      <c r="G283" s="1">
        <f>DATEVALUE(_xlfn.CONCAT(BBDD_Usiarios_Netflix[[#This Row],[Día Suscripción]],"/",BBDD_Usiarios_Netflix[[#This Row],[Mes Suscripción]],"/",BBDD_Usiarios_Netflix[[#This Row],[Año Suscripción]]))</f>
        <v>45229</v>
      </c>
      <c r="H283" s="1">
        <v>25</v>
      </c>
      <c r="I283" s="1">
        <v>6</v>
      </c>
      <c r="J283" s="1">
        <v>24</v>
      </c>
      <c r="K283" s="1" t="str">
        <f>TEXT(BBDD_Usiarios_Netflix[[#This Row],[Fecha Suscripción]],"dddd")</f>
        <v>lunes</v>
      </c>
      <c r="L283" s="1">
        <f>DATEVALUE(_xlfn.CONCAT(BBDD_Usiarios_Netflix[[#This Row],[Día Último Pago]],"/",BBDD_Usiarios_Netflix[[#This Row],[Mes Último Pago]],"/",BBDD_Usiarios_Netflix[[#This Row],[Año Último Pago]]))</f>
        <v>45468</v>
      </c>
      <c r="M283" s="4">
        <f>DATEDIF(BBDD_Usiarios_Netflix[[#This Row],[Fecha Suscripción]],BBDD_Usiarios_Netflix[[#This Row],[Fecha Último Pago]],"M")+1</f>
        <v>8</v>
      </c>
      <c r="N283" s="4">
        <f>BBDD_Usiarios_Netflix[[#This Row],[Ingresos Mensuales]]*BBDD_Usiarios_Netflix[[#This Row],[Meses contratados]]</f>
        <v>80</v>
      </c>
      <c r="O283" t="s">
        <v>45</v>
      </c>
      <c r="P283" t="str">
        <f>IF(BBDD_Usiarios_Netflix[[#This Row],[País]]="","Desconocido",BBDD_Usiarios_Netflix[[#This Row],[País]])</f>
        <v>España</v>
      </c>
      <c r="Q283">
        <v>33</v>
      </c>
      <c r="R283" t="s">
        <v>25</v>
      </c>
      <c r="S283" t="s">
        <v>34</v>
      </c>
      <c r="T283" t="s">
        <v>27</v>
      </c>
      <c r="U283">
        <f>IF(IFERROR(VLOOKUP(BBDD_Usiarios_Netflix[[#This Row],[Identificador Usuario]],A284:$A$5870,1,FALSE),0)&lt;&gt;0,1,0)</f>
        <v>0</v>
      </c>
      <c r="V283" s="6" t="str">
        <f>IF(BBDD_Usiarios_Netflix[[#This Row],[Duración Plan]]="12 Meses",LEFT(BBDD_Usiarios_Netflix[[#This Row],[Duración Plan]],2),LEFT(BBDD_Usiarios_Netflix[[#This Row],[Duración Plan]],1))</f>
        <v>1</v>
      </c>
      <c r="W2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4" spans="1:23" x14ac:dyDescent="0.25">
      <c r="A284">
        <v>283</v>
      </c>
      <c r="B284" t="s">
        <v>32</v>
      </c>
      <c r="C284">
        <v>12</v>
      </c>
      <c r="D284" s="3">
        <v>30</v>
      </c>
      <c r="E284" s="3">
        <v>6</v>
      </c>
      <c r="F284">
        <v>23</v>
      </c>
      <c r="G284" s="1">
        <f>DATEVALUE(_xlfn.CONCAT(BBDD_Usiarios_Netflix[[#This Row],[Día Suscripción]],"/",BBDD_Usiarios_Netflix[[#This Row],[Mes Suscripción]],"/",BBDD_Usiarios_Netflix[[#This Row],[Año Suscripción]]))</f>
        <v>45107</v>
      </c>
      <c r="H284" s="1">
        <v>26</v>
      </c>
      <c r="I284" s="1">
        <v>6</v>
      </c>
      <c r="J284" s="1">
        <v>24</v>
      </c>
      <c r="K284" s="1" t="str">
        <f>TEXT(BBDD_Usiarios_Netflix[[#This Row],[Fecha Suscripción]],"dddd")</f>
        <v>viernes</v>
      </c>
      <c r="L284" s="1">
        <f>DATEVALUE(_xlfn.CONCAT(BBDD_Usiarios_Netflix[[#This Row],[Día Último Pago]],"/",BBDD_Usiarios_Netflix[[#This Row],[Mes Último Pago]],"/",BBDD_Usiarios_Netflix[[#This Row],[Año Último Pago]]))</f>
        <v>45469</v>
      </c>
      <c r="M284" s="4">
        <f>DATEDIF(BBDD_Usiarios_Netflix[[#This Row],[Fecha Suscripción]],BBDD_Usiarios_Netflix[[#This Row],[Fecha Último Pago]],"M")+1</f>
        <v>12</v>
      </c>
      <c r="N284" s="4">
        <f>BBDD_Usiarios_Netflix[[#This Row],[Ingresos Mensuales]]*BBDD_Usiarios_Netflix[[#This Row],[Meses contratados]]</f>
        <v>144</v>
      </c>
      <c r="O284" t="s">
        <v>42</v>
      </c>
      <c r="P284" t="str">
        <f>IF(BBDD_Usiarios_Netflix[[#This Row],[País]]="","Desconocido",BBDD_Usiarios_Netflix[[#This Row],[País]])</f>
        <v>Reino Unido</v>
      </c>
      <c r="Q284">
        <v>46</v>
      </c>
      <c r="R284" t="s">
        <v>25</v>
      </c>
      <c r="S284" t="s">
        <v>26</v>
      </c>
      <c r="T284" t="s">
        <v>27</v>
      </c>
      <c r="U284">
        <f>IF(IFERROR(VLOOKUP(BBDD_Usiarios_Netflix[[#This Row],[Identificador Usuario]],A285:$A$5870,1,FALSE),0)&lt;&gt;0,1,0)</f>
        <v>0</v>
      </c>
      <c r="V284" s="6" t="str">
        <f>IF(BBDD_Usiarios_Netflix[[#This Row],[Duración Plan]]="12 Meses",LEFT(BBDD_Usiarios_Netflix[[#This Row],[Duración Plan]],2),LEFT(BBDD_Usiarios_Netflix[[#This Row],[Duración Plan]],1))</f>
        <v>1</v>
      </c>
      <c r="W2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5" spans="1:23" x14ac:dyDescent="0.25">
      <c r="A285">
        <v>284</v>
      </c>
      <c r="B285" t="s">
        <v>28</v>
      </c>
      <c r="C285">
        <v>14</v>
      </c>
      <c r="D285" s="3">
        <v>4</v>
      </c>
      <c r="E285" s="3">
        <v>8</v>
      </c>
      <c r="F285">
        <v>23</v>
      </c>
      <c r="G285" s="1">
        <f>DATEVALUE(_xlfn.CONCAT(BBDD_Usiarios_Netflix[[#This Row],[Día Suscripción]],"/",BBDD_Usiarios_Netflix[[#This Row],[Mes Suscripción]],"/",BBDD_Usiarios_Netflix[[#This Row],[Año Suscripción]]))</f>
        <v>45142</v>
      </c>
      <c r="H285" s="1">
        <v>28</v>
      </c>
      <c r="I285" s="1">
        <v>6</v>
      </c>
      <c r="J285" s="1">
        <v>24</v>
      </c>
      <c r="K285" s="1" t="str">
        <f>TEXT(BBDD_Usiarios_Netflix[[#This Row],[Fecha Suscripción]],"dddd")</f>
        <v>viernes</v>
      </c>
      <c r="L285" s="1">
        <f>DATEVALUE(_xlfn.CONCAT(BBDD_Usiarios_Netflix[[#This Row],[Día Último Pago]],"/",BBDD_Usiarios_Netflix[[#This Row],[Mes Último Pago]],"/",BBDD_Usiarios_Netflix[[#This Row],[Año Último Pago]]))</f>
        <v>45471</v>
      </c>
      <c r="M285" s="4">
        <f>DATEDIF(BBDD_Usiarios_Netflix[[#This Row],[Fecha Suscripción]],BBDD_Usiarios_Netflix[[#This Row],[Fecha Último Pago]],"M")+1</f>
        <v>11</v>
      </c>
      <c r="N285" s="4">
        <f>BBDD_Usiarios_Netflix[[#This Row],[Ingresos Mensuales]]*BBDD_Usiarios_Netflix[[#This Row],[Meses contratados]]</f>
        <v>154</v>
      </c>
      <c r="O285" t="s">
        <v>37</v>
      </c>
      <c r="P285" t="str">
        <f>IF(BBDD_Usiarios_Netflix[[#This Row],[País]]="","Desconocido",BBDD_Usiarios_Netflix[[#This Row],[País]])</f>
        <v>Brasil</v>
      </c>
      <c r="Q285">
        <v>39</v>
      </c>
      <c r="R285" t="s">
        <v>30</v>
      </c>
      <c r="S285" t="s">
        <v>26</v>
      </c>
      <c r="T285" t="s">
        <v>27</v>
      </c>
      <c r="U285">
        <f>IF(IFERROR(VLOOKUP(BBDD_Usiarios_Netflix[[#This Row],[Identificador Usuario]],A286:$A$5870,1,FALSE),0)&lt;&gt;0,1,0)</f>
        <v>0</v>
      </c>
      <c r="V285" s="6" t="str">
        <f>IF(BBDD_Usiarios_Netflix[[#This Row],[Duración Plan]]="12 Meses",LEFT(BBDD_Usiarios_Netflix[[#This Row],[Duración Plan]],2),LEFT(BBDD_Usiarios_Netflix[[#This Row],[Duración Plan]],1))</f>
        <v>1</v>
      </c>
      <c r="W2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86" spans="1:23" x14ac:dyDescent="0.25">
      <c r="A286">
        <v>285</v>
      </c>
      <c r="B286" t="s">
        <v>23</v>
      </c>
      <c r="C286">
        <v>10</v>
      </c>
      <c r="D286" s="3">
        <v>1</v>
      </c>
      <c r="E286" s="3">
        <v>9</v>
      </c>
      <c r="F286">
        <v>23</v>
      </c>
      <c r="G286" s="1">
        <f>DATEVALUE(_xlfn.CONCAT(BBDD_Usiarios_Netflix[[#This Row],[Día Suscripción]],"/",BBDD_Usiarios_Netflix[[#This Row],[Mes Suscripción]],"/",BBDD_Usiarios_Netflix[[#This Row],[Año Suscripción]]))</f>
        <v>45170</v>
      </c>
      <c r="H286" s="1">
        <v>27</v>
      </c>
      <c r="I286" s="1">
        <v>6</v>
      </c>
      <c r="J286" s="1">
        <v>24</v>
      </c>
      <c r="K286" s="1" t="str">
        <f>TEXT(BBDD_Usiarios_Netflix[[#This Row],[Fecha Suscripción]],"dddd")</f>
        <v>viernes</v>
      </c>
      <c r="L286" s="1">
        <f>DATEVALUE(_xlfn.CONCAT(BBDD_Usiarios_Netflix[[#This Row],[Día Último Pago]],"/",BBDD_Usiarios_Netflix[[#This Row],[Mes Último Pago]],"/",BBDD_Usiarios_Netflix[[#This Row],[Año Último Pago]]))</f>
        <v>45470</v>
      </c>
      <c r="M286" s="4">
        <f>DATEDIF(BBDD_Usiarios_Netflix[[#This Row],[Fecha Suscripción]],BBDD_Usiarios_Netflix[[#This Row],[Fecha Último Pago]],"M")+1</f>
        <v>10</v>
      </c>
      <c r="N286" s="4">
        <f>BBDD_Usiarios_Netflix[[#This Row],[Ingresos Mensuales]]*BBDD_Usiarios_Netflix[[#This Row],[Meses contratados]]</f>
        <v>100</v>
      </c>
      <c r="O286" t="s">
        <v>29</v>
      </c>
      <c r="P286" t="str">
        <f>IF(BBDD_Usiarios_Netflix[[#This Row],[País]]="","Desconocido",BBDD_Usiarios_Netflix[[#This Row],[País]])</f>
        <v>EEUU</v>
      </c>
      <c r="Q286">
        <v>42</v>
      </c>
      <c r="R286" t="s">
        <v>30</v>
      </c>
      <c r="S286" t="s">
        <v>36</v>
      </c>
      <c r="T286" t="s">
        <v>38</v>
      </c>
      <c r="U286">
        <f>IF(IFERROR(VLOOKUP(BBDD_Usiarios_Netflix[[#This Row],[Identificador Usuario]],A287:$A$5870,1,FALSE),0)&lt;&gt;0,1,0)</f>
        <v>0</v>
      </c>
      <c r="V286" s="6" t="str">
        <f>IF(BBDD_Usiarios_Netflix[[#This Row],[Duración Plan]]="12 Meses",LEFT(BBDD_Usiarios_Netflix[[#This Row],[Duración Plan]],2),LEFT(BBDD_Usiarios_Netflix[[#This Row],[Duración Plan]],1))</f>
        <v>3</v>
      </c>
      <c r="W2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87" spans="1:23" x14ac:dyDescent="0.25">
      <c r="A287">
        <v>286</v>
      </c>
      <c r="B287" t="s">
        <v>28</v>
      </c>
      <c r="C287">
        <v>14</v>
      </c>
      <c r="D287" s="3">
        <v>14</v>
      </c>
      <c r="E287" s="3">
        <v>10</v>
      </c>
      <c r="F287">
        <v>23</v>
      </c>
      <c r="G287" s="1">
        <f>DATEVALUE(_xlfn.CONCAT(BBDD_Usiarios_Netflix[[#This Row],[Día Suscripción]],"/",BBDD_Usiarios_Netflix[[#This Row],[Mes Suscripción]],"/",BBDD_Usiarios_Netflix[[#This Row],[Año Suscripción]]))</f>
        <v>45213</v>
      </c>
      <c r="H287" s="1">
        <v>27</v>
      </c>
      <c r="I287" s="1">
        <v>6</v>
      </c>
      <c r="J287" s="1">
        <v>24</v>
      </c>
      <c r="K287" s="1" t="str">
        <f>TEXT(BBDD_Usiarios_Netflix[[#This Row],[Fecha Suscripción]],"dddd")</f>
        <v>sábado</v>
      </c>
      <c r="L287" s="1">
        <f>DATEVALUE(_xlfn.CONCAT(BBDD_Usiarios_Netflix[[#This Row],[Día Último Pago]],"/",BBDD_Usiarios_Netflix[[#This Row],[Mes Último Pago]],"/",BBDD_Usiarios_Netflix[[#This Row],[Año Último Pago]]))</f>
        <v>45470</v>
      </c>
      <c r="M287" s="4">
        <f>DATEDIF(BBDD_Usiarios_Netflix[[#This Row],[Fecha Suscripción]],BBDD_Usiarios_Netflix[[#This Row],[Fecha Último Pago]],"M")+1</f>
        <v>9</v>
      </c>
      <c r="N287" s="4">
        <f>BBDD_Usiarios_Netflix[[#This Row],[Ingresos Mensuales]]*BBDD_Usiarios_Netflix[[#This Row],[Meses contratados]]</f>
        <v>126</v>
      </c>
      <c r="O287" t="s">
        <v>40</v>
      </c>
      <c r="P287" t="str">
        <f>IF(BBDD_Usiarios_Netflix[[#This Row],[País]]="","Desconocido",BBDD_Usiarios_Netflix[[#This Row],[País]])</f>
        <v>Italia</v>
      </c>
      <c r="Q287">
        <v>50</v>
      </c>
      <c r="R287" t="s">
        <v>30</v>
      </c>
      <c r="S287" t="s">
        <v>36</v>
      </c>
      <c r="T287" t="s">
        <v>41</v>
      </c>
      <c r="U287">
        <f>IF(IFERROR(VLOOKUP(BBDD_Usiarios_Netflix[[#This Row],[Identificador Usuario]],A288:$A$5870,1,FALSE),0)&lt;&gt;0,1,0)</f>
        <v>0</v>
      </c>
      <c r="V287" s="6" t="str">
        <f>IF(BBDD_Usiarios_Netflix[[#This Row],[Duración Plan]]="12 Meses",LEFT(BBDD_Usiarios_Netflix[[#This Row],[Duración Plan]],2),LEFT(BBDD_Usiarios_Netflix[[#This Row],[Duración Plan]],1))</f>
        <v>12</v>
      </c>
      <c r="W2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88" spans="1:23" x14ac:dyDescent="0.25">
      <c r="A288">
        <v>287</v>
      </c>
      <c r="B288" t="s">
        <v>23</v>
      </c>
      <c r="C288">
        <v>10</v>
      </c>
      <c r="D288" s="3">
        <v>16</v>
      </c>
      <c r="E288" s="3">
        <v>10</v>
      </c>
      <c r="F288">
        <v>23</v>
      </c>
      <c r="G288" s="1">
        <f>DATEVALUE(_xlfn.CONCAT(BBDD_Usiarios_Netflix[[#This Row],[Día Suscripción]],"/",BBDD_Usiarios_Netflix[[#This Row],[Mes Suscripción]],"/",BBDD_Usiarios_Netflix[[#This Row],[Año Suscripción]]))</f>
        <v>45215</v>
      </c>
      <c r="H288" s="1">
        <v>26</v>
      </c>
      <c r="I288" s="1">
        <v>6</v>
      </c>
      <c r="J288" s="1">
        <v>24</v>
      </c>
      <c r="K288" s="1" t="str">
        <f>TEXT(BBDD_Usiarios_Netflix[[#This Row],[Fecha Suscripción]],"dddd")</f>
        <v>lunes</v>
      </c>
      <c r="L288" s="1">
        <f>DATEVALUE(_xlfn.CONCAT(BBDD_Usiarios_Netflix[[#This Row],[Día Último Pago]],"/",BBDD_Usiarios_Netflix[[#This Row],[Mes Último Pago]],"/",BBDD_Usiarios_Netflix[[#This Row],[Año Último Pago]]))</f>
        <v>45469</v>
      </c>
      <c r="M288" s="4">
        <f>DATEDIF(BBDD_Usiarios_Netflix[[#This Row],[Fecha Suscripción]],BBDD_Usiarios_Netflix[[#This Row],[Fecha Último Pago]],"M")+1</f>
        <v>9</v>
      </c>
      <c r="N288" s="4">
        <f>BBDD_Usiarios_Netflix[[#This Row],[Ingresos Mensuales]]*BBDD_Usiarios_Netflix[[#This Row],[Meses contratados]]</f>
        <v>90</v>
      </c>
      <c r="O288" t="s">
        <v>40</v>
      </c>
      <c r="P288" t="str">
        <f>IF(BBDD_Usiarios_Netflix[[#This Row],[País]]="","Desconocido",BBDD_Usiarios_Netflix[[#This Row],[País]])</f>
        <v>Italia</v>
      </c>
      <c r="Q288">
        <v>43</v>
      </c>
      <c r="R288" t="s">
        <v>25</v>
      </c>
      <c r="S288" t="s">
        <v>26</v>
      </c>
      <c r="T288" t="s">
        <v>35</v>
      </c>
      <c r="U288">
        <f>IF(IFERROR(VLOOKUP(BBDD_Usiarios_Netflix[[#This Row],[Identificador Usuario]],A289:$A$5870,1,FALSE),0)&lt;&gt;0,1,0)</f>
        <v>0</v>
      </c>
      <c r="V288" s="6" t="str">
        <f>IF(BBDD_Usiarios_Netflix[[#This Row],[Duración Plan]]="12 Meses",LEFT(BBDD_Usiarios_Netflix[[#This Row],[Duración Plan]],2),LEFT(BBDD_Usiarios_Netflix[[#This Row],[Duración Plan]],1))</f>
        <v>6</v>
      </c>
      <c r="W2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89" spans="1:23" x14ac:dyDescent="0.25">
      <c r="A289">
        <v>288</v>
      </c>
      <c r="B289" t="s">
        <v>32</v>
      </c>
      <c r="C289">
        <v>12</v>
      </c>
      <c r="D289" s="3">
        <v>20</v>
      </c>
      <c r="E289" s="3">
        <v>10</v>
      </c>
      <c r="F289">
        <v>23</v>
      </c>
      <c r="G289" s="1">
        <f>DATEVALUE(_xlfn.CONCAT(BBDD_Usiarios_Netflix[[#This Row],[Día Suscripción]],"/",BBDD_Usiarios_Netflix[[#This Row],[Mes Suscripción]],"/",BBDD_Usiarios_Netflix[[#This Row],[Año Suscripción]]))</f>
        <v>45219</v>
      </c>
      <c r="H289" s="1">
        <v>28</v>
      </c>
      <c r="I289" s="1">
        <v>6</v>
      </c>
      <c r="J289" s="1">
        <v>24</v>
      </c>
      <c r="K289" s="1" t="str">
        <f>TEXT(BBDD_Usiarios_Netflix[[#This Row],[Fecha Suscripción]],"dddd")</f>
        <v>viernes</v>
      </c>
      <c r="L289" s="1">
        <f>DATEVALUE(_xlfn.CONCAT(BBDD_Usiarios_Netflix[[#This Row],[Día Último Pago]],"/",BBDD_Usiarios_Netflix[[#This Row],[Mes Último Pago]],"/",BBDD_Usiarios_Netflix[[#This Row],[Año Último Pago]]))</f>
        <v>45471</v>
      </c>
      <c r="M289" s="4">
        <f>DATEDIF(BBDD_Usiarios_Netflix[[#This Row],[Fecha Suscripción]],BBDD_Usiarios_Netflix[[#This Row],[Fecha Último Pago]],"M")+1</f>
        <v>9</v>
      </c>
      <c r="N289" s="4">
        <f>BBDD_Usiarios_Netflix[[#This Row],[Ingresos Mensuales]]*BBDD_Usiarios_Netflix[[#This Row],[Meses contratados]]</f>
        <v>108</v>
      </c>
      <c r="O289" t="s">
        <v>24</v>
      </c>
      <c r="P289" t="str">
        <f>IF(BBDD_Usiarios_Netflix[[#This Row],[País]]="","Desconocido",BBDD_Usiarios_Netflix[[#This Row],[País]])</f>
        <v>Australia</v>
      </c>
      <c r="Q289">
        <v>51</v>
      </c>
      <c r="R289" t="s">
        <v>25</v>
      </c>
      <c r="S289" t="s">
        <v>34</v>
      </c>
      <c r="T289" t="s">
        <v>41</v>
      </c>
      <c r="U289">
        <f>IF(IFERROR(VLOOKUP(BBDD_Usiarios_Netflix[[#This Row],[Identificador Usuario]],A290:$A$5870,1,FALSE),0)&lt;&gt;0,1,0)</f>
        <v>0</v>
      </c>
      <c r="V289" s="6" t="str">
        <f>IF(BBDD_Usiarios_Netflix[[#This Row],[Duración Plan]]="12 Meses",LEFT(BBDD_Usiarios_Netflix[[#This Row],[Duración Plan]],2),LEFT(BBDD_Usiarios_Netflix[[#This Row],[Duración Plan]],1))</f>
        <v>12</v>
      </c>
      <c r="W2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90" spans="1:23" x14ac:dyDescent="0.25">
      <c r="A290">
        <v>289</v>
      </c>
      <c r="B290" t="s">
        <v>32</v>
      </c>
      <c r="C290">
        <v>12</v>
      </c>
      <c r="D290" s="3">
        <v>20</v>
      </c>
      <c r="E290" s="3">
        <v>11</v>
      </c>
      <c r="F290">
        <v>23</v>
      </c>
      <c r="G290" s="1">
        <f>DATEVALUE(_xlfn.CONCAT(BBDD_Usiarios_Netflix[[#This Row],[Día Suscripción]],"/",BBDD_Usiarios_Netflix[[#This Row],[Mes Suscripción]],"/",BBDD_Usiarios_Netflix[[#This Row],[Año Suscripción]]))</f>
        <v>45250</v>
      </c>
      <c r="H290" s="1">
        <v>25</v>
      </c>
      <c r="I290" s="1">
        <v>6</v>
      </c>
      <c r="J290" s="1">
        <v>24</v>
      </c>
      <c r="K290" s="1" t="str">
        <f>TEXT(BBDD_Usiarios_Netflix[[#This Row],[Fecha Suscripción]],"dddd")</f>
        <v>lunes</v>
      </c>
      <c r="L290" s="1">
        <f>DATEVALUE(_xlfn.CONCAT(BBDD_Usiarios_Netflix[[#This Row],[Día Último Pago]],"/",BBDD_Usiarios_Netflix[[#This Row],[Mes Último Pago]],"/",BBDD_Usiarios_Netflix[[#This Row],[Año Último Pago]]))</f>
        <v>45468</v>
      </c>
      <c r="M290" s="4">
        <f>DATEDIF(BBDD_Usiarios_Netflix[[#This Row],[Fecha Suscripción]],BBDD_Usiarios_Netflix[[#This Row],[Fecha Último Pago]],"M")+1</f>
        <v>8</v>
      </c>
      <c r="N290" s="4">
        <f>BBDD_Usiarios_Netflix[[#This Row],[Ingresos Mensuales]]*BBDD_Usiarios_Netflix[[#This Row],[Meses contratados]]</f>
        <v>96</v>
      </c>
      <c r="O290" t="s">
        <v>24</v>
      </c>
      <c r="P290" t="str">
        <f>IF(BBDD_Usiarios_Netflix[[#This Row],[País]]="","Desconocido",BBDD_Usiarios_Netflix[[#This Row],[País]])</f>
        <v>Australia</v>
      </c>
      <c r="Q290">
        <v>34</v>
      </c>
      <c r="R290" t="s">
        <v>30</v>
      </c>
      <c r="S290" t="s">
        <v>34</v>
      </c>
      <c r="T290" t="s">
        <v>27</v>
      </c>
      <c r="U290">
        <f>IF(IFERROR(VLOOKUP(BBDD_Usiarios_Netflix[[#This Row],[Identificador Usuario]],A291:$A$5870,1,FALSE),0)&lt;&gt;0,1,0)</f>
        <v>0</v>
      </c>
      <c r="V290" s="6" t="str">
        <f>IF(BBDD_Usiarios_Netflix[[#This Row],[Duración Plan]]="12 Meses",LEFT(BBDD_Usiarios_Netflix[[#This Row],[Duración Plan]],2),LEFT(BBDD_Usiarios_Netflix[[#This Row],[Duración Plan]],1))</f>
        <v>1</v>
      </c>
      <c r="W2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1" spans="1:23" x14ac:dyDescent="0.25">
      <c r="A291">
        <v>290</v>
      </c>
      <c r="B291" t="s">
        <v>23</v>
      </c>
      <c r="C291">
        <v>10</v>
      </c>
      <c r="D291" s="3">
        <v>25</v>
      </c>
      <c r="E291" s="3">
        <v>11</v>
      </c>
      <c r="F291">
        <v>23</v>
      </c>
      <c r="G291" s="1">
        <f>DATEVALUE(_xlfn.CONCAT(BBDD_Usiarios_Netflix[[#This Row],[Día Suscripción]],"/",BBDD_Usiarios_Netflix[[#This Row],[Mes Suscripción]],"/",BBDD_Usiarios_Netflix[[#This Row],[Año Suscripción]]))</f>
        <v>45255</v>
      </c>
      <c r="H291" s="1">
        <v>30</v>
      </c>
      <c r="I291" s="1">
        <v>6</v>
      </c>
      <c r="J291" s="1">
        <v>24</v>
      </c>
      <c r="K291" s="1" t="str">
        <f>TEXT(BBDD_Usiarios_Netflix[[#This Row],[Fecha Suscripción]],"dddd")</f>
        <v>sábado</v>
      </c>
      <c r="L291" s="1">
        <f>DATEVALUE(_xlfn.CONCAT(BBDD_Usiarios_Netflix[[#This Row],[Día Último Pago]],"/",BBDD_Usiarios_Netflix[[#This Row],[Mes Último Pago]],"/",BBDD_Usiarios_Netflix[[#This Row],[Año Último Pago]]))</f>
        <v>45473</v>
      </c>
      <c r="M291" s="4">
        <f>DATEDIF(BBDD_Usiarios_Netflix[[#This Row],[Fecha Suscripción]],BBDD_Usiarios_Netflix[[#This Row],[Fecha Último Pago]],"M")+1</f>
        <v>8</v>
      </c>
      <c r="N291" s="4">
        <f>BBDD_Usiarios_Netflix[[#This Row],[Ingresos Mensuales]]*BBDD_Usiarios_Netflix[[#This Row],[Meses contratados]]</f>
        <v>80</v>
      </c>
      <c r="O291" t="s">
        <v>24</v>
      </c>
      <c r="P291" t="str">
        <f>IF(BBDD_Usiarios_Netflix[[#This Row],[País]]="","Desconocido",BBDD_Usiarios_Netflix[[#This Row],[País]])</f>
        <v>Australia</v>
      </c>
      <c r="Q291">
        <v>48</v>
      </c>
      <c r="R291" t="s">
        <v>25</v>
      </c>
      <c r="S291" t="s">
        <v>26</v>
      </c>
      <c r="T291" t="s">
        <v>27</v>
      </c>
      <c r="U291">
        <f>IF(IFERROR(VLOOKUP(BBDD_Usiarios_Netflix[[#This Row],[Identificador Usuario]],A292:$A$5870,1,FALSE),0)&lt;&gt;0,1,0)</f>
        <v>0</v>
      </c>
      <c r="V291" s="6" t="str">
        <f>IF(BBDD_Usiarios_Netflix[[#This Row],[Duración Plan]]="12 Meses",LEFT(BBDD_Usiarios_Netflix[[#This Row],[Duración Plan]],2),LEFT(BBDD_Usiarios_Netflix[[#This Row],[Duración Plan]],1))</f>
        <v>1</v>
      </c>
      <c r="W2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2" spans="1:23" x14ac:dyDescent="0.25">
      <c r="A292">
        <v>291</v>
      </c>
      <c r="B292" t="s">
        <v>28</v>
      </c>
      <c r="C292">
        <v>15</v>
      </c>
      <c r="D292" s="3">
        <v>4</v>
      </c>
      <c r="E292" s="3">
        <v>12</v>
      </c>
      <c r="F292">
        <v>23</v>
      </c>
      <c r="G292" s="1">
        <f>DATEVALUE(_xlfn.CONCAT(BBDD_Usiarios_Netflix[[#This Row],[Día Suscripción]],"/",BBDD_Usiarios_Netflix[[#This Row],[Mes Suscripción]],"/",BBDD_Usiarios_Netflix[[#This Row],[Año Suscripción]]))</f>
        <v>45264</v>
      </c>
      <c r="H292" s="1">
        <v>27</v>
      </c>
      <c r="I292" s="1">
        <v>6</v>
      </c>
      <c r="J292" s="1">
        <v>24</v>
      </c>
      <c r="K292" s="1" t="str">
        <f>TEXT(BBDD_Usiarios_Netflix[[#This Row],[Fecha Suscripción]],"dddd")</f>
        <v>lunes</v>
      </c>
      <c r="L292" s="1">
        <f>DATEVALUE(_xlfn.CONCAT(BBDD_Usiarios_Netflix[[#This Row],[Día Último Pago]],"/",BBDD_Usiarios_Netflix[[#This Row],[Mes Último Pago]],"/",BBDD_Usiarios_Netflix[[#This Row],[Año Último Pago]]))</f>
        <v>45470</v>
      </c>
      <c r="M292" s="4">
        <f>DATEDIF(BBDD_Usiarios_Netflix[[#This Row],[Fecha Suscripción]],BBDD_Usiarios_Netflix[[#This Row],[Fecha Último Pago]],"M")+1</f>
        <v>7</v>
      </c>
      <c r="N292" s="4">
        <f>BBDD_Usiarios_Netflix[[#This Row],[Ingresos Mensuales]]*BBDD_Usiarios_Netflix[[#This Row],[Meses contratados]]</f>
        <v>105</v>
      </c>
      <c r="O292" t="s">
        <v>29</v>
      </c>
      <c r="P292" t="str">
        <f>IF(BBDD_Usiarios_Netflix[[#This Row],[País]]="","Desconocido",BBDD_Usiarios_Netflix[[#This Row],[País]])</f>
        <v>EEUU</v>
      </c>
      <c r="Q292">
        <v>29</v>
      </c>
      <c r="R292" t="s">
        <v>30</v>
      </c>
      <c r="S292" t="s">
        <v>31</v>
      </c>
      <c r="T292" t="s">
        <v>35</v>
      </c>
      <c r="U292">
        <f>IF(IFERROR(VLOOKUP(BBDD_Usiarios_Netflix[[#This Row],[Identificador Usuario]],A293:$A$5870,1,FALSE),0)&lt;&gt;0,1,0)</f>
        <v>0</v>
      </c>
      <c r="V292" s="6" t="str">
        <f>IF(BBDD_Usiarios_Netflix[[#This Row],[Duración Plan]]="12 Meses",LEFT(BBDD_Usiarios_Netflix[[#This Row],[Duración Plan]],2),LEFT(BBDD_Usiarios_Netflix[[#This Row],[Duración Plan]],1))</f>
        <v>6</v>
      </c>
      <c r="W2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93" spans="1:23" x14ac:dyDescent="0.25">
      <c r="A293">
        <v>292</v>
      </c>
      <c r="B293" t="s">
        <v>23</v>
      </c>
      <c r="C293">
        <v>11</v>
      </c>
      <c r="D293" s="3">
        <v>12</v>
      </c>
      <c r="E293" s="3">
        <v>12</v>
      </c>
      <c r="F293">
        <v>23</v>
      </c>
      <c r="G293" s="1">
        <f>DATEVALUE(_xlfn.CONCAT(BBDD_Usiarios_Netflix[[#This Row],[Día Suscripción]],"/",BBDD_Usiarios_Netflix[[#This Row],[Mes Suscripción]],"/",BBDD_Usiarios_Netflix[[#This Row],[Año Suscripción]]))</f>
        <v>45272</v>
      </c>
      <c r="H293" s="1">
        <v>27</v>
      </c>
      <c r="I293" s="1">
        <v>6</v>
      </c>
      <c r="J293" s="1">
        <v>24</v>
      </c>
      <c r="K293" s="1" t="str">
        <f>TEXT(BBDD_Usiarios_Netflix[[#This Row],[Fecha Suscripción]],"dddd")</f>
        <v>martes</v>
      </c>
      <c r="L293" s="1">
        <f>DATEVALUE(_xlfn.CONCAT(BBDD_Usiarios_Netflix[[#This Row],[Día Último Pago]],"/",BBDD_Usiarios_Netflix[[#This Row],[Mes Último Pago]],"/",BBDD_Usiarios_Netflix[[#This Row],[Año Último Pago]]))</f>
        <v>45470</v>
      </c>
      <c r="M293" s="4">
        <f>DATEDIF(BBDD_Usiarios_Netflix[[#This Row],[Fecha Suscripción]],BBDD_Usiarios_Netflix[[#This Row],[Fecha Último Pago]],"M")+1</f>
        <v>7</v>
      </c>
      <c r="N293" s="4">
        <f>BBDD_Usiarios_Netflix[[#This Row],[Ingresos Mensuales]]*BBDD_Usiarios_Netflix[[#This Row],[Meses contratados]]</f>
        <v>77</v>
      </c>
      <c r="O293" t="s">
        <v>39</v>
      </c>
      <c r="P293" t="str">
        <f>IF(BBDD_Usiarios_Netflix[[#This Row],[País]]="","Desconocido",BBDD_Usiarios_Netflix[[#This Row],[País]])</f>
        <v>Canadá</v>
      </c>
      <c r="Q293">
        <v>43</v>
      </c>
      <c r="R293" t="s">
        <v>30</v>
      </c>
      <c r="S293" t="s">
        <v>36</v>
      </c>
      <c r="T293" t="s">
        <v>27</v>
      </c>
      <c r="U293">
        <f>IF(IFERROR(VLOOKUP(BBDD_Usiarios_Netflix[[#This Row],[Identificador Usuario]],A294:$A$5870,1,FALSE),0)&lt;&gt;0,1,0)</f>
        <v>0</v>
      </c>
      <c r="V293" s="6" t="str">
        <f>IF(BBDD_Usiarios_Netflix[[#This Row],[Duración Plan]]="12 Meses",LEFT(BBDD_Usiarios_Netflix[[#This Row],[Duración Plan]],2),LEFT(BBDD_Usiarios_Netflix[[#This Row],[Duración Plan]],1))</f>
        <v>1</v>
      </c>
      <c r="W2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4" spans="1:23" x14ac:dyDescent="0.25">
      <c r="A294">
        <v>293</v>
      </c>
      <c r="B294" t="s">
        <v>32</v>
      </c>
      <c r="C294">
        <v>13</v>
      </c>
      <c r="D294" s="3">
        <v>9</v>
      </c>
      <c r="E294" s="3">
        <v>12</v>
      </c>
      <c r="F294">
        <v>23</v>
      </c>
      <c r="G294" s="1">
        <f>DATEVALUE(_xlfn.CONCAT(BBDD_Usiarios_Netflix[[#This Row],[Día Suscripción]],"/",BBDD_Usiarios_Netflix[[#This Row],[Mes Suscripción]],"/",BBDD_Usiarios_Netflix[[#This Row],[Año Suscripción]]))</f>
        <v>45269</v>
      </c>
      <c r="H294" s="1">
        <v>25</v>
      </c>
      <c r="I294" s="1">
        <v>6</v>
      </c>
      <c r="J294" s="1">
        <v>24</v>
      </c>
      <c r="K294" s="1" t="str">
        <f>TEXT(BBDD_Usiarios_Netflix[[#This Row],[Fecha Suscripción]],"dddd")</f>
        <v>sábado</v>
      </c>
      <c r="L294" s="1">
        <f>DATEVALUE(_xlfn.CONCAT(BBDD_Usiarios_Netflix[[#This Row],[Día Último Pago]],"/",BBDD_Usiarios_Netflix[[#This Row],[Mes Último Pago]],"/",BBDD_Usiarios_Netflix[[#This Row],[Año Último Pago]]))</f>
        <v>45468</v>
      </c>
      <c r="M294" s="4">
        <f>DATEDIF(BBDD_Usiarios_Netflix[[#This Row],[Fecha Suscripción]],BBDD_Usiarios_Netflix[[#This Row],[Fecha Último Pago]],"M")+1</f>
        <v>7</v>
      </c>
      <c r="N294" s="4">
        <f>BBDD_Usiarios_Netflix[[#This Row],[Ingresos Mensuales]]*BBDD_Usiarios_Netflix[[#This Row],[Meses contratados]]</f>
        <v>91</v>
      </c>
      <c r="O294" t="s">
        <v>44</v>
      </c>
      <c r="P294" t="str">
        <f>IF(BBDD_Usiarios_Netflix[[#This Row],[País]]="","Desconocido",BBDD_Usiarios_Netflix[[#This Row],[País]])</f>
        <v>Desconocido</v>
      </c>
      <c r="Q294">
        <v>39</v>
      </c>
      <c r="R294" t="s">
        <v>30</v>
      </c>
      <c r="S294" t="s">
        <v>36</v>
      </c>
      <c r="T294" t="s">
        <v>27</v>
      </c>
      <c r="U294">
        <f>IF(IFERROR(VLOOKUP(BBDD_Usiarios_Netflix[[#This Row],[Identificador Usuario]],A295:$A$5870,1,FALSE),0)&lt;&gt;0,1,0)</f>
        <v>0</v>
      </c>
      <c r="V294" s="6" t="str">
        <f>IF(BBDD_Usiarios_Netflix[[#This Row],[Duración Plan]]="12 Meses",LEFT(BBDD_Usiarios_Netflix[[#This Row],[Duración Plan]],2),LEFT(BBDD_Usiarios_Netflix[[#This Row],[Duración Plan]],1))</f>
        <v>1</v>
      </c>
      <c r="W2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5" spans="1:23" x14ac:dyDescent="0.25">
      <c r="A295">
        <v>294</v>
      </c>
      <c r="B295" t="s">
        <v>28</v>
      </c>
      <c r="C295">
        <v>14</v>
      </c>
      <c r="D295" s="3">
        <v>15</v>
      </c>
      <c r="E295" s="3">
        <v>10</v>
      </c>
      <c r="F295">
        <v>23</v>
      </c>
      <c r="G295" s="1">
        <f>DATEVALUE(_xlfn.CONCAT(BBDD_Usiarios_Netflix[[#This Row],[Día Suscripción]],"/",BBDD_Usiarios_Netflix[[#This Row],[Mes Suscripción]],"/",BBDD_Usiarios_Netflix[[#This Row],[Año Suscripción]]))</f>
        <v>45214</v>
      </c>
      <c r="H295" s="1">
        <v>29</v>
      </c>
      <c r="I295" s="1">
        <v>6</v>
      </c>
      <c r="J295" s="1">
        <v>24</v>
      </c>
      <c r="K295" s="1" t="str">
        <f>TEXT(BBDD_Usiarios_Netflix[[#This Row],[Fecha Suscripción]],"dddd")</f>
        <v>domingo</v>
      </c>
      <c r="L295" s="1">
        <f>DATEVALUE(_xlfn.CONCAT(BBDD_Usiarios_Netflix[[#This Row],[Día Último Pago]],"/",BBDD_Usiarios_Netflix[[#This Row],[Mes Último Pago]],"/",BBDD_Usiarios_Netflix[[#This Row],[Año Último Pago]]))</f>
        <v>45472</v>
      </c>
      <c r="M295" s="4">
        <f>DATEDIF(BBDD_Usiarios_Netflix[[#This Row],[Fecha Suscripción]],BBDD_Usiarios_Netflix[[#This Row],[Fecha Último Pago]],"M")+1</f>
        <v>9</v>
      </c>
      <c r="N295" s="4">
        <f>BBDD_Usiarios_Netflix[[#This Row],[Ingresos Mensuales]]*BBDD_Usiarios_Netflix[[#This Row],[Meses contratados]]</f>
        <v>126</v>
      </c>
      <c r="O295" t="s">
        <v>29</v>
      </c>
      <c r="P295" t="str">
        <f>IF(BBDD_Usiarios_Netflix[[#This Row],[País]]="","Desconocido",BBDD_Usiarios_Netflix[[#This Row],[País]])</f>
        <v>EEUU</v>
      </c>
      <c r="Q295">
        <v>50</v>
      </c>
      <c r="R295" t="s">
        <v>25</v>
      </c>
      <c r="S295" t="s">
        <v>36</v>
      </c>
      <c r="T295" t="s">
        <v>41</v>
      </c>
      <c r="U295">
        <f>IF(IFERROR(VLOOKUP(BBDD_Usiarios_Netflix[[#This Row],[Identificador Usuario]],A296:$A$5870,1,FALSE),0)&lt;&gt;0,1,0)</f>
        <v>0</v>
      </c>
      <c r="V295" s="6" t="str">
        <f>IF(BBDD_Usiarios_Netflix[[#This Row],[Duración Plan]]="12 Meses",LEFT(BBDD_Usiarios_Netflix[[#This Row],[Duración Plan]],2),LEFT(BBDD_Usiarios_Netflix[[#This Row],[Duración Plan]],1))</f>
        <v>12</v>
      </c>
      <c r="W2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96" spans="1:23" x14ac:dyDescent="0.25">
      <c r="A296">
        <v>295</v>
      </c>
      <c r="B296" t="s">
        <v>23</v>
      </c>
      <c r="C296">
        <v>10</v>
      </c>
      <c r="D296" s="3">
        <v>3</v>
      </c>
      <c r="E296" s="3">
        <v>10</v>
      </c>
      <c r="F296">
        <v>23</v>
      </c>
      <c r="G296" s="1">
        <f>DATEVALUE(_xlfn.CONCAT(BBDD_Usiarios_Netflix[[#This Row],[Día Suscripción]],"/",BBDD_Usiarios_Netflix[[#This Row],[Mes Suscripción]],"/",BBDD_Usiarios_Netflix[[#This Row],[Año Suscripción]]))</f>
        <v>45202</v>
      </c>
      <c r="H296" s="1">
        <v>27</v>
      </c>
      <c r="I296" s="1">
        <v>6</v>
      </c>
      <c r="J296" s="1">
        <v>24</v>
      </c>
      <c r="K296" s="1" t="str">
        <f>TEXT(BBDD_Usiarios_Netflix[[#This Row],[Fecha Suscripción]],"dddd")</f>
        <v>martes</v>
      </c>
      <c r="L296" s="1">
        <f>DATEVALUE(_xlfn.CONCAT(BBDD_Usiarios_Netflix[[#This Row],[Día Último Pago]],"/",BBDD_Usiarios_Netflix[[#This Row],[Mes Último Pago]],"/",BBDD_Usiarios_Netflix[[#This Row],[Año Último Pago]]))</f>
        <v>45470</v>
      </c>
      <c r="M296" s="4">
        <f>DATEDIF(BBDD_Usiarios_Netflix[[#This Row],[Fecha Suscripción]],BBDD_Usiarios_Netflix[[#This Row],[Fecha Último Pago]],"M")+1</f>
        <v>9</v>
      </c>
      <c r="N296" s="4">
        <f>BBDD_Usiarios_Netflix[[#This Row],[Ingresos Mensuales]]*BBDD_Usiarios_Netflix[[#This Row],[Meses contratados]]</f>
        <v>90</v>
      </c>
      <c r="O296" t="s">
        <v>42</v>
      </c>
      <c r="P296" t="str">
        <f>IF(BBDD_Usiarios_Netflix[[#This Row],[País]]="","Desconocido",BBDD_Usiarios_Netflix[[#This Row],[País]])</f>
        <v>Reino Unido</v>
      </c>
      <c r="Q296">
        <v>45</v>
      </c>
      <c r="R296" t="s">
        <v>25</v>
      </c>
      <c r="S296" t="s">
        <v>36</v>
      </c>
      <c r="T296" t="s">
        <v>27</v>
      </c>
      <c r="U296">
        <f>IF(IFERROR(VLOOKUP(BBDD_Usiarios_Netflix[[#This Row],[Identificador Usuario]],A297:$A$5870,1,FALSE),0)&lt;&gt;0,1,0)</f>
        <v>0</v>
      </c>
      <c r="V296" s="6" t="str">
        <f>IF(BBDD_Usiarios_Netflix[[#This Row],[Duración Plan]]="12 Meses",LEFT(BBDD_Usiarios_Netflix[[#This Row],[Duración Plan]],2),LEFT(BBDD_Usiarios_Netflix[[#This Row],[Duración Plan]],1))</f>
        <v>1</v>
      </c>
      <c r="W2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7" spans="1:23" x14ac:dyDescent="0.25">
      <c r="A297">
        <v>296</v>
      </c>
      <c r="B297" t="s">
        <v>23</v>
      </c>
      <c r="C297">
        <v>10</v>
      </c>
      <c r="D297" s="3">
        <v>1</v>
      </c>
      <c r="E297" s="3">
        <v>10</v>
      </c>
      <c r="F297">
        <v>23</v>
      </c>
      <c r="G297" s="1">
        <f>DATEVALUE(_xlfn.CONCAT(BBDD_Usiarios_Netflix[[#This Row],[Día Suscripción]],"/",BBDD_Usiarios_Netflix[[#This Row],[Mes Suscripción]],"/",BBDD_Usiarios_Netflix[[#This Row],[Año Suscripción]]))</f>
        <v>45200</v>
      </c>
      <c r="H297" s="1">
        <v>27</v>
      </c>
      <c r="I297" s="1">
        <v>6</v>
      </c>
      <c r="J297" s="1">
        <v>24</v>
      </c>
      <c r="K297" s="1" t="str">
        <f>TEXT(BBDD_Usiarios_Netflix[[#This Row],[Fecha Suscripción]],"dddd")</f>
        <v>domingo</v>
      </c>
      <c r="L297" s="1">
        <f>DATEVALUE(_xlfn.CONCAT(BBDD_Usiarios_Netflix[[#This Row],[Día Último Pago]],"/",BBDD_Usiarios_Netflix[[#This Row],[Mes Último Pago]],"/",BBDD_Usiarios_Netflix[[#This Row],[Año Último Pago]]))</f>
        <v>45470</v>
      </c>
      <c r="M297" s="4">
        <f>DATEDIF(BBDD_Usiarios_Netflix[[#This Row],[Fecha Suscripción]],BBDD_Usiarios_Netflix[[#This Row],[Fecha Último Pago]],"M")+1</f>
        <v>9</v>
      </c>
      <c r="N297" s="4">
        <f>BBDD_Usiarios_Netflix[[#This Row],[Ingresos Mensuales]]*BBDD_Usiarios_Netflix[[#This Row],[Meses contratados]]</f>
        <v>90</v>
      </c>
      <c r="O297" t="s">
        <v>45</v>
      </c>
      <c r="P297" t="str">
        <f>IF(BBDD_Usiarios_Netflix[[#This Row],[País]]="","Desconocido",BBDD_Usiarios_Netflix[[#This Row],[País]])</f>
        <v>España</v>
      </c>
      <c r="Q297">
        <v>48</v>
      </c>
      <c r="R297" t="s">
        <v>30</v>
      </c>
      <c r="S297" t="s">
        <v>31</v>
      </c>
      <c r="T297" t="s">
        <v>27</v>
      </c>
      <c r="U297">
        <f>IF(IFERROR(VLOOKUP(BBDD_Usiarios_Netflix[[#This Row],[Identificador Usuario]],A298:$A$5870,1,FALSE),0)&lt;&gt;0,1,0)</f>
        <v>0</v>
      </c>
      <c r="V297" s="6" t="str">
        <f>IF(BBDD_Usiarios_Netflix[[#This Row],[Duración Plan]]="12 Meses",LEFT(BBDD_Usiarios_Netflix[[#This Row],[Duración Plan]],2),LEFT(BBDD_Usiarios_Netflix[[#This Row],[Duración Plan]],1))</f>
        <v>1</v>
      </c>
      <c r="W2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8" spans="1:23" x14ac:dyDescent="0.25">
      <c r="A298">
        <v>297</v>
      </c>
      <c r="B298" t="s">
        <v>23</v>
      </c>
      <c r="C298">
        <v>10</v>
      </c>
      <c r="D298" s="3">
        <v>2</v>
      </c>
      <c r="E298" s="3">
        <v>11</v>
      </c>
      <c r="F298">
        <v>23</v>
      </c>
      <c r="G298" s="1">
        <f>DATEVALUE(_xlfn.CONCAT(BBDD_Usiarios_Netflix[[#This Row],[Día Suscripción]],"/",BBDD_Usiarios_Netflix[[#This Row],[Mes Suscripción]],"/",BBDD_Usiarios_Netflix[[#This Row],[Año Suscripción]]))</f>
        <v>45232</v>
      </c>
      <c r="H298" s="1">
        <v>24</v>
      </c>
      <c r="I298" s="1">
        <v>6</v>
      </c>
      <c r="J298" s="1">
        <v>24</v>
      </c>
      <c r="K298" s="1" t="str">
        <f>TEXT(BBDD_Usiarios_Netflix[[#This Row],[Fecha Suscripción]],"dddd")</f>
        <v>jueves</v>
      </c>
      <c r="L298" s="1">
        <f>DATEVALUE(_xlfn.CONCAT(BBDD_Usiarios_Netflix[[#This Row],[Día Último Pago]],"/",BBDD_Usiarios_Netflix[[#This Row],[Mes Último Pago]],"/",BBDD_Usiarios_Netflix[[#This Row],[Año Último Pago]]))</f>
        <v>45467</v>
      </c>
      <c r="M298" s="4">
        <f>DATEDIF(BBDD_Usiarios_Netflix[[#This Row],[Fecha Suscripción]],BBDD_Usiarios_Netflix[[#This Row],[Fecha Último Pago]],"M")+1</f>
        <v>8</v>
      </c>
      <c r="N298" s="4">
        <f>BBDD_Usiarios_Netflix[[#This Row],[Ingresos Mensuales]]*BBDD_Usiarios_Netflix[[#This Row],[Meses contratados]]</f>
        <v>80</v>
      </c>
      <c r="O298" t="s">
        <v>24</v>
      </c>
      <c r="P298" t="str">
        <f>IF(BBDD_Usiarios_Netflix[[#This Row],[País]]="","Desconocido",BBDD_Usiarios_Netflix[[#This Row],[País]])</f>
        <v>Australia</v>
      </c>
      <c r="Q298">
        <v>87</v>
      </c>
      <c r="R298" t="s">
        <v>25</v>
      </c>
      <c r="S298" t="s">
        <v>26</v>
      </c>
      <c r="T298" t="s">
        <v>27</v>
      </c>
      <c r="U298">
        <f>IF(IFERROR(VLOOKUP(BBDD_Usiarios_Netflix[[#This Row],[Identificador Usuario]],A299:$A$5870,1,FALSE),0)&lt;&gt;0,1,0)</f>
        <v>0</v>
      </c>
      <c r="V298" s="6" t="str">
        <f>IF(BBDD_Usiarios_Netflix[[#This Row],[Duración Plan]]="12 Meses",LEFT(BBDD_Usiarios_Netflix[[#This Row],[Duración Plan]],2),LEFT(BBDD_Usiarios_Netflix[[#This Row],[Duración Plan]],1))</f>
        <v>1</v>
      </c>
      <c r="W2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99" spans="1:23" x14ac:dyDescent="0.25">
      <c r="A299">
        <v>298</v>
      </c>
      <c r="B299" t="s">
        <v>32</v>
      </c>
      <c r="C299">
        <v>12</v>
      </c>
      <c r="D299" s="3">
        <v>3</v>
      </c>
      <c r="E299" s="3">
        <v>11</v>
      </c>
      <c r="F299">
        <v>23</v>
      </c>
      <c r="G299" s="1">
        <f>DATEVALUE(_xlfn.CONCAT(BBDD_Usiarios_Netflix[[#This Row],[Día Suscripción]],"/",BBDD_Usiarios_Netflix[[#This Row],[Mes Suscripción]],"/",BBDD_Usiarios_Netflix[[#This Row],[Año Suscripción]]))</f>
        <v>45233</v>
      </c>
      <c r="H299" s="1">
        <v>27</v>
      </c>
      <c r="I299" s="1">
        <v>6</v>
      </c>
      <c r="J299" s="1">
        <v>24</v>
      </c>
      <c r="K299" s="1" t="str">
        <f>TEXT(BBDD_Usiarios_Netflix[[#This Row],[Fecha Suscripción]],"dddd")</f>
        <v>viernes</v>
      </c>
      <c r="L299" s="1">
        <f>DATEVALUE(_xlfn.CONCAT(BBDD_Usiarios_Netflix[[#This Row],[Día Último Pago]],"/",BBDD_Usiarios_Netflix[[#This Row],[Mes Último Pago]],"/",BBDD_Usiarios_Netflix[[#This Row],[Año Último Pago]]))</f>
        <v>45470</v>
      </c>
      <c r="M299" s="4">
        <f>DATEDIF(BBDD_Usiarios_Netflix[[#This Row],[Fecha Suscripción]],BBDD_Usiarios_Netflix[[#This Row],[Fecha Último Pago]],"M")+1</f>
        <v>8</v>
      </c>
      <c r="N299" s="4">
        <f>BBDD_Usiarios_Netflix[[#This Row],[Ingresos Mensuales]]*BBDD_Usiarios_Netflix[[#This Row],[Meses contratados]]</f>
        <v>96</v>
      </c>
      <c r="O299" t="s">
        <v>29</v>
      </c>
      <c r="P299" t="str">
        <f>IF(BBDD_Usiarios_Netflix[[#This Row],[País]]="","Desconocido",BBDD_Usiarios_Netflix[[#This Row],[País]])</f>
        <v>EEUU</v>
      </c>
      <c r="Q299">
        <v>41</v>
      </c>
      <c r="R299" t="s">
        <v>25</v>
      </c>
      <c r="S299" t="s">
        <v>31</v>
      </c>
      <c r="T299" t="s">
        <v>41</v>
      </c>
      <c r="U299">
        <f>IF(IFERROR(VLOOKUP(BBDD_Usiarios_Netflix[[#This Row],[Identificador Usuario]],A300:$A$5870,1,FALSE),0)&lt;&gt;0,1,0)</f>
        <v>0</v>
      </c>
      <c r="V299" s="6" t="str">
        <f>IF(BBDD_Usiarios_Netflix[[#This Row],[Duración Plan]]="12 Meses",LEFT(BBDD_Usiarios_Netflix[[#This Row],[Duración Plan]],2),LEFT(BBDD_Usiarios_Netflix[[#This Row],[Duración Plan]],1))</f>
        <v>12</v>
      </c>
      <c r="W2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00" spans="1:23" x14ac:dyDescent="0.25">
      <c r="A300">
        <v>299</v>
      </c>
      <c r="B300" t="s">
        <v>28</v>
      </c>
      <c r="C300">
        <v>14</v>
      </c>
      <c r="D300" s="3">
        <v>30</v>
      </c>
      <c r="E300" s="3">
        <v>10</v>
      </c>
      <c r="F300">
        <v>23</v>
      </c>
      <c r="G300" s="1">
        <f>DATEVALUE(_xlfn.CONCAT(BBDD_Usiarios_Netflix[[#This Row],[Día Suscripción]],"/",BBDD_Usiarios_Netflix[[#This Row],[Mes Suscripción]],"/",BBDD_Usiarios_Netflix[[#This Row],[Año Suscripción]]))</f>
        <v>45229</v>
      </c>
      <c r="H300" s="1">
        <v>27</v>
      </c>
      <c r="I300" s="1">
        <v>6</v>
      </c>
      <c r="J300" s="1">
        <v>24</v>
      </c>
      <c r="K300" s="1" t="str">
        <f>TEXT(BBDD_Usiarios_Netflix[[#This Row],[Fecha Suscripción]],"dddd")</f>
        <v>lunes</v>
      </c>
      <c r="L300" s="1">
        <f>DATEVALUE(_xlfn.CONCAT(BBDD_Usiarios_Netflix[[#This Row],[Día Último Pago]],"/",BBDD_Usiarios_Netflix[[#This Row],[Mes Último Pago]],"/",BBDD_Usiarios_Netflix[[#This Row],[Año Último Pago]]))</f>
        <v>45470</v>
      </c>
      <c r="M300" s="4">
        <f>DATEDIF(BBDD_Usiarios_Netflix[[#This Row],[Fecha Suscripción]],BBDD_Usiarios_Netflix[[#This Row],[Fecha Último Pago]],"M")+1</f>
        <v>8</v>
      </c>
      <c r="N300" s="4">
        <f>BBDD_Usiarios_Netflix[[#This Row],[Ingresos Mensuales]]*BBDD_Usiarios_Netflix[[#This Row],[Meses contratados]]</f>
        <v>112</v>
      </c>
      <c r="O300" t="s">
        <v>29</v>
      </c>
      <c r="P300" t="str">
        <f>IF(BBDD_Usiarios_Netflix[[#This Row],[País]]="","Desconocido",BBDD_Usiarios_Netflix[[#This Row],[País]])</f>
        <v>EEUU</v>
      </c>
      <c r="Q300">
        <v>27</v>
      </c>
      <c r="R300" t="s">
        <v>25</v>
      </c>
      <c r="S300" t="s">
        <v>26</v>
      </c>
      <c r="T300" t="s">
        <v>27</v>
      </c>
      <c r="U300">
        <f>IF(IFERROR(VLOOKUP(BBDD_Usiarios_Netflix[[#This Row],[Identificador Usuario]],A301:$A$5870,1,FALSE),0)&lt;&gt;0,1,0)</f>
        <v>0</v>
      </c>
      <c r="V300" s="6" t="str">
        <f>IF(BBDD_Usiarios_Netflix[[#This Row],[Duración Plan]]="12 Meses",LEFT(BBDD_Usiarios_Netflix[[#This Row],[Duración Plan]],2),LEFT(BBDD_Usiarios_Netflix[[#This Row],[Duración Plan]],1))</f>
        <v>1</v>
      </c>
      <c r="W3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01" spans="1:23" x14ac:dyDescent="0.25">
      <c r="A301">
        <v>300</v>
      </c>
      <c r="B301" t="s">
        <v>23</v>
      </c>
      <c r="C301">
        <v>10</v>
      </c>
      <c r="D301" s="3">
        <v>30</v>
      </c>
      <c r="E301" s="3">
        <v>10</v>
      </c>
      <c r="F301">
        <v>23</v>
      </c>
      <c r="G301" s="1">
        <f>DATEVALUE(_xlfn.CONCAT(BBDD_Usiarios_Netflix[[#This Row],[Día Suscripción]],"/",BBDD_Usiarios_Netflix[[#This Row],[Mes Suscripción]],"/",BBDD_Usiarios_Netflix[[#This Row],[Año Suscripción]]))</f>
        <v>45229</v>
      </c>
      <c r="H301" s="1">
        <v>28</v>
      </c>
      <c r="I301" s="1">
        <v>6</v>
      </c>
      <c r="J301" s="1">
        <v>24</v>
      </c>
      <c r="K301" s="1" t="str">
        <f>TEXT(BBDD_Usiarios_Netflix[[#This Row],[Fecha Suscripción]],"dddd")</f>
        <v>lunes</v>
      </c>
      <c r="L301" s="1">
        <f>DATEVALUE(_xlfn.CONCAT(BBDD_Usiarios_Netflix[[#This Row],[Día Último Pago]],"/",BBDD_Usiarios_Netflix[[#This Row],[Mes Último Pago]],"/",BBDD_Usiarios_Netflix[[#This Row],[Año Último Pago]]))</f>
        <v>45471</v>
      </c>
      <c r="M301" s="4">
        <f>DATEDIF(BBDD_Usiarios_Netflix[[#This Row],[Fecha Suscripción]],BBDD_Usiarios_Netflix[[#This Row],[Fecha Último Pago]],"M")+1</f>
        <v>8</v>
      </c>
      <c r="N301" s="4">
        <f>BBDD_Usiarios_Netflix[[#This Row],[Ingresos Mensuales]]*BBDD_Usiarios_Netflix[[#This Row],[Meses contratados]]</f>
        <v>80</v>
      </c>
      <c r="O301" t="s">
        <v>40</v>
      </c>
      <c r="P301" t="str">
        <f>IF(BBDD_Usiarios_Netflix[[#This Row],[País]]="","Desconocido",BBDD_Usiarios_Netflix[[#This Row],[País]])</f>
        <v>Italia</v>
      </c>
      <c r="Q301">
        <v>36</v>
      </c>
      <c r="R301" t="s">
        <v>25</v>
      </c>
      <c r="S301" t="s">
        <v>36</v>
      </c>
      <c r="T301" t="s">
        <v>35</v>
      </c>
      <c r="U301">
        <f>IF(IFERROR(VLOOKUP(BBDD_Usiarios_Netflix[[#This Row],[Identificador Usuario]],A302:$A$5870,1,FALSE),0)&lt;&gt;0,1,0)</f>
        <v>0</v>
      </c>
      <c r="V301" s="6" t="str">
        <f>IF(BBDD_Usiarios_Netflix[[#This Row],[Duración Plan]]="12 Meses",LEFT(BBDD_Usiarios_Netflix[[#This Row],[Duración Plan]],2),LEFT(BBDD_Usiarios_Netflix[[#This Row],[Duración Plan]],1))</f>
        <v>6</v>
      </c>
      <c r="W3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02" spans="1:23" x14ac:dyDescent="0.25">
      <c r="A302">
        <v>301</v>
      </c>
      <c r="B302" t="s">
        <v>23</v>
      </c>
      <c r="C302">
        <v>10</v>
      </c>
      <c r="D302" s="3">
        <v>27</v>
      </c>
      <c r="E302" s="3">
        <v>9</v>
      </c>
      <c r="F302">
        <v>23</v>
      </c>
      <c r="G302" s="1">
        <f>DATEVALUE(_xlfn.CONCAT(BBDD_Usiarios_Netflix[[#This Row],[Día Suscripción]],"/",BBDD_Usiarios_Netflix[[#This Row],[Mes Suscripción]],"/",BBDD_Usiarios_Netflix[[#This Row],[Año Suscripción]]))</f>
        <v>45196</v>
      </c>
      <c r="H302" s="1">
        <v>24</v>
      </c>
      <c r="I302" s="1">
        <v>6</v>
      </c>
      <c r="J302" s="1">
        <v>24</v>
      </c>
      <c r="K302" s="1" t="str">
        <f>TEXT(BBDD_Usiarios_Netflix[[#This Row],[Fecha Suscripción]],"dddd")</f>
        <v>miércoles</v>
      </c>
      <c r="L302" s="1">
        <f>DATEVALUE(_xlfn.CONCAT(BBDD_Usiarios_Netflix[[#This Row],[Día Último Pago]],"/",BBDD_Usiarios_Netflix[[#This Row],[Mes Último Pago]],"/",BBDD_Usiarios_Netflix[[#This Row],[Año Último Pago]]))</f>
        <v>45467</v>
      </c>
      <c r="M302" s="4">
        <f>DATEDIF(BBDD_Usiarios_Netflix[[#This Row],[Fecha Suscripción]],BBDD_Usiarios_Netflix[[#This Row],[Fecha Último Pago]],"M")+1</f>
        <v>9</v>
      </c>
      <c r="N302" s="4">
        <f>BBDD_Usiarios_Netflix[[#This Row],[Ingresos Mensuales]]*BBDD_Usiarios_Netflix[[#This Row],[Meses contratados]]</f>
        <v>90</v>
      </c>
      <c r="O302" t="s">
        <v>24</v>
      </c>
      <c r="P302" t="str">
        <f>IF(BBDD_Usiarios_Netflix[[#This Row],[País]]="","Desconocido",BBDD_Usiarios_Netflix[[#This Row],[País]])</f>
        <v>Australia</v>
      </c>
      <c r="Q302">
        <v>36</v>
      </c>
      <c r="R302" t="s">
        <v>30</v>
      </c>
      <c r="S302" t="s">
        <v>36</v>
      </c>
      <c r="T302" t="s">
        <v>38</v>
      </c>
      <c r="U302">
        <f>IF(IFERROR(VLOOKUP(BBDD_Usiarios_Netflix[[#This Row],[Identificador Usuario]],A303:$A$5870,1,FALSE),0)&lt;&gt;0,1,0)</f>
        <v>0</v>
      </c>
      <c r="V302" s="6" t="str">
        <f>IF(BBDD_Usiarios_Netflix[[#This Row],[Duración Plan]]="12 Meses",LEFT(BBDD_Usiarios_Netflix[[#This Row],[Duración Plan]],2),LEFT(BBDD_Usiarios_Netflix[[#This Row],[Duración Plan]],1))</f>
        <v>3</v>
      </c>
      <c r="W3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03" spans="1:23" x14ac:dyDescent="0.25">
      <c r="A303">
        <v>302</v>
      </c>
      <c r="B303" t="s">
        <v>28</v>
      </c>
      <c r="C303">
        <v>14</v>
      </c>
      <c r="D303" s="3">
        <v>14</v>
      </c>
      <c r="E303" s="3">
        <v>9</v>
      </c>
      <c r="F303">
        <v>23</v>
      </c>
      <c r="G303" s="1">
        <f>DATEVALUE(_xlfn.CONCAT(BBDD_Usiarios_Netflix[[#This Row],[Día Suscripción]],"/",BBDD_Usiarios_Netflix[[#This Row],[Mes Suscripción]],"/",BBDD_Usiarios_Netflix[[#This Row],[Año Suscripción]]))</f>
        <v>45183</v>
      </c>
      <c r="H303" s="1">
        <v>27</v>
      </c>
      <c r="I303" s="1">
        <v>6</v>
      </c>
      <c r="J303" s="1">
        <v>24</v>
      </c>
      <c r="K303" s="1" t="str">
        <f>TEXT(BBDD_Usiarios_Netflix[[#This Row],[Fecha Suscripción]],"dddd")</f>
        <v>jueves</v>
      </c>
      <c r="L303" s="1">
        <f>DATEVALUE(_xlfn.CONCAT(BBDD_Usiarios_Netflix[[#This Row],[Día Último Pago]],"/",BBDD_Usiarios_Netflix[[#This Row],[Mes Último Pago]],"/",BBDD_Usiarios_Netflix[[#This Row],[Año Último Pago]]))</f>
        <v>45470</v>
      </c>
      <c r="M303" s="4">
        <f>DATEDIF(BBDD_Usiarios_Netflix[[#This Row],[Fecha Suscripción]],BBDD_Usiarios_Netflix[[#This Row],[Fecha Último Pago]],"M")+1</f>
        <v>10</v>
      </c>
      <c r="N303" s="4">
        <f>BBDD_Usiarios_Netflix[[#This Row],[Ingresos Mensuales]]*BBDD_Usiarios_Netflix[[#This Row],[Meses contratados]]</f>
        <v>140</v>
      </c>
      <c r="O303" t="s">
        <v>45</v>
      </c>
      <c r="P303" t="str">
        <f>IF(BBDD_Usiarios_Netflix[[#This Row],[País]]="","Desconocido",BBDD_Usiarios_Netflix[[#This Row],[País]])</f>
        <v>España</v>
      </c>
      <c r="Q303">
        <v>44</v>
      </c>
      <c r="R303" t="s">
        <v>25</v>
      </c>
      <c r="S303" t="s">
        <v>31</v>
      </c>
      <c r="T303" t="s">
        <v>27</v>
      </c>
      <c r="U303">
        <f>IF(IFERROR(VLOOKUP(BBDD_Usiarios_Netflix[[#This Row],[Identificador Usuario]],A304:$A$5870,1,FALSE),0)&lt;&gt;0,1,0)</f>
        <v>0</v>
      </c>
      <c r="V303" s="6" t="str">
        <f>IF(BBDD_Usiarios_Netflix[[#This Row],[Duración Plan]]="12 Meses",LEFT(BBDD_Usiarios_Netflix[[#This Row],[Duración Plan]],2),LEFT(BBDD_Usiarios_Netflix[[#This Row],[Duración Plan]],1))</f>
        <v>1</v>
      </c>
      <c r="W3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04" spans="1:23" x14ac:dyDescent="0.25">
      <c r="A304">
        <v>303</v>
      </c>
      <c r="B304" t="s">
        <v>32</v>
      </c>
      <c r="C304">
        <v>12</v>
      </c>
      <c r="D304" s="3">
        <v>11</v>
      </c>
      <c r="E304" s="3">
        <v>6</v>
      </c>
      <c r="F304">
        <v>23</v>
      </c>
      <c r="G304" s="1">
        <f>DATEVALUE(_xlfn.CONCAT(BBDD_Usiarios_Netflix[[#This Row],[Día Suscripción]],"/",BBDD_Usiarios_Netflix[[#This Row],[Mes Suscripción]],"/",BBDD_Usiarios_Netflix[[#This Row],[Año Suscripción]]))</f>
        <v>45088</v>
      </c>
      <c r="H304" s="1">
        <v>26</v>
      </c>
      <c r="I304" s="1">
        <v>6</v>
      </c>
      <c r="J304" s="1">
        <v>24</v>
      </c>
      <c r="K304" s="1" t="str">
        <f>TEXT(BBDD_Usiarios_Netflix[[#This Row],[Fecha Suscripción]],"dddd")</f>
        <v>domingo</v>
      </c>
      <c r="L304" s="1">
        <f>DATEVALUE(_xlfn.CONCAT(BBDD_Usiarios_Netflix[[#This Row],[Día Último Pago]],"/",BBDD_Usiarios_Netflix[[#This Row],[Mes Último Pago]],"/",BBDD_Usiarios_Netflix[[#This Row],[Año Último Pago]]))</f>
        <v>45469</v>
      </c>
      <c r="M304" s="4">
        <f>DATEDIF(BBDD_Usiarios_Netflix[[#This Row],[Fecha Suscripción]],BBDD_Usiarios_Netflix[[#This Row],[Fecha Último Pago]],"M")+1</f>
        <v>13</v>
      </c>
      <c r="N304" s="4">
        <f>BBDD_Usiarios_Netflix[[#This Row],[Ingresos Mensuales]]*BBDD_Usiarios_Netflix[[#This Row],[Meses contratados]]</f>
        <v>156</v>
      </c>
      <c r="O304" t="s">
        <v>42</v>
      </c>
      <c r="P304" t="str">
        <f>IF(BBDD_Usiarios_Netflix[[#This Row],[País]]="","Desconocido",BBDD_Usiarios_Netflix[[#This Row],[País]])</f>
        <v>Reino Unido</v>
      </c>
      <c r="Q304">
        <v>45</v>
      </c>
      <c r="R304" t="s">
        <v>25</v>
      </c>
      <c r="S304" t="s">
        <v>31</v>
      </c>
      <c r="T304" t="s">
        <v>41</v>
      </c>
      <c r="U304">
        <f>IF(IFERROR(VLOOKUP(BBDD_Usiarios_Netflix[[#This Row],[Identificador Usuario]],A305:$A$5870,1,FALSE),0)&lt;&gt;0,1,0)</f>
        <v>0</v>
      </c>
      <c r="V304" s="6" t="str">
        <f>IF(BBDD_Usiarios_Netflix[[#This Row],[Duración Plan]]="12 Meses",LEFT(BBDD_Usiarios_Netflix[[#This Row],[Duración Plan]],2),LEFT(BBDD_Usiarios_Netflix[[#This Row],[Duración Plan]],1))</f>
        <v>12</v>
      </c>
      <c r="W3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05" spans="1:23" x14ac:dyDescent="0.25">
      <c r="A305">
        <v>304</v>
      </c>
      <c r="B305" t="s">
        <v>32</v>
      </c>
      <c r="C305">
        <v>12</v>
      </c>
      <c r="D305" s="3">
        <v>11</v>
      </c>
      <c r="E305" s="3">
        <v>6</v>
      </c>
      <c r="F305">
        <v>23</v>
      </c>
      <c r="G305" s="1">
        <f>DATEVALUE(_xlfn.CONCAT(BBDD_Usiarios_Netflix[[#This Row],[Día Suscripción]],"/",BBDD_Usiarios_Netflix[[#This Row],[Mes Suscripción]],"/",BBDD_Usiarios_Netflix[[#This Row],[Año Suscripción]]))</f>
        <v>45088</v>
      </c>
      <c r="H305" s="1">
        <v>29</v>
      </c>
      <c r="I305" s="1">
        <v>6</v>
      </c>
      <c r="J305" s="1">
        <v>24</v>
      </c>
      <c r="K305" s="1" t="str">
        <f>TEXT(BBDD_Usiarios_Netflix[[#This Row],[Fecha Suscripción]],"dddd")</f>
        <v>domingo</v>
      </c>
      <c r="L305" s="1">
        <f>DATEVALUE(_xlfn.CONCAT(BBDD_Usiarios_Netflix[[#This Row],[Día Último Pago]],"/",BBDD_Usiarios_Netflix[[#This Row],[Mes Último Pago]],"/",BBDD_Usiarios_Netflix[[#This Row],[Año Último Pago]]))</f>
        <v>45472</v>
      </c>
      <c r="M305" s="4">
        <f>DATEDIF(BBDD_Usiarios_Netflix[[#This Row],[Fecha Suscripción]],BBDD_Usiarios_Netflix[[#This Row],[Fecha Último Pago]],"M")+1</f>
        <v>13</v>
      </c>
      <c r="N305" s="4">
        <f>BBDD_Usiarios_Netflix[[#This Row],[Ingresos Mensuales]]*BBDD_Usiarios_Netflix[[#This Row],[Meses contratados]]</f>
        <v>156</v>
      </c>
      <c r="O305" t="s">
        <v>39</v>
      </c>
      <c r="P305" t="str">
        <f>IF(BBDD_Usiarios_Netflix[[#This Row],[País]]="","Desconocido",BBDD_Usiarios_Netflix[[#This Row],[País]])</f>
        <v>Canadá</v>
      </c>
      <c r="Q305">
        <v>33</v>
      </c>
      <c r="R305" t="s">
        <v>30</v>
      </c>
      <c r="S305" t="s">
        <v>26</v>
      </c>
      <c r="T305" t="s">
        <v>38</v>
      </c>
      <c r="U305">
        <f>IF(IFERROR(VLOOKUP(BBDD_Usiarios_Netflix[[#This Row],[Identificador Usuario]],A306:$A$5870,1,FALSE),0)&lt;&gt;0,1,0)</f>
        <v>0</v>
      </c>
      <c r="V305" s="6" t="str">
        <f>IF(BBDD_Usiarios_Netflix[[#This Row],[Duración Plan]]="12 Meses",LEFT(BBDD_Usiarios_Netflix[[#This Row],[Duración Plan]],2),LEFT(BBDD_Usiarios_Netflix[[#This Row],[Duración Plan]],1))</f>
        <v>3</v>
      </c>
      <c r="W3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06" spans="1:23" x14ac:dyDescent="0.25">
      <c r="A306">
        <v>305</v>
      </c>
      <c r="B306" t="s">
        <v>23</v>
      </c>
      <c r="C306">
        <v>11</v>
      </c>
      <c r="D306" s="3">
        <v>24</v>
      </c>
      <c r="E306" s="3">
        <v>5</v>
      </c>
      <c r="F306">
        <v>23</v>
      </c>
      <c r="G306" s="1">
        <f>DATEVALUE(_xlfn.CONCAT(BBDD_Usiarios_Netflix[[#This Row],[Día Suscripción]],"/",BBDD_Usiarios_Netflix[[#This Row],[Mes Suscripción]],"/",BBDD_Usiarios_Netflix[[#This Row],[Año Suscripción]]))</f>
        <v>45070</v>
      </c>
      <c r="H306" s="1">
        <v>26</v>
      </c>
      <c r="I306" s="1">
        <v>6</v>
      </c>
      <c r="J306" s="1">
        <v>24</v>
      </c>
      <c r="K306" s="1" t="str">
        <f>TEXT(BBDD_Usiarios_Netflix[[#This Row],[Fecha Suscripción]],"dddd")</f>
        <v>miércoles</v>
      </c>
      <c r="L306" s="1">
        <f>DATEVALUE(_xlfn.CONCAT(BBDD_Usiarios_Netflix[[#This Row],[Día Último Pago]],"/",BBDD_Usiarios_Netflix[[#This Row],[Mes Último Pago]],"/",BBDD_Usiarios_Netflix[[#This Row],[Año Último Pago]]))</f>
        <v>45469</v>
      </c>
      <c r="M306" s="4">
        <f>DATEDIF(BBDD_Usiarios_Netflix[[#This Row],[Fecha Suscripción]],BBDD_Usiarios_Netflix[[#This Row],[Fecha Último Pago]],"M")+1</f>
        <v>14</v>
      </c>
      <c r="N306" s="4">
        <f>BBDD_Usiarios_Netflix[[#This Row],[Ingresos Mensuales]]*BBDD_Usiarios_Netflix[[#This Row],[Meses contratados]]</f>
        <v>154</v>
      </c>
      <c r="O306" t="s">
        <v>39</v>
      </c>
      <c r="P306" t="str">
        <f>IF(BBDD_Usiarios_Netflix[[#This Row],[País]]="","Desconocido",BBDD_Usiarios_Netflix[[#This Row],[País]])</f>
        <v>Canadá</v>
      </c>
      <c r="Q306">
        <v>47</v>
      </c>
      <c r="R306" t="s">
        <v>25</v>
      </c>
      <c r="S306" t="s">
        <v>34</v>
      </c>
      <c r="T306" t="s">
        <v>35</v>
      </c>
      <c r="U306">
        <f>IF(IFERROR(VLOOKUP(BBDD_Usiarios_Netflix[[#This Row],[Identificador Usuario]],A307:$A$5870,1,FALSE),0)&lt;&gt;0,1,0)</f>
        <v>0</v>
      </c>
      <c r="V306" s="6" t="str">
        <f>IF(BBDD_Usiarios_Netflix[[#This Row],[Duración Plan]]="12 Meses",LEFT(BBDD_Usiarios_Netflix[[#This Row],[Duración Plan]],2),LEFT(BBDD_Usiarios_Netflix[[#This Row],[Duración Plan]],1))</f>
        <v>6</v>
      </c>
      <c r="W3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07" spans="1:23" x14ac:dyDescent="0.25">
      <c r="A307">
        <v>306</v>
      </c>
      <c r="B307" t="s">
        <v>28</v>
      </c>
      <c r="C307">
        <v>14</v>
      </c>
      <c r="D307" s="3">
        <v>6</v>
      </c>
      <c r="E307" s="3">
        <v>7</v>
      </c>
      <c r="F307">
        <v>23</v>
      </c>
      <c r="G307" s="1">
        <f>DATEVALUE(_xlfn.CONCAT(BBDD_Usiarios_Netflix[[#This Row],[Día Suscripción]],"/",BBDD_Usiarios_Netflix[[#This Row],[Mes Suscripción]],"/",BBDD_Usiarios_Netflix[[#This Row],[Año Suscripción]]))</f>
        <v>45113</v>
      </c>
      <c r="H307" s="1">
        <v>27</v>
      </c>
      <c r="I307" s="1">
        <v>6</v>
      </c>
      <c r="J307" s="1">
        <v>24</v>
      </c>
      <c r="K307" s="1" t="str">
        <f>TEXT(BBDD_Usiarios_Netflix[[#This Row],[Fecha Suscripción]],"dddd")</f>
        <v>jueves</v>
      </c>
      <c r="L307" s="1">
        <f>DATEVALUE(_xlfn.CONCAT(BBDD_Usiarios_Netflix[[#This Row],[Día Último Pago]],"/",BBDD_Usiarios_Netflix[[#This Row],[Mes Último Pago]],"/",BBDD_Usiarios_Netflix[[#This Row],[Año Último Pago]]))</f>
        <v>45470</v>
      </c>
      <c r="M307" s="4">
        <f>DATEDIF(BBDD_Usiarios_Netflix[[#This Row],[Fecha Suscripción]],BBDD_Usiarios_Netflix[[#This Row],[Fecha Último Pago]],"M")+1</f>
        <v>12</v>
      </c>
      <c r="N307" s="4">
        <f>BBDD_Usiarios_Netflix[[#This Row],[Ingresos Mensuales]]*BBDD_Usiarios_Netflix[[#This Row],[Meses contratados]]</f>
        <v>168</v>
      </c>
      <c r="O307" t="s">
        <v>40</v>
      </c>
      <c r="P307" t="str">
        <f>IF(BBDD_Usiarios_Netflix[[#This Row],[País]]="","Desconocido",BBDD_Usiarios_Netflix[[#This Row],[País]])</f>
        <v>Italia</v>
      </c>
      <c r="Q307">
        <v>45</v>
      </c>
      <c r="R307" t="s">
        <v>25</v>
      </c>
      <c r="S307" t="s">
        <v>31</v>
      </c>
      <c r="T307" t="s">
        <v>38</v>
      </c>
      <c r="U307">
        <f>IF(IFERROR(VLOOKUP(BBDD_Usiarios_Netflix[[#This Row],[Identificador Usuario]],A308:$A$5870,1,FALSE),0)&lt;&gt;0,1,0)</f>
        <v>0</v>
      </c>
      <c r="V307" s="6" t="str">
        <f>IF(BBDD_Usiarios_Netflix[[#This Row],[Duración Plan]]="12 Meses",LEFT(BBDD_Usiarios_Netflix[[#This Row],[Duración Plan]],2),LEFT(BBDD_Usiarios_Netflix[[#This Row],[Duración Plan]],1))</f>
        <v>3</v>
      </c>
      <c r="W3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08" spans="1:23" x14ac:dyDescent="0.25">
      <c r="A308">
        <v>307</v>
      </c>
      <c r="B308" t="s">
        <v>32</v>
      </c>
      <c r="C308">
        <v>12</v>
      </c>
      <c r="D308" s="3">
        <v>8</v>
      </c>
      <c r="E308" s="3">
        <v>7</v>
      </c>
      <c r="F308">
        <v>23</v>
      </c>
      <c r="G308" s="1">
        <f>DATEVALUE(_xlfn.CONCAT(BBDD_Usiarios_Netflix[[#This Row],[Día Suscripción]],"/",BBDD_Usiarios_Netflix[[#This Row],[Mes Suscripción]],"/",BBDD_Usiarios_Netflix[[#This Row],[Año Suscripción]]))</f>
        <v>45115</v>
      </c>
      <c r="H308" s="1">
        <v>28</v>
      </c>
      <c r="I308" s="1">
        <v>6</v>
      </c>
      <c r="J308" s="1">
        <v>24</v>
      </c>
      <c r="K308" s="1" t="str">
        <f>TEXT(BBDD_Usiarios_Netflix[[#This Row],[Fecha Suscripción]],"dddd")</f>
        <v>sábado</v>
      </c>
      <c r="L308" s="1">
        <f>DATEVALUE(_xlfn.CONCAT(BBDD_Usiarios_Netflix[[#This Row],[Día Último Pago]],"/",BBDD_Usiarios_Netflix[[#This Row],[Mes Último Pago]],"/",BBDD_Usiarios_Netflix[[#This Row],[Año Último Pago]]))</f>
        <v>45471</v>
      </c>
      <c r="M308" s="4">
        <f>DATEDIF(BBDD_Usiarios_Netflix[[#This Row],[Fecha Suscripción]],BBDD_Usiarios_Netflix[[#This Row],[Fecha Último Pago]],"M")+1</f>
        <v>12</v>
      </c>
      <c r="N308" s="4">
        <f>BBDD_Usiarios_Netflix[[#This Row],[Ingresos Mensuales]]*BBDD_Usiarios_Netflix[[#This Row],[Meses contratados]]</f>
        <v>144</v>
      </c>
      <c r="O308" t="s">
        <v>29</v>
      </c>
      <c r="P308" t="str">
        <f>IF(BBDD_Usiarios_Netflix[[#This Row],[País]]="","Desconocido",BBDD_Usiarios_Netflix[[#This Row],[País]])</f>
        <v>EEUU</v>
      </c>
      <c r="Q308">
        <v>29</v>
      </c>
      <c r="R308" t="s">
        <v>30</v>
      </c>
      <c r="S308" t="s">
        <v>34</v>
      </c>
      <c r="T308" t="s">
        <v>38</v>
      </c>
      <c r="U308">
        <f>IF(IFERROR(VLOOKUP(BBDD_Usiarios_Netflix[[#This Row],[Identificador Usuario]],A309:$A$5870,1,FALSE),0)&lt;&gt;0,1,0)</f>
        <v>0</v>
      </c>
      <c r="V308" s="6" t="str">
        <f>IF(BBDD_Usiarios_Netflix[[#This Row],[Duración Plan]]="12 Meses",LEFT(BBDD_Usiarios_Netflix[[#This Row],[Duración Plan]],2),LEFT(BBDD_Usiarios_Netflix[[#This Row],[Duración Plan]],1))</f>
        <v>3</v>
      </c>
      <c r="W3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09" spans="1:23" x14ac:dyDescent="0.25">
      <c r="A309">
        <v>308</v>
      </c>
      <c r="B309" t="s">
        <v>23</v>
      </c>
      <c r="C309">
        <v>10</v>
      </c>
      <c r="D309" s="3">
        <v>27</v>
      </c>
      <c r="E309" s="3">
        <v>10</v>
      </c>
      <c r="F309">
        <v>23</v>
      </c>
      <c r="G309" s="1">
        <f>DATEVALUE(_xlfn.CONCAT(BBDD_Usiarios_Netflix[[#This Row],[Día Suscripción]],"/",BBDD_Usiarios_Netflix[[#This Row],[Mes Suscripción]],"/",BBDD_Usiarios_Netflix[[#This Row],[Año Suscripción]]))</f>
        <v>45226</v>
      </c>
      <c r="H309" s="1">
        <v>27</v>
      </c>
      <c r="I309" s="1">
        <v>6</v>
      </c>
      <c r="J309" s="1">
        <v>24</v>
      </c>
      <c r="K309" s="1" t="str">
        <f>TEXT(BBDD_Usiarios_Netflix[[#This Row],[Fecha Suscripción]],"dddd")</f>
        <v>viernes</v>
      </c>
      <c r="L309" s="1">
        <f>DATEVALUE(_xlfn.CONCAT(BBDD_Usiarios_Netflix[[#This Row],[Día Último Pago]],"/",BBDD_Usiarios_Netflix[[#This Row],[Mes Último Pago]],"/",BBDD_Usiarios_Netflix[[#This Row],[Año Último Pago]]))</f>
        <v>45470</v>
      </c>
      <c r="M309" s="4">
        <f>DATEDIF(BBDD_Usiarios_Netflix[[#This Row],[Fecha Suscripción]],BBDD_Usiarios_Netflix[[#This Row],[Fecha Último Pago]],"M")+1</f>
        <v>9</v>
      </c>
      <c r="N309" s="4">
        <f>BBDD_Usiarios_Netflix[[#This Row],[Ingresos Mensuales]]*BBDD_Usiarios_Netflix[[#This Row],[Meses contratados]]</f>
        <v>90</v>
      </c>
      <c r="O309" t="s">
        <v>24</v>
      </c>
      <c r="P309" t="str">
        <f>IF(BBDD_Usiarios_Netflix[[#This Row],[País]]="","Desconocido",BBDD_Usiarios_Netflix[[#This Row],[País]])</f>
        <v>Australia</v>
      </c>
      <c r="Q309">
        <v>31</v>
      </c>
      <c r="R309" t="s">
        <v>25</v>
      </c>
      <c r="S309" t="s">
        <v>34</v>
      </c>
      <c r="T309" t="s">
        <v>27</v>
      </c>
      <c r="U309">
        <f>IF(IFERROR(VLOOKUP(BBDD_Usiarios_Netflix[[#This Row],[Identificador Usuario]],A310:$A$5870,1,FALSE),0)&lt;&gt;0,1,0)</f>
        <v>0</v>
      </c>
      <c r="V309" s="6" t="str">
        <f>IF(BBDD_Usiarios_Netflix[[#This Row],[Duración Plan]]="12 Meses",LEFT(BBDD_Usiarios_Netflix[[#This Row],[Duración Plan]],2),LEFT(BBDD_Usiarios_Netflix[[#This Row],[Duración Plan]],1))</f>
        <v>1</v>
      </c>
      <c r="W3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0" spans="1:23" x14ac:dyDescent="0.25">
      <c r="A310">
        <v>309</v>
      </c>
      <c r="B310" t="s">
        <v>32</v>
      </c>
      <c r="C310">
        <v>12</v>
      </c>
      <c r="D310" s="3">
        <v>9</v>
      </c>
      <c r="E310" s="3">
        <v>8</v>
      </c>
      <c r="F310">
        <v>23</v>
      </c>
      <c r="G310" s="1">
        <f>DATEVALUE(_xlfn.CONCAT(BBDD_Usiarios_Netflix[[#This Row],[Día Suscripción]],"/",BBDD_Usiarios_Netflix[[#This Row],[Mes Suscripción]],"/",BBDD_Usiarios_Netflix[[#This Row],[Año Suscripción]]))</f>
        <v>45147</v>
      </c>
      <c r="H310" s="1">
        <v>28</v>
      </c>
      <c r="I310" s="1">
        <v>6</v>
      </c>
      <c r="J310" s="1">
        <v>24</v>
      </c>
      <c r="K310" s="1" t="str">
        <f>TEXT(BBDD_Usiarios_Netflix[[#This Row],[Fecha Suscripción]],"dddd")</f>
        <v>miércoles</v>
      </c>
      <c r="L310" s="1">
        <f>DATEVALUE(_xlfn.CONCAT(BBDD_Usiarios_Netflix[[#This Row],[Día Último Pago]],"/",BBDD_Usiarios_Netflix[[#This Row],[Mes Último Pago]],"/",BBDD_Usiarios_Netflix[[#This Row],[Año Último Pago]]))</f>
        <v>45471</v>
      </c>
      <c r="M310" s="4">
        <f>DATEDIF(BBDD_Usiarios_Netflix[[#This Row],[Fecha Suscripción]],BBDD_Usiarios_Netflix[[#This Row],[Fecha Último Pago]],"M")+1</f>
        <v>11</v>
      </c>
      <c r="N310" s="4">
        <f>BBDD_Usiarios_Netflix[[#This Row],[Ingresos Mensuales]]*BBDD_Usiarios_Netflix[[#This Row],[Meses contratados]]</f>
        <v>132</v>
      </c>
      <c r="O310" t="s">
        <v>43</v>
      </c>
      <c r="P310" t="str">
        <f>IF(BBDD_Usiarios_Netflix[[#This Row],[País]]="","Desconocido",BBDD_Usiarios_Netflix[[#This Row],[País]])</f>
        <v>Alemania</v>
      </c>
      <c r="Q310">
        <v>31</v>
      </c>
      <c r="R310" t="s">
        <v>25</v>
      </c>
      <c r="S310" t="s">
        <v>26</v>
      </c>
      <c r="T310" t="s">
        <v>27</v>
      </c>
      <c r="U310">
        <f>IF(IFERROR(VLOOKUP(BBDD_Usiarios_Netflix[[#This Row],[Identificador Usuario]],A311:$A$5870,1,FALSE),0)&lt;&gt;0,1,0)</f>
        <v>0</v>
      </c>
      <c r="V310" s="6" t="str">
        <f>IF(BBDD_Usiarios_Netflix[[#This Row],[Duración Plan]]="12 Meses",LEFT(BBDD_Usiarios_Netflix[[#This Row],[Duración Plan]],2),LEFT(BBDD_Usiarios_Netflix[[#This Row],[Duración Plan]],1))</f>
        <v>1</v>
      </c>
      <c r="W3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1" spans="1:23" x14ac:dyDescent="0.25">
      <c r="A311">
        <v>310</v>
      </c>
      <c r="B311" t="s">
        <v>28</v>
      </c>
      <c r="C311">
        <v>14</v>
      </c>
      <c r="D311" s="3">
        <v>14</v>
      </c>
      <c r="E311" s="3">
        <v>6</v>
      </c>
      <c r="F311">
        <v>23</v>
      </c>
      <c r="G311" s="1">
        <f>DATEVALUE(_xlfn.CONCAT(BBDD_Usiarios_Netflix[[#This Row],[Día Suscripción]],"/",BBDD_Usiarios_Netflix[[#This Row],[Mes Suscripción]],"/",BBDD_Usiarios_Netflix[[#This Row],[Año Suscripción]]))</f>
        <v>45091</v>
      </c>
      <c r="H311" s="1">
        <v>26</v>
      </c>
      <c r="I311" s="1">
        <v>6</v>
      </c>
      <c r="J311" s="1">
        <v>24</v>
      </c>
      <c r="K311" s="1" t="str">
        <f>TEXT(BBDD_Usiarios_Netflix[[#This Row],[Fecha Suscripción]],"dddd")</f>
        <v>miércoles</v>
      </c>
      <c r="L311" s="1">
        <f>DATEVALUE(_xlfn.CONCAT(BBDD_Usiarios_Netflix[[#This Row],[Día Último Pago]],"/",BBDD_Usiarios_Netflix[[#This Row],[Mes Último Pago]],"/",BBDD_Usiarios_Netflix[[#This Row],[Año Último Pago]]))</f>
        <v>45469</v>
      </c>
      <c r="M311" s="4">
        <f>DATEDIF(BBDD_Usiarios_Netflix[[#This Row],[Fecha Suscripción]],BBDD_Usiarios_Netflix[[#This Row],[Fecha Último Pago]],"M")+1</f>
        <v>13</v>
      </c>
      <c r="N311" s="4">
        <f>BBDD_Usiarios_Netflix[[#This Row],[Ingresos Mensuales]]*BBDD_Usiarios_Netflix[[#This Row],[Meses contratados]]</f>
        <v>182</v>
      </c>
      <c r="O311" t="s">
        <v>45</v>
      </c>
      <c r="P311" t="str">
        <f>IF(BBDD_Usiarios_Netflix[[#This Row],[País]]="","Desconocido",BBDD_Usiarios_Netflix[[#This Row],[País]])</f>
        <v>España</v>
      </c>
      <c r="Q311">
        <v>49</v>
      </c>
      <c r="R311" t="s">
        <v>30</v>
      </c>
      <c r="S311" t="s">
        <v>26</v>
      </c>
      <c r="T311" t="s">
        <v>35</v>
      </c>
      <c r="U311">
        <f>IF(IFERROR(VLOOKUP(BBDD_Usiarios_Netflix[[#This Row],[Identificador Usuario]],A312:$A$5870,1,FALSE),0)&lt;&gt;0,1,0)</f>
        <v>0</v>
      </c>
      <c r="V311" s="6" t="str">
        <f>IF(BBDD_Usiarios_Netflix[[#This Row],[Duración Plan]]="12 Meses",LEFT(BBDD_Usiarios_Netflix[[#This Row],[Duración Plan]],2),LEFT(BBDD_Usiarios_Netflix[[#This Row],[Duración Plan]],1))</f>
        <v>6</v>
      </c>
      <c r="W3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12" spans="1:23" x14ac:dyDescent="0.25">
      <c r="A312">
        <v>311</v>
      </c>
      <c r="B312" t="s">
        <v>23</v>
      </c>
      <c r="C312">
        <v>10</v>
      </c>
      <c r="D312" s="3">
        <v>7</v>
      </c>
      <c r="E312" s="3">
        <v>6</v>
      </c>
      <c r="F312">
        <v>23</v>
      </c>
      <c r="G312" s="1">
        <f>DATEVALUE(_xlfn.CONCAT(BBDD_Usiarios_Netflix[[#This Row],[Día Suscripción]],"/",BBDD_Usiarios_Netflix[[#This Row],[Mes Suscripción]],"/",BBDD_Usiarios_Netflix[[#This Row],[Año Suscripción]]))</f>
        <v>45084</v>
      </c>
      <c r="H312" s="1">
        <v>27</v>
      </c>
      <c r="I312" s="1">
        <v>6</v>
      </c>
      <c r="J312" s="1">
        <v>24</v>
      </c>
      <c r="K312" s="1" t="str">
        <f>TEXT(BBDD_Usiarios_Netflix[[#This Row],[Fecha Suscripción]],"dddd")</f>
        <v>miércoles</v>
      </c>
      <c r="L312" s="1">
        <f>DATEVALUE(_xlfn.CONCAT(BBDD_Usiarios_Netflix[[#This Row],[Día Último Pago]],"/",BBDD_Usiarios_Netflix[[#This Row],[Mes Último Pago]],"/",BBDD_Usiarios_Netflix[[#This Row],[Año Último Pago]]))</f>
        <v>45470</v>
      </c>
      <c r="M312" s="4">
        <f>DATEDIF(BBDD_Usiarios_Netflix[[#This Row],[Fecha Suscripción]],BBDD_Usiarios_Netflix[[#This Row],[Fecha Último Pago]],"M")+1</f>
        <v>13</v>
      </c>
      <c r="N312" s="4">
        <f>BBDD_Usiarios_Netflix[[#This Row],[Ingresos Mensuales]]*BBDD_Usiarios_Netflix[[#This Row],[Meses contratados]]</f>
        <v>130</v>
      </c>
      <c r="O312" t="s">
        <v>29</v>
      </c>
      <c r="P312" t="str">
        <f>IF(BBDD_Usiarios_Netflix[[#This Row],[País]]="","Desconocido",BBDD_Usiarios_Netflix[[#This Row],[País]])</f>
        <v>EEUU</v>
      </c>
      <c r="Q312">
        <v>29</v>
      </c>
      <c r="R312" t="s">
        <v>30</v>
      </c>
      <c r="S312" t="s">
        <v>26</v>
      </c>
      <c r="T312" t="s">
        <v>35</v>
      </c>
      <c r="U312">
        <f>IF(IFERROR(VLOOKUP(BBDD_Usiarios_Netflix[[#This Row],[Identificador Usuario]],A313:$A$5870,1,FALSE),0)&lt;&gt;0,1,0)</f>
        <v>0</v>
      </c>
      <c r="V312" s="6" t="str">
        <f>IF(BBDD_Usiarios_Netflix[[#This Row],[Duración Plan]]="12 Meses",LEFT(BBDD_Usiarios_Netflix[[#This Row],[Duración Plan]],2),LEFT(BBDD_Usiarios_Netflix[[#This Row],[Duración Plan]],1))</f>
        <v>6</v>
      </c>
      <c r="W3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13" spans="1:23" x14ac:dyDescent="0.25">
      <c r="A313">
        <v>312</v>
      </c>
      <c r="B313" t="s">
        <v>28</v>
      </c>
      <c r="C313">
        <v>15</v>
      </c>
      <c r="D313" s="3">
        <v>27</v>
      </c>
      <c r="E313" s="3">
        <v>5</v>
      </c>
      <c r="F313">
        <v>23</v>
      </c>
      <c r="G313" s="1">
        <f>DATEVALUE(_xlfn.CONCAT(BBDD_Usiarios_Netflix[[#This Row],[Día Suscripción]],"/",BBDD_Usiarios_Netflix[[#This Row],[Mes Suscripción]],"/",BBDD_Usiarios_Netflix[[#This Row],[Año Suscripción]]))</f>
        <v>45073</v>
      </c>
      <c r="H313" s="1">
        <v>26</v>
      </c>
      <c r="I313" s="1">
        <v>6</v>
      </c>
      <c r="J313" s="1">
        <v>24</v>
      </c>
      <c r="K313" s="1" t="str">
        <f>TEXT(BBDD_Usiarios_Netflix[[#This Row],[Fecha Suscripción]],"dddd")</f>
        <v>sábado</v>
      </c>
      <c r="L313" s="1">
        <f>DATEVALUE(_xlfn.CONCAT(BBDD_Usiarios_Netflix[[#This Row],[Día Último Pago]],"/",BBDD_Usiarios_Netflix[[#This Row],[Mes Último Pago]],"/",BBDD_Usiarios_Netflix[[#This Row],[Año Último Pago]]))</f>
        <v>45469</v>
      </c>
      <c r="M313" s="4">
        <f>DATEDIF(BBDD_Usiarios_Netflix[[#This Row],[Fecha Suscripción]],BBDD_Usiarios_Netflix[[#This Row],[Fecha Último Pago]],"M")+1</f>
        <v>13</v>
      </c>
      <c r="N313" s="4">
        <f>BBDD_Usiarios_Netflix[[#This Row],[Ingresos Mensuales]]*BBDD_Usiarios_Netflix[[#This Row],[Meses contratados]]</f>
        <v>195</v>
      </c>
      <c r="O313" t="s">
        <v>33</v>
      </c>
      <c r="P313" t="str">
        <f>IF(BBDD_Usiarios_Netflix[[#This Row],[País]]="","Desconocido",BBDD_Usiarios_Netflix[[#This Row],[País]])</f>
        <v>Francia</v>
      </c>
      <c r="Q313">
        <v>50</v>
      </c>
      <c r="R313" t="s">
        <v>25</v>
      </c>
      <c r="S313" t="s">
        <v>36</v>
      </c>
      <c r="T313" t="s">
        <v>27</v>
      </c>
      <c r="U313">
        <f>IF(IFERROR(VLOOKUP(BBDD_Usiarios_Netflix[[#This Row],[Identificador Usuario]],A314:$A$5870,1,FALSE),0)&lt;&gt;0,1,0)</f>
        <v>0</v>
      </c>
      <c r="V313" s="6" t="str">
        <f>IF(BBDD_Usiarios_Netflix[[#This Row],[Duración Plan]]="12 Meses",LEFT(BBDD_Usiarios_Netflix[[#This Row],[Duración Plan]],2),LEFT(BBDD_Usiarios_Netflix[[#This Row],[Duración Plan]],1))</f>
        <v>1</v>
      </c>
      <c r="W3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4" spans="1:23" x14ac:dyDescent="0.25">
      <c r="A314">
        <v>313</v>
      </c>
      <c r="B314" t="s">
        <v>32</v>
      </c>
      <c r="C314">
        <v>13</v>
      </c>
      <c r="D314" s="3">
        <v>27</v>
      </c>
      <c r="E314" s="3">
        <v>5</v>
      </c>
      <c r="F314">
        <v>23</v>
      </c>
      <c r="G314" s="1">
        <f>DATEVALUE(_xlfn.CONCAT(BBDD_Usiarios_Netflix[[#This Row],[Día Suscripción]],"/",BBDD_Usiarios_Netflix[[#This Row],[Mes Suscripción]],"/",BBDD_Usiarios_Netflix[[#This Row],[Año Suscripción]]))</f>
        <v>45073</v>
      </c>
      <c r="H314" s="1">
        <v>27</v>
      </c>
      <c r="I314" s="1">
        <v>6</v>
      </c>
      <c r="J314" s="1">
        <v>24</v>
      </c>
      <c r="K314" s="1" t="str">
        <f>TEXT(BBDD_Usiarios_Netflix[[#This Row],[Fecha Suscripción]],"dddd")</f>
        <v>sábado</v>
      </c>
      <c r="L314" s="1">
        <f>DATEVALUE(_xlfn.CONCAT(BBDD_Usiarios_Netflix[[#This Row],[Día Último Pago]],"/",BBDD_Usiarios_Netflix[[#This Row],[Mes Último Pago]],"/",BBDD_Usiarios_Netflix[[#This Row],[Año Último Pago]]))</f>
        <v>45470</v>
      </c>
      <c r="M314" s="4">
        <f>DATEDIF(BBDD_Usiarios_Netflix[[#This Row],[Fecha Suscripción]],BBDD_Usiarios_Netflix[[#This Row],[Fecha Último Pago]],"M")+1</f>
        <v>14</v>
      </c>
      <c r="N314" s="4">
        <f>BBDD_Usiarios_Netflix[[#This Row],[Ingresos Mensuales]]*BBDD_Usiarios_Netflix[[#This Row],[Meses contratados]]</f>
        <v>182</v>
      </c>
      <c r="O314" t="s">
        <v>45</v>
      </c>
      <c r="P314" t="str">
        <f>IF(BBDD_Usiarios_Netflix[[#This Row],[País]]="","Desconocido",BBDD_Usiarios_Netflix[[#This Row],[País]])</f>
        <v>España</v>
      </c>
      <c r="Q314">
        <v>36</v>
      </c>
      <c r="R314" t="s">
        <v>30</v>
      </c>
      <c r="S314" t="s">
        <v>36</v>
      </c>
      <c r="T314" t="s">
        <v>38</v>
      </c>
      <c r="U314">
        <f>IF(IFERROR(VLOOKUP(BBDD_Usiarios_Netflix[[#This Row],[Identificador Usuario]],A315:$A$5870,1,FALSE),0)&lt;&gt;0,1,0)</f>
        <v>0</v>
      </c>
      <c r="V314" s="6" t="str">
        <f>IF(BBDD_Usiarios_Netflix[[#This Row],[Duración Plan]]="12 Meses",LEFT(BBDD_Usiarios_Netflix[[#This Row],[Duración Plan]],2),LEFT(BBDD_Usiarios_Netflix[[#This Row],[Duración Plan]],1))</f>
        <v>3</v>
      </c>
      <c r="W3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15" spans="1:23" x14ac:dyDescent="0.25">
      <c r="A315">
        <v>314</v>
      </c>
      <c r="B315" t="s">
        <v>23</v>
      </c>
      <c r="C315">
        <v>11</v>
      </c>
      <c r="D315" s="3">
        <v>21</v>
      </c>
      <c r="E315" s="3">
        <v>4</v>
      </c>
      <c r="F315">
        <v>23</v>
      </c>
      <c r="G315" s="1">
        <f>DATEVALUE(_xlfn.CONCAT(BBDD_Usiarios_Netflix[[#This Row],[Día Suscripción]],"/",BBDD_Usiarios_Netflix[[#This Row],[Mes Suscripción]],"/",BBDD_Usiarios_Netflix[[#This Row],[Año Suscripción]]))</f>
        <v>45037</v>
      </c>
      <c r="H315" s="1">
        <v>26</v>
      </c>
      <c r="I315" s="1">
        <v>6</v>
      </c>
      <c r="J315" s="1">
        <v>24</v>
      </c>
      <c r="K315" s="1" t="str">
        <f>TEXT(BBDD_Usiarios_Netflix[[#This Row],[Fecha Suscripción]],"dddd")</f>
        <v>viernes</v>
      </c>
      <c r="L315" s="1">
        <f>DATEVALUE(_xlfn.CONCAT(BBDD_Usiarios_Netflix[[#This Row],[Día Último Pago]],"/",BBDD_Usiarios_Netflix[[#This Row],[Mes Último Pago]],"/",BBDD_Usiarios_Netflix[[#This Row],[Año Último Pago]]))</f>
        <v>45469</v>
      </c>
      <c r="M315" s="4">
        <f>DATEDIF(BBDD_Usiarios_Netflix[[#This Row],[Fecha Suscripción]],BBDD_Usiarios_Netflix[[#This Row],[Fecha Último Pago]],"M")+1</f>
        <v>15</v>
      </c>
      <c r="N315" s="4">
        <f>BBDD_Usiarios_Netflix[[#This Row],[Ingresos Mensuales]]*BBDD_Usiarios_Netflix[[#This Row],[Meses contratados]]</f>
        <v>165</v>
      </c>
      <c r="O315" t="s">
        <v>29</v>
      </c>
      <c r="P315" t="str">
        <f>IF(BBDD_Usiarios_Netflix[[#This Row],[País]]="","Desconocido",BBDD_Usiarios_Netflix[[#This Row],[País]])</f>
        <v>EEUU</v>
      </c>
      <c r="Q315">
        <v>28</v>
      </c>
      <c r="R315" t="s">
        <v>25</v>
      </c>
      <c r="S315" t="s">
        <v>36</v>
      </c>
      <c r="T315" t="s">
        <v>27</v>
      </c>
      <c r="U315">
        <f>IF(IFERROR(VLOOKUP(BBDD_Usiarios_Netflix[[#This Row],[Identificador Usuario]],A316:$A$5870,1,FALSE),0)&lt;&gt;0,1,0)</f>
        <v>0</v>
      </c>
      <c r="V315" s="6" t="str">
        <f>IF(BBDD_Usiarios_Netflix[[#This Row],[Duración Plan]]="12 Meses",LEFT(BBDD_Usiarios_Netflix[[#This Row],[Duración Plan]],2),LEFT(BBDD_Usiarios_Netflix[[#This Row],[Duración Plan]],1))</f>
        <v>1</v>
      </c>
      <c r="W3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6" spans="1:23" x14ac:dyDescent="0.25">
      <c r="A316">
        <v>315</v>
      </c>
      <c r="B316" t="s">
        <v>32</v>
      </c>
      <c r="C316">
        <v>13</v>
      </c>
      <c r="D316" s="3">
        <v>28</v>
      </c>
      <c r="E316" s="3">
        <v>4</v>
      </c>
      <c r="F316">
        <v>23</v>
      </c>
      <c r="G316" s="1">
        <f>DATEVALUE(_xlfn.CONCAT(BBDD_Usiarios_Netflix[[#This Row],[Día Suscripción]],"/",BBDD_Usiarios_Netflix[[#This Row],[Mes Suscripción]],"/",BBDD_Usiarios_Netflix[[#This Row],[Año Suscripción]]))</f>
        <v>45044</v>
      </c>
      <c r="H316" s="1">
        <v>27</v>
      </c>
      <c r="I316" s="1">
        <v>6</v>
      </c>
      <c r="J316" s="1">
        <v>24</v>
      </c>
      <c r="K316" s="1" t="str">
        <f>TEXT(BBDD_Usiarios_Netflix[[#This Row],[Fecha Suscripción]],"dddd")</f>
        <v>viernes</v>
      </c>
      <c r="L316" s="1">
        <f>DATEVALUE(_xlfn.CONCAT(BBDD_Usiarios_Netflix[[#This Row],[Día Último Pago]],"/",BBDD_Usiarios_Netflix[[#This Row],[Mes Último Pago]],"/",BBDD_Usiarios_Netflix[[#This Row],[Año Último Pago]]))</f>
        <v>45470</v>
      </c>
      <c r="M316" s="4">
        <f>DATEDIF(BBDD_Usiarios_Netflix[[#This Row],[Fecha Suscripción]],BBDD_Usiarios_Netflix[[#This Row],[Fecha Último Pago]],"M")+1</f>
        <v>14</v>
      </c>
      <c r="N316" s="4">
        <f>BBDD_Usiarios_Netflix[[#This Row],[Ingresos Mensuales]]*BBDD_Usiarios_Netflix[[#This Row],[Meses contratados]]</f>
        <v>182</v>
      </c>
      <c r="O316" t="s">
        <v>43</v>
      </c>
      <c r="P316" t="str">
        <f>IF(BBDD_Usiarios_Netflix[[#This Row],[País]]="","Desconocido",BBDD_Usiarios_Netflix[[#This Row],[País]])</f>
        <v>Alemania</v>
      </c>
      <c r="Q316">
        <v>47</v>
      </c>
      <c r="R316" t="s">
        <v>30</v>
      </c>
      <c r="S316" t="s">
        <v>34</v>
      </c>
      <c r="T316" t="s">
        <v>27</v>
      </c>
      <c r="U316">
        <f>IF(IFERROR(VLOOKUP(BBDD_Usiarios_Netflix[[#This Row],[Identificador Usuario]],A317:$A$5870,1,FALSE),0)&lt;&gt;0,1,0)</f>
        <v>0</v>
      </c>
      <c r="V316" s="6" t="str">
        <f>IF(BBDD_Usiarios_Netflix[[#This Row],[Duración Plan]]="12 Meses",LEFT(BBDD_Usiarios_Netflix[[#This Row],[Duración Plan]],2),LEFT(BBDD_Usiarios_Netflix[[#This Row],[Duración Plan]],1))</f>
        <v>1</v>
      </c>
      <c r="W3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7" spans="1:23" x14ac:dyDescent="0.25">
      <c r="A317">
        <v>316</v>
      </c>
      <c r="B317" t="s">
        <v>28</v>
      </c>
      <c r="C317">
        <v>15</v>
      </c>
      <c r="D317" s="3">
        <v>27</v>
      </c>
      <c r="E317" s="3">
        <v>5</v>
      </c>
      <c r="F317">
        <v>23</v>
      </c>
      <c r="G317" s="1">
        <f>DATEVALUE(_xlfn.CONCAT(BBDD_Usiarios_Netflix[[#This Row],[Día Suscripción]],"/",BBDD_Usiarios_Netflix[[#This Row],[Mes Suscripción]],"/",BBDD_Usiarios_Netflix[[#This Row],[Año Suscripción]]))</f>
        <v>45073</v>
      </c>
      <c r="H317" s="1">
        <v>25</v>
      </c>
      <c r="I317" s="1">
        <v>6</v>
      </c>
      <c r="J317" s="1">
        <v>24</v>
      </c>
      <c r="K317" s="1" t="str">
        <f>TEXT(BBDD_Usiarios_Netflix[[#This Row],[Fecha Suscripción]],"dddd")</f>
        <v>sábado</v>
      </c>
      <c r="L317" s="1">
        <f>DATEVALUE(_xlfn.CONCAT(BBDD_Usiarios_Netflix[[#This Row],[Día Último Pago]],"/",BBDD_Usiarios_Netflix[[#This Row],[Mes Último Pago]],"/",BBDD_Usiarios_Netflix[[#This Row],[Año Último Pago]]))</f>
        <v>45468</v>
      </c>
      <c r="M317" s="4">
        <f>DATEDIF(BBDD_Usiarios_Netflix[[#This Row],[Fecha Suscripción]],BBDD_Usiarios_Netflix[[#This Row],[Fecha Último Pago]],"M")+1</f>
        <v>13</v>
      </c>
      <c r="N317" s="4">
        <f>BBDD_Usiarios_Netflix[[#This Row],[Ingresos Mensuales]]*BBDD_Usiarios_Netflix[[#This Row],[Meses contratados]]</f>
        <v>195</v>
      </c>
      <c r="O317" t="s">
        <v>42</v>
      </c>
      <c r="P317" t="str">
        <f>IF(BBDD_Usiarios_Netflix[[#This Row],[País]]="","Desconocido",BBDD_Usiarios_Netflix[[#This Row],[País]])</f>
        <v>Reino Unido</v>
      </c>
      <c r="Q317">
        <v>50</v>
      </c>
      <c r="R317" t="s">
        <v>30</v>
      </c>
      <c r="S317" t="s">
        <v>36</v>
      </c>
      <c r="T317" t="s">
        <v>38</v>
      </c>
      <c r="U317">
        <f>IF(IFERROR(VLOOKUP(BBDD_Usiarios_Netflix[[#This Row],[Identificador Usuario]],A318:$A$5870,1,FALSE),0)&lt;&gt;0,1,0)</f>
        <v>0</v>
      </c>
      <c r="V317" s="6" t="str">
        <f>IF(BBDD_Usiarios_Netflix[[#This Row],[Duración Plan]]="12 Meses",LEFT(BBDD_Usiarios_Netflix[[#This Row],[Duración Plan]],2),LEFT(BBDD_Usiarios_Netflix[[#This Row],[Duración Plan]],1))</f>
        <v>3</v>
      </c>
      <c r="W3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18" spans="1:23" x14ac:dyDescent="0.25">
      <c r="A318">
        <v>317</v>
      </c>
      <c r="B318" t="s">
        <v>23</v>
      </c>
      <c r="C318">
        <v>10</v>
      </c>
      <c r="D318" s="3">
        <v>25</v>
      </c>
      <c r="E318" s="3">
        <v>8</v>
      </c>
      <c r="F318">
        <v>23</v>
      </c>
      <c r="G318" s="1">
        <f>DATEVALUE(_xlfn.CONCAT(BBDD_Usiarios_Netflix[[#This Row],[Día Suscripción]],"/",BBDD_Usiarios_Netflix[[#This Row],[Mes Suscripción]],"/",BBDD_Usiarios_Netflix[[#This Row],[Año Suscripción]]))</f>
        <v>45163</v>
      </c>
      <c r="H318" s="1">
        <v>28</v>
      </c>
      <c r="I318" s="1">
        <v>6</v>
      </c>
      <c r="J318" s="1">
        <v>24</v>
      </c>
      <c r="K318" s="1" t="str">
        <f>TEXT(BBDD_Usiarios_Netflix[[#This Row],[Fecha Suscripción]],"dddd")</f>
        <v>viernes</v>
      </c>
      <c r="L318" s="1">
        <f>DATEVALUE(_xlfn.CONCAT(BBDD_Usiarios_Netflix[[#This Row],[Día Último Pago]],"/",BBDD_Usiarios_Netflix[[#This Row],[Mes Último Pago]],"/",BBDD_Usiarios_Netflix[[#This Row],[Año Último Pago]]))</f>
        <v>45471</v>
      </c>
      <c r="M318" s="4">
        <f>DATEDIF(BBDD_Usiarios_Netflix[[#This Row],[Fecha Suscripción]],BBDD_Usiarios_Netflix[[#This Row],[Fecha Último Pago]],"M")+1</f>
        <v>11</v>
      </c>
      <c r="N318" s="4">
        <f>BBDD_Usiarios_Netflix[[#This Row],[Ingresos Mensuales]]*BBDD_Usiarios_Netflix[[#This Row],[Meses contratados]]</f>
        <v>110</v>
      </c>
      <c r="O318" t="s">
        <v>29</v>
      </c>
      <c r="P318" t="str">
        <f>IF(BBDD_Usiarios_Netflix[[#This Row],[País]]="","Desconocido",BBDD_Usiarios_Netflix[[#This Row],[País]])</f>
        <v>EEUU</v>
      </c>
      <c r="Q318">
        <v>44</v>
      </c>
      <c r="R318" t="s">
        <v>30</v>
      </c>
      <c r="S318" t="s">
        <v>31</v>
      </c>
      <c r="T318" t="s">
        <v>27</v>
      </c>
      <c r="U318">
        <f>IF(IFERROR(VLOOKUP(BBDD_Usiarios_Netflix[[#This Row],[Identificador Usuario]],A319:$A$5870,1,FALSE),0)&lt;&gt;0,1,0)</f>
        <v>0</v>
      </c>
      <c r="V318" s="6" t="str">
        <f>IF(BBDD_Usiarios_Netflix[[#This Row],[Duración Plan]]="12 Meses",LEFT(BBDD_Usiarios_Netflix[[#This Row],[Duración Plan]],2),LEFT(BBDD_Usiarios_Netflix[[#This Row],[Duración Plan]],1))</f>
        <v>1</v>
      </c>
      <c r="W3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19" spans="1:23" x14ac:dyDescent="0.25">
      <c r="A319">
        <v>318</v>
      </c>
      <c r="B319" t="s">
        <v>32</v>
      </c>
      <c r="C319">
        <v>12</v>
      </c>
      <c r="D319" s="3">
        <v>2</v>
      </c>
      <c r="E319" s="3">
        <v>9</v>
      </c>
      <c r="F319">
        <v>23</v>
      </c>
      <c r="G319" s="1">
        <f>DATEVALUE(_xlfn.CONCAT(BBDD_Usiarios_Netflix[[#This Row],[Día Suscripción]],"/",BBDD_Usiarios_Netflix[[#This Row],[Mes Suscripción]],"/",BBDD_Usiarios_Netflix[[#This Row],[Año Suscripción]]))</f>
        <v>45171</v>
      </c>
      <c r="H319" s="1">
        <v>27</v>
      </c>
      <c r="I319" s="1">
        <v>6</v>
      </c>
      <c r="J319" s="1">
        <v>24</v>
      </c>
      <c r="K319" s="1" t="str">
        <f>TEXT(BBDD_Usiarios_Netflix[[#This Row],[Fecha Suscripción]],"dddd")</f>
        <v>sábado</v>
      </c>
      <c r="L319" s="1">
        <f>DATEVALUE(_xlfn.CONCAT(BBDD_Usiarios_Netflix[[#This Row],[Día Último Pago]],"/",BBDD_Usiarios_Netflix[[#This Row],[Mes Último Pago]],"/",BBDD_Usiarios_Netflix[[#This Row],[Año Último Pago]]))</f>
        <v>45470</v>
      </c>
      <c r="M319" s="4">
        <f>DATEDIF(BBDD_Usiarios_Netflix[[#This Row],[Fecha Suscripción]],BBDD_Usiarios_Netflix[[#This Row],[Fecha Último Pago]],"M")+1</f>
        <v>10</v>
      </c>
      <c r="N319" s="4">
        <f>BBDD_Usiarios_Netflix[[#This Row],[Ingresos Mensuales]]*BBDD_Usiarios_Netflix[[#This Row],[Meses contratados]]</f>
        <v>120</v>
      </c>
      <c r="O319" t="s">
        <v>43</v>
      </c>
      <c r="P319" t="str">
        <f>IF(BBDD_Usiarios_Netflix[[#This Row],[País]]="","Desconocido",BBDD_Usiarios_Netflix[[#This Row],[País]])</f>
        <v>Alemania</v>
      </c>
      <c r="Q319">
        <v>39</v>
      </c>
      <c r="R319" t="s">
        <v>30</v>
      </c>
      <c r="S319" t="s">
        <v>36</v>
      </c>
      <c r="T319" t="s">
        <v>27</v>
      </c>
      <c r="U319">
        <f>IF(IFERROR(VLOOKUP(BBDD_Usiarios_Netflix[[#This Row],[Identificador Usuario]],A320:$A$5870,1,FALSE),0)&lt;&gt;0,1,0)</f>
        <v>0</v>
      </c>
      <c r="V319" s="6" t="str">
        <f>IF(BBDD_Usiarios_Netflix[[#This Row],[Duración Plan]]="12 Meses",LEFT(BBDD_Usiarios_Netflix[[#This Row],[Duración Plan]],2),LEFT(BBDD_Usiarios_Netflix[[#This Row],[Duración Plan]],1))</f>
        <v>1</v>
      </c>
      <c r="W3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0" spans="1:23" x14ac:dyDescent="0.25">
      <c r="A320">
        <v>319</v>
      </c>
      <c r="B320" t="s">
        <v>28</v>
      </c>
      <c r="C320">
        <v>14</v>
      </c>
      <c r="D320" s="3">
        <v>22</v>
      </c>
      <c r="E320" s="3">
        <v>8</v>
      </c>
      <c r="F320">
        <v>23</v>
      </c>
      <c r="G320" s="1">
        <f>DATEVALUE(_xlfn.CONCAT(BBDD_Usiarios_Netflix[[#This Row],[Día Suscripción]],"/",BBDD_Usiarios_Netflix[[#This Row],[Mes Suscripción]],"/",BBDD_Usiarios_Netflix[[#This Row],[Año Suscripción]]))</f>
        <v>45160</v>
      </c>
      <c r="H320" s="1">
        <v>26</v>
      </c>
      <c r="I320" s="1">
        <v>6</v>
      </c>
      <c r="J320" s="1">
        <v>24</v>
      </c>
      <c r="K320" s="1" t="str">
        <f>TEXT(BBDD_Usiarios_Netflix[[#This Row],[Fecha Suscripción]],"dddd")</f>
        <v>martes</v>
      </c>
      <c r="L320" s="1">
        <f>DATEVALUE(_xlfn.CONCAT(BBDD_Usiarios_Netflix[[#This Row],[Día Último Pago]],"/",BBDD_Usiarios_Netflix[[#This Row],[Mes Último Pago]],"/",BBDD_Usiarios_Netflix[[#This Row],[Año Último Pago]]))</f>
        <v>45469</v>
      </c>
      <c r="M320" s="4">
        <f>DATEDIF(BBDD_Usiarios_Netflix[[#This Row],[Fecha Suscripción]],BBDD_Usiarios_Netflix[[#This Row],[Fecha Último Pago]],"M")+1</f>
        <v>11</v>
      </c>
      <c r="N320" s="4">
        <f>BBDD_Usiarios_Netflix[[#This Row],[Ingresos Mensuales]]*BBDD_Usiarios_Netflix[[#This Row],[Meses contratados]]</f>
        <v>154</v>
      </c>
      <c r="O320" t="s">
        <v>44</v>
      </c>
      <c r="P320" t="str">
        <f>IF(BBDD_Usiarios_Netflix[[#This Row],[País]]="","Desconocido",BBDD_Usiarios_Netflix[[#This Row],[País]])</f>
        <v>Desconocido</v>
      </c>
      <c r="Q320">
        <v>32</v>
      </c>
      <c r="R320" t="s">
        <v>30</v>
      </c>
      <c r="S320" t="s">
        <v>26</v>
      </c>
      <c r="T320" t="s">
        <v>27</v>
      </c>
      <c r="U320">
        <f>IF(IFERROR(VLOOKUP(BBDD_Usiarios_Netflix[[#This Row],[Identificador Usuario]],A321:$A$5870,1,FALSE),0)&lt;&gt;0,1,0)</f>
        <v>0</v>
      </c>
      <c r="V320" s="6" t="str">
        <f>IF(BBDD_Usiarios_Netflix[[#This Row],[Duración Plan]]="12 Meses",LEFT(BBDD_Usiarios_Netflix[[#This Row],[Duración Plan]],2),LEFT(BBDD_Usiarios_Netflix[[#This Row],[Duración Plan]],1))</f>
        <v>1</v>
      </c>
      <c r="W3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1" spans="1:23" x14ac:dyDescent="0.25">
      <c r="A321">
        <v>320</v>
      </c>
      <c r="B321" t="s">
        <v>23</v>
      </c>
      <c r="C321">
        <v>10</v>
      </c>
      <c r="D321" s="3">
        <v>2</v>
      </c>
      <c r="E321" s="3">
        <v>8</v>
      </c>
      <c r="F321">
        <v>23</v>
      </c>
      <c r="G321" s="1">
        <f>DATEVALUE(_xlfn.CONCAT(BBDD_Usiarios_Netflix[[#This Row],[Día Suscripción]],"/",BBDD_Usiarios_Netflix[[#This Row],[Mes Suscripción]],"/",BBDD_Usiarios_Netflix[[#This Row],[Año Suscripción]]))</f>
        <v>45140</v>
      </c>
      <c r="H321" s="1">
        <v>27</v>
      </c>
      <c r="I321" s="1">
        <v>6</v>
      </c>
      <c r="J321" s="1">
        <v>24</v>
      </c>
      <c r="K321" s="1" t="str">
        <f>TEXT(BBDD_Usiarios_Netflix[[#This Row],[Fecha Suscripción]],"dddd")</f>
        <v>miércoles</v>
      </c>
      <c r="L321" s="1">
        <f>DATEVALUE(_xlfn.CONCAT(BBDD_Usiarios_Netflix[[#This Row],[Día Último Pago]],"/",BBDD_Usiarios_Netflix[[#This Row],[Mes Último Pago]],"/",BBDD_Usiarios_Netflix[[#This Row],[Año Último Pago]]))</f>
        <v>45470</v>
      </c>
      <c r="M321" s="4">
        <f>DATEDIF(BBDD_Usiarios_Netflix[[#This Row],[Fecha Suscripción]],BBDD_Usiarios_Netflix[[#This Row],[Fecha Último Pago]],"M")+1</f>
        <v>11</v>
      </c>
      <c r="N321" s="4">
        <f>BBDD_Usiarios_Netflix[[#This Row],[Ingresos Mensuales]]*BBDD_Usiarios_Netflix[[#This Row],[Meses contratados]]</f>
        <v>110</v>
      </c>
      <c r="O321" t="s">
        <v>39</v>
      </c>
      <c r="P321" t="str">
        <f>IF(BBDD_Usiarios_Netflix[[#This Row],[País]]="","Desconocido",BBDD_Usiarios_Netflix[[#This Row],[País]])</f>
        <v>Canadá</v>
      </c>
      <c r="Q321">
        <v>30</v>
      </c>
      <c r="R321" t="s">
        <v>30</v>
      </c>
      <c r="S321" t="s">
        <v>36</v>
      </c>
      <c r="T321" t="s">
        <v>27</v>
      </c>
      <c r="U321">
        <f>IF(IFERROR(VLOOKUP(BBDD_Usiarios_Netflix[[#This Row],[Identificador Usuario]],A322:$A$5870,1,FALSE),0)&lt;&gt;0,1,0)</f>
        <v>0</v>
      </c>
      <c r="V321" s="6" t="str">
        <f>IF(BBDD_Usiarios_Netflix[[#This Row],[Duración Plan]]="12 Meses",LEFT(BBDD_Usiarios_Netflix[[#This Row],[Duración Plan]],2),LEFT(BBDD_Usiarios_Netflix[[#This Row],[Duración Plan]],1))</f>
        <v>1</v>
      </c>
      <c r="W3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2" spans="1:23" x14ac:dyDescent="0.25">
      <c r="A322">
        <v>321</v>
      </c>
      <c r="B322" t="s">
        <v>28</v>
      </c>
      <c r="C322">
        <v>14</v>
      </c>
      <c r="D322" s="3">
        <v>22</v>
      </c>
      <c r="E322" s="3">
        <v>6</v>
      </c>
      <c r="F322">
        <v>23</v>
      </c>
      <c r="G322" s="1">
        <f>DATEVALUE(_xlfn.CONCAT(BBDD_Usiarios_Netflix[[#This Row],[Día Suscripción]],"/",BBDD_Usiarios_Netflix[[#This Row],[Mes Suscripción]],"/",BBDD_Usiarios_Netflix[[#This Row],[Año Suscripción]]))</f>
        <v>45099</v>
      </c>
      <c r="H322" s="1">
        <v>27</v>
      </c>
      <c r="I322" s="1">
        <v>6</v>
      </c>
      <c r="J322" s="1">
        <v>24</v>
      </c>
      <c r="K322" s="1" t="str">
        <f>TEXT(BBDD_Usiarios_Netflix[[#This Row],[Fecha Suscripción]],"dddd")</f>
        <v>jueves</v>
      </c>
      <c r="L322" s="1">
        <f>DATEVALUE(_xlfn.CONCAT(BBDD_Usiarios_Netflix[[#This Row],[Día Último Pago]],"/",BBDD_Usiarios_Netflix[[#This Row],[Mes Último Pago]],"/",BBDD_Usiarios_Netflix[[#This Row],[Año Último Pago]]))</f>
        <v>45470</v>
      </c>
      <c r="M322" s="4">
        <f>DATEDIF(BBDD_Usiarios_Netflix[[#This Row],[Fecha Suscripción]],BBDD_Usiarios_Netflix[[#This Row],[Fecha Último Pago]],"M")+1</f>
        <v>13</v>
      </c>
      <c r="N322" s="4">
        <f>BBDD_Usiarios_Netflix[[#This Row],[Ingresos Mensuales]]*BBDD_Usiarios_Netflix[[#This Row],[Meses contratados]]</f>
        <v>182</v>
      </c>
      <c r="O322" t="s">
        <v>42</v>
      </c>
      <c r="P322" t="str">
        <f>IF(BBDD_Usiarios_Netflix[[#This Row],[País]]="","Desconocido",BBDD_Usiarios_Netflix[[#This Row],[País]])</f>
        <v>Reino Unido</v>
      </c>
      <c r="Q322">
        <v>33</v>
      </c>
      <c r="R322" t="s">
        <v>30</v>
      </c>
      <c r="S322" t="s">
        <v>26</v>
      </c>
      <c r="T322" t="s">
        <v>35</v>
      </c>
      <c r="U322">
        <f>IF(IFERROR(VLOOKUP(BBDD_Usiarios_Netflix[[#This Row],[Identificador Usuario]],A323:$A$5870,1,FALSE),0)&lt;&gt;0,1,0)</f>
        <v>0</v>
      </c>
      <c r="V322" s="6" t="str">
        <f>IF(BBDD_Usiarios_Netflix[[#This Row],[Duración Plan]]="12 Meses",LEFT(BBDD_Usiarios_Netflix[[#This Row],[Duración Plan]],2),LEFT(BBDD_Usiarios_Netflix[[#This Row],[Duración Plan]],1))</f>
        <v>6</v>
      </c>
      <c r="W3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23" spans="1:23" x14ac:dyDescent="0.25">
      <c r="A323">
        <v>322</v>
      </c>
      <c r="B323" t="s">
        <v>23</v>
      </c>
      <c r="C323">
        <v>10</v>
      </c>
      <c r="D323" s="3">
        <v>4</v>
      </c>
      <c r="E323" s="3">
        <v>6</v>
      </c>
      <c r="F323">
        <v>23</v>
      </c>
      <c r="G323" s="1">
        <f>DATEVALUE(_xlfn.CONCAT(BBDD_Usiarios_Netflix[[#This Row],[Día Suscripción]],"/",BBDD_Usiarios_Netflix[[#This Row],[Mes Suscripción]],"/",BBDD_Usiarios_Netflix[[#This Row],[Año Suscripción]]))</f>
        <v>45081</v>
      </c>
      <c r="H323" s="1">
        <v>27</v>
      </c>
      <c r="I323" s="1">
        <v>6</v>
      </c>
      <c r="J323" s="1">
        <v>24</v>
      </c>
      <c r="K323" s="1" t="str">
        <f>TEXT(BBDD_Usiarios_Netflix[[#This Row],[Fecha Suscripción]],"dddd")</f>
        <v>domingo</v>
      </c>
      <c r="L323" s="1">
        <f>DATEVALUE(_xlfn.CONCAT(BBDD_Usiarios_Netflix[[#This Row],[Día Último Pago]],"/",BBDD_Usiarios_Netflix[[#This Row],[Mes Último Pago]],"/",BBDD_Usiarios_Netflix[[#This Row],[Año Último Pago]]))</f>
        <v>45470</v>
      </c>
      <c r="M323" s="4">
        <f>DATEDIF(BBDD_Usiarios_Netflix[[#This Row],[Fecha Suscripción]],BBDD_Usiarios_Netflix[[#This Row],[Fecha Último Pago]],"M")+1</f>
        <v>13</v>
      </c>
      <c r="N323" s="4">
        <f>BBDD_Usiarios_Netflix[[#This Row],[Ingresos Mensuales]]*BBDD_Usiarios_Netflix[[#This Row],[Meses contratados]]</f>
        <v>130</v>
      </c>
      <c r="O323" t="s">
        <v>24</v>
      </c>
      <c r="P323" t="str">
        <f>IF(BBDD_Usiarios_Netflix[[#This Row],[País]]="","Desconocido",BBDD_Usiarios_Netflix[[#This Row],[País]])</f>
        <v>Australia</v>
      </c>
      <c r="Q323">
        <v>44</v>
      </c>
      <c r="R323" t="s">
        <v>25</v>
      </c>
      <c r="S323" t="s">
        <v>26</v>
      </c>
      <c r="T323" t="s">
        <v>41</v>
      </c>
      <c r="U323">
        <f>IF(IFERROR(VLOOKUP(BBDD_Usiarios_Netflix[[#This Row],[Identificador Usuario]],A324:$A$5870,1,FALSE),0)&lt;&gt;0,1,0)</f>
        <v>0</v>
      </c>
      <c r="V323" s="6" t="str">
        <f>IF(BBDD_Usiarios_Netflix[[#This Row],[Duración Plan]]="12 Meses",LEFT(BBDD_Usiarios_Netflix[[#This Row],[Duración Plan]],2),LEFT(BBDD_Usiarios_Netflix[[#This Row],[Duración Plan]],1))</f>
        <v>12</v>
      </c>
      <c r="W3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24" spans="1:23" x14ac:dyDescent="0.25">
      <c r="A324">
        <v>323</v>
      </c>
      <c r="B324" t="s">
        <v>32</v>
      </c>
      <c r="C324">
        <v>13</v>
      </c>
      <c r="D324" s="3">
        <v>31</v>
      </c>
      <c r="E324" s="3">
        <v>5</v>
      </c>
      <c r="F324">
        <v>23</v>
      </c>
      <c r="G324" s="1">
        <f>DATEVALUE(_xlfn.CONCAT(BBDD_Usiarios_Netflix[[#This Row],[Día Suscripción]],"/",BBDD_Usiarios_Netflix[[#This Row],[Mes Suscripción]],"/",BBDD_Usiarios_Netflix[[#This Row],[Año Suscripción]]))</f>
        <v>45077</v>
      </c>
      <c r="H324" s="1">
        <v>26</v>
      </c>
      <c r="I324" s="1">
        <v>6</v>
      </c>
      <c r="J324" s="1">
        <v>24</v>
      </c>
      <c r="K324" s="1" t="str">
        <f>TEXT(BBDD_Usiarios_Netflix[[#This Row],[Fecha Suscripción]],"dddd")</f>
        <v>miércoles</v>
      </c>
      <c r="L324" s="1">
        <f>DATEVALUE(_xlfn.CONCAT(BBDD_Usiarios_Netflix[[#This Row],[Día Último Pago]],"/",BBDD_Usiarios_Netflix[[#This Row],[Mes Último Pago]],"/",BBDD_Usiarios_Netflix[[#This Row],[Año Último Pago]]))</f>
        <v>45469</v>
      </c>
      <c r="M324" s="4">
        <f>DATEDIF(BBDD_Usiarios_Netflix[[#This Row],[Fecha Suscripción]],BBDD_Usiarios_Netflix[[#This Row],[Fecha Último Pago]],"M")+1</f>
        <v>13</v>
      </c>
      <c r="N324" s="4">
        <f>BBDD_Usiarios_Netflix[[#This Row],[Ingresos Mensuales]]*BBDD_Usiarios_Netflix[[#This Row],[Meses contratados]]</f>
        <v>169</v>
      </c>
      <c r="O324" t="s">
        <v>44</v>
      </c>
      <c r="P324" t="str">
        <f>IF(BBDD_Usiarios_Netflix[[#This Row],[País]]="","Desconocido",BBDD_Usiarios_Netflix[[#This Row],[País]])</f>
        <v>Desconocido</v>
      </c>
      <c r="Q324">
        <v>40</v>
      </c>
      <c r="R324" t="s">
        <v>25</v>
      </c>
      <c r="S324" t="s">
        <v>26</v>
      </c>
      <c r="T324" t="s">
        <v>27</v>
      </c>
      <c r="U324">
        <f>IF(IFERROR(VLOOKUP(BBDD_Usiarios_Netflix[[#This Row],[Identificador Usuario]],A325:$A$5870,1,FALSE),0)&lt;&gt;0,1,0)</f>
        <v>0</v>
      </c>
      <c r="V324" s="6" t="str">
        <f>IF(BBDD_Usiarios_Netflix[[#This Row],[Duración Plan]]="12 Meses",LEFT(BBDD_Usiarios_Netflix[[#This Row],[Duración Plan]],2),LEFT(BBDD_Usiarios_Netflix[[#This Row],[Duración Plan]],1))</f>
        <v>1</v>
      </c>
      <c r="W3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5" spans="1:23" x14ac:dyDescent="0.25">
      <c r="A325">
        <v>324</v>
      </c>
      <c r="B325" t="s">
        <v>32</v>
      </c>
      <c r="C325">
        <v>13</v>
      </c>
      <c r="D325" s="3">
        <v>22</v>
      </c>
      <c r="E325" s="3">
        <v>5</v>
      </c>
      <c r="F325">
        <v>23</v>
      </c>
      <c r="G325" s="1">
        <f>DATEVALUE(_xlfn.CONCAT(BBDD_Usiarios_Netflix[[#This Row],[Día Suscripción]],"/",BBDD_Usiarios_Netflix[[#This Row],[Mes Suscripción]],"/",BBDD_Usiarios_Netflix[[#This Row],[Año Suscripción]]))</f>
        <v>45068</v>
      </c>
      <c r="H325" s="1">
        <v>27</v>
      </c>
      <c r="I325" s="1">
        <v>6</v>
      </c>
      <c r="J325" s="1">
        <v>24</v>
      </c>
      <c r="K325" s="1" t="str">
        <f>TEXT(BBDD_Usiarios_Netflix[[#This Row],[Fecha Suscripción]],"dddd")</f>
        <v>lunes</v>
      </c>
      <c r="L325" s="1">
        <f>DATEVALUE(_xlfn.CONCAT(BBDD_Usiarios_Netflix[[#This Row],[Día Último Pago]],"/",BBDD_Usiarios_Netflix[[#This Row],[Mes Último Pago]],"/",BBDD_Usiarios_Netflix[[#This Row],[Año Último Pago]]))</f>
        <v>45470</v>
      </c>
      <c r="M325" s="4">
        <f>DATEDIF(BBDD_Usiarios_Netflix[[#This Row],[Fecha Suscripción]],BBDD_Usiarios_Netflix[[#This Row],[Fecha Último Pago]],"M")+1</f>
        <v>14</v>
      </c>
      <c r="N325" s="4">
        <f>BBDD_Usiarios_Netflix[[#This Row],[Ingresos Mensuales]]*BBDD_Usiarios_Netflix[[#This Row],[Meses contratados]]</f>
        <v>182</v>
      </c>
      <c r="O325" t="s">
        <v>40</v>
      </c>
      <c r="P325" t="str">
        <f>IF(BBDD_Usiarios_Netflix[[#This Row],[País]]="","Desconocido",BBDD_Usiarios_Netflix[[#This Row],[País]])</f>
        <v>Italia</v>
      </c>
      <c r="Q325">
        <v>32</v>
      </c>
      <c r="R325" t="s">
        <v>25</v>
      </c>
      <c r="S325" t="s">
        <v>31</v>
      </c>
      <c r="T325" t="s">
        <v>27</v>
      </c>
      <c r="U325">
        <f>IF(IFERROR(VLOOKUP(BBDD_Usiarios_Netflix[[#This Row],[Identificador Usuario]],A326:$A$5870,1,FALSE),0)&lt;&gt;0,1,0)</f>
        <v>0</v>
      </c>
      <c r="V325" s="6" t="str">
        <f>IF(BBDD_Usiarios_Netflix[[#This Row],[Duración Plan]]="12 Meses",LEFT(BBDD_Usiarios_Netflix[[#This Row],[Duración Plan]],2),LEFT(BBDD_Usiarios_Netflix[[#This Row],[Duración Plan]],1))</f>
        <v>1</v>
      </c>
      <c r="W3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6" spans="1:23" x14ac:dyDescent="0.25">
      <c r="A326">
        <v>325</v>
      </c>
      <c r="B326" t="s">
        <v>23</v>
      </c>
      <c r="C326">
        <v>11</v>
      </c>
      <c r="D326" s="3">
        <v>29</v>
      </c>
      <c r="E326" s="3">
        <v>5</v>
      </c>
      <c r="F326">
        <v>23</v>
      </c>
      <c r="G326" s="1">
        <f>DATEVALUE(_xlfn.CONCAT(BBDD_Usiarios_Netflix[[#This Row],[Día Suscripción]],"/",BBDD_Usiarios_Netflix[[#This Row],[Mes Suscripción]],"/",BBDD_Usiarios_Netflix[[#This Row],[Año Suscripción]]))</f>
        <v>45075</v>
      </c>
      <c r="H326" s="1">
        <v>27</v>
      </c>
      <c r="I326" s="1">
        <v>6</v>
      </c>
      <c r="J326" s="1">
        <v>24</v>
      </c>
      <c r="K326" s="1" t="str">
        <f>TEXT(BBDD_Usiarios_Netflix[[#This Row],[Fecha Suscripción]],"dddd")</f>
        <v>lunes</v>
      </c>
      <c r="L326" s="1">
        <f>DATEVALUE(_xlfn.CONCAT(BBDD_Usiarios_Netflix[[#This Row],[Día Último Pago]],"/",BBDD_Usiarios_Netflix[[#This Row],[Mes Último Pago]],"/",BBDD_Usiarios_Netflix[[#This Row],[Año Último Pago]]))</f>
        <v>45470</v>
      </c>
      <c r="M326" s="4">
        <f>DATEDIF(BBDD_Usiarios_Netflix[[#This Row],[Fecha Suscripción]],BBDD_Usiarios_Netflix[[#This Row],[Fecha Último Pago]],"M")+1</f>
        <v>13</v>
      </c>
      <c r="N326" s="4">
        <f>BBDD_Usiarios_Netflix[[#This Row],[Ingresos Mensuales]]*BBDD_Usiarios_Netflix[[#This Row],[Meses contratados]]</f>
        <v>143</v>
      </c>
      <c r="O326" t="s">
        <v>45</v>
      </c>
      <c r="P326" t="str">
        <f>IF(BBDD_Usiarios_Netflix[[#This Row],[País]]="","Desconocido",BBDD_Usiarios_Netflix[[#This Row],[País]])</f>
        <v>España</v>
      </c>
      <c r="Q326">
        <v>32</v>
      </c>
      <c r="R326" t="s">
        <v>25</v>
      </c>
      <c r="S326" t="s">
        <v>31</v>
      </c>
      <c r="T326" t="s">
        <v>27</v>
      </c>
      <c r="U326">
        <f>IF(IFERROR(VLOOKUP(BBDD_Usiarios_Netflix[[#This Row],[Identificador Usuario]],A327:$A$5870,1,FALSE),0)&lt;&gt;0,1,0)</f>
        <v>0</v>
      </c>
      <c r="V326" s="6" t="str">
        <f>IF(BBDD_Usiarios_Netflix[[#This Row],[Duración Plan]]="12 Meses",LEFT(BBDD_Usiarios_Netflix[[#This Row],[Duración Plan]],2),LEFT(BBDD_Usiarios_Netflix[[#This Row],[Duración Plan]],1))</f>
        <v>1</v>
      </c>
      <c r="W3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27" spans="1:23" x14ac:dyDescent="0.25">
      <c r="A327">
        <v>326</v>
      </c>
      <c r="B327" t="s">
        <v>28</v>
      </c>
      <c r="C327">
        <v>14</v>
      </c>
      <c r="D327" s="3">
        <v>11</v>
      </c>
      <c r="E327" s="3">
        <v>6</v>
      </c>
      <c r="F327">
        <v>23</v>
      </c>
      <c r="G327" s="1">
        <f>DATEVALUE(_xlfn.CONCAT(BBDD_Usiarios_Netflix[[#This Row],[Día Suscripción]],"/",BBDD_Usiarios_Netflix[[#This Row],[Mes Suscripción]],"/",BBDD_Usiarios_Netflix[[#This Row],[Año Suscripción]]))</f>
        <v>45088</v>
      </c>
      <c r="H327" s="1">
        <v>27</v>
      </c>
      <c r="I327" s="1">
        <v>6</v>
      </c>
      <c r="J327" s="1">
        <v>24</v>
      </c>
      <c r="K327" s="1" t="str">
        <f>TEXT(BBDD_Usiarios_Netflix[[#This Row],[Fecha Suscripción]],"dddd")</f>
        <v>domingo</v>
      </c>
      <c r="L327" s="1">
        <f>DATEVALUE(_xlfn.CONCAT(BBDD_Usiarios_Netflix[[#This Row],[Día Último Pago]],"/",BBDD_Usiarios_Netflix[[#This Row],[Mes Último Pago]],"/",BBDD_Usiarios_Netflix[[#This Row],[Año Último Pago]]))</f>
        <v>45470</v>
      </c>
      <c r="M327" s="4">
        <f>DATEDIF(BBDD_Usiarios_Netflix[[#This Row],[Fecha Suscripción]],BBDD_Usiarios_Netflix[[#This Row],[Fecha Último Pago]],"M")+1</f>
        <v>13</v>
      </c>
      <c r="N327" s="4">
        <f>BBDD_Usiarios_Netflix[[#This Row],[Ingresos Mensuales]]*BBDD_Usiarios_Netflix[[#This Row],[Meses contratados]]</f>
        <v>182</v>
      </c>
      <c r="O327" t="s">
        <v>43</v>
      </c>
      <c r="P327" t="str">
        <f>IF(BBDD_Usiarios_Netflix[[#This Row],[País]]="","Desconocido",BBDD_Usiarios_Netflix[[#This Row],[País]])</f>
        <v>Alemania</v>
      </c>
      <c r="Q327">
        <v>30</v>
      </c>
      <c r="R327" t="s">
        <v>25</v>
      </c>
      <c r="S327" t="s">
        <v>26</v>
      </c>
      <c r="T327" t="s">
        <v>41</v>
      </c>
      <c r="U327">
        <f>IF(IFERROR(VLOOKUP(BBDD_Usiarios_Netflix[[#This Row],[Identificador Usuario]],A328:$A$5870,1,FALSE),0)&lt;&gt;0,1,0)</f>
        <v>0</v>
      </c>
      <c r="V327" s="6" t="str">
        <f>IF(BBDD_Usiarios_Netflix[[#This Row],[Duración Plan]]="12 Meses",LEFT(BBDD_Usiarios_Netflix[[#This Row],[Duración Plan]],2),LEFT(BBDD_Usiarios_Netflix[[#This Row],[Duración Plan]],1))</f>
        <v>12</v>
      </c>
      <c r="W3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28" spans="1:23" x14ac:dyDescent="0.25">
      <c r="A328">
        <v>327</v>
      </c>
      <c r="B328" t="s">
        <v>23</v>
      </c>
      <c r="C328">
        <v>10</v>
      </c>
      <c r="D328" s="3">
        <v>6</v>
      </c>
      <c r="E328" s="3">
        <v>7</v>
      </c>
      <c r="F328">
        <v>23</v>
      </c>
      <c r="G328" s="1">
        <f>DATEVALUE(_xlfn.CONCAT(BBDD_Usiarios_Netflix[[#This Row],[Día Suscripción]],"/",BBDD_Usiarios_Netflix[[#This Row],[Mes Suscripción]],"/",BBDD_Usiarios_Netflix[[#This Row],[Año Suscripción]]))</f>
        <v>45113</v>
      </c>
      <c r="H328" s="1">
        <v>26</v>
      </c>
      <c r="I328" s="1">
        <v>6</v>
      </c>
      <c r="J328" s="1">
        <v>24</v>
      </c>
      <c r="K328" s="1" t="str">
        <f>TEXT(BBDD_Usiarios_Netflix[[#This Row],[Fecha Suscripción]],"dddd")</f>
        <v>jueves</v>
      </c>
      <c r="L328" s="1">
        <f>DATEVALUE(_xlfn.CONCAT(BBDD_Usiarios_Netflix[[#This Row],[Día Último Pago]],"/",BBDD_Usiarios_Netflix[[#This Row],[Mes Último Pago]],"/",BBDD_Usiarios_Netflix[[#This Row],[Año Último Pago]]))</f>
        <v>45469</v>
      </c>
      <c r="M328" s="4">
        <f>DATEDIF(BBDD_Usiarios_Netflix[[#This Row],[Fecha Suscripción]],BBDD_Usiarios_Netflix[[#This Row],[Fecha Último Pago]],"M")+1</f>
        <v>12</v>
      </c>
      <c r="N328" s="4">
        <f>BBDD_Usiarios_Netflix[[#This Row],[Ingresos Mensuales]]*BBDD_Usiarios_Netflix[[#This Row],[Meses contratados]]</f>
        <v>120</v>
      </c>
      <c r="O328" t="s">
        <v>29</v>
      </c>
      <c r="P328" t="str">
        <f>IF(BBDD_Usiarios_Netflix[[#This Row],[País]]="","Desconocido",BBDD_Usiarios_Netflix[[#This Row],[País]])</f>
        <v>EEUU</v>
      </c>
      <c r="Q328">
        <v>32</v>
      </c>
      <c r="R328" t="s">
        <v>30</v>
      </c>
      <c r="S328" t="s">
        <v>26</v>
      </c>
      <c r="T328" t="s">
        <v>35</v>
      </c>
      <c r="U328">
        <f>IF(IFERROR(VLOOKUP(BBDD_Usiarios_Netflix[[#This Row],[Identificador Usuario]],A329:$A$5870,1,FALSE),0)&lt;&gt;0,1,0)</f>
        <v>0</v>
      </c>
      <c r="V328" s="6" t="str">
        <f>IF(BBDD_Usiarios_Netflix[[#This Row],[Duración Plan]]="12 Meses",LEFT(BBDD_Usiarios_Netflix[[#This Row],[Duración Plan]],2),LEFT(BBDD_Usiarios_Netflix[[#This Row],[Duración Plan]],1))</f>
        <v>6</v>
      </c>
      <c r="W3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29" spans="1:23" x14ac:dyDescent="0.25">
      <c r="A329">
        <v>328</v>
      </c>
      <c r="B329" t="s">
        <v>32</v>
      </c>
      <c r="C329">
        <v>12</v>
      </c>
      <c r="D329" s="3">
        <v>26</v>
      </c>
      <c r="E329" s="3">
        <v>7</v>
      </c>
      <c r="F329">
        <v>23</v>
      </c>
      <c r="G329" s="1">
        <f>DATEVALUE(_xlfn.CONCAT(BBDD_Usiarios_Netflix[[#This Row],[Día Suscripción]],"/",BBDD_Usiarios_Netflix[[#This Row],[Mes Suscripción]],"/",BBDD_Usiarios_Netflix[[#This Row],[Año Suscripción]]))</f>
        <v>45133</v>
      </c>
      <c r="H329" s="1">
        <v>27</v>
      </c>
      <c r="I329" s="1">
        <v>6</v>
      </c>
      <c r="J329" s="1">
        <v>24</v>
      </c>
      <c r="K329" s="1" t="str">
        <f>TEXT(BBDD_Usiarios_Netflix[[#This Row],[Fecha Suscripción]],"dddd")</f>
        <v>miércoles</v>
      </c>
      <c r="L329" s="1">
        <f>DATEVALUE(_xlfn.CONCAT(BBDD_Usiarios_Netflix[[#This Row],[Día Último Pago]],"/",BBDD_Usiarios_Netflix[[#This Row],[Mes Último Pago]],"/",BBDD_Usiarios_Netflix[[#This Row],[Año Último Pago]]))</f>
        <v>45470</v>
      </c>
      <c r="M329" s="4">
        <f>DATEDIF(BBDD_Usiarios_Netflix[[#This Row],[Fecha Suscripción]],BBDD_Usiarios_Netflix[[#This Row],[Fecha Último Pago]],"M")+1</f>
        <v>12</v>
      </c>
      <c r="N329" s="4">
        <f>BBDD_Usiarios_Netflix[[#This Row],[Ingresos Mensuales]]*BBDD_Usiarios_Netflix[[#This Row],[Meses contratados]]</f>
        <v>144</v>
      </c>
      <c r="O329" t="s">
        <v>42</v>
      </c>
      <c r="P329" t="str">
        <f>IF(BBDD_Usiarios_Netflix[[#This Row],[País]]="","Desconocido",BBDD_Usiarios_Netflix[[#This Row],[País]])</f>
        <v>Reino Unido</v>
      </c>
      <c r="Q329">
        <v>45</v>
      </c>
      <c r="R329" t="s">
        <v>30</v>
      </c>
      <c r="S329" t="s">
        <v>31</v>
      </c>
      <c r="T329" t="s">
        <v>27</v>
      </c>
      <c r="U329">
        <f>IF(IFERROR(VLOOKUP(BBDD_Usiarios_Netflix[[#This Row],[Identificador Usuario]],A330:$A$5870,1,FALSE),0)&lt;&gt;0,1,0)</f>
        <v>0</v>
      </c>
      <c r="V329" s="6" t="str">
        <f>IF(BBDD_Usiarios_Netflix[[#This Row],[Duración Plan]]="12 Meses",LEFT(BBDD_Usiarios_Netflix[[#This Row],[Duración Plan]],2),LEFT(BBDD_Usiarios_Netflix[[#This Row],[Duración Plan]],1))</f>
        <v>1</v>
      </c>
      <c r="W3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30" spans="1:23" x14ac:dyDescent="0.25">
      <c r="A330">
        <v>329</v>
      </c>
      <c r="B330" t="s">
        <v>28</v>
      </c>
      <c r="C330">
        <v>14</v>
      </c>
      <c r="D330" s="3">
        <v>22</v>
      </c>
      <c r="E330" s="3">
        <v>7</v>
      </c>
      <c r="F330">
        <v>23</v>
      </c>
      <c r="G330" s="1">
        <f>DATEVALUE(_xlfn.CONCAT(BBDD_Usiarios_Netflix[[#This Row],[Día Suscripción]],"/",BBDD_Usiarios_Netflix[[#This Row],[Mes Suscripción]],"/",BBDD_Usiarios_Netflix[[#This Row],[Año Suscripción]]))</f>
        <v>45129</v>
      </c>
      <c r="H330" s="1">
        <v>25</v>
      </c>
      <c r="I330" s="1">
        <v>6</v>
      </c>
      <c r="J330" s="1">
        <v>24</v>
      </c>
      <c r="K330" s="1" t="str">
        <f>TEXT(BBDD_Usiarios_Netflix[[#This Row],[Fecha Suscripción]],"dddd")</f>
        <v>sábado</v>
      </c>
      <c r="L330" s="1">
        <f>DATEVALUE(_xlfn.CONCAT(BBDD_Usiarios_Netflix[[#This Row],[Día Último Pago]],"/",BBDD_Usiarios_Netflix[[#This Row],[Mes Último Pago]],"/",BBDD_Usiarios_Netflix[[#This Row],[Año Último Pago]]))</f>
        <v>45468</v>
      </c>
      <c r="M330" s="4">
        <f>DATEDIF(BBDD_Usiarios_Netflix[[#This Row],[Fecha Suscripción]],BBDD_Usiarios_Netflix[[#This Row],[Fecha Último Pago]],"M")+1</f>
        <v>12</v>
      </c>
      <c r="N330" s="4">
        <f>BBDD_Usiarios_Netflix[[#This Row],[Ingresos Mensuales]]*BBDD_Usiarios_Netflix[[#This Row],[Meses contratados]]</f>
        <v>168</v>
      </c>
      <c r="O330" t="s">
        <v>24</v>
      </c>
      <c r="P330" t="str">
        <f>IF(BBDD_Usiarios_Netflix[[#This Row],[País]]="","Desconocido",BBDD_Usiarios_Netflix[[#This Row],[País]])</f>
        <v>Australia</v>
      </c>
      <c r="Q330">
        <v>35</v>
      </c>
      <c r="R330" t="s">
        <v>30</v>
      </c>
      <c r="S330" t="s">
        <v>34</v>
      </c>
      <c r="T330" t="s">
        <v>27</v>
      </c>
      <c r="U330">
        <f>IF(IFERROR(VLOOKUP(BBDD_Usiarios_Netflix[[#This Row],[Identificador Usuario]],A331:$A$5870,1,FALSE),0)&lt;&gt;0,1,0)</f>
        <v>0</v>
      </c>
      <c r="V330" s="6" t="str">
        <f>IF(BBDD_Usiarios_Netflix[[#This Row],[Duración Plan]]="12 Meses",LEFT(BBDD_Usiarios_Netflix[[#This Row],[Duración Plan]],2),LEFT(BBDD_Usiarios_Netflix[[#This Row],[Duración Plan]],1))</f>
        <v>1</v>
      </c>
      <c r="W3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31" spans="1:23" x14ac:dyDescent="0.25">
      <c r="A331">
        <v>330</v>
      </c>
      <c r="B331" t="s">
        <v>23</v>
      </c>
      <c r="C331">
        <v>10</v>
      </c>
      <c r="D331" s="3">
        <v>6</v>
      </c>
      <c r="E331" s="3">
        <v>7</v>
      </c>
      <c r="F331">
        <v>23</v>
      </c>
      <c r="G331" s="1">
        <f>DATEVALUE(_xlfn.CONCAT(BBDD_Usiarios_Netflix[[#This Row],[Día Suscripción]],"/",BBDD_Usiarios_Netflix[[#This Row],[Mes Suscripción]],"/",BBDD_Usiarios_Netflix[[#This Row],[Año Suscripción]]))</f>
        <v>45113</v>
      </c>
      <c r="H331" s="1">
        <v>26</v>
      </c>
      <c r="I331" s="1">
        <v>6</v>
      </c>
      <c r="J331" s="1">
        <v>24</v>
      </c>
      <c r="K331" s="1" t="str">
        <f>TEXT(BBDD_Usiarios_Netflix[[#This Row],[Fecha Suscripción]],"dddd")</f>
        <v>jueves</v>
      </c>
      <c r="L331" s="1">
        <f>DATEVALUE(_xlfn.CONCAT(BBDD_Usiarios_Netflix[[#This Row],[Día Último Pago]],"/",BBDD_Usiarios_Netflix[[#This Row],[Mes Último Pago]],"/",BBDD_Usiarios_Netflix[[#This Row],[Año Último Pago]]))</f>
        <v>45469</v>
      </c>
      <c r="M331" s="4">
        <f>DATEDIF(BBDD_Usiarios_Netflix[[#This Row],[Fecha Suscripción]],BBDD_Usiarios_Netflix[[#This Row],[Fecha Último Pago]],"M")+1</f>
        <v>12</v>
      </c>
      <c r="N331" s="4">
        <f>BBDD_Usiarios_Netflix[[#This Row],[Ingresos Mensuales]]*BBDD_Usiarios_Netflix[[#This Row],[Meses contratados]]</f>
        <v>120</v>
      </c>
      <c r="O331" t="s">
        <v>40</v>
      </c>
      <c r="P331" t="str">
        <f>IF(BBDD_Usiarios_Netflix[[#This Row],[País]]="","Desconocido",BBDD_Usiarios_Netflix[[#This Row],[País]])</f>
        <v>Italia</v>
      </c>
      <c r="Q331">
        <v>40</v>
      </c>
      <c r="R331" t="s">
        <v>30</v>
      </c>
      <c r="S331" t="s">
        <v>34</v>
      </c>
      <c r="T331" t="s">
        <v>35</v>
      </c>
      <c r="U331">
        <f>IF(IFERROR(VLOOKUP(BBDD_Usiarios_Netflix[[#This Row],[Identificador Usuario]],A332:$A$5870,1,FALSE),0)&lt;&gt;0,1,0)</f>
        <v>0</v>
      </c>
      <c r="V331" s="6" t="str">
        <f>IF(BBDD_Usiarios_Netflix[[#This Row],[Duración Plan]]="12 Meses",LEFT(BBDD_Usiarios_Netflix[[#This Row],[Duración Plan]],2),LEFT(BBDD_Usiarios_Netflix[[#This Row],[Duración Plan]],1))</f>
        <v>6</v>
      </c>
      <c r="W3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32" spans="1:23" x14ac:dyDescent="0.25">
      <c r="A332">
        <v>331</v>
      </c>
      <c r="B332" t="s">
        <v>28</v>
      </c>
      <c r="C332">
        <v>14</v>
      </c>
      <c r="D332" s="3">
        <v>8</v>
      </c>
      <c r="E332" s="3">
        <v>7</v>
      </c>
      <c r="F332">
        <v>23</v>
      </c>
      <c r="G332" s="1">
        <f>DATEVALUE(_xlfn.CONCAT(BBDD_Usiarios_Netflix[[#This Row],[Día Suscripción]],"/",BBDD_Usiarios_Netflix[[#This Row],[Mes Suscripción]],"/",BBDD_Usiarios_Netflix[[#This Row],[Año Suscripción]]))</f>
        <v>45115</v>
      </c>
      <c r="H332" s="1">
        <v>26</v>
      </c>
      <c r="I332" s="1">
        <v>6</v>
      </c>
      <c r="J332" s="1">
        <v>24</v>
      </c>
      <c r="K332" s="1" t="str">
        <f>TEXT(BBDD_Usiarios_Netflix[[#This Row],[Fecha Suscripción]],"dddd")</f>
        <v>sábado</v>
      </c>
      <c r="L332" s="1">
        <f>DATEVALUE(_xlfn.CONCAT(BBDD_Usiarios_Netflix[[#This Row],[Día Último Pago]],"/",BBDD_Usiarios_Netflix[[#This Row],[Mes Último Pago]],"/",BBDD_Usiarios_Netflix[[#This Row],[Año Último Pago]]))</f>
        <v>45469</v>
      </c>
      <c r="M332" s="4">
        <f>DATEDIF(BBDD_Usiarios_Netflix[[#This Row],[Fecha Suscripción]],BBDD_Usiarios_Netflix[[#This Row],[Fecha Último Pago]],"M")+1</f>
        <v>12</v>
      </c>
      <c r="N332" s="4">
        <f>BBDD_Usiarios_Netflix[[#This Row],[Ingresos Mensuales]]*BBDD_Usiarios_Netflix[[#This Row],[Meses contratados]]</f>
        <v>168</v>
      </c>
      <c r="O332" t="s">
        <v>40</v>
      </c>
      <c r="P332" t="str">
        <f>IF(BBDD_Usiarios_Netflix[[#This Row],[País]]="","Desconocido",BBDD_Usiarios_Netflix[[#This Row],[País]])</f>
        <v>Italia</v>
      </c>
      <c r="Q332">
        <v>29</v>
      </c>
      <c r="R332" t="s">
        <v>30</v>
      </c>
      <c r="S332" t="s">
        <v>31</v>
      </c>
      <c r="T332" t="s">
        <v>27</v>
      </c>
      <c r="U332">
        <f>IF(IFERROR(VLOOKUP(BBDD_Usiarios_Netflix[[#This Row],[Identificador Usuario]],A333:$A$5870,1,FALSE),0)&lt;&gt;0,1,0)</f>
        <v>0</v>
      </c>
      <c r="V332" s="6" t="str">
        <f>IF(BBDD_Usiarios_Netflix[[#This Row],[Duración Plan]]="12 Meses",LEFT(BBDD_Usiarios_Netflix[[#This Row],[Duración Plan]],2),LEFT(BBDD_Usiarios_Netflix[[#This Row],[Duración Plan]],1))</f>
        <v>1</v>
      </c>
      <c r="W3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33" spans="1:23" x14ac:dyDescent="0.25">
      <c r="A333">
        <v>332</v>
      </c>
      <c r="B333" t="s">
        <v>23</v>
      </c>
      <c r="C333">
        <v>10</v>
      </c>
      <c r="D333" s="3">
        <v>22</v>
      </c>
      <c r="E333" s="3">
        <v>7</v>
      </c>
      <c r="F333">
        <v>23</v>
      </c>
      <c r="G333" s="1">
        <f>DATEVALUE(_xlfn.CONCAT(BBDD_Usiarios_Netflix[[#This Row],[Día Suscripción]],"/",BBDD_Usiarios_Netflix[[#This Row],[Mes Suscripción]],"/",BBDD_Usiarios_Netflix[[#This Row],[Año Suscripción]]))</f>
        <v>45129</v>
      </c>
      <c r="H333" s="1">
        <v>26</v>
      </c>
      <c r="I333" s="1">
        <v>6</v>
      </c>
      <c r="J333" s="1">
        <v>24</v>
      </c>
      <c r="K333" s="1" t="str">
        <f>TEXT(BBDD_Usiarios_Netflix[[#This Row],[Fecha Suscripción]],"dddd")</f>
        <v>sábado</v>
      </c>
      <c r="L333" s="1">
        <f>DATEVALUE(_xlfn.CONCAT(BBDD_Usiarios_Netflix[[#This Row],[Día Último Pago]],"/",BBDD_Usiarios_Netflix[[#This Row],[Mes Último Pago]],"/",BBDD_Usiarios_Netflix[[#This Row],[Año Último Pago]]))</f>
        <v>45469</v>
      </c>
      <c r="M333" s="4">
        <f>DATEDIF(BBDD_Usiarios_Netflix[[#This Row],[Fecha Suscripción]],BBDD_Usiarios_Netflix[[#This Row],[Fecha Último Pago]],"M")+1</f>
        <v>12</v>
      </c>
      <c r="N333" s="4">
        <f>BBDD_Usiarios_Netflix[[#This Row],[Ingresos Mensuales]]*BBDD_Usiarios_Netflix[[#This Row],[Meses contratados]]</f>
        <v>120</v>
      </c>
      <c r="O333" t="s">
        <v>45</v>
      </c>
      <c r="P333" t="str">
        <f>IF(BBDD_Usiarios_Netflix[[#This Row],[País]]="","Desconocido",BBDD_Usiarios_Netflix[[#This Row],[País]])</f>
        <v>España</v>
      </c>
      <c r="Q333">
        <v>31</v>
      </c>
      <c r="R333" t="s">
        <v>25</v>
      </c>
      <c r="S333" t="s">
        <v>31</v>
      </c>
      <c r="T333" t="s">
        <v>35</v>
      </c>
      <c r="U333">
        <f>IF(IFERROR(VLOOKUP(BBDD_Usiarios_Netflix[[#This Row],[Identificador Usuario]],A334:$A$5870,1,FALSE),0)&lt;&gt;0,1,0)</f>
        <v>0</v>
      </c>
      <c r="V333" s="6" t="str">
        <f>IF(BBDD_Usiarios_Netflix[[#This Row],[Duración Plan]]="12 Meses",LEFT(BBDD_Usiarios_Netflix[[#This Row],[Duración Plan]],2),LEFT(BBDD_Usiarios_Netflix[[#This Row],[Duración Plan]],1))</f>
        <v>6</v>
      </c>
      <c r="W3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34" spans="1:23" x14ac:dyDescent="0.25">
      <c r="A334">
        <v>333</v>
      </c>
      <c r="B334" t="s">
        <v>32</v>
      </c>
      <c r="C334">
        <v>12</v>
      </c>
      <c r="D334" s="3">
        <v>24</v>
      </c>
      <c r="E334" s="3">
        <v>7</v>
      </c>
      <c r="F334">
        <v>23</v>
      </c>
      <c r="G334" s="1">
        <f>DATEVALUE(_xlfn.CONCAT(BBDD_Usiarios_Netflix[[#This Row],[Día Suscripción]],"/",BBDD_Usiarios_Netflix[[#This Row],[Mes Suscripción]],"/",BBDD_Usiarios_Netflix[[#This Row],[Año Suscripción]]))</f>
        <v>45131</v>
      </c>
      <c r="H334" s="1">
        <v>27</v>
      </c>
      <c r="I334" s="1">
        <v>6</v>
      </c>
      <c r="J334" s="1">
        <v>24</v>
      </c>
      <c r="K334" s="1" t="str">
        <f>TEXT(BBDD_Usiarios_Netflix[[#This Row],[Fecha Suscripción]],"dddd")</f>
        <v>lunes</v>
      </c>
      <c r="L334" s="1">
        <f>DATEVALUE(_xlfn.CONCAT(BBDD_Usiarios_Netflix[[#This Row],[Día Último Pago]],"/",BBDD_Usiarios_Netflix[[#This Row],[Mes Último Pago]],"/",BBDD_Usiarios_Netflix[[#This Row],[Año Último Pago]]))</f>
        <v>45470</v>
      </c>
      <c r="M334" s="4">
        <f>DATEDIF(BBDD_Usiarios_Netflix[[#This Row],[Fecha Suscripción]],BBDD_Usiarios_Netflix[[#This Row],[Fecha Último Pago]],"M")+1</f>
        <v>12</v>
      </c>
      <c r="N334" s="4">
        <f>BBDD_Usiarios_Netflix[[#This Row],[Ingresos Mensuales]]*BBDD_Usiarios_Netflix[[#This Row],[Meses contratados]]</f>
        <v>144</v>
      </c>
      <c r="O334" t="s">
        <v>33</v>
      </c>
      <c r="P334" t="str">
        <f>IF(BBDD_Usiarios_Netflix[[#This Row],[País]]="","Desconocido",BBDD_Usiarios_Netflix[[#This Row],[País]])</f>
        <v>Francia</v>
      </c>
      <c r="Q334">
        <v>43</v>
      </c>
      <c r="R334" t="s">
        <v>30</v>
      </c>
      <c r="S334" t="s">
        <v>34</v>
      </c>
      <c r="T334" t="s">
        <v>35</v>
      </c>
      <c r="U334">
        <f>IF(IFERROR(VLOOKUP(BBDD_Usiarios_Netflix[[#This Row],[Identificador Usuario]],A335:$A$5870,1,FALSE),0)&lt;&gt;0,1,0)</f>
        <v>0</v>
      </c>
      <c r="V334" s="6" t="str">
        <f>IF(BBDD_Usiarios_Netflix[[#This Row],[Duración Plan]]="12 Meses",LEFT(BBDD_Usiarios_Netflix[[#This Row],[Duración Plan]],2),LEFT(BBDD_Usiarios_Netflix[[#This Row],[Duración Plan]],1))</f>
        <v>6</v>
      </c>
      <c r="W3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35" spans="1:23" x14ac:dyDescent="0.25">
      <c r="A335">
        <v>334</v>
      </c>
      <c r="B335" t="s">
        <v>32</v>
      </c>
      <c r="C335">
        <v>12</v>
      </c>
      <c r="D335" s="3">
        <v>28</v>
      </c>
      <c r="E335" s="3">
        <v>7</v>
      </c>
      <c r="F335">
        <v>23</v>
      </c>
      <c r="G335" s="1">
        <f>DATEVALUE(_xlfn.CONCAT(BBDD_Usiarios_Netflix[[#This Row],[Día Suscripción]],"/",BBDD_Usiarios_Netflix[[#This Row],[Mes Suscripción]],"/",BBDD_Usiarios_Netflix[[#This Row],[Año Suscripción]]))</f>
        <v>45135</v>
      </c>
      <c r="H335" s="1">
        <v>28</v>
      </c>
      <c r="I335" s="1">
        <v>6</v>
      </c>
      <c r="J335" s="1">
        <v>24</v>
      </c>
      <c r="K335" s="1" t="str">
        <f>TEXT(BBDD_Usiarios_Netflix[[#This Row],[Fecha Suscripción]],"dddd")</f>
        <v>viernes</v>
      </c>
      <c r="L335" s="1">
        <f>DATEVALUE(_xlfn.CONCAT(BBDD_Usiarios_Netflix[[#This Row],[Día Último Pago]],"/",BBDD_Usiarios_Netflix[[#This Row],[Mes Último Pago]],"/",BBDD_Usiarios_Netflix[[#This Row],[Año Último Pago]]))</f>
        <v>45471</v>
      </c>
      <c r="M335" s="4">
        <f>DATEDIF(BBDD_Usiarios_Netflix[[#This Row],[Fecha Suscripción]],BBDD_Usiarios_Netflix[[#This Row],[Fecha Último Pago]],"M")+1</f>
        <v>12</v>
      </c>
      <c r="N335" s="4">
        <f>BBDD_Usiarios_Netflix[[#This Row],[Ingresos Mensuales]]*BBDD_Usiarios_Netflix[[#This Row],[Meses contratados]]</f>
        <v>144</v>
      </c>
      <c r="O335" t="s">
        <v>42</v>
      </c>
      <c r="P335" t="str">
        <f>IF(BBDD_Usiarios_Netflix[[#This Row],[País]]="","Desconocido",BBDD_Usiarios_Netflix[[#This Row],[País]])</f>
        <v>Reino Unido</v>
      </c>
      <c r="Q335">
        <v>34</v>
      </c>
      <c r="R335" t="s">
        <v>25</v>
      </c>
      <c r="S335" t="s">
        <v>34</v>
      </c>
      <c r="T335" t="s">
        <v>38</v>
      </c>
      <c r="U335">
        <f>IF(IFERROR(VLOOKUP(BBDD_Usiarios_Netflix[[#This Row],[Identificador Usuario]],A336:$A$5870,1,FALSE),0)&lt;&gt;0,1,0)</f>
        <v>0</v>
      </c>
      <c r="V335" s="6" t="str">
        <f>IF(BBDD_Usiarios_Netflix[[#This Row],[Duración Plan]]="12 Meses",LEFT(BBDD_Usiarios_Netflix[[#This Row],[Duración Plan]],2),LEFT(BBDD_Usiarios_Netflix[[#This Row],[Duración Plan]],1))</f>
        <v>3</v>
      </c>
      <c r="W3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36" spans="1:23" x14ac:dyDescent="0.25">
      <c r="A336">
        <v>335</v>
      </c>
      <c r="B336" t="s">
        <v>23</v>
      </c>
      <c r="C336">
        <v>10</v>
      </c>
      <c r="D336" s="3">
        <v>11</v>
      </c>
      <c r="E336" s="3">
        <v>8</v>
      </c>
      <c r="F336">
        <v>23</v>
      </c>
      <c r="G336" s="1">
        <f>DATEVALUE(_xlfn.CONCAT(BBDD_Usiarios_Netflix[[#This Row],[Día Suscripción]],"/",BBDD_Usiarios_Netflix[[#This Row],[Mes Suscripción]],"/",BBDD_Usiarios_Netflix[[#This Row],[Año Suscripción]]))</f>
        <v>45149</v>
      </c>
      <c r="H336" s="1">
        <v>25</v>
      </c>
      <c r="I336" s="1">
        <v>6</v>
      </c>
      <c r="J336" s="1">
        <v>24</v>
      </c>
      <c r="K336" s="1" t="str">
        <f>TEXT(BBDD_Usiarios_Netflix[[#This Row],[Fecha Suscripción]],"dddd")</f>
        <v>viernes</v>
      </c>
      <c r="L336" s="1">
        <f>DATEVALUE(_xlfn.CONCAT(BBDD_Usiarios_Netflix[[#This Row],[Día Último Pago]],"/",BBDD_Usiarios_Netflix[[#This Row],[Mes Último Pago]],"/",BBDD_Usiarios_Netflix[[#This Row],[Año Último Pago]]))</f>
        <v>45468</v>
      </c>
      <c r="M336" s="4">
        <f>DATEDIF(BBDD_Usiarios_Netflix[[#This Row],[Fecha Suscripción]],BBDD_Usiarios_Netflix[[#This Row],[Fecha Último Pago]],"M")+1</f>
        <v>11</v>
      </c>
      <c r="N336" s="4">
        <f>BBDD_Usiarios_Netflix[[#This Row],[Ingresos Mensuales]]*BBDD_Usiarios_Netflix[[#This Row],[Meses contratados]]</f>
        <v>110</v>
      </c>
      <c r="O336" t="s">
        <v>44</v>
      </c>
      <c r="P336" t="str">
        <f>IF(BBDD_Usiarios_Netflix[[#This Row],[País]]="","Desconocido",BBDD_Usiarios_Netflix[[#This Row],[País]])</f>
        <v>Desconocido</v>
      </c>
      <c r="Q336">
        <v>47</v>
      </c>
      <c r="R336" t="s">
        <v>30</v>
      </c>
      <c r="S336" t="s">
        <v>31</v>
      </c>
      <c r="T336" t="s">
        <v>41</v>
      </c>
      <c r="U336">
        <f>IF(IFERROR(VLOOKUP(BBDD_Usiarios_Netflix[[#This Row],[Identificador Usuario]],A337:$A$5870,1,FALSE),0)&lt;&gt;0,1,0)</f>
        <v>0</v>
      </c>
      <c r="V336" s="6" t="str">
        <f>IF(BBDD_Usiarios_Netflix[[#This Row],[Duración Plan]]="12 Meses",LEFT(BBDD_Usiarios_Netflix[[#This Row],[Duración Plan]],2),LEFT(BBDD_Usiarios_Netflix[[#This Row],[Duración Plan]],1))</f>
        <v>12</v>
      </c>
      <c r="W3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37" spans="1:23" x14ac:dyDescent="0.25">
      <c r="A337">
        <v>336</v>
      </c>
      <c r="B337" t="s">
        <v>28</v>
      </c>
      <c r="C337">
        <v>14</v>
      </c>
      <c r="D337" s="3">
        <v>2</v>
      </c>
      <c r="E337" s="3">
        <v>9</v>
      </c>
      <c r="F337">
        <v>23</v>
      </c>
      <c r="G337" s="1">
        <f>DATEVALUE(_xlfn.CONCAT(BBDD_Usiarios_Netflix[[#This Row],[Día Suscripción]],"/",BBDD_Usiarios_Netflix[[#This Row],[Mes Suscripción]],"/",BBDD_Usiarios_Netflix[[#This Row],[Año Suscripción]]))</f>
        <v>45171</v>
      </c>
      <c r="H337" s="1">
        <v>26</v>
      </c>
      <c r="I337" s="1">
        <v>6</v>
      </c>
      <c r="J337" s="1">
        <v>24</v>
      </c>
      <c r="K337" s="1" t="str">
        <f>TEXT(BBDD_Usiarios_Netflix[[#This Row],[Fecha Suscripción]],"dddd")</f>
        <v>sábado</v>
      </c>
      <c r="L337" s="1">
        <f>DATEVALUE(_xlfn.CONCAT(BBDD_Usiarios_Netflix[[#This Row],[Día Último Pago]],"/",BBDD_Usiarios_Netflix[[#This Row],[Mes Último Pago]],"/",BBDD_Usiarios_Netflix[[#This Row],[Año Último Pago]]))</f>
        <v>45469</v>
      </c>
      <c r="M337" s="4">
        <f>DATEDIF(BBDD_Usiarios_Netflix[[#This Row],[Fecha Suscripción]],BBDD_Usiarios_Netflix[[#This Row],[Fecha Último Pago]],"M")+1</f>
        <v>10</v>
      </c>
      <c r="N337" s="4">
        <f>BBDD_Usiarios_Netflix[[#This Row],[Ingresos Mensuales]]*BBDD_Usiarios_Netflix[[#This Row],[Meses contratados]]</f>
        <v>140</v>
      </c>
      <c r="O337" t="s">
        <v>42</v>
      </c>
      <c r="P337" t="str">
        <f>IF(BBDD_Usiarios_Netflix[[#This Row],[País]]="","Desconocido",BBDD_Usiarios_Netflix[[#This Row],[País]])</f>
        <v>Reino Unido</v>
      </c>
      <c r="Q337">
        <v>35</v>
      </c>
      <c r="R337" t="s">
        <v>25</v>
      </c>
      <c r="S337" t="s">
        <v>36</v>
      </c>
      <c r="T337" t="s">
        <v>35</v>
      </c>
      <c r="U337">
        <f>IF(IFERROR(VLOOKUP(BBDD_Usiarios_Netflix[[#This Row],[Identificador Usuario]],A338:$A$5870,1,FALSE),0)&lt;&gt;0,1,0)</f>
        <v>0</v>
      </c>
      <c r="V337" s="6" t="str">
        <f>IF(BBDD_Usiarios_Netflix[[#This Row],[Duración Plan]]="12 Meses",LEFT(BBDD_Usiarios_Netflix[[#This Row],[Duración Plan]],2),LEFT(BBDD_Usiarios_Netflix[[#This Row],[Duración Plan]],1))</f>
        <v>6</v>
      </c>
      <c r="W3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38" spans="1:23" x14ac:dyDescent="0.25">
      <c r="A338">
        <v>337</v>
      </c>
      <c r="B338" t="s">
        <v>23</v>
      </c>
      <c r="C338">
        <v>10</v>
      </c>
      <c r="D338" s="3">
        <v>11</v>
      </c>
      <c r="E338" s="3">
        <v>10</v>
      </c>
      <c r="F338">
        <v>23</v>
      </c>
      <c r="G338" s="1">
        <f>DATEVALUE(_xlfn.CONCAT(BBDD_Usiarios_Netflix[[#This Row],[Día Suscripción]],"/",BBDD_Usiarios_Netflix[[#This Row],[Mes Suscripción]],"/",BBDD_Usiarios_Netflix[[#This Row],[Año Suscripción]]))</f>
        <v>45210</v>
      </c>
      <c r="H338" s="1">
        <v>27</v>
      </c>
      <c r="I338" s="1">
        <v>6</v>
      </c>
      <c r="J338" s="1">
        <v>24</v>
      </c>
      <c r="K338" s="1" t="str">
        <f>TEXT(BBDD_Usiarios_Netflix[[#This Row],[Fecha Suscripción]],"dddd")</f>
        <v>miércoles</v>
      </c>
      <c r="L338" s="1">
        <f>DATEVALUE(_xlfn.CONCAT(BBDD_Usiarios_Netflix[[#This Row],[Día Último Pago]],"/",BBDD_Usiarios_Netflix[[#This Row],[Mes Último Pago]],"/",BBDD_Usiarios_Netflix[[#This Row],[Año Último Pago]]))</f>
        <v>45470</v>
      </c>
      <c r="M338" s="4">
        <f>DATEDIF(BBDD_Usiarios_Netflix[[#This Row],[Fecha Suscripción]],BBDD_Usiarios_Netflix[[#This Row],[Fecha Último Pago]],"M")+1</f>
        <v>9</v>
      </c>
      <c r="N338" s="4">
        <f>BBDD_Usiarios_Netflix[[#This Row],[Ingresos Mensuales]]*BBDD_Usiarios_Netflix[[#This Row],[Meses contratados]]</f>
        <v>90</v>
      </c>
      <c r="O338" t="s">
        <v>42</v>
      </c>
      <c r="P338" t="str">
        <f>IF(BBDD_Usiarios_Netflix[[#This Row],[País]]="","Desconocido",BBDD_Usiarios_Netflix[[#This Row],[País]])</f>
        <v>Reino Unido</v>
      </c>
      <c r="Q338">
        <v>36</v>
      </c>
      <c r="R338" t="s">
        <v>25</v>
      </c>
      <c r="S338" t="s">
        <v>36</v>
      </c>
      <c r="T338" t="s">
        <v>41</v>
      </c>
      <c r="U338">
        <f>IF(IFERROR(VLOOKUP(BBDD_Usiarios_Netflix[[#This Row],[Identificador Usuario]],A339:$A$5870,1,FALSE),0)&lt;&gt;0,1,0)</f>
        <v>0</v>
      </c>
      <c r="V338" s="6" t="str">
        <f>IF(BBDD_Usiarios_Netflix[[#This Row],[Duración Plan]]="12 Meses",LEFT(BBDD_Usiarios_Netflix[[#This Row],[Duración Plan]],2),LEFT(BBDD_Usiarios_Netflix[[#This Row],[Duración Plan]],1))</f>
        <v>12</v>
      </c>
      <c r="W3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39" spans="1:23" x14ac:dyDescent="0.25">
      <c r="A339">
        <v>338</v>
      </c>
      <c r="B339" t="s">
        <v>32</v>
      </c>
      <c r="C339">
        <v>12</v>
      </c>
      <c r="D339" s="3">
        <v>15</v>
      </c>
      <c r="E339" s="3">
        <v>10</v>
      </c>
      <c r="F339">
        <v>23</v>
      </c>
      <c r="G339" s="1">
        <f>DATEVALUE(_xlfn.CONCAT(BBDD_Usiarios_Netflix[[#This Row],[Día Suscripción]],"/",BBDD_Usiarios_Netflix[[#This Row],[Mes Suscripción]],"/",BBDD_Usiarios_Netflix[[#This Row],[Año Suscripción]]))</f>
        <v>45214</v>
      </c>
      <c r="H339" s="1">
        <v>27</v>
      </c>
      <c r="I339" s="1">
        <v>6</v>
      </c>
      <c r="J339" s="1">
        <v>24</v>
      </c>
      <c r="K339" s="1" t="str">
        <f>TEXT(BBDD_Usiarios_Netflix[[#This Row],[Fecha Suscripción]],"dddd")</f>
        <v>domingo</v>
      </c>
      <c r="L339" s="1">
        <f>DATEVALUE(_xlfn.CONCAT(BBDD_Usiarios_Netflix[[#This Row],[Día Último Pago]],"/",BBDD_Usiarios_Netflix[[#This Row],[Mes Último Pago]],"/",BBDD_Usiarios_Netflix[[#This Row],[Año Último Pago]]))</f>
        <v>45470</v>
      </c>
      <c r="M339" s="4">
        <f>DATEDIF(BBDD_Usiarios_Netflix[[#This Row],[Fecha Suscripción]],BBDD_Usiarios_Netflix[[#This Row],[Fecha Último Pago]],"M")+1</f>
        <v>9</v>
      </c>
      <c r="N339" s="4">
        <f>BBDD_Usiarios_Netflix[[#This Row],[Ingresos Mensuales]]*BBDD_Usiarios_Netflix[[#This Row],[Meses contratados]]</f>
        <v>108</v>
      </c>
      <c r="O339" t="s">
        <v>39</v>
      </c>
      <c r="P339" t="str">
        <f>IF(BBDD_Usiarios_Netflix[[#This Row],[País]]="","Desconocido",BBDD_Usiarios_Netflix[[#This Row],[País]])</f>
        <v>Canadá</v>
      </c>
      <c r="Q339">
        <v>33</v>
      </c>
      <c r="R339" t="s">
        <v>25</v>
      </c>
      <c r="S339" t="s">
        <v>31</v>
      </c>
      <c r="T339" t="s">
        <v>38</v>
      </c>
      <c r="U339">
        <f>IF(IFERROR(VLOOKUP(BBDD_Usiarios_Netflix[[#This Row],[Identificador Usuario]],A340:$A$5870,1,FALSE),0)&lt;&gt;0,1,0)</f>
        <v>0</v>
      </c>
      <c r="V339" s="6" t="str">
        <f>IF(BBDD_Usiarios_Netflix[[#This Row],[Duración Plan]]="12 Meses",LEFT(BBDD_Usiarios_Netflix[[#This Row],[Duración Plan]],2),LEFT(BBDD_Usiarios_Netflix[[#This Row],[Duración Plan]],1))</f>
        <v>3</v>
      </c>
      <c r="W3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40" spans="1:23" x14ac:dyDescent="0.25">
      <c r="A340">
        <v>339</v>
      </c>
      <c r="B340" t="s">
        <v>28</v>
      </c>
      <c r="C340">
        <v>14</v>
      </c>
      <c r="D340" s="3">
        <v>5</v>
      </c>
      <c r="E340" s="3">
        <v>10</v>
      </c>
      <c r="F340">
        <v>23</v>
      </c>
      <c r="G340" s="1">
        <f>DATEVALUE(_xlfn.CONCAT(BBDD_Usiarios_Netflix[[#This Row],[Día Suscripción]],"/",BBDD_Usiarios_Netflix[[#This Row],[Mes Suscripción]],"/",BBDD_Usiarios_Netflix[[#This Row],[Año Suscripción]]))</f>
        <v>45204</v>
      </c>
      <c r="H340" s="1">
        <v>25</v>
      </c>
      <c r="I340" s="1">
        <v>6</v>
      </c>
      <c r="J340" s="1">
        <v>24</v>
      </c>
      <c r="K340" s="1" t="str">
        <f>TEXT(BBDD_Usiarios_Netflix[[#This Row],[Fecha Suscripción]],"dddd")</f>
        <v>jueves</v>
      </c>
      <c r="L340" s="1">
        <f>DATEVALUE(_xlfn.CONCAT(BBDD_Usiarios_Netflix[[#This Row],[Día Último Pago]],"/",BBDD_Usiarios_Netflix[[#This Row],[Mes Último Pago]],"/",BBDD_Usiarios_Netflix[[#This Row],[Año Último Pago]]))</f>
        <v>45468</v>
      </c>
      <c r="M340" s="4">
        <f>DATEDIF(BBDD_Usiarios_Netflix[[#This Row],[Fecha Suscripción]],BBDD_Usiarios_Netflix[[#This Row],[Fecha Último Pago]],"M")+1</f>
        <v>9</v>
      </c>
      <c r="N340" s="4">
        <f>BBDD_Usiarios_Netflix[[#This Row],[Ingresos Mensuales]]*BBDD_Usiarios_Netflix[[#This Row],[Meses contratados]]</f>
        <v>126</v>
      </c>
      <c r="O340" t="s">
        <v>42</v>
      </c>
      <c r="P340" t="str">
        <f>IF(BBDD_Usiarios_Netflix[[#This Row],[País]]="","Desconocido",BBDD_Usiarios_Netflix[[#This Row],[País]])</f>
        <v>Reino Unido</v>
      </c>
      <c r="Q340">
        <v>30</v>
      </c>
      <c r="R340" t="s">
        <v>30</v>
      </c>
      <c r="S340" t="s">
        <v>36</v>
      </c>
      <c r="T340" t="s">
        <v>35</v>
      </c>
      <c r="U340">
        <f>IF(IFERROR(VLOOKUP(BBDD_Usiarios_Netflix[[#This Row],[Identificador Usuario]],A341:$A$5870,1,FALSE),0)&lt;&gt;0,1,0)</f>
        <v>0</v>
      </c>
      <c r="V340" s="6" t="str">
        <f>IF(BBDD_Usiarios_Netflix[[#This Row],[Duración Plan]]="12 Meses",LEFT(BBDD_Usiarios_Netflix[[#This Row],[Duración Plan]],2),LEFT(BBDD_Usiarios_Netflix[[#This Row],[Duración Plan]],1))</f>
        <v>6</v>
      </c>
      <c r="W3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41" spans="1:23" x14ac:dyDescent="0.25">
      <c r="A341">
        <v>340</v>
      </c>
      <c r="B341" t="s">
        <v>23</v>
      </c>
      <c r="C341">
        <v>10</v>
      </c>
      <c r="D341" s="3">
        <v>13</v>
      </c>
      <c r="E341" s="3">
        <v>9</v>
      </c>
      <c r="F341">
        <v>23</v>
      </c>
      <c r="G341" s="1">
        <f>DATEVALUE(_xlfn.CONCAT(BBDD_Usiarios_Netflix[[#This Row],[Día Suscripción]],"/",BBDD_Usiarios_Netflix[[#This Row],[Mes Suscripción]],"/",BBDD_Usiarios_Netflix[[#This Row],[Año Suscripción]]))</f>
        <v>45182</v>
      </c>
      <c r="H341" s="1">
        <v>25</v>
      </c>
      <c r="I341" s="1">
        <v>6</v>
      </c>
      <c r="J341" s="1">
        <v>24</v>
      </c>
      <c r="K341" s="1" t="str">
        <f>TEXT(BBDD_Usiarios_Netflix[[#This Row],[Fecha Suscripción]],"dddd")</f>
        <v>miércoles</v>
      </c>
      <c r="L341" s="1">
        <f>DATEVALUE(_xlfn.CONCAT(BBDD_Usiarios_Netflix[[#This Row],[Día Último Pago]],"/",BBDD_Usiarios_Netflix[[#This Row],[Mes Último Pago]],"/",BBDD_Usiarios_Netflix[[#This Row],[Año Último Pago]]))</f>
        <v>45468</v>
      </c>
      <c r="M341" s="4">
        <f>DATEDIF(BBDD_Usiarios_Netflix[[#This Row],[Fecha Suscripción]],BBDD_Usiarios_Netflix[[#This Row],[Fecha Último Pago]],"M")+1</f>
        <v>10</v>
      </c>
      <c r="N341" s="4">
        <f>BBDD_Usiarios_Netflix[[#This Row],[Ingresos Mensuales]]*BBDD_Usiarios_Netflix[[#This Row],[Meses contratados]]</f>
        <v>100</v>
      </c>
      <c r="O341" t="s">
        <v>24</v>
      </c>
      <c r="P341" t="str">
        <f>IF(BBDD_Usiarios_Netflix[[#This Row],[País]]="","Desconocido",BBDD_Usiarios_Netflix[[#This Row],[País]])</f>
        <v>Australia</v>
      </c>
      <c r="Q341">
        <v>44</v>
      </c>
      <c r="R341" t="s">
        <v>30</v>
      </c>
      <c r="S341" t="s">
        <v>26</v>
      </c>
      <c r="T341" t="s">
        <v>35</v>
      </c>
      <c r="U341">
        <f>IF(IFERROR(VLOOKUP(BBDD_Usiarios_Netflix[[#This Row],[Identificador Usuario]],A342:$A$5870,1,FALSE),0)&lt;&gt;0,1,0)</f>
        <v>0</v>
      </c>
      <c r="V341" s="6" t="str">
        <f>IF(BBDD_Usiarios_Netflix[[#This Row],[Duración Plan]]="12 Meses",LEFT(BBDD_Usiarios_Netflix[[#This Row],[Duración Plan]],2),LEFT(BBDD_Usiarios_Netflix[[#This Row],[Duración Plan]],1))</f>
        <v>6</v>
      </c>
      <c r="W3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42" spans="1:23" x14ac:dyDescent="0.25">
      <c r="A342">
        <v>341</v>
      </c>
      <c r="B342" t="s">
        <v>28</v>
      </c>
      <c r="C342">
        <v>14</v>
      </c>
      <c r="D342" s="3">
        <v>24</v>
      </c>
      <c r="E342" s="3">
        <v>8</v>
      </c>
      <c r="F342">
        <v>23</v>
      </c>
      <c r="G342" s="1">
        <f>DATEVALUE(_xlfn.CONCAT(BBDD_Usiarios_Netflix[[#This Row],[Día Suscripción]],"/",BBDD_Usiarios_Netflix[[#This Row],[Mes Suscripción]],"/",BBDD_Usiarios_Netflix[[#This Row],[Año Suscripción]]))</f>
        <v>45162</v>
      </c>
      <c r="H342" s="1">
        <v>26</v>
      </c>
      <c r="I342" s="1">
        <v>6</v>
      </c>
      <c r="J342" s="1">
        <v>24</v>
      </c>
      <c r="K342" s="1" t="str">
        <f>TEXT(BBDD_Usiarios_Netflix[[#This Row],[Fecha Suscripción]],"dddd")</f>
        <v>jueves</v>
      </c>
      <c r="L342" s="1">
        <f>DATEVALUE(_xlfn.CONCAT(BBDD_Usiarios_Netflix[[#This Row],[Día Último Pago]],"/",BBDD_Usiarios_Netflix[[#This Row],[Mes Último Pago]],"/",BBDD_Usiarios_Netflix[[#This Row],[Año Último Pago]]))</f>
        <v>45469</v>
      </c>
      <c r="M342" s="4">
        <f>DATEDIF(BBDD_Usiarios_Netflix[[#This Row],[Fecha Suscripción]],BBDD_Usiarios_Netflix[[#This Row],[Fecha Último Pago]],"M")+1</f>
        <v>11</v>
      </c>
      <c r="N342" s="4">
        <f>BBDD_Usiarios_Netflix[[#This Row],[Ingresos Mensuales]]*BBDD_Usiarios_Netflix[[#This Row],[Meses contratados]]</f>
        <v>154</v>
      </c>
      <c r="O342" t="s">
        <v>44</v>
      </c>
      <c r="P342" t="str">
        <f>IF(BBDD_Usiarios_Netflix[[#This Row],[País]]="","Desconocido",BBDD_Usiarios_Netflix[[#This Row],[País]])</f>
        <v>Desconocido</v>
      </c>
      <c r="Q342">
        <v>44</v>
      </c>
      <c r="R342" t="s">
        <v>30</v>
      </c>
      <c r="S342" t="s">
        <v>36</v>
      </c>
      <c r="T342" t="s">
        <v>27</v>
      </c>
      <c r="U342">
        <f>IF(IFERROR(VLOOKUP(BBDD_Usiarios_Netflix[[#This Row],[Identificador Usuario]],A343:$A$5870,1,FALSE),0)&lt;&gt;0,1,0)</f>
        <v>0</v>
      </c>
      <c r="V342" s="6" t="str">
        <f>IF(BBDD_Usiarios_Netflix[[#This Row],[Duración Plan]]="12 Meses",LEFT(BBDD_Usiarios_Netflix[[#This Row],[Duración Plan]],2),LEFT(BBDD_Usiarios_Netflix[[#This Row],[Duración Plan]],1))</f>
        <v>1</v>
      </c>
      <c r="W3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43" spans="1:23" x14ac:dyDescent="0.25">
      <c r="A343">
        <v>342</v>
      </c>
      <c r="B343" t="s">
        <v>23</v>
      </c>
      <c r="C343">
        <v>10</v>
      </c>
      <c r="D343" s="3">
        <v>9</v>
      </c>
      <c r="E343" s="3">
        <v>8</v>
      </c>
      <c r="F343">
        <v>23</v>
      </c>
      <c r="G343" s="1">
        <f>DATEVALUE(_xlfn.CONCAT(BBDD_Usiarios_Netflix[[#This Row],[Día Suscripción]],"/",BBDD_Usiarios_Netflix[[#This Row],[Mes Suscripción]],"/",BBDD_Usiarios_Netflix[[#This Row],[Año Suscripción]]))</f>
        <v>45147</v>
      </c>
      <c r="H343" s="1">
        <v>26</v>
      </c>
      <c r="I343" s="1">
        <v>6</v>
      </c>
      <c r="J343" s="1">
        <v>24</v>
      </c>
      <c r="K343" s="1" t="str">
        <f>TEXT(BBDD_Usiarios_Netflix[[#This Row],[Fecha Suscripción]],"dddd")</f>
        <v>miércoles</v>
      </c>
      <c r="L343" s="1">
        <f>DATEVALUE(_xlfn.CONCAT(BBDD_Usiarios_Netflix[[#This Row],[Día Último Pago]],"/",BBDD_Usiarios_Netflix[[#This Row],[Mes Último Pago]],"/",BBDD_Usiarios_Netflix[[#This Row],[Año Último Pago]]))</f>
        <v>45469</v>
      </c>
      <c r="M343" s="4">
        <f>DATEDIF(BBDD_Usiarios_Netflix[[#This Row],[Fecha Suscripción]],BBDD_Usiarios_Netflix[[#This Row],[Fecha Último Pago]],"M")+1</f>
        <v>11</v>
      </c>
      <c r="N343" s="4">
        <f>BBDD_Usiarios_Netflix[[#This Row],[Ingresos Mensuales]]*BBDD_Usiarios_Netflix[[#This Row],[Meses contratados]]</f>
        <v>110</v>
      </c>
      <c r="O343" t="s">
        <v>39</v>
      </c>
      <c r="P343" t="str">
        <f>IF(BBDD_Usiarios_Netflix[[#This Row],[País]]="","Desconocido",BBDD_Usiarios_Netflix[[#This Row],[País]])</f>
        <v>Canadá</v>
      </c>
      <c r="Q343">
        <v>41</v>
      </c>
      <c r="R343" t="s">
        <v>30</v>
      </c>
      <c r="S343" t="s">
        <v>36</v>
      </c>
      <c r="T343" t="s">
        <v>38</v>
      </c>
      <c r="U343">
        <f>IF(IFERROR(VLOOKUP(BBDD_Usiarios_Netflix[[#This Row],[Identificador Usuario]],A344:$A$5870,1,FALSE),0)&lt;&gt;0,1,0)</f>
        <v>0</v>
      </c>
      <c r="V343" s="6" t="str">
        <f>IF(BBDD_Usiarios_Netflix[[#This Row],[Duración Plan]]="12 Meses",LEFT(BBDD_Usiarios_Netflix[[#This Row],[Duración Plan]],2),LEFT(BBDD_Usiarios_Netflix[[#This Row],[Duración Plan]],1))</f>
        <v>3</v>
      </c>
      <c r="W3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44" spans="1:23" x14ac:dyDescent="0.25">
      <c r="A344">
        <v>343</v>
      </c>
      <c r="B344" t="s">
        <v>32</v>
      </c>
      <c r="C344">
        <v>12</v>
      </c>
      <c r="D344" s="3">
        <v>6</v>
      </c>
      <c r="E344" s="3">
        <v>8</v>
      </c>
      <c r="F344">
        <v>23</v>
      </c>
      <c r="G344" s="1">
        <f>DATEVALUE(_xlfn.CONCAT(BBDD_Usiarios_Netflix[[#This Row],[Día Suscripción]],"/",BBDD_Usiarios_Netflix[[#This Row],[Mes Suscripción]],"/",BBDD_Usiarios_Netflix[[#This Row],[Año Suscripción]]))</f>
        <v>45144</v>
      </c>
      <c r="H344" s="1">
        <v>25</v>
      </c>
      <c r="I344" s="1">
        <v>6</v>
      </c>
      <c r="J344" s="1">
        <v>24</v>
      </c>
      <c r="K344" s="1" t="str">
        <f>TEXT(BBDD_Usiarios_Netflix[[#This Row],[Fecha Suscripción]],"dddd")</f>
        <v>domingo</v>
      </c>
      <c r="L344" s="1">
        <f>DATEVALUE(_xlfn.CONCAT(BBDD_Usiarios_Netflix[[#This Row],[Día Último Pago]],"/",BBDD_Usiarios_Netflix[[#This Row],[Mes Último Pago]],"/",BBDD_Usiarios_Netflix[[#This Row],[Año Último Pago]]))</f>
        <v>45468</v>
      </c>
      <c r="M344" s="4">
        <f>DATEDIF(BBDD_Usiarios_Netflix[[#This Row],[Fecha Suscripción]],BBDD_Usiarios_Netflix[[#This Row],[Fecha Último Pago]],"M")+1</f>
        <v>11</v>
      </c>
      <c r="N344" s="4">
        <f>BBDD_Usiarios_Netflix[[#This Row],[Ingresos Mensuales]]*BBDD_Usiarios_Netflix[[#This Row],[Meses contratados]]</f>
        <v>132</v>
      </c>
      <c r="O344" t="s">
        <v>29</v>
      </c>
      <c r="P344" t="str">
        <f>IF(BBDD_Usiarios_Netflix[[#This Row],[País]]="","Desconocido",BBDD_Usiarios_Netflix[[#This Row],[País]])</f>
        <v>EEUU</v>
      </c>
      <c r="Q344">
        <v>46</v>
      </c>
      <c r="R344" t="s">
        <v>25</v>
      </c>
      <c r="S344" t="s">
        <v>34</v>
      </c>
      <c r="T344" t="s">
        <v>38</v>
      </c>
      <c r="U344">
        <f>IF(IFERROR(VLOOKUP(BBDD_Usiarios_Netflix[[#This Row],[Identificador Usuario]],A345:$A$5870,1,FALSE),0)&lt;&gt;0,1,0)</f>
        <v>0</v>
      </c>
      <c r="V344" s="6" t="str">
        <f>IF(BBDD_Usiarios_Netflix[[#This Row],[Duración Plan]]="12 Meses",LEFT(BBDD_Usiarios_Netflix[[#This Row],[Duración Plan]],2),LEFT(BBDD_Usiarios_Netflix[[#This Row],[Duración Plan]],1))</f>
        <v>3</v>
      </c>
      <c r="W3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45" spans="1:23" x14ac:dyDescent="0.25">
      <c r="A345">
        <v>344</v>
      </c>
      <c r="B345" t="s">
        <v>32</v>
      </c>
      <c r="C345">
        <v>12</v>
      </c>
      <c r="D345" s="3">
        <v>7</v>
      </c>
      <c r="E345" s="3">
        <v>8</v>
      </c>
      <c r="F345">
        <v>23</v>
      </c>
      <c r="G345" s="1">
        <f>DATEVALUE(_xlfn.CONCAT(BBDD_Usiarios_Netflix[[#This Row],[Día Suscripción]],"/",BBDD_Usiarios_Netflix[[#This Row],[Mes Suscripción]],"/",BBDD_Usiarios_Netflix[[#This Row],[Año Suscripción]]))</f>
        <v>45145</v>
      </c>
      <c r="H345" s="1">
        <v>26</v>
      </c>
      <c r="I345" s="1">
        <v>6</v>
      </c>
      <c r="J345" s="1">
        <v>24</v>
      </c>
      <c r="K345" s="1" t="str">
        <f>TEXT(BBDD_Usiarios_Netflix[[#This Row],[Fecha Suscripción]],"dddd")</f>
        <v>lunes</v>
      </c>
      <c r="L345" s="1">
        <f>DATEVALUE(_xlfn.CONCAT(BBDD_Usiarios_Netflix[[#This Row],[Día Último Pago]],"/",BBDD_Usiarios_Netflix[[#This Row],[Mes Último Pago]],"/",BBDD_Usiarios_Netflix[[#This Row],[Año Último Pago]]))</f>
        <v>45469</v>
      </c>
      <c r="M345" s="4">
        <f>DATEDIF(BBDD_Usiarios_Netflix[[#This Row],[Fecha Suscripción]],BBDD_Usiarios_Netflix[[#This Row],[Fecha Último Pago]],"M")+1</f>
        <v>11</v>
      </c>
      <c r="N345" s="4">
        <f>BBDD_Usiarios_Netflix[[#This Row],[Ingresos Mensuales]]*BBDD_Usiarios_Netflix[[#This Row],[Meses contratados]]</f>
        <v>132</v>
      </c>
      <c r="O345" t="s">
        <v>40</v>
      </c>
      <c r="P345" t="str">
        <f>IF(BBDD_Usiarios_Netflix[[#This Row],[País]]="","Desconocido",BBDD_Usiarios_Netflix[[#This Row],[País]])</f>
        <v>Italia</v>
      </c>
      <c r="Q345">
        <v>42</v>
      </c>
      <c r="R345" t="s">
        <v>30</v>
      </c>
      <c r="S345" t="s">
        <v>26</v>
      </c>
      <c r="T345" t="s">
        <v>41</v>
      </c>
      <c r="U345">
        <f>IF(IFERROR(VLOOKUP(BBDD_Usiarios_Netflix[[#This Row],[Identificador Usuario]],A346:$A$5870,1,FALSE),0)&lt;&gt;0,1,0)</f>
        <v>0</v>
      </c>
      <c r="V345" s="6" t="str">
        <f>IF(BBDD_Usiarios_Netflix[[#This Row],[Duración Plan]]="12 Meses",LEFT(BBDD_Usiarios_Netflix[[#This Row],[Duración Plan]],2),LEFT(BBDD_Usiarios_Netflix[[#This Row],[Duración Plan]],1))</f>
        <v>12</v>
      </c>
      <c r="W3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46" spans="1:23" x14ac:dyDescent="0.25">
      <c r="A346">
        <v>345</v>
      </c>
      <c r="B346" t="s">
        <v>23</v>
      </c>
      <c r="C346">
        <v>10</v>
      </c>
      <c r="D346" s="3">
        <v>8</v>
      </c>
      <c r="E346" s="3">
        <v>8</v>
      </c>
      <c r="F346">
        <v>23</v>
      </c>
      <c r="G346" s="1">
        <f>DATEVALUE(_xlfn.CONCAT(BBDD_Usiarios_Netflix[[#This Row],[Día Suscripción]],"/",BBDD_Usiarios_Netflix[[#This Row],[Mes Suscripción]],"/",BBDD_Usiarios_Netflix[[#This Row],[Año Suscripción]]))</f>
        <v>45146</v>
      </c>
      <c r="H346" s="1">
        <v>25</v>
      </c>
      <c r="I346" s="1">
        <v>6</v>
      </c>
      <c r="J346" s="1">
        <v>24</v>
      </c>
      <c r="K346" s="1" t="str">
        <f>TEXT(BBDD_Usiarios_Netflix[[#This Row],[Fecha Suscripción]],"dddd")</f>
        <v>martes</v>
      </c>
      <c r="L346" s="1">
        <f>DATEVALUE(_xlfn.CONCAT(BBDD_Usiarios_Netflix[[#This Row],[Día Último Pago]],"/",BBDD_Usiarios_Netflix[[#This Row],[Mes Último Pago]],"/",BBDD_Usiarios_Netflix[[#This Row],[Año Último Pago]]))</f>
        <v>45468</v>
      </c>
      <c r="M346" s="4">
        <f>DATEDIF(BBDD_Usiarios_Netflix[[#This Row],[Fecha Suscripción]],BBDD_Usiarios_Netflix[[#This Row],[Fecha Último Pago]],"M")+1</f>
        <v>11</v>
      </c>
      <c r="N346" s="4">
        <f>BBDD_Usiarios_Netflix[[#This Row],[Ingresos Mensuales]]*BBDD_Usiarios_Netflix[[#This Row],[Meses contratados]]</f>
        <v>110</v>
      </c>
      <c r="O346" t="s">
        <v>45</v>
      </c>
      <c r="P346" t="str">
        <f>IF(BBDD_Usiarios_Netflix[[#This Row],[País]]="","Desconocido",BBDD_Usiarios_Netflix[[#This Row],[País]])</f>
        <v>España</v>
      </c>
      <c r="Q346">
        <v>48</v>
      </c>
      <c r="R346" t="s">
        <v>30</v>
      </c>
      <c r="S346" t="s">
        <v>34</v>
      </c>
      <c r="T346" t="s">
        <v>38</v>
      </c>
      <c r="U346">
        <f>IF(IFERROR(VLOOKUP(BBDD_Usiarios_Netflix[[#This Row],[Identificador Usuario]],A347:$A$5870,1,FALSE),0)&lt;&gt;0,1,0)</f>
        <v>0</v>
      </c>
      <c r="V346" s="6" t="str">
        <f>IF(BBDD_Usiarios_Netflix[[#This Row],[Duración Plan]]="12 Meses",LEFT(BBDD_Usiarios_Netflix[[#This Row],[Duración Plan]],2),LEFT(BBDD_Usiarios_Netflix[[#This Row],[Duración Plan]],1))</f>
        <v>3</v>
      </c>
      <c r="W3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47" spans="1:23" x14ac:dyDescent="0.25">
      <c r="A347">
        <v>346</v>
      </c>
      <c r="B347" t="s">
        <v>28</v>
      </c>
      <c r="C347">
        <v>14</v>
      </c>
      <c r="D347" s="3">
        <v>31</v>
      </c>
      <c r="E347" s="3">
        <v>8</v>
      </c>
      <c r="F347">
        <v>23</v>
      </c>
      <c r="G347" s="1">
        <f>DATEVALUE(_xlfn.CONCAT(BBDD_Usiarios_Netflix[[#This Row],[Día Suscripción]],"/",BBDD_Usiarios_Netflix[[#This Row],[Mes Suscripción]],"/",BBDD_Usiarios_Netflix[[#This Row],[Año Suscripción]]))</f>
        <v>45169</v>
      </c>
      <c r="H347" s="1">
        <v>26</v>
      </c>
      <c r="I347" s="1">
        <v>6</v>
      </c>
      <c r="J347" s="1">
        <v>24</v>
      </c>
      <c r="K347" s="1" t="str">
        <f>TEXT(BBDD_Usiarios_Netflix[[#This Row],[Fecha Suscripción]],"dddd")</f>
        <v>jueves</v>
      </c>
      <c r="L347" s="1">
        <f>DATEVALUE(_xlfn.CONCAT(BBDD_Usiarios_Netflix[[#This Row],[Día Último Pago]],"/",BBDD_Usiarios_Netflix[[#This Row],[Mes Último Pago]],"/",BBDD_Usiarios_Netflix[[#This Row],[Año Último Pago]]))</f>
        <v>45469</v>
      </c>
      <c r="M347" s="4">
        <f>DATEDIF(BBDD_Usiarios_Netflix[[#This Row],[Fecha Suscripción]],BBDD_Usiarios_Netflix[[#This Row],[Fecha Último Pago]],"M")+1</f>
        <v>10</v>
      </c>
      <c r="N347" s="4">
        <f>BBDD_Usiarios_Netflix[[#This Row],[Ingresos Mensuales]]*BBDD_Usiarios_Netflix[[#This Row],[Meses contratados]]</f>
        <v>140</v>
      </c>
      <c r="O347" t="s">
        <v>39</v>
      </c>
      <c r="P347" t="str">
        <f>IF(BBDD_Usiarios_Netflix[[#This Row],[País]]="","Desconocido",BBDD_Usiarios_Netflix[[#This Row],[País]])</f>
        <v>Canadá</v>
      </c>
      <c r="Q347">
        <v>37</v>
      </c>
      <c r="R347" t="s">
        <v>25</v>
      </c>
      <c r="S347" t="s">
        <v>31</v>
      </c>
      <c r="T347" t="s">
        <v>38</v>
      </c>
      <c r="U347">
        <f>IF(IFERROR(VLOOKUP(BBDD_Usiarios_Netflix[[#This Row],[Identificador Usuario]],A348:$A$5870,1,FALSE),0)&lt;&gt;0,1,0)</f>
        <v>0</v>
      </c>
      <c r="V347" s="6" t="str">
        <f>IF(BBDD_Usiarios_Netflix[[#This Row],[Duración Plan]]="12 Meses",LEFT(BBDD_Usiarios_Netflix[[#This Row],[Duración Plan]],2),LEFT(BBDD_Usiarios_Netflix[[#This Row],[Duración Plan]],1))</f>
        <v>3</v>
      </c>
      <c r="W3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48" spans="1:23" x14ac:dyDescent="0.25">
      <c r="A348">
        <v>347</v>
      </c>
      <c r="B348" t="s">
        <v>23</v>
      </c>
      <c r="C348">
        <v>10</v>
      </c>
      <c r="D348" s="3">
        <v>21</v>
      </c>
      <c r="E348" s="3">
        <v>9</v>
      </c>
      <c r="F348">
        <v>23</v>
      </c>
      <c r="G348" s="1">
        <f>DATEVALUE(_xlfn.CONCAT(BBDD_Usiarios_Netflix[[#This Row],[Día Suscripción]],"/",BBDD_Usiarios_Netflix[[#This Row],[Mes Suscripción]],"/",BBDD_Usiarios_Netflix[[#This Row],[Año Suscripción]]))</f>
        <v>45190</v>
      </c>
      <c r="H348" s="1">
        <v>28</v>
      </c>
      <c r="I348" s="1">
        <v>6</v>
      </c>
      <c r="J348" s="1">
        <v>24</v>
      </c>
      <c r="K348" s="1" t="str">
        <f>TEXT(BBDD_Usiarios_Netflix[[#This Row],[Fecha Suscripción]],"dddd")</f>
        <v>jueves</v>
      </c>
      <c r="L348" s="1">
        <f>DATEVALUE(_xlfn.CONCAT(BBDD_Usiarios_Netflix[[#This Row],[Día Último Pago]],"/",BBDD_Usiarios_Netflix[[#This Row],[Mes Último Pago]],"/",BBDD_Usiarios_Netflix[[#This Row],[Año Último Pago]]))</f>
        <v>45471</v>
      </c>
      <c r="M348" s="4">
        <f>DATEDIF(BBDD_Usiarios_Netflix[[#This Row],[Fecha Suscripción]],BBDD_Usiarios_Netflix[[#This Row],[Fecha Último Pago]],"M")+1</f>
        <v>10</v>
      </c>
      <c r="N348" s="4">
        <f>BBDD_Usiarios_Netflix[[#This Row],[Ingresos Mensuales]]*BBDD_Usiarios_Netflix[[#This Row],[Meses contratados]]</f>
        <v>100</v>
      </c>
      <c r="O348" t="s">
        <v>44</v>
      </c>
      <c r="P348" t="str">
        <f>IF(BBDD_Usiarios_Netflix[[#This Row],[País]]="","Desconocido",BBDD_Usiarios_Netflix[[#This Row],[País]])</f>
        <v>Desconocido</v>
      </c>
      <c r="Q348">
        <v>29</v>
      </c>
      <c r="R348" t="s">
        <v>25</v>
      </c>
      <c r="S348" t="s">
        <v>26</v>
      </c>
      <c r="T348" t="s">
        <v>27</v>
      </c>
      <c r="U348">
        <f>IF(IFERROR(VLOOKUP(BBDD_Usiarios_Netflix[[#This Row],[Identificador Usuario]],A349:$A$5870,1,FALSE),0)&lt;&gt;0,1,0)</f>
        <v>0</v>
      </c>
      <c r="V348" s="6" t="str">
        <f>IF(BBDD_Usiarios_Netflix[[#This Row],[Duración Plan]]="12 Meses",LEFT(BBDD_Usiarios_Netflix[[#This Row],[Duración Plan]],2),LEFT(BBDD_Usiarios_Netflix[[#This Row],[Duración Plan]],1))</f>
        <v>1</v>
      </c>
      <c r="W3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49" spans="1:23" x14ac:dyDescent="0.25">
      <c r="A349">
        <v>348</v>
      </c>
      <c r="B349" t="s">
        <v>32</v>
      </c>
      <c r="C349">
        <v>12</v>
      </c>
      <c r="D349" s="3">
        <v>5</v>
      </c>
      <c r="E349" s="3">
        <v>10</v>
      </c>
      <c r="F349">
        <v>23</v>
      </c>
      <c r="G349" s="1">
        <f>DATEVALUE(_xlfn.CONCAT(BBDD_Usiarios_Netflix[[#This Row],[Día Suscripción]],"/",BBDD_Usiarios_Netflix[[#This Row],[Mes Suscripción]],"/",BBDD_Usiarios_Netflix[[#This Row],[Año Suscripción]]))</f>
        <v>45204</v>
      </c>
      <c r="H349" s="1">
        <v>26</v>
      </c>
      <c r="I349" s="1">
        <v>6</v>
      </c>
      <c r="J349" s="1">
        <v>24</v>
      </c>
      <c r="K349" s="1" t="str">
        <f>TEXT(BBDD_Usiarios_Netflix[[#This Row],[Fecha Suscripción]],"dddd")</f>
        <v>jueves</v>
      </c>
      <c r="L349" s="1">
        <f>DATEVALUE(_xlfn.CONCAT(BBDD_Usiarios_Netflix[[#This Row],[Día Último Pago]],"/",BBDD_Usiarios_Netflix[[#This Row],[Mes Último Pago]],"/",BBDD_Usiarios_Netflix[[#This Row],[Año Último Pago]]))</f>
        <v>45469</v>
      </c>
      <c r="M349" s="4">
        <f>DATEDIF(BBDD_Usiarios_Netflix[[#This Row],[Fecha Suscripción]],BBDD_Usiarios_Netflix[[#This Row],[Fecha Último Pago]],"M")+1</f>
        <v>9</v>
      </c>
      <c r="N349" s="4">
        <f>BBDD_Usiarios_Netflix[[#This Row],[Ingresos Mensuales]]*BBDD_Usiarios_Netflix[[#This Row],[Meses contratados]]</f>
        <v>108</v>
      </c>
      <c r="O349" t="s">
        <v>29</v>
      </c>
      <c r="P349" t="str">
        <f>IF(BBDD_Usiarios_Netflix[[#This Row],[País]]="","Desconocido",BBDD_Usiarios_Netflix[[#This Row],[País]])</f>
        <v>EEUU</v>
      </c>
      <c r="Q349">
        <v>30</v>
      </c>
      <c r="R349" t="s">
        <v>25</v>
      </c>
      <c r="S349" t="s">
        <v>34</v>
      </c>
      <c r="T349" t="s">
        <v>27</v>
      </c>
      <c r="U349">
        <f>IF(IFERROR(VLOOKUP(BBDD_Usiarios_Netflix[[#This Row],[Identificador Usuario]],A350:$A$5870,1,FALSE),0)&lt;&gt;0,1,0)</f>
        <v>0</v>
      </c>
      <c r="V349" s="6" t="str">
        <f>IF(BBDD_Usiarios_Netflix[[#This Row],[Duración Plan]]="12 Meses",LEFT(BBDD_Usiarios_Netflix[[#This Row],[Duración Plan]],2),LEFT(BBDD_Usiarios_Netflix[[#This Row],[Duración Plan]],1))</f>
        <v>1</v>
      </c>
      <c r="W3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50" spans="1:23" x14ac:dyDescent="0.25">
      <c r="A350">
        <v>349</v>
      </c>
      <c r="B350" t="s">
        <v>28</v>
      </c>
      <c r="C350">
        <v>14</v>
      </c>
      <c r="D350" s="3">
        <v>2</v>
      </c>
      <c r="E350" s="3">
        <v>11</v>
      </c>
      <c r="F350">
        <v>23</v>
      </c>
      <c r="G350" s="1">
        <f>DATEVALUE(_xlfn.CONCAT(BBDD_Usiarios_Netflix[[#This Row],[Día Suscripción]],"/",BBDD_Usiarios_Netflix[[#This Row],[Mes Suscripción]],"/",BBDD_Usiarios_Netflix[[#This Row],[Año Suscripción]]))</f>
        <v>45232</v>
      </c>
      <c r="H350" s="1">
        <v>26</v>
      </c>
      <c r="I350" s="1">
        <v>6</v>
      </c>
      <c r="J350" s="1">
        <v>24</v>
      </c>
      <c r="K350" s="1" t="str">
        <f>TEXT(BBDD_Usiarios_Netflix[[#This Row],[Fecha Suscripción]],"dddd")</f>
        <v>jueves</v>
      </c>
      <c r="L350" s="1">
        <f>DATEVALUE(_xlfn.CONCAT(BBDD_Usiarios_Netflix[[#This Row],[Día Último Pago]],"/",BBDD_Usiarios_Netflix[[#This Row],[Mes Último Pago]],"/",BBDD_Usiarios_Netflix[[#This Row],[Año Último Pago]]))</f>
        <v>45469</v>
      </c>
      <c r="M350" s="4">
        <f>DATEDIF(BBDD_Usiarios_Netflix[[#This Row],[Fecha Suscripción]],BBDD_Usiarios_Netflix[[#This Row],[Fecha Último Pago]],"M")+1</f>
        <v>8</v>
      </c>
      <c r="N350" s="4">
        <f>BBDD_Usiarios_Netflix[[#This Row],[Ingresos Mensuales]]*BBDD_Usiarios_Netflix[[#This Row],[Meses contratados]]</f>
        <v>112</v>
      </c>
      <c r="O350" t="s">
        <v>29</v>
      </c>
      <c r="P350" t="str">
        <f>IF(BBDD_Usiarios_Netflix[[#This Row],[País]]="","Desconocido",BBDD_Usiarios_Netflix[[#This Row],[País]])</f>
        <v>EEUU</v>
      </c>
      <c r="Q350">
        <v>28</v>
      </c>
      <c r="R350" t="s">
        <v>25</v>
      </c>
      <c r="S350" t="s">
        <v>26</v>
      </c>
      <c r="T350" t="s">
        <v>35</v>
      </c>
      <c r="U350">
        <f>IF(IFERROR(VLOOKUP(BBDD_Usiarios_Netflix[[#This Row],[Identificador Usuario]],A351:$A$5870,1,FALSE),0)&lt;&gt;0,1,0)</f>
        <v>0</v>
      </c>
      <c r="V350" s="6" t="str">
        <f>IF(BBDD_Usiarios_Netflix[[#This Row],[Duración Plan]]="12 Meses",LEFT(BBDD_Usiarios_Netflix[[#This Row],[Duración Plan]],2),LEFT(BBDD_Usiarios_Netflix[[#This Row],[Duración Plan]],1))</f>
        <v>6</v>
      </c>
      <c r="W3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51" spans="1:23" x14ac:dyDescent="0.25">
      <c r="A351">
        <v>350</v>
      </c>
      <c r="B351" t="s">
        <v>23</v>
      </c>
      <c r="C351">
        <v>10</v>
      </c>
      <c r="D351" s="3">
        <v>2</v>
      </c>
      <c r="E351" s="3">
        <v>11</v>
      </c>
      <c r="F351">
        <v>23</v>
      </c>
      <c r="G351" s="1">
        <f>DATEVALUE(_xlfn.CONCAT(BBDD_Usiarios_Netflix[[#This Row],[Día Suscripción]],"/",BBDD_Usiarios_Netflix[[#This Row],[Mes Suscripción]],"/",BBDD_Usiarios_Netflix[[#This Row],[Año Suscripción]]))</f>
        <v>45232</v>
      </c>
      <c r="H351" s="1">
        <v>28</v>
      </c>
      <c r="I351" s="1">
        <v>6</v>
      </c>
      <c r="J351" s="1">
        <v>24</v>
      </c>
      <c r="K351" s="1" t="str">
        <f>TEXT(BBDD_Usiarios_Netflix[[#This Row],[Fecha Suscripción]],"dddd")</f>
        <v>jueves</v>
      </c>
      <c r="L351" s="1">
        <f>DATEVALUE(_xlfn.CONCAT(BBDD_Usiarios_Netflix[[#This Row],[Día Último Pago]],"/",BBDD_Usiarios_Netflix[[#This Row],[Mes Último Pago]],"/",BBDD_Usiarios_Netflix[[#This Row],[Año Último Pago]]))</f>
        <v>45471</v>
      </c>
      <c r="M351" s="4">
        <f>DATEDIF(BBDD_Usiarios_Netflix[[#This Row],[Fecha Suscripción]],BBDD_Usiarios_Netflix[[#This Row],[Fecha Último Pago]],"M")+1</f>
        <v>8</v>
      </c>
      <c r="N351" s="4">
        <f>BBDD_Usiarios_Netflix[[#This Row],[Ingresos Mensuales]]*BBDD_Usiarios_Netflix[[#This Row],[Meses contratados]]</f>
        <v>80</v>
      </c>
      <c r="O351" t="s">
        <v>40</v>
      </c>
      <c r="P351" t="str">
        <f>IF(BBDD_Usiarios_Netflix[[#This Row],[País]]="","Desconocido",BBDD_Usiarios_Netflix[[#This Row],[País]])</f>
        <v>Italia</v>
      </c>
      <c r="Q351">
        <v>44</v>
      </c>
      <c r="R351" t="s">
        <v>30</v>
      </c>
      <c r="S351" t="s">
        <v>26</v>
      </c>
      <c r="T351" t="s">
        <v>35</v>
      </c>
      <c r="U351">
        <f>IF(IFERROR(VLOOKUP(BBDD_Usiarios_Netflix[[#This Row],[Identificador Usuario]],A352:$A$5870,1,FALSE),0)&lt;&gt;0,1,0)</f>
        <v>0</v>
      </c>
      <c r="V351" s="6" t="str">
        <f>IF(BBDD_Usiarios_Netflix[[#This Row],[Duración Plan]]="12 Meses",LEFT(BBDD_Usiarios_Netflix[[#This Row],[Duración Plan]],2),LEFT(BBDD_Usiarios_Netflix[[#This Row],[Duración Plan]],1))</f>
        <v>6</v>
      </c>
      <c r="W3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52" spans="1:23" x14ac:dyDescent="0.25">
      <c r="A352">
        <v>351</v>
      </c>
      <c r="B352" t="s">
        <v>28</v>
      </c>
      <c r="C352">
        <v>14</v>
      </c>
      <c r="D352" s="3">
        <v>2</v>
      </c>
      <c r="E352" s="3">
        <v>11</v>
      </c>
      <c r="F352">
        <v>23</v>
      </c>
      <c r="G352" s="1">
        <f>DATEVALUE(_xlfn.CONCAT(BBDD_Usiarios_Netflix[[#This Row],[Día Suscripción]],"/",BBDD_Usiarios_Netflix[[#This Row],[Mes Suscripción]],"/",BBDD_Usiarios_Netflix[[#This Row],[Año Suscripción]]))</f>
        <v>45232</v>
      </c>
      <c r="H352" s="1">
        <v>28</v>
      </c>
      <c r="I352" s="1">
        <v>6</v>
      </c>
      <c r="J352" s="1">
        <v>24</v>
      </c>
      <c r="K352" s="1" t="str">
        <f>TEXT(BBDD_Usiarios_Netflix[[#This Row],[Fecha Suscripción]],"dddd")</f>
        <v>jueves</v>
      </c>
      <c r="L352" s="1">
        <f>DATEVALUE(_xlfn.CONCAT(BBDD_Usiarios_Netflix[[#This Row],[Día Último Pago]],"/",BBDD_Usiarios_Netflix[[#This Row],[Mes Último Pago]],"/",BBDD_Usiarios_Netflix[[#This Row],[Año Último Pago]]))</f>
        <v>45471</v>
      </c>
      <c r="M352" s="4">
        <f>DATEDIF(BBDD_Usiarios_Netflix[[#This Row],[Fecha Suscripción]],BBDD_Usiarios_Netflix[[#This Row],[Fecha Último Pago]],"M")+1</f>
        <v>8</v>
      </c>
      <c r="N352" s="4">
        <f>BBDD_Usiarios_Netflix[[#This Row],[Ingresos Mensuales]]*BBDD_Usiarios_Netflix[[#This Row],[Meses contratados]]</f>
        <v>112</v>
      </c>
      <c r="O352" t="s">
        <v>24</v>
      </c>
      <c r="P352" t="str">
        <f>IF(BBDD_Usiarios_Netflix[[#This Row],[País]]="","Desconocido",BBDD_Usiarios_Netflix[[#This Row],[País]])</f>
        <v>Australia</v>
      </c>
      <c r="Q352">
        <v>34</v>
      </c>
      <c r="R352" t="s">
        <v>30</v>
      </c>
      <c r="S352" t="s">
        <v>34</v>
      </c>
      <c r="T352" t="s">
        <v>27</v>
      </c>
      <c r="U352">
        <f>IF(IFERROR(VLOOKUP(BBDD_Usiarios_Netflix[[#This Row],[Identificador Usuario]],A353:$A$5870,1,FALSE),0)&lt;&gt;0,1,0)</f>
        <v>0</v>
      </c>
      <c r="V352" s="6" t="str">
        <f>IF(BBDD_Usiarios_Netflix[[#This Row],[Duración Plan]]="12 Meses",LEFT(BBDD_Usiarios_Netflix[[#This Row],[Duración Plan]],2),LEFT(BBDD_Usiarios_Netflix[[#This Row],[Duración Plan]],1))</f>
        <v>1</v>
      </c>
      <c r="W3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53" spans="1:23" x14ac:dyDescent="0.25">
      <c r="A353">
        <v>352</v>
      </c>
      <c r="B353" t="s">
        <v>23</v>
      </c>
      <c r="C353">
        <v>10</v>
      </c>
      <c r="D353" s="3">
        <v>20</v>
      </c>
      <c r="E353" s="3">
        <v>9</v>
      </c>
      <c r="F353">
        <v>23</v>
      </c>
      <c r="G353" s="1">
        <f>DATEVALUE(_xlfn.CONCAT(BBDD_Usiarios_Netflix[[#This Row],[Día Suscripción]],"/",BBDD_Usiarios_Netflix[[#This Row],[Mes Suscripción]],"/",BBDD_Usiarios_Netflix[[#This Row],[Año Suscripción]]))</f>
        <v>45189</v>
      </c>
      <c r="H353" s="1">
        <v>26</v>
      </c>
      <c r="I353" s="1">
        <v>6</v>
      </c>
      <c r="J353" s="1">
        <v>24</v>
      </c>
      <c r="K353" s="1" t="str">
        <f>TEXT(BBDD_Usiarios_Netflix[[#This Row],[Fecha Suscripción]],"dddd")</f>
        <v>miércoles</v>
      </c>
      <c r="L353" s="1">
        <f>DATEVALUE(_xlfn.CONCAT(BBDD_Usiarios_Netflix[[#This Row],[Día Último Pago]],"/",BBDD_Usiarios_Netflix[[#This Row],[Mes Último Pago]],"/",BBDD_Usiarios_Netflix[[#This Row],[Año Último Pago]]))</f>
        <v>45469</v>
      </c>
      <c r="M353" s="4">
        <f>DATEDIF(BBDD_Usiarios_Netflix[[#This Row],[Fecha Suscripción]],BBDD_Usiarios_Netflix[[#This Row],[Fecha Último Pago]],"M")+1</f>
        <v>10</v>
      </c>
      <c r="N353" s="4">
        <f>BBDD_Usiarios_Netflix[[#This Row],[Ingresos Mensuales]]*BBDD_Usiarios_Netflix[[#This Row],[Meses contratados]]</f>
        <v>100</v>
      </c>
      <c r="O353" t="s">
        <v>45</v>
      </c>
      <c r="P353" t="str">
        <f>IF(BBDD_Usiarios_Netflix[[#This Row],[País]]="","Desconocido",BBDD_Usiarios_Netflix[[#This Row],[País]])</f>
        <v>España</v>
      </c>
      <c r="Q353">
        <v>38</v>
      </c>
      <c r="R353" t="s">
        <v>25</v>
      </c>
      <c r="S353" t="s">
        <v>36</v>
      </c>
      <c r="T353" t="s">
        <v>27</v>
      </c>
      <c r="U353">
        <f>IF(IFERROR(VLOOKUP(BBDD_Usiarios_Netflix[[#This Row],[Identificador Usuario]],A354:$A$5870,1,FALSE),0)&lt;&gt;0,1,0)</f>
        <v>0</v>
      </c>
      <c r="V353" s="6" t="str">
        <f>IF(BBDD_Usiarios_Netflix[[#This Row],[Duración Plan]]="12 Meses",LEFT(BBDD_Usiarios_Netflix[[#This Row],[Duración Plan]],2),LEFT(BBDD_Usiarios_Netflix[[#This Row],[Duración Plan]],1))</f>
        <v>1</v>
      </c>
      <c r="W3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54" spans="1:23" x14ac:dyDescent="0.25">
      <c r="A354">
        <v>353</v>
      </c>
      <c r="B354" t="s">
        <v>32</v>
      </c>
      <c r="C354">
        <v>12</v>
      </c>
      <c r="D354" s="3">
        <v>10</v>
      </c>
      <c r="E354" s="3">
        <v>8</v>
      </c>
      <c r="F354">
        <v>23</v>
      </c>
      <c r="G354" s="1">
        <f>DATEVALUE(_xlfn.CONCAT(BBDD_Usiarios_Netflix[[#This Row],[Día Suscripción]],"/",BBDD_Usiarios_Netflix[[#This Row],[Mes Suscripción]],"/",BBDD_Usiarios_Netflix[[#This Row],[Año Suscripción]]))</f>
        <v>45148</v>
      </c>
      <c r="H354" s="1">
        <v>26</v>
      </c>
      <c r="I354" s="1">
        <v>6</v>
      </c>
      <c r="J354" s="1">
        <v>24</v>
      </c>
      <c r="K354" s="1" t="str">
        <f>TEXT(BBDD_Usiarios_Netflix[[#This Row],[Fecha Suscripción]],"dddd")</f>
        <v>jueves</v>
      </c>
      <c r="L354" s="1">
        <f>DATEVALUE(_xlfn.CONCAT(BBDD_Usiarios_Netflix[[#This Row],[Día Último Pago]],"/",BBDD_Usiarios_Netflix[[#This Row],[Mes Último Pago]],"/",BBDD_Usiarios_Netflix[[#This Row],[Año Último Pago]]))</f>
        <v>45469</v>
      </c>
      <c r="M354" s="4">
        <f>DATEDIF(BBDD_Usiarios_Netflix[[#This Row],[Fecha Suscripción]],BBDD_Usiarios_Netflix[[#This Row],[Fecha Último Pago]],"M")+1</f>
        <v>11</v>
      </c>
      <c r="N354" s="4">
        <f>BBDD_Usiarios_Netflix[[#This Row],[Ingresos Mensuales]]*BBDD_Usiarios_Netflix[[#This Row],[Meses contratados]]</f>
        <v>132</v>
      </c>
      <c r="O354" t="s">
        <v>24</v>
      </c>
      <c r="P354" t="str">
        <f>IF(BBDD_Usiarios_Netflix[[#This Row],[País]]="","Desconocido",BBDD_Usiarios_Netflix[[#This Row],[País]])</f>
        <v>Australia</v>
      </c>
      <c r="Q354">
        <v>34</v>
      </c>
      <c r="R354" t="s">
        <v>30</v>
      </c>
      <c r="S354" t="s">
        <v>26</v>
      </c>
      <c r="T354" t="s">
        <v>38</v>
      </c>
      <c r="U354">
        <f>IF(IFERROR(VLOOKUP(BBDD_Usiarios_Netflix[[#This Row],[Identificador Usuario]],A355:$A$5870,1,FALSE),0)&lt;&gt;0,1,0)</f>
        <v>0</v>
      </c>
      <c r="V354" s="6" t="str">
        <f>IF(BBDD_Usiarios_Netflix[[#This Row],[Duración Plan]]="12 Meses",LEFT(BBDD_Usiarios_Netflix[[#This Row],[Duración Plan]],2),LEFT(BBDD_Usiarios_Netflix[[#This Row],[Duración Plan]],1))</f>
        <v>3</v>
      </c>
      <c r="W3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55" spans="1:23" x14ac:dyDescent="0.25">
      <c r="A355">
        <v>354</v>
      </c>
      <c r="B355" t="s">
        <v>32</v>
      </c>
      <c r="C355">
        <v>12</v>
      </c>
      <c r="D355" s="3">
        <v>16</v>
      </c>
      <c r="E355" s="3">
        <v>8</v>
      </c>
      <c r="F355">
        <v>23</v>
      </c>
      <c r="G355" s="1">
        <f>DATEVALUE(_xlfn.CONCAT(BBDD_Usiarios_Netflix[[#This Row],[Día Suscripción]],"/",BBDD_Usiarios_Netflix[[#This Row],[Mes Suscripción]],"/",BBDD_Usiarios_Netflix[[#This Row],[Año Suscripción]]))</f>
        <v>45154</v>
      </c>
      <c r="H355" s="1">
        <v>28</v>
      </c>
      <c r="I355" s="1">
        <v>6</v>
      </c>
      <c r="J355" s="1">
        <v>24</v>
      </c>
      <c r="K355" s="1" t="str">
        <f>TEXT(BBDD_Usiarios_Netflix[[#This Row],[Fecha Suscripción]],"dddd")</f>
        <v>miércoles</v>
      </c>
      <c r="L355" s="1">
        <f>DATEVALUE(_xlfn.CONCAT(BBDD_Usiarios_Netflix[[#This Row],[Día Último Pago]],"/",BBDD_Usiarios_Netflix[[#This Row],[Mes Último Pago]],"/",BBDD_Usiarios_Netflix[[#This Row],[Año Último Pago]]))</f>
        <v>45471</v>
      </c>
      <c r="M355" s="4">
        <f>DATEDIF(BBDD_Usiarios_Netflix[[#This Row],[Fecha Suscripción]],BBDD_Usiarios_Netflix[[#This Row],[Fecha Último Pago]],"M")+1</f>
        <v>11</v>
      </c>
      <c r="N355" s="4">
        <f>BBDD_Usiarios_Netflix[[#This Row],[Ingresos Mensuales]]*BBDD_Usiarios_Netflix[[#This Row],[Meses contratados]]</f>
        <v>132</v>
      </c>
      <c r="O355" t="s">
        <v>42</v>
      </c>
      <c r="P355" t="str">
        <f>IF(BBDD_Usiarios_Netflix[[#This Row],[País]]="","Desconocido",BBDD_Usiarios_Netflix[[#This Row],[País]])</f>
        <v>Reino Unido</v>
      </c>
      <c r="Q355">
        <v>40</v>
      </c>
      <c r="R355" t="s">
        <v>30</v>
      </c>
      <c r="S355" t="s">
        <v>36</v>
      </c>
      <c r="T355" t="s">
        <v>27</v>
      </c>
      <c r="U355">
        <f>IF(IFERROR(VLOOKUP(BBDD_Usiarios_Netflix[[#This Row],[Identificador Usuario]],A356:$A$5870,1,FALSE),0)&lt;&gt;0,1,0)</f>
        <v>0</v>
      </c>
      <c r="V355" s="6" t="str">
        <f>IF(BBDD_Usiarios_Netflix[[#This Row],[Duración Plan]]="12 Meses",LEFT(BBDD_Usiarios_Netflix[[#This Row],[Duración Plan]],2),LEFT(BBDD_Usiarios_Netflix[[#This Row],[Duración Plan]],1))</f>
        <v>1</v>
      </c>
      <c r="W3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56" spans="1:23" x14ac:dyDescent="0.25">
      <c r="A356">
        <v>355</v>
      </c>
      <c r="B356" t="s">
        <v>23</v>
      </c>
      <c r="C356">
        <v>10</v>
      </c>
      <c r="D356" s="3">
        <v>12</v>
      </c>
      <c r="E356" s="3">
        <v>10</v>
      </c>
      <c r="F356">
        <v>23</v>
      </c>
      <c r="G356" s="1">
        <f>DATEVALUE(_xlfn.CONCAT(BBDD_Usiarios_Netflix[[#This Row],[Día Suscripción]],"/",BBDD_Usiarios_Netflix[[#This Row],[Mes Suscripción]],"/",BBDD_Usiarios_Netflix[[#This Row],[Año Suscripción]]))</f>
        <v>45211</v>
      </c>
      <c r="H356" s="1">
        <v>27</v>
      </c>
      <c r="I356" s="1">
        <v>6</v>
      </c>
      <c r="J356" s="1">
        <v>24</v>
      </c>
      <c r="K356" s="1" t="str">
        <f>TEXT(BBDD_Usiarios_Netflix[[#This Row],[Fecha Suscripción]],"dddd")</f>
        <v>jueves</v>
      </c>
      <c r="L356" s="1">
        <f>DATEVALUE(_xlfn.CONCAT(BBDD_Usiarios_Netflix[[#This Row],[Día Último Pago]],"/",BBDD_Usiarios_Netflix[[#This Row],[Mes Último Pago]],"/",BBDD_Usiarios_Netflix[[#This Row],[Año Último Pago]]))</f>
        <v>45470</v>
      </c>
      <c r="M356" s="4">
        <f>DATEDIF(BBDD_Usiarios_Netflix[[#This Row],[Fecha Suscripción]],BBDD_Usiarios_Netflix[[#This Row],[Fecha Último Pago]],"M")+1</f>
        <v>9</v>
      </c>
      <c r="N356" s="4">
        <f>BBDD_Usiarios_Netflix[[#This Row],[Ingresos Mensuales]]*BBDD_Usiarios_Netflix[[#This Row],[Meses contratados]]</f>
        <v>90</v>
      </c>
      <c r="O356" t="s">
        <v>42</v>
      </c>
      <c r="P356" t="str">
        <f>IF(BBDD_Usiarios_Netflix[[#This Row],[País]]="","Desconocido",BBDD_Usiarios_Netflix[[#This Row],[País]])</f>
        <v>Reino Unido</v>
      </c>
      <c r="Q356">
        <v>32</v>
      </c>
      <c r="R356" t="s">
        <v>30</v>
      </c>
      <c r="S356" t="s">
        <v>31</v>
      </c>
      <c r="T356" t="s">
        <v>38</v>
      </c>
      <c r="U356">
        <f>IF(IFERROR(VLOOKUP(BBDD_Usiarios_Netflix[[#This Row],[Identificador Usuario]],A357:$A$5870,1,FALSE),0)&lt;&gt;0,1,0)</f>
        <v>0</v>
      </c>
      <c r="V356" s="6" t="str">
        <f>IF(BBDD_Usiarios_Netflix[[#This Row],[Duración Plan]]="12 Meses",LEFT(BBDD_Usiarios_Netflix[[#This Row],[Duración Plan]],2),LEFT(BBDD_Usiarios_Netflix[[#This Row],[Duración Plan]],1))</f>
        <v>3</v>
      </c>
      <c r="W3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57" spans="1:23" x14ac:dyDescent="0.25">
      <c r="A357">
        <v>356</v>
      </c>
      <c r="B357" t="s">
        <v>28</v>
      </c>
      <c r="C357">
        <v>14</v>
      </c>
      <c r="D357" s="3">
        <v>14</v>
      </c>
      <c r="E357" s="3">
        <v>10</v>
      </c>
      <c r="F357">
        <v>23</v>
      </c>
      <c r="G357" s="1">
        <f>DATEVALUE(_xlfn.CONCAT(BBDD_Usiarios_Netflix[[#This Row],[Día Suscripción]],"/",BBDD_Usiarios_Netflix[[#This Row],[Mes Suscripción]],"/",BBDD_Usiarios_Netflix[[#This Row],[Año Suscripción]]))</f>
        <v>45213</v>
      </c>
      <c r="H357" s="1">
        <v>30</v>
      </c>
      <c r="I357" s="1">
        <v>6</v>
      </c>
      <c r="J357" s="1">
        <v>24</v>
      </c>
      <c r="K357" s="1" t="str">
        <f>TEXT(BBDD_Usiarios_Netflix[[#This Row],[Fecha Suscripción]],"dddd")</f>
        <v>sábado</v>
      </c>
      <c r="L357" s="1">
        <f>DATEVALUE(_xlfn.CONCAT(BBDD_Usiarios_Netflix[[#This Row],[Día Último Pago]],"/",BBDD_Usiarios_Netflix[[#This Row],[Mes Último Pago]],"/",BBDD_Usiarios_Netflix[[#This Row],[Año Último Pago]]))</f>
        <v>45473</v>
      </c>
      <c r="M357" s="4">
        <f>DATEDIF(BBDD_Usiarios_Netflix[[#This Row],[Fecha Suscripción]],BBDD_Usiarios_Netflix[[#This Row],[Fecha Último Pago]],"M")+1</f>
        <v>9</v>
      </c>
      <c r="N357" s="4">
        <f>BBDD_Usiarios_Netflix[[#This Row],[Ingresos Mensuales]]*BBDD_Usiarios_Netflix[[#This Row],[Meses contratados]]</f>
        <v>126</v>
      </c>
      <c r="O357" t="s">
        <v>43</v>
      </c>
      <c r="P357" t="str">
        <f>IF(BBDD_Usiarios_Netflix[[#This Row],[País]]="","Desconocido",BBDD_Usiarios_Netflix[[#This Row],[País]])</f>
        <v>Alemania</v>
      </c>
      <c r="Q357">
        <v>38</v>
      </c>
      <c r="R357" t="s">
        <v>25</v>
      </c>
      <c r="S357" t="s">
        <v>34</v>
      </c>
      <c r="T357" t="s">
        <v>38</v>
      </c>
      <c r="U357">
        <f>IF(IFERROR(VLOOKUP(BBDD_Usiarios_Netflix[[#This Row],[Identificador Usuario]],A358:$A$5870,1,FALSE),0)&lt;&gt;0,1,0)</f>
        <v>0</v>
      </c>
      <c r="V357" s="6" t="str">
        <f>IF(BBDD_Usiarios_Netflix[[#This Row],[Duración Plan]]="12 Meses",LEFT(BBDD_Usiarios_Netflix[[#This Row],[Duración Plan]],2),LEFT(BBDD_Usiarios_Netflix[[#This Row],[Duración Plan]],1))</f>
        <v>3</v>
      </c>
      <c r="W3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58" spans="1:23" x14ac:dyDescent="0.25">
      <c r="A358">
        <v>357</v>
      </c>
      <c r="B358" t="s">
        <v>23</v>
      </c>
      <c r="C358">
        <v>10</v>
      </c>
      <c r="D358" s="3">
        <v>18</v>
      </c>
      <c r="E358" s="3">
        <v>10</v>
      </c>
      <c r="F358">
        <v>23</v>
      </c>
      <c r="G358" s="1">
        <f>DATEVALUE(_xlfn.CONCAT(BBDD_Usiarios_Netflix[[#This Row],[Día Suscripción]],"/",BBDD_Usiarios_Netflix[[#This Row],[Mes Suscripción]],"/",BBDD_Usiarios_Netflix[[#This Row],[Año Suscripción]]))</f>
        <v>45217</v>
      </c>
      <c r="H358" s="1">
        <v>26</v>
      </c>
      <c r="I358" s="1">
        <v>6</v>
      </c>
      <c r="J358" s="1">
        <v>24</v>
      </c>
      <c r="K358" s="1" t="str">
        <f>TEXT(BBDD_Usiarios_Netflix[[#This Row],[Fecha Suscripción]],"dddd")</f>
        <v>miércoles</v>
      </c>
      <c r="L358" s="1">
        <f>DATEVALUE(_xlfn.CONCAT(BBDD_Usiarios_Netflix[[#This Row],[Día Último Pago]],"/",BBDD_Usiarios_Netflix[[#This Row],[Mes Último Pago]],"/",BBDD_Usiarios_Netflix[[#This Row],[Año Último Pago]]))</f>
        <v>45469</v>
      </c>
      <c r="M358" s="4">
        <f>DATEDIF(BBDD_Usiarios_Netflix[[#This Row],[Fecha Suscripción]],BBDD_Usiarios_Netflix[[#This Row],[Fecha Último Pago]],"M")+1</f>
        <v>9</v>
      </c>
      <c r="N358" s="4">
        <f>BBDD_Usiarios_Netflix[[#This Row],[Ingresos Mensuales]]*BBDD_Usiarios_Netflix[[#This Row],[Meses contratados]]</f>
        <v>90</v>
      </c>
      <c r="O358" t="s">
        <v>29</v>
      </c>
      <c r="P358" t="str">
        <f>IF(BBDD_Usiarios_Netflix[[#This Row],[País]]="","Desconocido",BBDD_Usiarios_Netflix[[#This Row],[País]])</f>
        <v>EEUU</v>
      </c>
      <c r="Q358">
        <v>39</v>
      </c>
      <c r="R358" t="s">
        <v>25</v>
      </c>
      <c r="S358" t="s">
        <v>26</v>
      </c>
      <c r="T358" t="s">
        <v>27</v>
      </c>
      <c r="U358">
        <f>IF(IFERROR(VLOOKUP(BBDD_Usiarios_Netflix[[#This Row],[Identificador Usuario]],A359:$A$5870,1,FALSE),0)&lt;&gt;0,1,0)</f>
        <v>0</v>
      </c>
      <c r="V358" s="6" t="str">
        <f>IF(BBDD_Usiarios_Netflix[[#This Row],[Duración Plan]]="12 Meses",LEFT(BBDD_Usiarios_Netflix[[#This Row],[Duración Plan]],2),LEFT(BBDD_Usiarios_Netflix[[#This Row],[Duración Plan]],1))</f>
        <v>1</v>
      </c>
      <c r="W3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59" spans="1:23" x14ac:dyDescent="0.25">
      <c r="A359">
        <v>358</v>
      </c>
      <c r="B359" t="s">
        <v>32</v>
      </c>
      <c r="C359">
        <v>12</v>
      </c>
      <c r="D359" s="3">
        <v>11</v>
      </c>
      <c r="E359" s="3">
        <v>11</v>
      </c>
      <c r="F359">
        <v>23</v>
      </c>
      <c r="G359" s="1">
        <f>DATEVALUE(_xlfn.CONCAT(BBDD_Usiarios_Netflix[[#This Row],[Día Suscripción]],"/",BBDD_Usiarios_Netflix[[#This Row],[Mes Suscripción]],"/",BBDD_Usiarios_Netflix[[#This Row],[Año Suscripción]]))</f>
        <v>45241</v>
      </c>
      <c r="H359" s="1">
        <v>28</v>
      </c>
      <c r="I359" s="1">
        <v>6</v>
      </c>
      <c r="J359" s="1">
        <v>24</v>
      </c>
      <c r="K359" s="1" t="str">
        <f>TEXT(BBDD_Usiarios_Netflix[[#This Row],[Fecha Suscripción]],"dddd")</f>
        <v>sábado</v>
      </c>
      <c r="L359" s="1">
        <f>DATEVALUE(_xlfn.CONCAT(BBDD_Usiarios_Netflix[[#This Row],[Día Último Pago]],"/",BBDD_Usiarios_Netflix[[#This Row],[Mes Último Pago]],"/",BBDD_Usiarios_Netflix[[#This Row],[Año Último Pago]]))</f>
        <v>45471</v>
      </c>
      <c r="M359" s="4">
        <f>DATEDIF(BBDD_Usiarios_Netflix[[#This Row],[Fecha Suscripción]],BBDD_Usiarios_Netflix[[#This Row],[Fecha Último Pago]],"M")+1</f>
        <v>8</v>
      </c>
      <c r="N359" s="4">
        <f>BBDD_Usiarios_Netflix[[#This Row],[Ingresos Mensuales]]*BBDD_Usiarios_Netflix[[#This Row],[Meses contratados]]</f>
        <v>96</v>
      </c>
      <c r="O359" t="s">
        <v>29</v>
      </c>
      <c r="P359" t="str">
        <f>IF(BBDD_Usiarios_Netflix[[#This Row],[País]]="","Desconocido",BBDD_Usiarios_Netflix[[#This Row],[País]])</f>
        <v>EEUU</v>
      </c>
      <c r="Q359">
        <v>34</v>
      </c>
      <c r="R359" t="s">
        <v>30</v>
      </c>
      <c r="S359" t="s">
        <v>34</v>
      </c>
      <c r="T359" t="s">
        <v>27</v>
      </c>
      <c r="U359">
        <f>IF(IFERROR(VLOOKUP(BBDD_Usiarios_Netflix[[#This Row],[Identificador Usuario]],A360:$A$5870,1,FALSE),0)&lt;&gt;0,1,0)</f>
        <v>0</v>
      </c>
      <c r="V359" s="6" t="str">
        <f>IF(BBDD_Usiarios_Netflix[[#This Row],[Duración Plan]]="12 Meses",LEFT(BBDD_Usiarios_Netflix[[#This Row],[Duración Plan]],2),LEFT(BBDD_Usiarios_Netflix[[#This Row],[Duración Plan]],1))</f>
        <v>1</v>
      </c>
      <c r="W3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60" spans="1:23" x14ac:dyDescent="0.25">
      <c r="A360">
        <v>359</v>
      </c>
      <c r="B360" t="s">
        <v>28</v>
      </c>
      <c r="C360">
        <v>14</v>
      </c>
      <c r="D360" s="3">
        <v>20</v>
      </c>
      <c r="E360" s="3">
        <v>11</v>
      </c>
      <c r="F360">
        <v>23</v>
      </c>
      <c r="G360" s="1">
        <f>DATEVALUE(_xlfn.CONCAT(BBDD_Usiarios_Netflix[[#This Row],[Día Suscripción]],"/",BBDD_Usiarios_Netflix[[#This Row],[Mes Suscripción]],"/",BBDD_Usiarios_Netflix[[#This Row],[Año Suscripción]]))</f>
        <v>45250</v>
      </c>
      <c r="H360" s="1">
        <v>26</v>
      </c>
      <c r="I360" s="1">
        <v>6</v>
      </c>
      <c r="J360" s="1">
        <v>24</v>
      </c>
      <c r="K360" s="1" t="str">
        <f>TEXT(BBDD_Usiarios_Netflix[[#This Row],[Fecha Suscripción]],"dddd")</f>
        <v>lunes</v>
      </c>
      <c r="L360" s="1">
        <f>DATEVALUE(_xlfn.CONCAT(BBDD_Usiarios_Netflix[[#This Row],[Día Último Pago]],"/",BBDD_Usiarios_Netflix[[#This Row],[Mes Último Pago]],"/",BBDD_Usiarios_Netflix[[#This Row],[Año Último Pago]]))</f>
        <v>45469</v>
      </c>
      <c r="M360" s="4">
        <f>DATEDIF(BBDD_Usiarios_Netflix[[#This Row],[Fecha Suscripción]],BBDD_Usiarios_Netflix[[#This Row],[Fecha Último Pago]],"M")+1</f>
        <v>8</v>
      </c>
      <c r="N360" s="4">
        <f>BBDD_Usiarios_Netflix[[#This Row],[Ingresos Mensuales]]*BBDD_Usiarios_Netflix[[#This Row],[Meses contratados]]</f>
        <v>112</v>
      </c>
      <c r="O360" t="s">
        <v>24</v>
      </c>
      <c r="P360" t="str">
        <f>IF(BBDD_Usiarios_Netflix[[#This Row],[País]]="","Desconocido",BBDD_Usiarios_Netflix[[#This Row],[País]])</f>
        <v>Australia</v>
      </c>
      <c r="Q360">
        <v>41</v>
      </c>
      <c r="R360" t="s">
        <v>25</v>
      </c>
      <c r="S360" t="s">
        <v>26</v>
      </c>
      <c r="T360" t="s">
        <v>35</v>
      </c>
      <c r="U360">
        <f>IF(IFERROR(VLOOKUP(BBDD_Usiarios_Netflix[[#This Row],[Identificador Usuario]],A361:$A$5870,1,FALSE),0)&lt;&gt;0,1,0)</f>
        <v>0</v>
      </c>
      <c r="V360" s="6" t="str">
        <f>IF(BBDD_Usiarios_Netflix[[#This Row],[Duración Plan]]="12 Meses",LEFT(BBDD_Usiarios_Netflix[[#This Row],[Duración Plan]],2),LEFT(BBDD_Usiarios_Netflix[[#This Row],[Duración Plan]],1))</f>
        <v>6</v>
      </c>
      <c r="W3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61" spans="1:23" x14ac:dyDescent="0.25">
      <c r="A361">
        <v>360</v>
      </c>
      <c r="B361" t="s">
        <v>23</v>
      </c>
      <c r="C361">
        <v>10</v>
      </c>
      <c r="D361" s="3">
        <v>21</v>
      </c>
      <c r="E361" s="3">
        <v>11</v>
      </c>
      <c r="F361">
        <v>23</v>
      </c>
      <c r="G361" s="1">
        <f>DATEVALUE(_xlfn.CONCAT(BBDD_Usiarios_Netflix[[#This Row],[Día Suscripción]],"/",BBDD_Usiarios_Netflix[[#This Row],[Mes Suscripción]],"/",BBDD_Usiarios_Netflix[[#This Row],[Año Suscripción]]))</f>
        <v>45251</v>
      </c>
      <c r="H361" s="1">
        <v>30</v>
      </c>
      <c r="I361" s="1">
        <v>6</v>
      </c>
      <c r="J361" s="1">
        <v>24</v>
      </c>
      <c r="K361" s="1" t="str">
        <f>TEXT(BBDD_Usiarios_Netflix[[#This Row],[Fecha Suscripción]],"dddd")</f>
        <v>martes</v>
      </c>
      <c r="L361" s="1">
        <f>DATEVALUE(_xlfn.CONCAT(BBDD_Usiarios_Netflix[[#This Row],[Día Último Pago]],"/",BBDD_Usiarios_Netflix[[#This Row],[Mes Último Pago]],"/",BBDD_Usiarios_Netflix[[#This Row],[Año Último Pago]]))</f>
        <v>45473</v>
      </c>
      <c r="M361" s="4">
        <f>DATEDIF(BBDD_Usiarios_Netflix[[#This Row],[Fecha Suscripción]],BBDD_Usiarios_Netflix[[#This Row],[Fecha Último Pago]],"M")+1</f>
        <v>8</v>
      </c>
      <c r="N361" s="4">
        <f>BBDD_Usiarios_Netflix[[#This Row],[Ingresos Mensuales]]*BBDD_Usiarios_Netflix[[#This Row],[Meses contratados]]</f>
        <v>80</v>
      </c>
      <c r="O361" t="s">
        <v>46</v>
      </c>
      <c r="P361" t="str">
        <f>IF(BBDD_Usiarios_Netflix[[#This Row],[País]]="","Desconocido",BBDD_Usiarios_Netflix[[#This Row],[País]])</f>
        <v>Méjico</v>
      </c>
      <c r="Q361">
        <v>43</v>
      </c>
      <c r="R361" t="s">
        <v>30</v>
      </c>
      <c r="S361" t="s">
        <v>31</v>
      </c>
      <c r="T361" t="s">
        <v>38</v>
      </c>
      <c r="U361">
        <f>IF(IFERROR(VLOOKUP(BBDD_Usiarios_Netflix[[#This Row],[Identificador Usuario]],A362:$A$5870,1,FALSE),0)&lt;&gt;0,1,0)</f>
        <v>0</v>
      </c>
      <c r="V361" s="6" t="str">
        <f>IF(BBDD_Usiarios_Netflix[[#This Row],[Duración Plan]]="12 Meses",LEFT(BBDD_Usiarios_Netflix[[#This Row],[Duración Plan]],2),LEFT(BBDD_Usiarios_Netflix[[#This Row],[Duración Plan]],1))</f>
        <v>3</v>
      </c>
      <c r="W3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62" spans="1:23" x14ac:dyDescent="0.25">
      <c r="A362">
        <v>361</v>
      </c>
      <c r="B362" t="s">
        <v>28</v>
      </c>
      <c r="C362">
        <v>14</v>
      </c>
      <c r="D362" s="3">
        <v>25</v>
      </c>
      <c r="E362" s="3">
        <v>11</v>
      </c>
      <c r="F362">
        <v>23</v>
      </c>
      <c r="G362" s="1">
        <f>DATEVALUE(_xlfn.CONCAT(BBDD_Usiarios_Netflix[[#This Row],[Día Suscripción]],"/",BBDD_Usiarios_Netflix[[#This Row],[Mes Suscripción]],"/",BBDD_Usiarios_Netflix[[#This Row],[Año Suscripción]]))</f>
        <v>45255</v>
      </c>
      <c r="H362" s="1">
        <v>28</v>
      </c>
      <c r="I362" s="1">
        <v>6</v>
      </c>
      <c r="J362" s="1">
        <v>24</v>
      </c>
      <c r="K362" s="1" t="str">
        <f>TEXT(BBDD_Usiarios_Netflix[[#This Row],[Fecha Suscripción]],"dddd")</f>
        <v>sábado</v>
      </c>
      <c r="L362" s="1">
        <f>DATEVALUE(_xlfn.CONCAT(BBDD_Usiarios_Netflix[[#This Row],[Día Último Pago]],"/",BBDD_Usiarios_Netflix[[#This Row],[Mes Último Pago]],"/",BBDD_Usiarios_Netflix[[#This Row],[Año Último Pago]]))</f>
        <v>45471</v>
      </c>
      <c r="M362" s="4">
        <f>DATEDIF(BBDD_Usiarios_Netflix[[#This Row],[Fecha Suscripción]],BBDD_Usiarios_Netflix[[#This Row],[Fecha Último Pago]],"M")+1</f>
        <v>8</v>
      </c>
      <c r="N362" s="4">
        <f>BBDD_Usiarios_Netflix[[#This Row],[Ingresos Mensuales]]*BBDD_Usiarios_Netflix[[#This Row],[Meses contratados]]</f>
        <v>112</v>
      </c>
      <c r="O362" t="s">
        <v>42</v>
      </c>
      <c r="P362" t="str">
        <f>IF(BBDD_Usiarios_Netflix[[#This Row],[País]]="","Desconocido",BBDD_Usiarios_Netflix[[#This Row],[País]])</f>
        <v>Reino Unido</v>
      </c>
      <c r="Q362">
        <v>36</v>
      </c>
      <c r="R362" t="s">
        <v>30</v>
      </c>
      <c r="S362" t="s">
        <v>36</v>
      </c>
      <c r="T362" t="s">
        <v>27</v>
      </c>
      <c r="U362">
        <f>IF(IFERROR(VLOOKUP(BBDD_Usiarios_Netflix[[#This Row],[Identificador Usuario]],A363:$A$5870,1,FALSE),0)&lt;&gt;0,1,0)</f>
        <v>0</v>
      </c>
      <c r="V362" s="6" t="str">
        <f>IF(BBDD_Usiarios_Netflix[[#This Row],[Duración Plan]]="12 Meses",LEFT(BBDD_Usiarios_Netflix[[#This Row],[Duración Plan]],2),LEFT(BBDD_Usiarios_Netflix[[#This Row],[Duración Plan]],1))</f>
        <v>1</v>
      </c>
      <c r="W3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63" spans="1:23" x14ac:dyDescent="0.25">
      <c r="A363">
        <v>362</v>
      </c>
      <c r="B363" t="s">
        <v>23</v>
      </c>
      <c r="C363">
        <v>11</v>
      </c>
      <c r="D363" s="3">
        <v>8</v>
      </c>
      <c r="E363" s="3">
        <v>12</v>
      </c>
      <c r="F363">
        <v>23</v>
      </c>
      <c r="G363" s="1">
        <f>DATEVALUE(_xlfn.CONCAT(BBDD_Usiarios_Netflix[[#This Row],[Día Suscripción]],"/",BBDD_Usiarios_Netflix[[#This Row],[Mes Suscripción]],"/",BBDD_Usiarios_Netflix[[#This Row],[Año Suscripción]]))</f>
        <v>45268</v>
      </c>
      <c r="H363" s="1">
        <v>27</v>
      </c>
      <c r="I363" s="1">
        <v>6</v>
      </c>
      <c r="J363" s="1">
        <v>24</v>
      </c>
      <c r="K363" s="1" t="str">
        <f>TEXT(BBDD_Usiarios_Netflix[[#This Row],[Fecha Suscripción]],"dddd")</f>
        <v>viernes</v>
      </c>
      <c r="L363" s="1">
        <f>DATEVALUE(_xlfn.CONCAT(BBDD_Usiarios_Netflix[[#This Row],[Día Último Pago]],"/",BBDD_Usiarios_Netflix[[#This Row],[Mes Último Pago]],"/",BBDD_Usiarios_Netflix[[#This Row],[Año Último Pago]]))</f>
        <v>45470</v>
      </c>
      <c r="M363" s="4">
        <f>DATEDIF(BBDD_Usiarios_Netflix[[#This Row],[Fecha Suscripción]],BBDD_Usiarios_Netflix[[#This Row],[Fecha Último Pago]],"M")+1</f>
        <v>7</v>
      </c>
      <c r="N363" s="4">
        <f>BBDD_Usiarios_Netflix[[#This Row],[Ingresos Mensuales]]*BBDD_Usiarios_Netflix[[#This Row],[Meses contratados]]</f>
        <v>77</v>
      </c>
      <c r="O363" t="s">
        <v>24</v>
      </c>
      <c r="P363" t="str">
        <f>IF(BBDD_Usiarios_Netflix[[#This Row],[País]]="","Desconocido",BBDD_Usiarios_Netflix[[#This Row],[País]])</f>
        <v>Australia</v>
      </c>
      <c r="Q363">
        <v>31</v>
      </c>
      <c r="R363" t="s">
        <v>25</v>
      </c>
      <c r="S363" t="s">
        <v>36</v>
      </c>
      <c r="T363" t="s">
        <v>38</v>
      </c>
      <c r="U363">
        <f>IF(IFERROR(VLOOKUP(BBDD_Usiarios_Netflix[[#This Row],[Identificador Usuario]],A364:$A$5870,1,FALSE),0)&lt;&gt;0,1,0)</f>
        <v>0</v>
      </c>
      <c r="V363" s="6" t="str">
        <f>IF(BBDD_Usiarios_Netflix[[#This Row],[Duración Plan]]="12 Meses",LEFT(BBDD_Usiarios_Netflix[[#This Row],[Duración Plan]],2),LEFT(BBDD_Usiarios_Netflix[[#This Row],[Duración Plan]],1))</f>
        <v>3</v>
      </c>
      <c r="W3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64" spans="1:23" x14ac:dyDescent="0.25">
      <c r="A364">
        <v>363</v>
      </c>
      <c r="B364" t="s">
        <v>32</v>
      </c>
      <c r="C364">
        <v>12</v>
      </c>
      <c r="D364" s="3">
        <v>1</v>
      </c>
      <c r="E364" s="3">
        <v>11</v>
      </c>
      <c r="F364">
        <v>23</v>
      </c>
      <c r="G364" s="1">
        <f>DATEVALUE(_xlfn.CONCAT(BBDD_Usiarios_Netflix[[#This Row],[Día Suscripción]],"/",BBDD_Usiarios_Netflix[[#This Row],[Mes Suscripción]],"/",BBDD_Usiarios_Netflix[[#This Row],[Año Suscripción]]))</f>
        <v>45231</v>
      </c>
      <c r="H364" s="1">
        <v>25</v>
      </c>
      <c r="I364" s="1">
        <v>6</v>
      </c>
      <c r="J364" s="1">
        <v>24</v>
      </c>
      <c r="K364" s="1" t="str">
        <f>TEXT(BBDD_Usiarios_Netflix[[#This Row],[Fecha Suscripción]],"dddd")</f>
        <v>miércoles</v>
      </c>
      <c r="L364" s="1">
        <f>DATEVALUE(_xlfn.CONCAT(BBDD_Usiarios_Netflix[[#This Row],[Día Último Pago]],"/",BBDD_Usiarios_Netflix[[#This Row],[Mes Último Pago]],"/",BBDD_Usiarios_Netflix[[#This Row],[Año Último Pago]]))</f>
        <v>45468</v>
      </c>
      <c r="M364" s="4">
        <f>DATEDIF(BBDD_Usiarios_Netflix[[#This Row],[Fecha Suscripción]],BBDD_Usiarios_Netflix[[#This Row],[Fecha Último Pago]],"M")+1</f>
        <v>8</v>
      </c>
      <c r="N364" s="4">
        <f>BBDD_Usiarios_Netflix[[#This Row],[Ingresos Mensuales]]*BBDD_Usiarios_Netflix[[#This Row],[Meses contratados]]</f>
        <v>96</v>
      </c>
      <c r="O364" t="s">
        <v>33</v>
      </c>
      <c r="P364" t="str">
        <f>IF(BBDD_Usiarios_Netflix[[#This Row],[País]]="","Desconocido",BBDD_Usiarios_Netflix[[#This Row],[País]])</f>
        <v>Francia</v>
      </c>
      <c r="Q364">
        <v>47</v>
      </c>
      <c r="R364" t="s">
        <v>30</v>
      </c>
      <c r="S364" t="s">
        <v>34</v>
      </c>
      <c r="T364" t="s">
        <v>27</v>
      </c>
      <c r="U364">
        <f>IF(IFERROR(VLOOKUP(BBDD_Usiarios_Netflix[[#This Row],[Identificador Usuario]],A365:$A$5870,1,FALSE),0)&lt;&gt;0,1,0)</f>
        <v>0</v>
      </c>
      <c r="V364" s="6" t="str">
        <f>IF(BBDD_Usiarios_Netflix[[#This Row],[Duración Plan]]="12 Meses",LEFT(BBDD_Usiarios_Netflix[[#This Row],[Duración Plan]],2),LEFT(BBDD_Usiarios_Netflix[[#This Row],[Duración Plan]],1))</f>
        <v>1</v>
      </c>
      <c r="W3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65" spans="1:23" x14ac:dyDescent="0.25">
      <c r="A365">
        <v>364</v>
      </c>
      <c r="B365" t="s">
        <v>32</v>
      </c>
      <c r="C365">
        <v>12</v>
      </c>
      <c r="D365" s="3">
        <v>12</v>
      </c>
      <c r="E365" s="3">
        <v>10</v>
      </c>
      <c r="F365">
        <v>23</v>
      </c>
      <c r="G365" s="1">
        <f>DATEVALUE(_xlfn.CONCAT(BBDD_Usiarios_Netflix[[#This Row],[Día Suscripción]],"/",BBDD_Usiarios_Netflix[[#This Row],[Mes Suscripción]],"/",BBDD_Usiarios_Netflix[[#This Row],[Año Suscripción]]))</f>
        <v>45211</v>
      </c>
      <c r="H365" s="1">
        <v>29</v>
      </c>
      <c r="I365" s="1">
        <v>6</v>
      </c>
      <c r="J365" s="1">
        <v>24</v>
      </c>
      <c r="K365" s="1" t="str">
        <f>TEXT(BBDD_Usiarios_Netflix[[#This Row],[Fecha Suscripción]],"dddd")</f>
        <v>jueves</v>
      </c>
      <c r="L365" s="1">
        <f>DATEVALUE(_xlfn.CONCAT(BBDD_Usiarios_Netflix[[#This Row],[Día Último Pago]],"/",BBDD_Usiarios_Netflix[[#This Row],[Mes Último Pago]],"/",BBDD_Usiarios_Netflix[[#This Row],[Año Último Pago]]))</f>
        <v>45472</v>
      </c>
      <c r="M365" s="4">
        <f>DATEDIF(BBDD_Usiarios_Netflix[[#This Row],[Fecha Suscripción]],BBDD_Usiarios_Netflix[[#This Row],[Fecha Último Pago]],"M")+1</f>
        <v>9</v>
      </c>
      <c r="N365" s="4">
        <f>BBDD_Usiarios_Netflix[[#This Row],[Ingresos Mensuales]]*BBDD_Usiarios_Netflix[[#This Row],[Meses contratados]]</f>
        <v>108</v>
      </c>
      <c r="O365" t="s">
        <v>29</v>
      </c>
      <c r="P365" t="str">
        <f>IF(BBDD_Usiarios_Netflix[[#This Row],[País]]="","Desconocido",BBDD_Usiarios_Netflix[[#This Row],[País]])</f>
        <v>EEUU</v>
      </c>
      <c r="Q365">
        <v>48</v>
      </c>
      <c r="R365" t="s">
        <v>25</v>
      </c>
      <c r="S365" t="s">
        <v>34</v>
      </c>
      <c r="T365" t="s">
        <v>27</v>
      </c>
      <c r="U365">
        <f>IF(IFERROR(VLOOKUP(BBDD_Usiarios_Netflix[[#This Row],[Identificador Usuario]],A366:$A$5870,1,FALSE),0)&lt;&gt;0,1,0)</f>
        <v>0</v>
      </c>
      <c r="V365" s="6" t="str">
        <f>IF(BBDD_Usiarios_Netflix[[#This Row],[Duración Plan]]="12 Meses",LEFT(BBDD_Usiarios_Netflix[[#This Row],[Duración Plan]],2),LEFT(BBDD_Usiarios_Netflix[[#This Row],[Duración Plan]],1))</f>
        <v>1</v>
      </c>
      <c r="W3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66" spans="1:23" x14ac:dyDescent="0.25">
      <c r="A366">
        <v>365</v>
      </c>
      <c r="B366" t="s">
        <v>23</v>
      </c>
      <c r="C366">
        <v>10</v>
      </c>
      <c r="D366" s="3">
        <v>13</v>
      </c>
      <c r="E366" s="3">
        <v>10</v>
      </c>
      <c r="F366">
        <v>23</v>
      </c>
      <c r="G366" s="1">
        <f>DATEVALUE(_xlfn.CONCAT(BBDD_Usiarios_Netflix[[#This Row],[Día Suscripción]],"/",BBDD_Usiarios_Netflix[[#This Row],[Mes Suscripción]],"/",BBDD_Usiarios_Netflix[[#This Row],[Año Suscripción]]))</f>
        <v>45212</v>
      </c>
      <c r="H366" s="1">
        <v>27</v>
      </c>
      <c r="I366" s="1">
        <v>6</v>
      </c>
      <c r="J366" s="1">
        <v>24</v>
      </c>
      <c r="K366" s="1" t="str">
        <f>TEXT(BBDD_Usiarios_Netflix[[#This Row],[Fecha Suscripción]],"dddd")</f>
        <v>viernes</v>
      </c>
      <c r="L366" s="1">
        <f>DATEVALUE(_xlfn.CONCAT(BBDD_Usiarios_Netflix[[#This Row],[Día Último Pago]],"/",BBDD_Usiarios_Netflix[[#This Row],[Mes Último Pago]],"/",BBDD_Usiarios_Netflix[[#This Row],[Año Último Pago]]))</f>
        <v>45470</v>
      </c>
      <c r="M366" s="4">
        <f>DATEDIF(BBDD_Usiarios_Netflix[[#This Row],[Fecha Suscripción]],BBDD_Usiarios_Netflix[[#This Row],[Fecha Último Pago]],"M")+1</f>
        <v>9</v>
      </c>
      <c r="N366" s="4">
        <f>BBDD_Usiarios_Netflix[[#This Row],[Ingresos Mensuales]]*BBDD_Usiarios_Netflix[[#This Row],[Meses contratados]]</f>
        <v>90</v>
      </c>
      <c r="O366" t="s">
        <v>40</v>
      </c>
      <c r="P366" t="str">
        <f>IF(BBDD_Usiarios_Netflix[[#This Row],[País]]="","Desconocido",BBDD_Usiarios_Netflix[[#This Row],[País]])</f>
        <v>Italia</v>
      </c>
      <c r="Q366">
        <v>36</v>
      </c>
      <c r="R366" t="s">
        <v>25</v>
      </c>
      <c r="S366" t="s">
        <v>36</v>
      </c>
      <c r="T366" t="s">
        <v>38</v>
      </c>
      <c r="U366">
        <f>IF(IFERROR(VLOOKUP(BBDD_Usiarios_Netflix[[#This Row],[Identificador Usuario]],A367:$A$5870,1,FALSE),0)&lt;&gt;0,1,0)</f>
        <v>0</v>
      </c>
      <c r="V366" s="6" t="str">
        <f>IF(BBDD_Usiarios_Netflix[[#This Row],[Duración Plan]]="12 Meses",LEFT(BBDD_Usiarios_Netflix[[#This Row],[Duración Plan]],2),LEFT(BBDD_Usiarios_Netflix[[#This Row],[Duración Plan]],1))</f>
        <v>3</v>
      </c>
      <c r="W3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67" spans="1:23" x14ac:dyDescent="0.25">
      <c r="A367">
        <v>366</v>
      </c>
      <c r="B367" t="s">
        <v>28</v>
      </c>
      <c r="C367">
        <v>14</v>
      </c>
      <c r="D367" s="3">
        <v>17</v>
      </c>
      <c r="E367" s="3">
        <v>10</v>
      </c>
      <c r="F367">
        <v>23</v>
      </c>
      <c r="G367" s="1">
        <f>DATEVALUE(_xlfn.CONCAT(BBDD_Usiarios_Netflix[[#This Row],[Día Suscripción]],"/",BBDD_Usiarios_Netflix[[#This Row],[Mes Suscripción]],"/",BBDD_Usiarios_Netflix[[#This Row],[Año Suscripción]]))</f>
        <v>45216</v>
      </c>
      <c r="H367" s="1">
        <v>29</v>
      </c>
      <c r="I367" s="1">
        <v>6</v>
      </c>
      <c r="J367" s="1">
        <v>24</v>
      </c>
      <c r="K367" s="1" t="str">
        <f>TEXT(BBDD_Usiarios_Netflix[[#This Row],[Fecha Suscripción]],"dddd")</f>
        <v>martes</v>
      </c>
      <c r="L367" s="1">
        <f>DATEVALUE(_xlfn.CONCAT(BBDD_Usiarios_Netflix[[#This Row],[Día Último Pago]],"/",BBDD_Usiarios_Netflix[[#This Row],[Mes Último Pago]],"/",BBDD_Usiarios_Netflix[[#This Row],[Año Último Pago]]))</f>
        <v>45472</v>
      </c>
      <c r="M367" s="4">
        <f>DATEDIF(BBDD_Usiarios_Netflix[[#This Row],[Fecha Suscripción]],BBDD_Usiarios_Netflix[[#This Row],[Fecha Último Pago]],"M")+1</f>
        <v>9</v>
      </c>
      <c r="N367" s="4">
        <f>BBDD_Usiarios_Netflix[[#This Row],[Ingresos Mensuales]]*BBDD_Usiarios_Netflix[[#This Row],[Meses contratados]]</f>
        <v>126</v>
      </c>
      <c r="O367" t="s">
        <v>40</v>
      </c>
      <c r="P367" t="str">
        <f>IF(BBDD_Usiarios_Netflix[[#This Row],[País]]="","Desconocido",BBDD_Usiarios_Netflix[[#This Row],[País]])</f>
        <v>Italia</v>
      </c>
      <c r="Q367">
        <v>41</v>
      </c>
      <c r="R367" t="s">
        <v>25</v>
      </c>
      <c r="S367" t="s">
        <v>34</v>
      </c>
      <c r="T367" t="s">
        <v>38</v>
      </c>
      <c r="U367">
        <f>IF(IFERROR(VLOOKUP(BBDD_Usiarios_Netflix[[#This Row],[Identificador Usuario]],A368:$A$5870,1,FALSE),0)&lt;&gt;0,1,0)</f>
        <v>0</v>
      </c>
      <c r="V367" s="6" t="str">
        <f>IF(BBDD_Usiarios_Netflix[[#This Row],[Duración Plan]]="12 Meses",LEFT(BBDD_Usiarios_Netflix[[#This Row],[Duración Plan]],2),LEFT(BBDD_Usiarios_Netflix[[#This Row],[Duración Plan]],1))</f>
        <v>3</v>
      </c>
      <c r="W3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68" spans="1:23" x14ac:dyDescent="0.25">
      <c r="A368">
        <v>367</v>
      </c>
      <c r="B368" t="s">
        <v>23</v>
      </c>
      <c r="C368">
        <v>10</v>
      </c>
      <c r="D368" s="3">
        <v>23</v>
      </c>
      <c r="E368" s="3">
        <v>10</v>
      </c>
      <c r="F368">
        <v>23</v>
      </c>
      <c r="G368" s="1">
        <f>DATEVALUE(_xlfn.CONCAT(BBDD_Usiarios_Netflix[[#This Row],[Día Suscripción]],"/",BBDD_Usiarios_Netflix[[#This Row],[Mes Suscripción]],"/",BBDD_Usiarios_Netflix[[#This Row],[Año Suscripción]]))</f>
        <v>45222</v>
      </c>
      <c r="H368" s="1">
        <v>25</v>
      </c>
      <c r="I368" s="1">
        <v>6</v>
      </c>
      <c r="J368" s="1">
        <v>24</v>
      </c>
      <c r="K368" s="1" t="str">
        <f>TEXT(BBDD_Usiarios_Netflix[[#This Row],[Fecha Suscripción]],"dddd")</f>
        <v>lunes</v>
      </c>
      <c r="L368" s="1">
        <f>DATEVALUE(_xlfn.CONCAT(BBDD_Usiarios_Netflix[[#This Row],[Día Último Pago]],"/",BBDD_Usiarios_Netflix[[#This Row],[Mes Último Pago]],"/",BBDD_Usiarios_Netflix[[#This Row],[Año Último Pago]]))</f>
        <v>45468</v>
      </c>
      <c r="M368" s="4">
        <f>DATEDIF(BBDD_Usiarios_Netflix[[#This Row],[Fecha Suscripción]],BBDD_Usiarios_Netflix[[#This Row],[Fecha Último Pago]],"M")+1</f>
        <v>9</v>
      </c>
      <c r="N368" s="4">
        <f>BBDD_Usiarios_Netflix[[#This Row],[Ingresos Mensuales]]*BBDD_Usiarios_Netflix[[#This Row],[Meses contratados]]</f>
        <v>90</v>
      </c>
      <c r="O368" t="s">
        <v>29</v>
      </c>
      <c r="P368" t="str">
        <f>IF(BBDD_Usiarios_Netflix[[#This Row],[País]]="","Desconocido",BBDD_Usiarios_Netflix[[#This Row],[País]])</f>
        <v>EEUU</v>
      </c>
      <c r="Q368">
        <v>32</v>
      </c>
      <c r="R368" t="s">
        <v>25</v>
      </c>
      <c r="S368" t="s">
        <v>36</v>
      </c>
      <c r="T368" t="s">
        <v>27</v>
      </c>
      <c r="U368">
        <f>IF(IFERROR(VLOOKUP(BBDD_Usiarios_Netflix[[#This Row],[Identificador Usuario]],A369:$A$5870,1,FALSE),0)&lt;&gt;0,1,0)</f>
        <v>0</v>
      </c>
      <c r="V368" s="6" t="str">
        <f>IF(BBDD_Usiarios_Netflix[[#This Row],[Duración Plan]]="12 Meses",LEFT(BBDD_Usiarios_Netflix[[#This Row],[Duración Plan]],2),LEFT(BBDD_Usiarios_Netflix[[#This Row],[Duración Plan]],1))</f>
        <v>1</v>
      </c>
      <c r="W3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69" spans="1:23" x14ac:dyDescent="0.25">
      <c r="A369">
        <v>368</v>
      </c>
      <c r="B369" t="s">
        <v>32</v>
      </c>
      <c r="C369">
        <v>12</v>
      </c>
      <c r="D369" s="3">
        <v>24</v>
      </c>
      <c r="E369" s="3">
        <v>10</v>
      </c>
      <c r="F369">
        <v>23</v>
      </c>
      <c r="G369" s="1">
        <f>DATEVALUE(_xlfn.CONCAT(BBDD_Usiarios_Netflix[[#This Row],[Día Suscripción]],"/",BBDD_Usiarios_Netflix[[#This Row],[Mes Suscripción]],"/",BBDD_Usiarios_Netflix[[#This Row],[Año Suscripción]]))</f>
        <v>45223</v>
      </c>
      <c r="H369" s="1">
        <v>28</v>
      </c>
      <c r="I369" s="1">
        <v>6</v>
      </c>
      <c r="J369" s="1">
        <v>24</v>
      </c>
      <c r="K369" s="1" t="str">
        <f>TEXT(BBDD_Usiarios_Netflix[[#This Row],[Fecha Suscripción]],"dddd")</f>
        <v>martes</v>
      </c>
      <c r="L369" s="1">
        <f>DATEVALUE(_xlfn.CONCAT(BBDD_Usiarios_Netflix[[#This Row],[Día Último Pago]],"/",BBDD_Usiarios_Netflix[[#This Row],[Mes Último Pago]],"/",BBDD_Usiarios_Netflix[[#This Row],[Año Último Pago]]))</f>
        <v>45471</v>
      </c>
      <c r="M369" s="4">
        <f>DATEDIF(BBDD_Usiarios_Netflix[[#This Row],[Fecha Suscripción]],BBDD_Usiarios_Netflix[[#This Row],[Fecha Último Pago]],"M")+1</f>
        <v>9</v>
      </c>
      <c r="N369" s="4">
        <f>BBDD_Usiarios_Netflix[[#This Row],[Ingresos Mensuales]]*BBDD_Usiarios_Netflix[[#This Row],[Meses contratados]]</f>
        <v>108</v>
      </c>
      <c r="O369" t="s">
        <v>29</v>
      </c>
      <c r="P369" t="str">
        <f>IF(BBDD_Usiarios_Netflix[[#This Row],[País]]="","Desconocido",BBDD_Usiarios_Netflix[[#This Row],[País]])</f>
        <v>EEUU</v>
      </c>
      <c r="Q369">
        <v>28</v>
      </c>
      <c r="R369" t="s">
        <v>25</v>
      </c>
      <c r="S369" t="s">
        <v>26</v>
      </c>
      <c r="T369" t="s">
        <v>35</v>
      </c>
      <c r="U369">
        <f>IF(IFERROR(VLOOKUP(BBDD_Usiarios_Netflix[[#This Row],[Identificador Usuario]],A370:$A$5870,1,FALSE),0)&lt;&gt;0,1,0)</f>
        <v>0</v>
      </c>
      <c r="V369" s="6" t="str">
        <f>IF(BBDD_Usiarios_Netflix[[#This Row],[Duración Plan]]="12 Meses",LEFT(BBDD_Usiarios_Netflix[[#This Row],[Duración Plan]],2),LEFT(BBDD_Usiarios_Netflix[[#This Row],[Duración Plan]],1))</f>
        <v>6</v>
      </c>
      <c r="W3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70" spans="1:23" x14ac:dyDescent="0.25">
      <c r="A370">
        <v>369</v>
      </c>
      <c r="B370" t="s">
        <v>28</v>
      </c>
      <c r="C370">
        <v>14</v>
      </c>
      <c r="D370" s="3">
        <v>25</v>
      </c>
      <c r="E370" s="3">
        <v>10</v>
      </c>
      <c r="F370">
        <v>23</v>
      </c>
      <c r="G370" s="1">
        <f>DATEVALUE(_xlfn.CONCAT(BBDD_Usiarios_Netflix[[#This Row],[Día Suscripción]],"/",BBDD_Usiarios_Netflix[[#This Row],[Mes Suscripción]],"/",BBDD_Usiarios_Netflix[[#This Row],[Año Suscripción]]))</f>
        <v>45224</v>
      </c>
      <c r="H370" s="1">
        <v>27</v>
      </c>
      <c r="I370" s="1">
        <v>6</v>
      </c>
      <c r="J370" s="1">
        <v>24</v>
      </c>
      <c r="K370" s="1" t="str">
        <f>TEXT(BBDD_Usiarios_Netflix[[#This Row],[Fecha Suscripción]],"dddd")</f>
        <v>miércoles</v>
      </c>
      <c r="L370" s="1">
        <f>DATEVALUE(_xlfn.CONCAT(BBDD_Usiarios_Netflix[[#This Row],[Día Último Pago]],"/",BBDD_Usiarios_Netflix[[#This Row],[Mes Último Pago]],"/",BBDD_Usiarios_Netflix[[#This Row],[Año Último Pago]]))</f>
        <v>45470</v>
      </c>
      <c r="M370" s="4">
        <f>DATEDIF(BBDD_Usiarios_Netflix[[#This Row],[Fecha Suscripción]],BBDD_Usiarios_Netflix[[#This Row],[Fecha Último Pago]],"M")+1</f>
        <v>9</v>
      </c>
      <c r="N370" s="4">
        <f>BBDD_Usiarios_Netflix[[#This Row],[Ingresos Mensuales]]*BBDD_Usiarios_Netflix[[#This Row],[Meses contratados]]</f>
        <v>126</v>
      </c>
      <c r="O370" t="s">
        <v>29</v>
      </c>
      <c r="P370" t="str">
        <f>IF(BBDD_Usiarios_Netflix[[#This Row],[País]]="","Desconocido",BBDD_Usiarios_Netflix[[#This Row],[País]])</f>
        <v>EEUU</v>
      </c>
      <c r="Q370">
        <v>46</v>
      </c>
      <c r="R370" t="s">
        <v>30</v>
      </c>
      <c r="S370" t="s">
        <v>26</v>
      </c>
      <c r="T370" t="s">
        <v>41</v>
      </c>
      <c r="U370">
        <f>IF(IFERROR(VLOOKUP(BBDD_Usiarios_Netflix[[#This Row],[Identificador Usuario]],A371:$A$5870,1,FALSE),0)&lt;&gt;0,1,0)</f>
        <v>0</v>
      </c>
      <c r="V370" s="6" t="str">
        <f>IF(BBDD_Usiarios_Netflix[[#This Row],[Duración Plan]]="12 Meses",LEFT(BBDD_Usiarios_Netflix[[#This Row],[Duración Plan]],2),LEFT(BBDD_Usiarios_Netflix[[#This Row],[Duración Plan]],1))</f>
        <v>12</v>
      </c>
      <c r="W3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71" spans="1:23" x14ac:dyDescent="0.25">
      <c r="A371">
        <v>370</v>
      </c>
      <c r="B371" t="s">
        <v>23</v>
      </c>
      <c r="C371">
        <v>10</v>
      </c>
      <c r="D371" s="3">
        <v>22</v>
      </c>
      <c r="E371" s="3">
        <v>10</v>
      </c>
      <c r="F371">
        <v>23</v>
      </c>
      <c r="G371" s="1">
        <f>DATEVALUE(_xlfn.CONCAT(BBDD_Usiarios_Netflix[[#This Row],[Día Suscripción]],"/",BBDD_Usiarios_Netflix[[#This Row],[Mes Suscripción]],"/",BBDD_Usiarios_Netflix[[#This Row],[Año Suscripción]]))</f>
        <v>45221</v>
      </c>
      <c r="H371" s="1">
        <v>29</v>
      </c>
      <c r="I371" s="1">
        <v>6</v>
      </c>
      <c r="J371" s="1">
        <v>24</v>
      </c>
      <c r="K371" s="1" t="str">
        <f>TEXT(BBDD_Usiarios_Netflix[[#This Row],[Fecha Suscripción]],"dddd")</f>
        <v>domingo</v>
      </c>
      <c r="L371" s="1">
        <f>DATEVALUE(_xlfn.CONCAT(BBDD_Usiarios_Netflix[[#This Row],[Día Último Pago]],"/",BBDD_Usiarios_Netflix[[#This Row],[Mes Último Pago]],"/",BBDD_Usiarios_Netflix[[#This Row],[Año Último Pago]]))</f>
        <v>45472</v>
      </c>
      <c r="M371" s="4">
        <f>DATEDIF(BBDD_Usiarios_Netflix[[#This Row],[Fecha Suscripción]],BBDD_Usiarios_Netflix[[#This Row],[Fecha Último Pago]],"M")+1</f>
        <v>9</v>
      </c>
      <c r="N371" s="4">
        <f>BBDD_Usiarios_Netflix[[#This Row],[Ingresos Mensuales]]*BBDD_Usiarios_Netflix[[#This Row],[Meses contratados]]</f>
        <v>90</v>
      </c>
      <c r="O371" t="s">
        <v>24</v>
      </c>
      <c r="P371" t="str">
        <f>IF(BBDD_Usiarios_Netflix[[#This Row],[País]]="","Desconocido",BBDD_Usiarios_Netflix[[#This Row],[País]])</f>
        <v>Australia</v>
      </c>
      <c r="Q371">
        <v>46</v>
      </c>
      <c r="R371" t="s">
        <v>30</v>
      </c>
      <c r="S371" t="s">
        <v>26</v>
      </c>
      <c r="T371" t="s">
        <v>38</v>
      </c>
      <c r="U371">
        <f>IF(IFERROR(VLOOKUP(BBDD_Usiarios_Netflix[[#This Row],[Identificador Usuario]],A372:$A$5870,1,FALSE),0)&lt;&gt;0,1,0)</f>
        <v>0</v>
      </c>
      <c r="V371" s="6" t="str">
        <f>IF(BBDD_Usiarios_Netflix[[#This Row],[Duración Plan]]="12 Meses",LEFT(BBDD_Usiarios_Netflix[[#This Row],[Duración Plan]],2),LEFT(BBDD_Usiarios_Netflix[[#This Row],[Duración Plan]],1))</f>
        <v>3</v>
      </c>
      <c r="W3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72" spans="1:23" x14ac:dyDescent="0.25">
      <c r="A372">
        <v>371</v>
      </c>
      <c r="B372" t="s">
        <v>23</v>
      </c>
      <c r="C372">
        <v>10</v>
      </c>
      <c r="D372" s="3">
        <v>30</v>
      </c>
      <c r="E372" s="3">
        <v>9</v>
      </c>
      <c r="F372">
        <v>23</v>
      </c>
      <c r="G372" s="1">
        <f>DATEVALUE(_xlfn.CONCAT(BBDD_Usiarios_Netflix[[#This Row],[Día Suscripción]],"/",BBDD_Usiarios_Netflix[[#This Row],[Mes Suscripción]],"/",BBDD_Usiarios_Netflix[[#This Row],[Año Suscripción]]))</f>
        <v>45199</v>
      </c>
      <c r="H372" s="1">
        <v>25</v>
      </c>
      <c r="I372" s="1">
        <v>6</v>
      </c>
      <c r="J372" s="1">
        <v>24</v>
      </c>
      <c r="K372" s="1" t="str">
        <f>TEXT(BBDD_Usiarios_Netflix[[#This Row],[Fecha Suscripción]],"dddd")</f>
        <v>sábado</v>
      </c>
      <c r="L372" s="1">
        <f>DATEVALUE(_xlfn.CONCAT(BBDD_Usiarios_Netflix[[#This Row],[Día Último Pago]],"/",BBDD_Usiarios_Netflix[[#This Row],[Mes Último Pago]],"/",BBDD_Usiarios_Netflix[[#This Row],[Año Último Pago]]))</f>
        <v>45468</v>
      </c>
      <c r="M372" s="4">
        <f>DATEDIF(BBDD_Usiarios_Netflix[[#This Row],[Fecha Suscripción]],BBDD_Usiarios_Netflix[[#This Row],[Fecha Último Pago]],"M")+1</f>
        <v>9</v>
      </c>
      <c r="N372" s="4">
        <f>BBDD_Usiarios_Netflix[[#This Row],[Ingresos Mensuales]]*BBDD_Usiarios_Netflix[[#This Row],[Meses contratados]]</f>
        <v>90</v>
      </c>
      <c r="O372" t="s">
        <v>24</v>
      </c>
      <c r="P372" t="str">
        <f>IF(BBDD_Usiarios_Netflix[[#This Row],[País]]="","Desconocido",BBDD_Usiarios_Netflix[[#This Row],[País]])</f>
        <v>Australia</v>
      </c>
      <c r="Q372">
        <v>47</v>
      </c>
      <c r="R372" t="s">
        <v>25</v>
      </c>
      <c r="S372" t="s">
        <v>31</v>
      </c>
      <c r="T372" t="s">
        <v>27</v>
      </c>
      <c r="U372">
        <f>IF(IFERROR(VLOOKUP(BBDD_Usiarios_Netflix[[#This Row],[Identificador Usuario]],A373:$A$5870,1,FALSE),0)&lt;&gt;0,1,0)</f>
        <v>0</v>
      </c>
      <c r="V372" s="6" t="str">
        <f>IF(BBDD_Usiarios_Netflix[[#This Row],[Duración Plan]]="12 Meses",LEFT(BBDD_Usiarios_Netflix[[#This Row],[Duración Plan]],2),LEFT(BBDD_Usiarios_Netflix[[#This Row],[Duración Plan]],1))</f>
        <v>1</v>
      </c>
      <c r="W3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73" spans="1:23" x14ac:dyDescent="0.25">
      <c r="A373">
        <v>372</v>
      </c>
      <c r="B373" t="s">
        <v>23</v>
      </c>
      <c r="C373">
        <v>10</v>
      </c>
      <c r="D373" s="3">
        <v>6</v>
      </c>
      <c r="E373" s="3">
        <v>9</v>
      </c>
      <c r="F373">
        <v>23</v>
      </c>
      <c r="G373" s="1">
        <f>DATEVALUE(_xlfn.CONCAT(BBDD_Usiarios_Netflix[[#This Row],[Día Suscripción]],"/",BBDD_Usiarios_Netflix[[#This Row],[Mes Suscripción]],"/",BBDD_Usiarios_Netflix[[#This Row],[Año Suscripción]]))</f>
        <v>45175</v>
      </c>
      <c r="H373" s="1">
        <v>27</v>
      </c>
      <c r="I373" s="1">
        <v>6</v>
      </c>
      <c r="J373" s="1">
        <v>24</v>
      </c>
      <c r="K373" s="1" t="str">
        <f>TEXT(BBDD_Usiarios_Netflix[[#This Row],[Fecha Suscripción]],"dddd")</f>
        <v>miércoles</v>
      </c>
      <c r="L373" s="1">
        <f>DATEVALUE(_xlfn.CONCAT(BBDD_Usiarios_Netflix[[#This Row],[Día Último Pago]],"/",BBDD_Usiarios_Netflix[[#This Row],[Mes Último Pago]],"/",BBDD_Usiarios_Netflix[[#This Row],[Año Último Pago]]))</f>
        <v>45470</v>
      </c>
      <c r="M373" s="4">
        <f>DATEDIF(BBDD_Usiarios_Netflix[[#This Row],[Fecha Suscripción]],BBDD_Usiarios_Netflix[[#This Row],[Fecha Último Pago]],"M")+1</f>
        <v>10</v>
      </c>
      <c r="N373" s="4">
        <f>BBDD_Usiarios_Netflix[[#This Row],[Ingresos Mensuales]]*BBDD_Usiarios_Netflix[[#This Row],[Meses contratados]]</f>
        <v>100</v>
      </c>
      <c r="O373" t="s">
        <v>29</v>
      </c>
      <c r="P373" t="str">
        <f>IF(BBDD_Usiarios_Netflix[[#This Row],[País]]="","Desconocido",BBDD_Usiarios_Netflix[[#This Row],[País]])</f>
        <v>EEUU</v>
      </c>
      <c r="Q373">
        <v>31</v>
      </c>
      <c r="R373" t="s">
        <v>30</v>
      </c>
      <c r="S373" t="s">
        <v>31</v>
      </c>
      <c r="T373" t="s">
        <v>27</v>
      </c>
      <c r="U373">
        <f>IF(IFERROR(VLOOKUP(BBDD_Usiarios_Netflix[[#This Row],[Identificador Usuario]],A374:$A$5870,1,FALSE),0)&lt;&gt;0,1,0)</f>
        <v>0</v>
      </c>
      <c r="V373" s="6" t="str">
        <f>IF(BBDD_Usiarios_Netflix[[#This Row],[Duración Plan]]="12 Meses",LEFT(BBDD_Usiarios_Netflix[[#This Row],[Duración Plan]],2),LEFT(BBDD_Usiarios_Netflix[[#This Row],[Duración Plan]],1))</f>
        <v>1</v>
      </c>
      <c r="W3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74" spans="1:23" x14ac:dyDescent="0.25">
      <c r="A374">
        <v>373</v>
      </c>
      <c r="B374" t="s">
        <v>32</v>
      </c>
      <c r="C374">
        <v>12</v>
      </c>
      <c r="D374" s="3">
        <v>18</v>
      </c>
      <c r="E374" s="3">
        <v>6</v>
      </c>
      <c r="F374">
        <v>23</v>
      </c>
      <c r="G374" s="1">
        <f>DATEVALUE(_xlfn.CONCAT(BBDD_Usiarios_Netflix[[#This Row],[Día Suscripción]],"/",BBDD_Usiarios_Netflix[[#This Row],[Mes Suscripción]],"/",BBDD_Usiarios_Netflix[[#This Row],[Año Suscripción]]))</f>
        <v>45095</v>
      </c>
      <c r="H374" s="1">
        <v>26</v>
      </c>
      <c r="I374" s="1">
        <v>6</v>
      </c>
      <c r="J374" s="1">
        <v>24</v>
      </c>
      <c r="K374" s="1" t="str">
        <f>TEXT(BBDD_Usiarios_Netflix[[#This Row],[Fecha Suscripción]],"dddd")</f>
        <v>domingo</v>
      </c>
      <c r="L374" s="1">
        <f>DATEVALUE(_xlfn.CONCAT(BBDD_Usiarios_Netflix[[#This Row],[Día Último Pago]],"/",BBDD_Usiarios_Netflix[[#This Row],[Mes Último Pago]],"/",BBDD_Usiarios_Netflix[[#This Row],[Año Último Pago]]))</f>
        <v>45469</v>
      </c>
      <c r="M374" s="4">
        <f>DATEDIF(BBDD_Usiarios_Netflix[[#This Row],[Fecha Suscripción]],BBDD_Usiarios_Netflix[[#This Row],[Fecha Último Pago]],"M")+1</f>
        <v>13</v>
      </c>
      <c r="N374" s="4">
        <f>BBDD_Usiarios_Netflix[[#This Row],[Ingresos Mensuales]]*BBDD_Usiarios_Netflix[[#This Row],[Meses contratados]]</f>
        <v>156</v>
      </c>
      <c r="O374" t="s">
        <v>43</v>
      </c>
      <c r="P374" t="str">
        <f>IF(BBDD_Usiarios_Netflix[[#This Row],[País]]="","Desconocido",BBDD_Usiarios_Netflix[[#This Row],[País]])</f>
        <v>Alemania</v>
      </c>
      <c r="Q374">
        <v>44</v>
      </c>
      <c r="R374" t="s">
        <v>30</v>
      </c>
      <c r="S374" t="s">
        <v>31</v>
      </c>
      <c r="T374" t="s">
        <v>38</v>
      </c>
      <c r="U374">
        <f>IF(IFERROR(VLOOKUP(BBDD_Usiarios_Netflix[[#This Row],[Identificador Usuario]],A375:$A$5870,1,FALSE),0)&lt;&gt;0,1,0)</f>
        <v>0</v>
      </c>
      <c r="V374" s="6" t="str">
        <f>IF(BBDD_Usiarios_Netflix[[#This Row],[Duración Plan]]="12 Meses",LEFT(BBDD_Usiarios_Netflix[[#This Row],[Duración Plan]],2),LEFT(BBDD_Usiarios_Netflix[[#This Row],[Duración Plan]],1))</f>
        <v>3</v>
      </c>
      <c r="W3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75" spans="1:23" x14ac:dyDescent="0.25">
      <c r="A375">
        <v>374</v>
      </c>
      <c r="B375" t="s">
        <v>28</v>
      </c>
      <c r="C375">
        <v>14</v>
      </c>
      <c r="D375" s="3">
        <v>12</v>
      </c>
      <c r="E375" s="3">
        <v>6</v>
      </c>
      <c r="F375">
        <v>23</v>
      </c>
      <c r="G375" s="1">
        <f>DATEVALUE(_xlfn.CONCAT(BBDD_Usiarios_Netflix[[#This Row],[Día Suscripción]],"/",BBDD_Usiarios_Netflix[[#This Row],[Mes Suscripción]],"/",BBDD_Usiarios_Netflix[[#This Row],[Año Suscripción]]))</f>
        <v>45089</v>
      </c>
      <c r="H375" s="1">
        <v>28</v>
      </c>
      <c r="I375" s="1">
        <v>6</v>
      </c>
      <c r="J375" s="1">
        <v>24</v>
      </c>
      <c r="K375" s="1" t="str">
        <f>TEXT(BBDD_Usiarios_Netflix[[#This Row],[Fecha Suscripción]],"dddd")</f>
        <v>lunes</v>
      </c>
      <c r="L375" s="1">
        <f>DATEVALUE(_xlfn.CONCAT(BBDD_Usiarios_Netflix[[#This Row],[Día Último Pago]],"/",BBDD_Usiarios_Netflix[[#This Row],[Mes Último Pago]],"/",BBDD_Usiarios_Netflix[[#This Row],[Año Último Pago]]))</f>
        <v>45471</v>
      </c>
      <c r="M375" s="4">
        <f>DATEDIF(BBDD_Usiarios_Netflix[[#This Row],[Fecha Suscripción]],BBDD_Usiarios_Netflix[[#This Row],[Fecha Último Pago]],"M")+1</f>
        <v>13</v>
      </c>
      <c r="N375" s="4">
        <f>BBDD_Usiarios_Netflix[[#This Row],[Ingresos Mensuales]]*BBDD_Usiarios_Netflix[[#This Row],[Meses contratados]]</f>
        <v>182</v>
      </c>
      <c r="O375" t="s">
        <v>40</v>
      </c>
      <c r="P375" t="str">
        <f>IF(BBDD_Usiarios_Netflix[[#This Row],[País]]="","Desconocido",BBDD_Usiarios_Netflix[[#This Row],[País]])</f>
        <v>Italia</v>
      </c>
      <c r="Q375">
        <v>39</v>
      </c>
      <c r="R375" t="s">
        <v>30</v>
      </c>
      <c r="S375" t="s">
        <v>36</v>
      </c>
      <c r="T375" t="s">
        <v>38</v>
      </c>
      <c r="U375">
        <f>IF(IFERROR(VLOOKUP(BBDD_Usiarios_Netflix[[#This Row],[Identificador Usuario]],A376:$A$5870,1,FALSE),0)&lt;&gt;0,1,0)</f>
        <v>0</v>
      </c>
      <c r="V375" s="6" t="str">
        <f>IF(BBDD_Usiarios_Netflix[[#This Row],[Duración Plan]]="12 Meses",LEFT(BBDD_Usiarios_Netflix[[#This Row],[Duración Plan]],2),LEFT(BBDD_Usiarios_Netflix[[#This Row],[Duración Plan]],1))</f>
        <v>3</v>
      </c>
      <c r="W3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76" spans="1:23" x14ac:dyDescent="0.25">
      <c r="A376">
        <v>375</v>
      </c>
      <c r="B376" t="s">
        <v>23</v>
      </c>
      <c r="C376">
        <v>10</v>
      </c>
      <c r="D376" s="3">
        <v>17</v>
      </c>
      <c r="E376" s="3">
        <v>6</v>
      </c>
      <c r="F376">
        <v>23</v>
      </c>
      <c r="G376" s="1">
        <f>DATEVALUE(_xlfn.CONCAT(BBDD_Usiarios_Netflix[[#This Row],[Día Suscripción]],"/",BBDD_Usiarios_Netflix[[#This Row],[Mes Suscripción]],"/",BBDD_Usiarios_Netflix[[#This Row],[Año Suscripción]]))</f>
        <v>45094</v>
      </c>
      <c r="H376" s="1">
        <v>28</v>
      </c>
      <c r="I376" s="1">
        <v>6</v>
      </c>
      <c r="J376" s="1">
        <v>24</v>
      </c>
      <c r="K376" s="1" t="str">
        <f>TEXT(BBDD_Usiarios_Netflix[[#This Row],[Fecha Suscripción]],"dddd")</f>
        <v>sábado</v>
      </c>
      <c r="L376" s="1">
        <f>DATEVALUE(_xlfn.CONCAT(BBDD_Usiarios_Netflix[[#This Row],[Día Último Pago]],"/",BBDD_Usiarios_Netflix[[#This Row],[Mes Último Pago]],"/",BBDD_Usiarios_Netflix[[#This Row],[Año Último Pago]]))</f>
        <v>45471</v>
      </c>
      <c r="M376" s="4">
        <f>DATEDIF(BBDD_Usiarios_Netflix[[#This Row],[Fecha Suscripción]],BBDD_Usiarios_Netflix[[#This Row],[Fecha Último Pago]],"M")+1</f>
        <v>13</v>
      </c>
      <c r="N376" s="4">
        <f>BBDD_Usiarios_Netflix[[#This Row],[Ingresos Mensuales]]*BBDD_Usiarios_Netflix[[#This Row],[Meses contratados]]</f>
        <v>130</v>
      </c>
      <c r="O376" t="s">
        <v>33</v>
      </c>
      <c r="P376" t="str">
        <f>IF(BBDD_Usiarios_Netflix[[#This Row],[País]]="","Desconocido",BBDD_Usiarios_Netflix[[#This Row],[País]])</f>
        <v>Francia</v>
      </c>
      <c r="Q376">
        <v>44</v>
      </c>
      <c r="R376" t="s">
        <v>30</v>
      </c>
      <c r="S376" t="s">
        <v>36</v>
      </c>
      <c r="T376" t="s">
        <v>27</v>
      </c>
      <c r="U376">
        <f>IF(IFERROR(VLOOKUP(BBDD_Usiarios_Netflix[[#This Row],[Identificador Usuario]],A377:$A$5870,1,FALSE),0)&lt;&gt;0,1,0)</f>
        <v>0</v>
      </c>
      <c r="V376" s="6" t="str">
        <f>IF(BBDD_Usiarios_Netflix[[#This Row],[Duración Plan]]="12 Meses",LEFT(BBDD_Usiarios_Netflix[[#This Row],[Duración Plan]],2),LEFT(BBDD_Usiarios_Netflix[[#This Row],[Duración Plan]],1))</f>
        <v>1</v>
      </c>
      <c r="W3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77" spans="1:23" x14ac:dyDescent="0.25">
      <c r="A377">
        <v>376</v>
      </c>
      <c r="B377" t="s">
        <v>23</v>
      </c>
      <c r="C377">
        <v>10</v>
      </c>
      <c r="D377" s="3">
        <v>20</v>
      </c>
      <c r="E377" s="3">
        <v>6</v>
      </c>
      <c r="F377">
        <v>23</v>
      </c>
      <c r="G377" s="1">
        <f>DATEVALUE(_xlfn.CONCAT(BBDD_Usiarios_Netflix[[#This Row],[Día Suscripción]],"/",BBDD_Usiarios_Netflix[[#This Row],[Mes Suscripción]],"/",BBDD_Usiarios_Netflix[[#This Row],[Año Suscripción]]))</f>
        <v>45097</v>
      </c>
      <c r="H377" s="1">
        <v>27</v>
      </c>
      <c r="I377" s="1">
        <v>6</v>
      </c>
      <c r="J377" s="1">
        <v>24</v>
      </c>
      <c r="K377" s="1" t="str">
        <f>TEXT(BBDD_Usiarios_Netflix[[#This Row],[Fecha Suscripción]],"dddd")</f>
        <v>martes</v>
      </c>
      <c r="L377" s="1">
        <f>DATEVALUE(_xlfn.CONCAT(BBDD_Usiarios_Netflix[[#This Row],[Día Último Pago]],"/",BBDD_Usiarios_Netflix[[#This Row],[Mes Último Pago]],"/",BBDD_Usiarios_Netflix[[#This Row],[Año Último Pago]]))</f>
        <v>45470</v>
      </c>
      <c r="M377" s="4">
        <f>DATEDIF(BBDD_Usiarios_Netflix[[#This Row],[Fecha Suscripción]],BBDD_Usiarios_Netflix[[#This Row],[Fecha Último Pago]],"M")+1</f>
        <v>13</v>
      </c>
      <c r="N377" s="4">
        <f>BBDD_Usiarios_Netflix[[#This Row],[Ingresos Mensuales]]*BBDD_Usiarios_Netflix[[#This Row],[Meses contratados]]</f>
        <v>130</v>
      </c>
      <c r="O377" t="s">
        <v>39</v>
      </c>
      <c r="P377" t="str">
        <f>IF(BBDD_Usiarios_Netflix[[#This Row],[País]]="","Desconocido",BBDD_Usiarios_Netflix[[#This Row],[País]])</f>
        <v>Canadá</v>
      </c>
      <c r="Q377">
        <v>39</v>
      </c>
      <c r="R377" t="s">
        <v>30</v>
      </c>
      <c r="S377" t="s">
        <v>26</v>
      </c>
      <c r="T377" t="s">
        <v>27</v>
      </c>
      <c r="U377">
        <f>IF(IFERROR(VLOOKUP(BBDD_Usiarios_Netflix[[#This Row],[Identificador Usuario]],A378:$A$5870,1,FALSE),0)&lt;&gt;0,1,0)</f>
        <v>0</v>
      </c>
      <c r="V377" s="6" t="str">
        <f>IF(BBDD_Usiarios_Netflix[[#This Row],[Duración Plan]]="12 Meses",LEFT(BBDD_Usiarios_Netflix[[#This Row],[Duración Plan]],2),LEFT(BBDD_Usiarios_Netflix[[#This Row],[Duración Plan]],1))</f>
        <v>1</v>
      </c>
      <c r="W3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78" spans="1:23" x14ac:dyDescent="0.25">
      <c r="A378">
        <v>377</v>
      </c>
      <c r="B378" t="s">
        <v>28</v>
      </c>
      <c r="C378">
        <v>14</v>
      </c>
      <c r="D378" s="3">
        <v>27</v>
      </c>
      <c r="E378" s="3">
        <v>8</v>
      </c>
      <c r="F378">
        <v>23</v>
      </c>
      <c r="G378" s="1">
        <f>DATEVALUE(_xlfn.CONCAT(BBDD_Usiarios_Netflix[[#This Row],[Día Suscripción]],"/",BBDD_Usiarios_Netflix[[#This Row],[Mes Suscripción]],"/",BBDD_Usiarios_Netflix[[#This Row],[Año Suscripción]]))</f>
        <v>45165</v>
      </c>
      <c r="H378" s="1">
        <v>28</v>
      </c>
      <c r="I378" s="1">
        <v>6</v>
      </c>
      <c r="J378" s="1">
        <v>24</v>
      </c>
      <c r="K378" s="1" t="str">
        <f>TEXT(BBDD_Usiarios_Netflix[[#This Row],[Fecha Suscripción]],"dddd")</f>
        <v>domingo</v>
      </c>
      <c r="L378" s="1">
        <f>DATEVALUE(_xlfn.CONCAT(BBDD_Usiarios_Netflix[[#This Row],[Día Último Pago]],"/",BBDD_Usiarios_Netflix[[#This Row],[Mes Último Pago]],"/",BBDD_Usiarios_Netflix[[#This Row],[Año Último Pago]]))</f>
        <v>45471</v>
      </c>
      <c r="M378" s="4">
        <f>DATEDIF(BBDD_Usiarios_Netflix[[#This Row],[Fecha Suscripción]],BBDD_Usiarios_Netflix[[#This Row],[Fecha Último Pago]],"M")+1</f>
        <v>11</v>
      </c>
      <c r="N378" s="4">
        <f>BBDD_Usiarios_Netflix[[#This Row],[Ingresos Mensuales]]*BBDD_Usiarios_Netflix[[#This Row],[Meses contratados]]</f>
        <v>154</v>
      </c>
      <c r="O378" t="s">
        <v>24</v>
      </c>
      <c r="P378" t="str">
        <f>IF(BBDD_Usiarios_Netflix[[#This Row],[País]]="","Desconocido",BBDD_Usiarios_Netflix[[#This Row],[País]])</f>
        <v>Australia</v>
      </c>
      <c r="Q378">
        <v>37</v>
      </c>
      <c r="R378" t="s">
        <v>25</v>
      </c>
      <c r="S378" t="s">
        <v>36</v>
      </c>
      <c r="T378" t="s">
        <v>41</v>
      </c>
      <c r="U378">
        <f>IF(IFERROR(VLOOKUP(BBDD_Usiarios_Netflix[[#This Row],[Identificador Usuario]],A379:$A$5870,1,FALSE),0)&lt;&gt;0,1,0)</f>
        <v>0</v>
      </c>
      <c r="V378" s="6" t="str">
        <f>IF(BBDD_Usiarios_Netflix[[#This Row],[Duración Plan]]="12 Meses",LEFT(BBDD_Usiarios_Netflix[[#This Row],[Duración Plan]],2),LEFT(BBDD_Usiarios_Netflix[[#This Row],[Duración Plan]],1))</f>
        <v>12</v>
      </c>
      <c r="W3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79" spans="1:23" x14ac:dyDescent="0.25">
      <c r="A379">
        <v>378</v>
      </c>
      <c r="B379" t="s">
        <v>32</v>
      </c>
      <c r="C379">
        <v>12</v>
      </c>
      <c r="D379" s="3">
        <v>13</v>
      </c>
      <c r="E379" s="3">
        <v>8</v>
      </c>
      <c r="F379">
        <v>23</v>
      </c>
      <c r="G379" s="1">
        <f>DATEVALUE(_xlfn.CONCAT(BBDD_Usiarios_Netflix[[#This Row],[Día Suscripción]],"/",BBDD_Usiarios_Netflix[[#This Row],[Mes Suscripción]],"/",BBDD_Usiarios_Netflix[[#This Row],[Año Suscripción]]))</f>
        <v>45151</v>
      </c>
      <c r="H379" s="1">
        <v>27</v>
      </c>
      <c r="I379" s="1">
        <v>6</v>
      </c>
      <c r="J379" s="1">
        <v>24</v>
      </c>
      <c r="K379" s="1" t="str">
        <f>TEXT(BBDD_Usiarios_Netflix[[#This Row],[Fecha Suscripción]],"dddd")</f>
        <v>domingo</v>
      </c>
      <c r="L379" s="1">
        <f>DATEVALUE(_xlfn.CONCAT(BBDD_Usiarios_Netflix[[#This Row],[Día Último Pago]],"/",BBDD_Usiarios_Netflix[[#This Row],[Mes Último Pago]],"/",BBDD_Usiarios_Netflix[[#This Row],[Año Último Pago]]))</f>
        <v>45470</v>
      </c>
      <c r="M379" s="4">
        <f>DATEDIF(BBDD_Usiarios_Netflix[[#This Row],[Fecha Suscripción]],BBDD_Usiarios_Netflix[[#This Row],[Fecha Último Pago]],"M")+1</f>
        <v>11</v>
      </c>
      <c r="N379" s="4">
        <f>BBDD_Usiarios_Netflix[[#This Row],[Ingresos Mensuales]]*BBDD_Usiarios_Netflix[[#This Row],[Meses contratados]]</f>
        <v>132</v>
      </c>
      <c r="O379" t="s">
        <v>39</v>
      </c>
      <c r="P379" t="str">
        <f>IF(BBDD_Usiarios_Netflix[[#This Row],[País]]="","Desconocido",BBDD_Usiarios_Netflix[[#This Row],[País]])</f>
        <v>Canadá</v>
      </c>
      <c r="Q379">
        <v>47</v>
      </c>
      <c r="R379" t="s">
        <v>30</v>
      </c>
      <c r="S379" t="s">
        <v>36</v>
      </c>
      <c r="T379" t="s">
        <v>27</v>
      </c>
      <c r="U379">
        <f>IF(IFERROR(VLOOKUP(BBDD_Usiarios_Netflix[[#This Row],[Identificador Usuario]],A380:$A$5870,1,FALSE),0)&lt;&gt;0,1,0)</f>
        <v>0</v>
      </c>
      <c r="V379" s="6" t="str">
        <f>IF(BBDD_Usiarios_Netflix[[#This Row],[Duración Plan]]="12 Meses",LEFT(BBDD_Usiarios_Netflix[[#This Row],[Duración Plan]],2),LEFT(BBDD_Usiarios_Netflix[[#This Row],[Duración Plan]],1))</f>
        <v>1</v>
      </c>
      <c r="W3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80" spans="1:23" x14ac:dyDescent="0.25">
      <c r="A380">
        <v>379</v>
      </c>
      <c r="B380" t="s">
        <v>32</v>
      </c>
      <c r="C380">
        <v>12</v>
      </c>
      <c r="D380" s="3">
        <v>12</v>
      </c>
      <c r="E380" s="3">
        <v>8</v>
      </c>
      <c r="F380">
        <v>23</v>
      </c>
      <c r="G380" s="1">
        <f>DATEVALUE(_xlfn.CONCAT(BBDD_Usiarios_Netflix[[#This Row],[Día Suscripción]],"/",BBDD_Usiarios_Netflix[[#This Row],[Mes Suscripción]],"/",BBDD_Usiarios_Netflix[[#This Row],[Año Suscripción]]))</f>
        <v>45150</v>
      </c>
      <c r="H380" s="1">
        <v>28</v>
      </c>
      <c r="I380" s="1">
        <v>6</v>
      </c>
      <c r="J380" s="1">
        <v>24</v>
      </c>
      <c r="K380" s="1" t="str">
        <f>TEXT(BBDD_Usiarios_Netflix[[#This Row],[Fecha Suscripción]],"dddd")</f>
        <v>sábado</v>
      </c>
      <c r="L380" s="1">
        <f>DATEVALUE(_xlfn.CONCAT(BBDD_Usiarios_Netflix[[#This Row],[Día Último Pago]],"/",BBDD_Usiarios_Netflix[[#This Row],[Mes Último Pago]],"/",BBDD_Usiarios_Netflix[[#This Row],[Año Último Pago]]))</f>
        <v>45471</v>
      </c>
      <c r="M380" s="4">
        <f>DATEDIF(BBDD_Usiarios_Netflix[[#This Row],[Fecha Suscripción]],BBDD_Usiarios_Netflix[[#This Row],[Fecha Último Pago]],"M")+1</f>
        <v>11</v>
      </c>
      <c r="N380" s="4">
        <f>BBDD_Usiarios_Netflix[[#This Row],[Ingresos Mensuales]]*BBDD_Usiarios_Netflix[[#This Row],[Meses contratados]]</f>
        <v>132</v>
      </c>
      <c r="O380" t="s">
        <v>29</v>
      </c>
      <c r="P380" t="str">
        <f>IF(BBDD_Usiarios_Netflix[[#This Row],[País]]="","Desconocido",BBDD_Usiarios_Netflix[[#This Row],[País]])</f>
        <v>EEUU</v>
      </c>
      <c r="Q380">
        <v>46</v>
      </c>
      <c r="R380" t="s">
        <v>30</v>
      </c>
      <c r="S380" t="s">
        <v>34</v>
      </c>
      <c r="T380" t="s">
        <v>35</v>
      </c>
      <c r="U380">
        <f>IF(IFERROR(VLOOKUP(BBDD_Usiarios_Netflix[[#This Row],[Identificador Usuario]],A381:$A$5870,1,FALSE),0)&lt;&gt;0,1,0)</f>
        <v>0</v>
      </c>
      <c r="V380" s="6" t="str">
        <f>IF(BBDD_Usiarios_Netflix[[#This Row],[Duración Plan]]="12 Meses",LEFT(BBDD_Usiarios_Netflix[[#This Row],[Duración Plan]],2),LEFT(BBDD_Usiarios_Netflix[[#This Row],[Duración Plan]],1))</f>
        <v>6</v>
      </c>
      <c r="W3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81" spans="1:23" x14ac:dyDescent="0.25">
      <c r="A381">
        <v>380</v>
      </c>
      <c r="B381" t="s">
        <v>23</v>
      </c>
      <c r="C381">
        <v>10</v>
      </c>
      <c r="D381" s="3">
        <v>5</v>
      </c>
      <c r="E381" s="3">
        <v>8</v>
      </c>
      <c r="F381">
        <v>23</v>
      </c>
      <c r="G381" s="1">
        <f>DATEVALUE(_xlfn.CONCAT(BBDD_Usiarios_Netflix[[#This Row],[Día Suscripción]],"/",BBDD_Usiarios_Netflix[[#This Row],[Mes Suscripción]],"/",BBDD_Usiarios_Netflix[[#This Row],[Año Suscripción]]))</f>
        <v>45143</v>
      </c>
      <c r="H381" s="1">
        <v>27</v>
      </c>
      <c r="I381" s="1">
        <v>6</v>
      </c>
      <c r="J381" s="1">
        <v>24</v>
      </c>
      <c r="K381" s="1" t="str">
        <f>TEXT(BBDD_Usiarios_Netflix[[#This Row],[Fecha Suscripción]],"dddd")</f>
        <v>sábado</v>
      </c>
      <c r="L381" s="1">
        <f>DATEVALUE(_xlfn.CONCAT(BBDD_Usiarios_Netflix[[#This Row],[Día Último Pago]],"/",BBDD_Usiarios_Netflix[[#This Row],[Mes Último Pago]],"/",BBDD_Usiarios_Netflix[[#This Row],[Año Último Pago]]))</f>
        <v>45470</v>
      </c>
      <c r="M381" s="4">
        <f>DATEDIF(BBDD_Usiarios_Netflix[[#This Row],[Fecha Suscripción]],BBDD_Usiarios_Netflix[[#This Row],[Fecha Último Pago]],"M")+1</f>
        <v>11</v>
      </c>
      <c r="N381" s="4">
        <f>BBDD_Usiarios_Netflix[[#This Row],[Ingresos Mensuales]]*BBDD_Usiarios_Netflix[[#This Row],[Meses contratados]]</f>
        <v>110</v>
      </c>
      <c r="O381" t="s">
        <v>44</v>
      </c>
      <c r="P381" t="str">
        <f>IF(BBDD_Usiarios_Netflix[[#This Row],[País]]="","Desconocido",BBDD_Usiarios_Netflix[[#This Row],[País]])</f>
        <v>Desconocido</v>
      </c>
      <c r="Q381">
        <v>27</v>
      </c>
      <c r="R381" t="s">
        <v>30</v>
      </c>
      <c r="S381" t="s">
        <v>34</v>
      </c>
      <c r="T381" t="s">
        <v>35</v>
      </c>
      <c r="U381">
        <f>IF(IFERROR(VLOOKUP(BBDD_Usiarios_Netflix[[#This Row],[Identificador Usuario]],A382:$A$5870,1,FALSE),0)&lt;&gt;0,1,0)</f>
        <v>0</v>
      </c>
      <c r="V381" s="6" t="str">
        <f>IF(BBDD_Usiarios_Netflix[[#This Row],[Duración Plan]]="12 Meses",LEFT(BBDD_Usiarios_Netflix[[#This Row],[Duración Plan]],2),LEFT(BBDD_Usiarios_Netflix[[#This Row],[Duración Plan]],1))</f>
        <v>6</v>
      </c>
      <c r="W3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82" spans="1:23" x14ac:dyDescent="0.25">
      <c r="A382">
        <v>381</v>
      </c>
      <c r="B382" t="s">
        <v>28</v>
      </c>
      <c r="C382">
        <v>14</v>
      </c>
      <c r="D382" s="3">
        <v>14</v>
      </c>
      <c r="E382" s="3">
        <v>7</v>
      </c>
      <c r="F382">
        <v>23</v>
      </c>
      <c r="G382" s="1">
        <f>DATEVALUE(_xlfn.CONCAT(BBDD_Usiarios_Netflix[[#This Row],[Día Suscripción]],"/",BBDD_Usiarios_Netflix[[#This Row],[Mes Suscripción]],"/",BBDD_Usiarios_Netflix[[#This Row],[Año Suscripción]]))</f>
        <v>45121</v>
      </c>
      <c r="H382" s="1">
        <v>27</v>
      </c>
      <c r="I382" s="1">
        <v>6</v>
      </c>
      <c r="J382" s="1">
        <v>24</v>
      </c>
      <c r="K382" s="1" t="str">
        <f>TEXT(BBDD_Usiarios_Netflix[[#This Row],[Fecha Suscripción]],"dddd")</f>
        <v>viernes</v>
      </c>
      <c r="L382" s="1">
        <f>DATEVALUE(_xlfn.CONCAT(BBDD_Usiarios_Netflix[[#This Row],[Día Último Pago]],"/",BBDD_Usiarios_Netflix[[#This Row],[Mes Último Pago]],"/",BBDD_Usiarios_Netflix[[#This Row],[Año Último Pago]]))</f>
        <v>45470</v>
      </c>
      <c r="M382" s="4">
        <f>DATEDIF(BBDD_Usiarios_Netflix[[#This Row],[Fecha Suscripción]],BBDD_Usiarios_Netflix[[#This Row],[Fecha Último Pago]],"M")+1</f>
        <v>12</v>
      </c>
      <c r="N382" s="4">
        <f>BBDD_Usiarios_Netflix[[#This Row],[Ingresos Mensuales]]*BBDD_Usiarios_Netflix[[#This Row],[Meses contratados]]</f>
        <v>168</v>
      </c>
      <c r="O382" t="s">
        <v>42</v>
      </c>
      <c r="P382" t="str">
        <f>IF(BBDD_Usiarios_Netflix[[#This Row],[País]]="","Desconocido",BBDD_Usiarios_Netflix[[#This Row],[País]])</f>
        <v>Reino Unido</v>
      </c>
      <c r="Q382">
        <v>43</v>
      </c>
      <c r="R382" t="s">
        <v>30</v>
      </c>
      <c r="S382" t="s">
        <v>36</v>
      </c>
      <c r="T382" t="s">
        <v>41</v>
      </c>
      <c r="U382">
        <f>IF(IFERROR(VLOOKUP(BBDD_Usiarios_Netflix[[#This Row],[Identificador Usuario]],A383:$A$5870,1,FALSE),0)&lt;&gt;0,1,0)</f>
        <v>0</v>
      </c>
      <c r="V382" s="6" t="str">
        <f>IF(BBDD_Usiarios_Netflix[[#This Row],[Duración Plan]]="12 Meses",LEFT(BBDD_Usiarios_Netflix[[#This Row],[Duración Plan]],2),LEFT(BBDD_Usiarios_Netflix[[#This Row],[Duración Plan]],1))</f>
        <v>12</v>
      </c>
      <c r="W3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83" spans="1:23" x14ac:dyDescent="0.25">
      <c r="A383">
        <v>382</v>
      </c>
      <c r="B383" t="s">
        <v>32</v>
      </c>
      <c r="C383">
        <v>12</v>
      </c>
      <c r="D383" s="3">
        <v>7</v>
      </c>
      <c r="E383" s="3">
        <v>6</v>
      </c>
      <c r="F383">
        <v>23</v>
      </c>
      <c r="G383" s="1">
        <f>DATEVALUE(_xlfn.CONCAT(BBDD_Usiarios_Netflix[[#This Row],[Día Suscripción]],"/",BBDD_Usiarios_Netflix[[#This Row],[Mes Suscripción]],"/",BBDD_Usiarios_Netflix[[#This Row],[Año Suscripción]]))</f>
        <v>45084</v>
      </c>
      <c r="H383" s="1">
        <v>26</v>
      </c>
      <c r="I383" s="1">
        <v>6</v>
      </c>
      <c r="J383" s="1">
        <v>24</v>
      </c>
      <c r="K383" s="1" t="str">
        <f>TEXT(BBDD_Usiarios_Netflix[[#This Row],[Fecha Suscripción]],"dddd")</f>
        <v>miércoles</v>
      </c>
      <c r="L383" s="1">
        <f>DATEVALUE(_xlfn.CONCAT(BBDD_Usiarios_Netflix[[#This Row],[Día Último Pago]],"/",BBDD_Usiarios_Netflix[[#This Row],[Mes Último Pago]],"/",BBDD_Usiarios_Netflix[[#This Row],[Año Último Pago]]))</f>
        <v>45469</v>
      </c>
      <c r="M383" s="4">
        <f>DATEDIF(BBDD_Usiarios_Netflix[[#This Row],[Fecha Suscripción]],BBDD_Usiarios_Netflix[[#This Row],[Fecha Último Pago]],"M")+1</f>
        <v>13</v>
      </c>
      <c r="N383" s="4">
        <f>BBDD_Usiarios_Netflix[[#This Row],[Ingresos Mensuales]]*BBDD_Usiarios_Netflix[[#This Row],[Meses contratados]]</f>
        <v>156</v>
      </c>
      <c r="O383" t="s">
        <v>40</v>
      </c>
      <c r="P383" t="str">
        <f>IF(BBDD_Usiarios_Netflix[[#This Row],[País]]="","Desconocido",BBDD_Usiarios_Netflix[[#This Row],[País]])</f>
        <v>Italia</v>
      </c>
      <c r="Q383">
        <v>51</v>
      </c>
      <c r="R383" t="s">
        <v>25</v>
      </c>
      <c r="S383" t="s">
        <v>34</v>
      </c>
      <c r="T383" t="s">
        <v>41</v>
      </c>
      <c r="U383">
        <f>IF(IFERROR(VLOOKUP(BBDD_Usiarios_Netflix[[#This Row],[Identificador Usuario]],A384:$A$5870,1,FALSE),0)&lt;&gt;0,1,0)</f>
        <v>0</v>
      </c>
      <c r="V383" s="6" t="str">
        <f>IF(BBDD_Usiarios_Netflix[[#This Row],[Duración Plan]]="12 Meses",LEFT(BBDD_Usiarios_Netflix[[#This Row],[Duración Plan]],2),LEFT(BBDD_Usiarios_Netflix[[#This Row],[Duración Plan]],1))</f>
        <v>12</v>
      </c>
      <c r="W3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84" spans="1:23" x14ac:dyDescent="0.25">
      <c r="A384">
        <v>383</v>
      </c>
      <c r="B384" t="s">
        <v>23</v>
      </c>
      <c r="C384">
        <v>10</v>
      </c>
      <c r="D384" s="3">
        <v>1</v>
      </c>
      <c r="E384" s="3">
        <v>6</v>
      </c>
      <c r="F384">
        <v>23</v>
      </c>
      <c r="G384" s="1">
        <f>DATEVALUE(_xlfn.CONCAT(BBDD_Usiarios_Netflix[[#This Row],[Día Suscripción]],"/",BBDD_Usiarios_Netflix[[#This Row],[Mes Suscripción]],"/",BBDD_Usiarios_Netflix[[#This Row],[Año Suscripción]]))</f>
        <v>45078</v>
      </c>
      <c r="H384" s="1">
        <v>27</v>
      </c>
      <c r="I384" s="1">
        <v>6</v>
      </c>
      <c r="J384" s="1">
        <v>24</v>
      </c>
      <c r="K384" s="1" t="str">
        <f>TEXT(BBDD_Usiarios_Netflix[[#This Row],[Fecha Suscripción]],"dddd")</f>
        <v>jueves</v>
      </c>
      <c r="L384" s="1">
        <f>DATEVALUE(_xlfn.CONCAT(BBDD_Usiarios_Netflix[[#This Row],[Día Último Pago]],"/",BBDD_Usiarios_Netflix[[#This Row],[Mes Último Pago]],"/",BBDD_Usiarios_Netflix[[#This Row],[Año Último Pago]]))</f>
        <v>45470</v>
      </c>
      <c r="M384" s="4">
        <f>DATEDIF(BBDD_Usiarios_Netflix[[#This Row],[Fecha Suscripción]],BBDD_Usiarios_Netflix[[#This Row],[Fecha Último Pago]],"M")+1</f>
        <v>13</v>
      </c>
      <c r="N384" s="4">
        <f>BBDD_Usiarios_Netflix[[#This Row],[Ingresos Mensuales]]*BBDD_Usiarios_Netflix[[#This Row],[Meses contratados]]</f>
        <v>130</v>
      </c>
      <c r="O384" t="s">
        <v>29</v>
      </c>
      <c r="P384" t="str">
        <f>IF(BBDD_Usiarios_Netflix[[#This Row],[País]]="","Desconocido",BBDD_Usiarios_Netflix[[#This Row],[País]])</f>
        <v>EEUU</v>
      </c>
      <c r="Q384">
        <v>49</v>
      </c>
      <c r="R384" t="s">
        <v>25</v>
      </c>
      <c r="S384" t="s">
        <v>34</v>
      </c>
      <c r="T384" t="s">
        <v>27</v>
      </c>
      <c r="U384">
        <f>IF(IFERROR(VLOOKUP(BBDD_Usiarios_Netflix[[#This Row],[Identificador Usuario]],A385:$A$5870,1,FALSE),0)&lt;&gt;0,1,0)</f>
        <v>0</v>
      </c>
      <c r="V384" s="6" t="str">
        <f>IF(BBDD_Usiarios_Netflix[[#This Row],[Duración Plan]]="12 Meses",LEFT(BBDD_Usiarios_Netflix[[#This Row],[Duración Plan]],2),LEFT(BBDD_Usiarios_Netflix[[#This Row],[Duración Plan]],1))</f>
        <v>1</v>
      </c>
      <c r="W3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85" spans="1:23" x14ac:dyDescent="0.25">
      <c r="A385">
        <v>384</v>
      </c>
      <c r="B385" t="s">
        <v>32</v>
      </c>
      <c r="C385">
        <v>13</v>
      </c>
      <c r="D385" s="3">
        <v>19</v>
      </c>
      <c r="E385" s="3">
        <v>5</v>
      </c>
      <c r="F385">
        <v>23</v>
      </c>
      <c r="G385" s="1">
        <f>DATEVALUE(_xlfn.CONCAT(BBDD_Usiarios_Netflix[[#This Row],[Día Suscripción]],"/",BBDD_Usiarios_Netflix[[#This Row],[Mes Suscripción]],"/",BBDD_Usiarios_Netflix[[#This Row],[Año Suscripción]]))</f>
        <v>45065</v>
      </c>
      <c r="H385" s="1">
        <v>28</v>
      </c>
      <c r="I385" s="1">
        <v>6</v>
      </c>
      <c r="J385" s="1">
        <v>24</v>
      </c>
      <c r="K385" s="1" t="str">
        <f>TEXT(BBDD_Usiarios_Netflix[[#This Row],[Fecha Suscripción]],"dddd")</f>
        <v>viernes</v>
      </c>
      <c r="L385" s="1">
        <f>DATEVALUE(_xlfn.CONCAT(BBDD_Usiarios_Netflix[[#This Row],[Día Último Pago]],"/",BBDD_Usiarios_Netflix[[#This Row],[Mes Último Pago]],"/",BBDD_Usiarios_Netflix[[#This Row],[Año Último Pago]]))</f>
        <v>45471</v>
      </c>
      <c r="M385" s="4">
        <f>DATEDIF(BBDD_Usiarios_Netflix[[#This Row],[Fecha Suscripción]],BBDD_Usiarios_Netflix[[#This Row],[Fecha Último Pago]],"M")+1</f>
        <v>14</v>
      </c>
      <c r="N385" s="4">
        <f>BBDD_Usiarios_Netflix[[#This Row],[Ingresos Mensuales]]*BBDD_Usiarios_Netflix[[#This Row],[Meses contratados]]</f>
        <v>182</v>
      </c>
      <c r="O385" t="s">
        <v>45</v>
      </c>
      <c r="P385" t="str">
        <f>IF(BBDD_Usiarios_Netflix[[#This Row],[País]]="","Desconocido",BBDD_Usiarios_Netflix[[#This Row],[País]])</f>
        <v>España</v>
      </c>
      <c r="Q385">
        <v>35</v>
      </c>
      <c r="R385" t="s">
        <v>30</v>
      </c>
      <c r="S385" t="s">
        <v>26</v>
      </c>
      <c r="T385" t="s">
        <v>35</v>
      </c>
      <c r="U385">
        <f>IF(IFERROR(VLOOKUP(BBDD_Usiarios_Netflix[[#This Row],[Identificador Usuario]],A386:$A$5870,1,FALSE),0)&lt;&gt;0,1,0)</f>
        <v>0</v>
      </c>
      <c r="V385" s="6" t="str">
        <f>IF(BBDD_Usiarios_Netflix[[#This Row],[Duración Plan]]="12 Meses",LEFT(BBDD_Usiarios_Netflix[[#This Row],[Duración Plan]],2),LEFT(BBDD_Usiarios_Netflix[[#This Row],[Duración Plan]],1))</f>
        <v>6</v>
      </c>
      <c r="W3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86" spans="1:23" x14ac:dyDescent="0.25">
      <c r="A386">
        <v>385</v>
      </c>
      <c r="B386" t="s">
        <v>28</v>
      </c>
      <c r="C386">
        <v>15</v>
      </c>
      <c r="D386" s="3">
        <v>22</v>
      </c>
      <c r="E386" s="3">
        <v>5</v>
      </c>
      <c r="F386">
        <v>23</v>
      </c>
      <c r="G386" s="1">
        <f>DATEVALUE(_xlfn.CONCAT(BBDD_Usiarios_Netflix[[#This Row],[Día Suscripción]],"/",BBDD_Usiarios_Netflix[[#This Row],[Mes Suscripción]],"/",BBDD_Usiarios_Netflix[[#This Row],[Año Suscripción]]))</f>
        <v>45068</v>
      </c>
      <c r="H386" s="1">
        <v>27</v>
      </c>
      <c r="I386" s="1">
        <v>6</v>
      </c>
      <c r="J386" s="1">
        <v>24</v>
      </c>
      <c r="K386" s="1" t="str">
        <f>TEXT(BBDD_Usiarios_Netflix[[#This Row],[Fecha Suscripción]],"dddd")</f>
        <v>lunes</v>
      </c>
      <c r="L386" s="1">
        <f>DATEVALUE(_xlfn.CONCAT(BBDD_Usiarios_Netflix[[#This Row],[Día Último Pago]],"/",BBDD_Usiarios_Netflix[[#This Row],[Mes Último Pago]],"/",BBDD_Usiarios_Netflix[[#This Row],[Año Último Pago]]))</f>
        <v>45470</v>
      </c>
      <c r="M386" s="4">
        <f>DATEDIF(BBDD_Usiarios_Netflix[[#This Row],[Fecha Suscripción]],BBDD_Usiarios_Netflix[[#This Row],[Fecha Último Pago]],"M")+1</f>
        <v>14</v>
      </c>
      <c r="N386" s="4">
        <f>BBDD_Usiarios_Netflix[[#This Row],[Ingresos Mensuales]]*BBDD_Usiarios_Netflix[[#This Row],[Meses contratados]]</f>
        <v>210</v>
      </c>
      <c r="O386" t="s">
        <v>44</v>
      </c>
      <c r="P386" t="str">
        <f>IF(BBDD_Usiarios_Netflix[[#This Row],[País]]="","Desconocido",BBDD_Usiarios_Netflix[[#This Row],[País]])</f>
        <v>Desconocido</v>
      </c>
      <c r="Q386">
        <v>44</v>
      </c>
      <c r="R386" t="s">
        <v>25</v>
      </c>
      <c r="S386" t="s">
        <v>26</v>
      </c>
      <c r="T386" t="s">
        <v>41</v>
      </c>
      <c r="U386">
        <f>IF(IFERROR(VLOOKUP(BBDD_Usiarios_Netflix[[#This Row],[Identificador Usuario]],A387:$A$5870,1,FALSE),0)&lt;&gt;0,1,0)</f>
        <v>0</v>
      </c>
      <c r="V386" s="6" t="str">
        <f>IF(BBDD_Usiarios_Netflix[[#This Row],[Duración Plan]]="12 Meses",LEFT(BBDD_Usiarios_Netflix[[#This Row],[Duración Plan]],2),LEFT(BBDD_Usiarios_Netflix[[#This Row],[Duración Plan]],1))</f>
        <v>12</v>
      </c>
      <c r="W3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87" spans="1:23" x14ac:dyDescent="0.25">
      <c r="A387">
        <v>386</v>
      </c>
      <c r="B387" t="s">
        <v>23</v>
      </c>
      <c r="C387">
        <v>10</v>
      </c>
      <c r="D387" s="3">
        <v>11</v>
      </c>
      <c r="E387" s="3">
        <v>7</v>
      </c>
      <c r="F387">
        <v>23</v>
      </c>
      <c r="G387" s="1">
        <f>DATEVALUE(_xlfn.CONCAT(BBDD_Usiarios_Netflix[[#This Row],[Día Suscripción]],"/",BBDD_Usiarios_Netflix[[#This Row],[Mes Suscripción]],"/",BBDD_Usiarios_Netflix[[#This Row],[Año Suscripción]]))</f>
        <v>45118</v>
      </c>
      <c r="H387" s="1">
        <v>26</v>
      </c>
      <c r="I387" s="1">
        <v>6</v>
      </c>
      <c r="J387" s="1">
        <v>24</v>
      </c>
      <c r="K387" s="1" t="str">
        <f>TEXT(BBDD_Usiarios_Netflix[[#This Row],[Fecha Suscripción]],"dddd")</f>
        <v>martes</v>
      </c>
      <c r="L387" s="1">
        <f>DATEVALUE(_xlfn.CONCAT(BBDD_Usiarios_Netflix[[#This Row],[Día Último Pago]],"/",BBDD_Usiarios_Netflix[[#This Row],[Mes Último Pago]],"/",BBDD_Usiarios_Netflix[[#This Row],[Año Último Pago]]))</f>
        <v>45469</v>
      </c>
      <c r="M387" s="4">
        <f>DATEDIF(BBDD_Usiarios_Netflix[[#This Row],[Fecha Suscripción]],BBDD_Usiarios_Netflix[[#This Row],[Fecha Último Pago]],"M")+1</f>
        <v>12</v>
      </c>
      <c r="N387" s="4">
        <f>BBDD_Usiarios_Netflix[[#This Row],[Ingresos Mensuales]]*BBDD_Usiarios_Netflix[[#This Row],[Meses contratados]]</f>
        <v>120</v>
      </c>
      <c r="O387" t="s">
        <v>40</v>
      </c>
      <c r="P387" t="str">
        <f>IF(BBDD_Usiarios_Netflix[[#This Row],[País]]="","Desconocido",BBDD_Usiarios_Netflix[[#This Row],[País]])</f>
        <v>Italia</v>
      </c>
      <c r="Q387">
        <v>48</v>
      </c>
      <c r="R387" t="s">
        <v>25</v>
      </c>
      <c r="S387" t="s">
        <v>31</v>
      </c>
      <c r="T387" t="s">
        <v>27</v>
      </c>
      <c r="U387">
        <f>IF(IFERROR(VLOOKUP(BBDD_Usiarios_Netflix[[#This Row],[Identificador Usuario]],A388:$A$5870,1,FALSE),0)&lt;&gt;0,1,0)</f>
        <v>0</v>
      </c>
      <c r="V387" s="6" t="str">
        <f>IF(BBDD_Usiarios_Netflix[[#This Row],[Duración Plan]]="12 Meses",LEFT(BBDD_Usiarios_Netflix[[#This Row],[Duración Plan]],2),LEFT(BBDD_Usiarios_Netflix[[#This Row],[Duración Plan]],1))</f>
        <v>1</v>
      </c>
      <c r="W3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88" spans="1:23" x14ac:dyDescent="0.25">
      <c r="A388">
        <v>387</v>
      </c>
      <c r="B388" t="s">
        <v>28</v>
      </c>
      <c r="C388">
        <v>14</v>
      </c>
      <c r="D388" s="3">
        <v>19</v>
      </c>
      <c r="E388" s="3">
        <v>7</v>
      </c>
      <c r="F388">
        <v>23</v>
      </c>
      <c r="G388" s="1">
        <f>DATEVALUE(_xlfn.CONCAT(BBDD_Usiarios_Netflix[[#This Row],[Día Suscripción]],"/",BBDD_Usiarios_Netflix[[#This Row],[Mes Suscripción]],"/",BBDD_Usiarios_Netflix[[#This Row],[Año Suscripción]]))</f>
        <v>45126</v>
      </c>
      <c r="H388" s="1">
        <v>28</v>
      </c>
      <c r="I388" s="1">
        <v>6</v>
      </c>
      <c r="J388" s="1">
        <v>24</v>
      </c>
      <c r="K388" s="1" t="str">
        <f>TEXT(BBDD_Usiarios_Netflix[[#This Row],[Fecha Suscripción]],"dddd")</f>
        <v>miércoles</v>
      </c>
      <c r="L388" s="1">
        <f>DATEVALUE(_xlfn.CONCAT(BBDD_Usiarios_Netflix[[#This Row],[Día Último Pago]],"/",BBDD_Usiarios_Netflix[[#This Row],[Mes Último Pago]],"/",BBDD_Usiarios_Netflix[[#This Row],[Año Último Pago]]))</f>
        <v>45471</v>
      </c>
      <c r="M388" s="4">
        <f>DATEDIF(BBDD_Usiarios_Netflix[[#This Row],[Fecha Suscripción]],BBDD_Usiarios_Netflix[[#This Row],[Fecha Último Pago]],"M")+1</f>
        <v>12</v>
      </c>
      <c r="N388" s="4">
        <f>BBDD_Usiarios_Netflix[[#This Row],[Ingresos Mensuales]]*BBDD_Usiarios_Netflix[[#This Row],[Meses contratados]]</f>
        <v>168</v>
      </c>
      <c r="O388" t="s">
        <v>44</v>
      </c>
      <c r="P388" t="str">
        <f>IF(BBDD_Usiarios_Netflix[[#This Row],[País]]="","Desconocido",BBDD_Usiarios_Netflix[[#This Row],[País]])</f>
        <v>Desconocido</v>
      </c>
      <c r="Q388">
        <v>39</v>
      </c>
      <c r="R388" t="s">
        <v>30</v>
      </c>
      <c r="S388" t="s">
        <v>31</v>
      </c>
      <c r="T388" t="s">
        <v>27</v>
      </c>
      <c r="U388">
        <f>IF(IFERROR(VLOOKUP(BBDD_Usiarios_Netflix[[#This Row],[Identificador Usuario]],A389:$A$5870,1,FALSE),0)&lt;&gt;0,1,0)</f>
        <v>0</v>
      </c>
      <c r="V388" s="6" t="str">
        <f>IF(BBDD_Usiarios_Netflix[[#This Row],[Duración Plan]]="12 Meses",LEFT(BBDD_Usiarios_Netflix[[#This Row],[Duración Plan]],2),LEFT(BBDD_Usiarios_Netflix[[#This Row],[Duración Plan]],1))</f>
        <v>1</v>
      </c>
      <c r="W3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89" spans="1:23" x14ac:dyDescent="0.25">
      <c r="A389">
        <v>388</v>
      </c>
      <c r="B389" t="s">
        <v>32</v>
      </c>
      <c r="C389">
        <v>12</v>
      </c>
      <c r="D389" s="3">
        <v>21</v>
      </c>
      <c r="E389" s="3">
        <v>7</v>
      </c>
      <c r="F389">
        <v>23</v>
      </c>
      <c r="G389" s="1">
        <f>DATEVALUE(_xlfn.CONCAT(BBDD_Usiarios_Netflix[[#This Row],[Día Suscripción]],"/",BBDD_Usiarios_Netflix[[#This Row],[Mes Suscripción]],"/",BBDD_Usiarios_Netflix[[#This Row],[Año Suscripción]]))</f>
        <v>45128</v>
      </c>
      <c r="H389" s="1">
        <v>28</v>
      </c>
      <c r="I389" s="1">
        <v>6</v>
      </c>
      <c r="J389" s="1">
        <v>24</v>
      </c>
      <c r="K389" s="1" t="str">
        <f>TEXT(BBDD_Usiarios_Netflix[[#This Row],[Fecha Suscripción]],"dddd")</f>
        <v>viernes</v>
      </c>
      <c r="L389" s="1">
        <f>DATEVALUE(_xlfn.CONCAT(BBDD_Usiarios_Netflix[[#This Row],[Día Último Pago]],"/",BBDD_Usiarios_Netflix[[#This Row],[Mes Último Pago]],"/",BBDD_Usiarios_Netflix[[#This Row],[Año Último Pago]]))</f>
        <v>45471</v>
      </c>
      <c r="M389" s="4">
        <f>DATEDIF(BBDD_Usiarios_Netflix[[#This Row],[Fecha Suscripción]],BBDD_Usiarios_Netflix[[#This Row],[Fecha Último Pago]],"M")+1</f>
        <v>12</v>
      </c>
      <c r="N389" s="4">
        <f>BBDD_Usiarios_Netflix[[#This Row],[Ingresos Mensuales]]*BBDD_Usiarios_Netflix[[#This Row],[Meses contratados]]</f>
        <v>144</v>
      </c>
      <c r="O389" t="s">
        <v>29</v>
      </c>
      <c r="P389" t="str">
        <f>IF(BBDD_Usiarios_Netflix[[#This Row],[País]]="","Desconocido",BBDD_Usiarios_Netflix[[#This Row],[País]])</f>
        <v>EEUU</v>
      </c>
      <c r="Q389">
        <v>38</v>
      </c>
      <c r="R389" t="s">
        <v>25</v>
      </c>
      <c r="S389" t="s">
        <v>36</v>
      </c>
      <c r="T389" t="s">
        <v>35</v>
      </c>
      <c r="U389">
        <f>IF(IFERROR(VLOOKUP(BBDD_Usiarios_Netflix[[#This Row],[Identificador Usuario]],A390:$A$5870,1,FALSE),0)&lt;&gt;0,1,0)</f>
        <v>0</v>
      </c>
      <c r="V389" s="6" t="str">
        <f>IF(BBDD_Usiarios_Netflix[[#This Row],[Duración Plan]]="12 Meses",LEFT(BBDD_Usiarios_Netflix[[#This Row],[Duración Plan]],2),LEFT(BBDD_Usiarios_Netflix[[#This Row],[Duración Plan]],1))</f>
        <v>6</v>
      </c>
      <c r="W3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90" spans="1:23" x14ac:dyDescent="0.25">
      <c r="A390">
        <v>389</v>
      </c>
      <c r="B390" t="s">
        <v>23</v>
      </c>
      <c r="C390">
        <v>10</v>
      </c>
      <c r="D390" s="3">
        <v>2</v>
      </c>
      <c r="E390" s="3">
        <v>8</v>
      </c>
      <c r="F390">
        <v>23</v>
      </c>
      <c r="G390" s="1">
        <f>DATEVALUE(_xlfn.CONCAT(BBDD_Usiarios_Netflix[[#This Row],[Día Suscripción]],"/",BBDD_Usiarios_Netflix[[#This Row],[Mes Suscripción]],"/",BBDD_Usiarios_Netflix[[#This Row],[Año Suscripción]]))</f>
        <v>45140</v>
      </c>
      <c r="H390" s="1">
        <v>26</v>
      </c>
      <c r="I390" s="1">
        <v>6</v>
      </c>
      <c r="J390" s="1">
        <v>24</v>
      </c>
      <c r="K390" s="1" t="str">
        <f>TEXT(BBDD_Usiarios_Netflix[[#This Row],[Fecha Suscripción]],"dddd")</f>
        <v>miércoles</v>
      </c>
      <c r="L390" s="1">
        <f>DATEVALUE(_xlfn.CONCAT(BBDD_Usiarios_Netflix[[#This Row],[Día Último Pago]],"/",BBDD_Usiarios_Netflix[[#This Row],[Mes Último Pago]],"/",BBDD_Usiarios_Netflix[[#This Row],[Año Último Pago]]))</f>
        <v>45469</v>
      </c>
      <c r="M390" s="4">
        <f>DATEDIF(BBDD_Usiarios_Netflix[[#This Row],[Fecha Suscripción]],BBDD_Usiarios_Netflix[[#This Row],[Fecha Último Pago]],"M")+1</f>
        <v>11</v>
      </c>
      <c r="N390" s="4">
        <f>BBDD_Usiarios_Netflix[[#This Row],[Ingresos Mensuales]]*BBDD_Usiarios_Netflix[[#This Row],[Meses contratados]]</f>
        <v>110</v>
      </c>
      <c r="O390" t="s">
        <v>40</v>
      </c>
      <c r="P390" t="str">
        <f>IF(BBDD_Usiarios_Netflix[[#This Row],[País]]="","Desconocido",BBDD_Usiarios_Netflix[[#This Row],[País]])</f>
        <v>Italia</v>
      </c>
      <c r="Q390">
        <v>45</v>
      </c>
      <c r="R390" t="s">
        <v>25</v>
      </c>
      <c r="S390" t="s">
        <v>34</v>
      </c>
      <c r="T390" t="s">
        <v>27</v>
      </c>
      <c r="U390">
        <f>IF(IFERROR(VLOOKUP(BBDD_Usiarios_Netflix[[#This Row],[Identificador Usuario]],A391:$A$5870,1,FALSE),0)&lt;&gt;0,1,0)</f>
        <v>0</v>
      </c>
      <c r="V390" s="6" t="str">
        <f>IF(BBDD_Usiarios_Netflix[[#This Row],[Duración Plan]]="12 Meses",LEFT(BBDD_Usiarios_Netflix[[#This Row],[Duración Plan]],2),LEFT(BBDD_Usiarios_Netflix[[#This Row],[Duración Plan]],1))</f>
        <v>1</v>
      </c>
      <c r="W3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91" spans="1:23" x14ac:dyDescent="0.25">
      <c r="A391">
        <v>390</v>
      </c>
      <c r="B391" t="s">
        <v>32</v>
      </c>
      <c r="C391">
        <v>12</v>
      </c>
      <c r="D391" s="3">
        <v>3</v>
      </c>
      <c r="E391" s="3">
        <v>7</v>
      </c>
      <c r="F391">
        <v>23</v>
      </c>
      <c r="G391" s="1">
        <f>DATEVALUE(_xlfn.CONCAT(BBDD_Usiarios_Netflix[[#This Row],[Día Suscripción]],"/",BBDD_Usiarios_Netflix[[#This Row],[Mes Suscripción]],"/",BBDD_Usiarios_Netflix[[#This Row],[Año Suscripción]]))</f>
        <v>45110</v>
      </c>
      <c r="H391" s="1">
        <v>28</v>
      </c>
      <c r="I391" s="1">
        <v>6</v>
      </c>
      <c r="J391" s="1">
        <v>24</v>
      </c>
      <c r="K391" s="1" t="str">
        <f>TEXT(BBDD_Usiarios_Netflix[[#This Row],[Fecha Suscripción]],"dddd")</f>
        <v>lunes</v>
      </c>
      <c r="L391" s="1">
        <f>DATEVALUE(_xlfn.CONCAT(BBDD_Usiarios_Netflix[[#This Row],[Día Último Pago]],"/",BBDD_Usiarios_Netflix[[#This Row],[Mes Último Pago]],"/",BBDD_Usiarios_Netflix[[#This Row],[Año Último Pago]]))</f>
        <v>45471</v>
      </c>
      <c r="M391" s="4">
        <f>DATEDIF(BBDD_Usiarios_Netflix[[#This Row],[Fecha Suscripción]],BBDD_Usiarios_Netflix[[#This Row],[Fecha Último Pago]],"M")+1</f>
        <v>12</v>
      </c>
      <c r="N391" s="4">
        <f>BBDD_Usiarios_Netflix[[#This Row],[Ingresos Mensuales]]*BBDD_Usiarios_Netflix[[#This Row],[Meses contratados]]</f>
        <v>144</v>
      </c>
      <c r="O391" t="s">
        <v>42</v>
      </c>
      <c r="P391" t="str">
        <f>IF(BBDD_Usiarios_Netflix[[#This Row],[País]]="","Desconocido",BBDD_Usiarios_Netflix[[#This Row],[País]])</f>
        <v>Reino Unido</v>
      </c>
      <c r="Q391">
        <v>43</v>
      </c>
      <c r="R391" t="s">
        <v>30</v>
      </c>
      <c r="S391" t="s">
        <v>36</v>
      </c>
      <c r="T391" t="s">
        <v>35</v>
      </c>
      <c r="U391">
        <f>IF(IFERROR(VLOOKUP(BBDD_Usiarios_Netflix[[#This Row],[Identificador Usuario]],A392:$A$5870,1,FALSE),0)&lt;&gt;0,1,0)</f>
        <v>0</v>
      </c>
      <c r="V391" s="6" t="str">
        <f>IF(BBDD_Usiarios_Netflix[[#This Row],[Duración Plan]]="12 Meses",LEFT(BBDD_Usiarios_Netflix[[#This Row],[Duración Plan]],2),LEFT(BBDD_Usiarios_Netflix[[#This Row],[Duración Plan]],1))</f>
        <v>6</v>
      </c>
      <c r="W3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92" spans="1:23" x14ac:dyDescent="0.25">
      <c r="A392">
        <v>391</v>
      </c>
      <c r="B392" t="s">
        <v>28</v>
      </c>
      <c r="C392">
        <v>14</v>
      </c>
      <c r="D392" s="3">
        <v>23</v>
      </c>
      <c r="E392" s="3">
        <v>6</v>
      </c>
      <c r="F392">
        <v>23</v>
      </c>
      <c r="G392" s="1">
        <f>DATEVALUE(_xlfn.CONCAT(BBDD_Usiarios_Netflix[[#This Row],[Día Suscripción]],"/",BBDD_Usiarios_Netflix[[#This Row],[Mes Suscripción]],"/",BBDD_Usiarios_Netflix[[#This Row],[Año Suscripción]]))</f>
        <v>45100</v>
      </c>
      <c r="H392" s="1">
        <v>27</v>
      </c>
      <c r="I392" s="1">
        <v>6</v>
      </c>
      <c r="J392" s="1">
        <v>24</v>
      </c>
      <c r="K392" s="1" t="str">
        <f>TEXT(BBDD_Usiarios_Netflix[[#This Row],[Fecha Suscripción]],"dddd")</f>
        <v>viernes</v>
      </c>
      <c r="L392" s="1">
        <f>DATEVALUE(_xlfn.CONCAT(BBDD_Usiarios_Netflix[[#This Row],[Día Último Pago]],"/",BBDD_Usiarios_Netflix[[#This Row],[Mes Último Pago]],"/",BBDD_Usiarios_Netflix[[#This Row],[Año Último Pago]]))</f>
        <v>45470</v>
      </c>
      <c r="M392" s="4">
        <f>DATEDIF(BBDD_Usiarios_Netflix[[#This Row],[Fecha Suscripción]],BBDD_Usiarios_Netflix[[#This Row],[Fecha Último Pago]],"M")+1</f>
        <v>13</v>
      </c>
      <c r="N392" s="4">
        <f>BBDD_Usiarios_Netflix[[#This Row],[Ingresos Mensuales]]*BBDD_Usiarios_Netflix[[#This Row],[Meses contratados]]</f>
        <v>182</v>
      </c>
      <c r="O392" t="s">
        <v>45</v>
      </c>
      <c r="P392" t="str">
        <f>IF(BBDD_Usiarios_Netflix[[#This Row],[País]]="","Desconocido",BBDD_Usiarios_Netflix[[#This Row],[País]])</f>
        <v>España</v>
      </c>
      <c r="Q392">
        <v>42</v>
      </c>
      <c r="R392" t="s">
        <v>25</v>
      </c>
      <c r="S392" t="s">
        <v>36</v>
      </c>
      <c r="T392" t="s">
        <v>27</v>
      </c>
      <c r="U392">
        <f>IF(IFERROR(VLOOKUP(BBDD_Usiarios_Netflix[[#This Row],[Identificador Usuario]],A393:$A$5870,1,FALSE),0)&lt;&gt;0,1,0)</f>
        <v>0</v>
      </c>
      <c r="V392" s="6" t="str">
        <f>IF(BBDD_Usiarios_Netflix[[#This Row],[Duración Plan]]="12 Meses",LEFT(BBDD_Usiarios_Netflix[[#This Row],[Duración Plan]],2),LEFT(BBDD_Usiarios_Netflix[[#This Row],[Duración Plan]],1))</f>
        <v>1</v>
      </c>
      <c r="W3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93" spans="1:23" x14ac:dyDescent="0.25">
      <c r="A393">
        <v>392</v>
      </c>
      <c r="B393" t="s">
        <v>23</v>
      </c>
      <c r="C393">
        <v>10</v>
      </c>
      <c r="D393" s="3">
        <v>3</v>
      </c>
      <c r="E393" s="3">
        <v>6</v>
      </c>
      <c r="F393">
        <v>23</v>
      </c>
      <c r="G393" s="1">
        <f>DATEVALUE(_xlfn.CONCAT(BBDD_Usiarios_Netflix[[#This Row],[Día Suscripción]],"/",BBDD_Usiarios_Netflix[[#This Row],[Mes Suscripción]],"/",BBDD_Usiarios_Netflix[[#This Row],[Año Suscripción]]))</f>
        <v>45080</v>
      </c>
      <c r="H393" s="1">
        <v>28</v>
      </c>
      <c r="I393" s="1">
        <v>6</v>
      </c>
      <c r="J393" s="1">
        <v>24</v>
      </c>
      <c r="K393" s="1" t="str">
        <f>TEXT(BBDD_Usiarios_Netflix[[#This Row],[Fecha Suscripción]],"dddd")</f>
        <v>sábado</v>
      </c>
      <c r="L393" s="1">
        <f>DATEVALUE(_xlfn.CONCAT(BBDD_Usiarios_Netflix[[#This Row],[Día Último Pago]],"/",BBDD_Usiarios_Netflix[[#This Row],[Mes Último Pago]],"/",BBDD_Usiarios_Netflix[[#This Row],[Año Último Pago]]))</f>
        <v>45471</v>
      </c>
      <c r="M393" s="4">
        <f>DATEDIF(BBDD_Usiarios_Netflix[[#This Row],[Fecha Suscripción]],BBDD_Usiarios_Netflix[[#This Row],[Fecha Último Pago]],"M")+1</f>
        <v>13</v>
      </c>
      <c r="N393" s="4">
        <f>BBDD_Usiarios_Netflix[[#This Row],[Ingresos Mensuales]]*BBDD_Usiarios_Netflix[[#This Row],[Meses contratados]]</f>
        <v>130</v>
      </c>
      <c r="O393" t="s">
        <v>29</v>
      </c>
      <c r="P393" t="str">
        <f>IF(BBDD_Usiarios_Netflix[[#This Row],[País]]="","Desconocido",BBDD_Usiarios_Netflix[[#This Row],[País]])</f>
        <v>EEUU</v>
      </c>
      <c r="Q393">
        <v>28</v>
      </c>
      <c r="R393" t="s">
        <v>25</v>
      </c>
      <c r="S393" t="s">
        <v>34</v>
      </c>
      <c r="T393" t="s">
        <v>27</v>
      </c>
      <c r="U393">
        <f>IF(IFERROR(VLOOKUP(BBDD_Usiarios_Netflix[[#This Row],[Identificador Usuario]],A394:$A$5870,1,FALSE),0)&lt;&gt;0,1,0)</f>
        <v>0</v>
      </c>
      <c r="V393" s="6" t="str">
        <f>IF(BBDD_Usiarios_Netflix[[#This Row],[Duración Plan]]="12 Meses",LEFT(BBDD_Usiarios_Netflix[[#This Row],[Duración Plan]],2),LEFT(BBDD_Usiarios_Netflix[[#This Row],[Duración Plan]],1))</f>
        <v>1</v>
      </c>
      <c r="W3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394" spans="1:23" x14ac:dyDescent="0.25">
      <c r="A394">
        <v>393</v>
      </c>
      <c r="B394" t="s">
        <v>32</v>
      </c>
      <c r="C394">
        <v>12</v>
      </c>
      <c r="D394" s="3">
        <v>3</v>
      </c>
      <c r="E394" s="3">
        <v>6</v>
      </c>
      <c r="F394">
        <v>23</v>
      </c>
      <c r="G394" s="1">
        <f>DATEVALUE(_xlfn.CONCAT(BBDD_Usiarios_Netflix[[#This Row],[Día Suscripción]],"/",BBDD_Usiarios_Netflix[[#This Row],[Mes Suscripción]],"/",BBDD_Usiarios_Netflix[[#This Row],[Año Suscripción]]))</f>
        <v>45080</v>
      </c>
      <c r="H394" s="1">
        <v>26</v>
      </c>
      <c r="I394" s="1">
        <v>6</v>
      </c>
      <c r="J394" s="1">
        <v>24</v>
      </c>
      <c r="K394" s="1" t="str">
        <f>TEXT(BBDD_Usiarios_Netflix[[#This Row],[Fecha Suscripción]],"dddd")</f>
        <v>sábado</v>
      </c>
      <c r="L394" s="1">
        <f>DATEVALUE(_xlfn.CONCAT(BBDD_Usiarios_Netflix[[#This Row],[Día Último Pago]],"/",BBDD_Usiarios_Netflix[[#This Row],[Mes Último Pago]],"/",BBDD_Usiarios_Netflix[[#This Row],[Año Último Pago]]))</f>
        <v>45469</v>
      </c>
      <c r="M394" s="4">
        <f>DATEDIF(BBDD_Usiarios_Netflix[[#This Row],[Fecha Suscripción]],BBDD_Usiarios_Netflix[[#This Row],[Fecha Último Pago]],"M")+1</f>
        <v>13</v>
      </c>
      <c r="N394" s="4">
        <f>BBDD_Usiarios_Netflix[[#This Row],[Ingresos Mensuales]]*BBDD_Usiarios_Netflix[[#This Row],[Meses contratados]]</f>
        <v>156</v>
      </c>
      <c r="O394" t="s">
        <v>29</v>
      </c>
      <c r="P394" t="str">
        <f>IF(BBDD_Usiarios_Netflix[[#This Row],[País]]="","Desconocido",BBDD_Usiarios_Netflix[[#This Row],[País]])</f>
        <v>EEUU</v>
      </c>
      <c r="Q394">
        <v>40</v>
      </c>
      <c r="R394" t="s">
        <v>25</v>
      </c>
      <c r="S394" t="s">
        <v>31</v>
      </c>
      <c r="T394" t="s">
        <v>35</v>
      </c>
      <c r="U394">
        <f>IF(IFERROR(VLOOKUP(BBDD_Usiarios_Netflix[[#This Row],[Identificador Usuario]],A395:$A$5870,1,FALSE),0)&lt;&gt;0,1,0)</f>
        <v>0</v>
      </c>
      <c r="V394" s="6" t="str">
        <f>IF(BBDD_Usiarios_Netflix[[#This Row],[Duración Plan]]="12 Meses",LEFT(BBDD_Usiarios_Netflix[[#This Row],[Duración Plan]],2),LEFT(BBDD_Usiarios_Netflix[[#This Row],[Duración Plan]],1))</f>
        <v>6</v>
      </c>
      <c r="W3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95" spans="1:23" x14ac:dyDescent="0.25">
      <c r="A395">
        <v>394</v>
      </c>
      <c r="B395" t="s">
        <v>28</v>
      </c>
      <c r="C395">
        <v>15</v>
      </c>
      <c r="D395" s="3">
        <v>30</v>
      </c>
      <c r="E395" s="3">
        <v>5</v>
      </c>
      <c r="F395">
        <v>23</v>
      </c>
      <c r="G395" s="1">
        <f>DATEVALUE(_xlfn.CONCAT(BBDD_Usiarios_Netflix[[#This Row],[Día Suscripción]],"/",BBDD_Usiarios_Netflix[[#This Row],[Mes Suscripción]],"/",BBDD_Usiarios_Netflix[[#This Row],[Año Suscripción]]))</f>
        <v>45076</v>
      </c>
      <c r="H395" s="1">
        <v>27</v>
      </c>
      <c r="I395" s="1">
        <v>6</v>
      </c>
      <c r="J395" s="1">
        <v>24</v>
      </c>
      <c r="K395" s="1" t="str">
        <f>TEXT(BBDD_Usiarios_Netflix[[#This Row],[Fecha Suscripción]],"dddd")</f>
        <v>martes</v>
      </c>
      <c r="L395" s="1">
        <f>DATEVALUE(_xlfn.CONCAT(BBDD_Usiarios_Netflix[[#This Row],[Día Último Pago]],"/",BBDD_Usiarios_Netflix[[#This Row],[Mes Último Pago]],"/",BBDD_Usiarios_Netflix[[#This Row],[Año Último Pago]]))</f>
        <v>45470</v>
      </c>
      <c r="M395" s="4">
        <f>DATEDIF(BBDD_Usiarios_Netflix[[#This Row],[Fecha Suscripción]],BBDD_Usiarios_Netflix[[#This Row],[Fecha Último Pago]],"M")+1</f>
        <v>13</v>
      </c>
      <c r="N395" s="4">
        <f>BBDD_Usiarios_Netflix[[#This Row],[Ingresos Mensuales]]*BBDD_Usiarios_Netflix[[#This Row],[Meses contratados]]</f>
        <v>195</v>
      </c>
      <c r="O395" t="s">
        <v>43</v>
      </c>
      <c r="P395" t="str">
        <f>IF(BBDD_Usiarios_Netflix[[#This Row],[País]]="","Desconocido",BBDD_Usiarios_Netflix[[#This Row],[País]])</f>
        <v>Alemania</v>
      </c>
      <c r="Q395">
        <v>41</v>
      </c>
      <c r="R395" t="s">
        <v>30</v>
      </c>
      <c r="S395" t="s">
        <v>31</v>
      </c>
      <c r="T395" t="s">
        <v>35</v>
      </c>
      <c r="U395">
        <f>IF(IFERROR(VLOOKUP(BBDD_Usiarios_Netflix[[#This Row],[Identificador Usuario]],A396:$A$5870,1,FALSE),0)&lt;&gt;0,1,0)</f>
        <v>0</v>
      </c>
      <c r="V395" s="6" t="str">
        <f>IF(BBDD_Usiarios_Netflix[[#This Row],[Duración Plan]]="12 Meses",LEFT(BBDD_Usiarios_Netflix[[#This Row],[Duración Plan]],2),LEFT(BBDD_Usiarios_Netflix[[#This Row],[Duración Plan]],1))</f>
        <v>6</v>
      </c>
      <c r="W3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396" spans="1:23" x14ac:dyDescent="0.25">
      <c r="A396">
        <v>395</v>
      </c>
      <c r="B396" t="s">
        <v>23</v>
      </c>
      <c r="C396">
        <v>10</v>
      </c>
      <c r="D396" s="3">
        <v>5</v>
      </c>
      <c r="E396" s="3">
        <v>6</v>
      </c>
      <c r="F396">
        <v>23</v>
      </c>
      <c r="G396" s="1">
        <f>DATEVALUE(_xlfn.CONCAT(BBDD_Usiarios_Netflix[[#This Row],[Día Suscripción]],"/",BBDD_Usiarios_Netflix[[#This Row],[Mes Suscripción]],"/",BBDD_Usiarios_Netflix[[#This Row],[Año Suscripción]]))</f>
        <v>45082</v>
      </c>
      <c r="H396" s="1">
        <v>26</v>
      </c>
      <c r="I396" s="1">
        <v>6</v>
      </c>
      <c r="J396" s="1">
        <v>24</v>
      </c>
      <c r="K396" s="1" t="str">
        <f>TEXT(BBDD_Usiarios_Netflix[[#This Row],[Fecha Suscripción]],"dddd")</f>
        <v>lunes</v>
      </c>
      <c r="L396" s="1">
        <f>DATEVALUE(_xlfn.CONCAT(BBDD_Usiarios_Netflix[[#This Row],[Día Último Pago]],"/",BBDD_Usiarios_Netflix[[#This Row],[Mes Último Pago]],"/",BBDD_Usiarios_Netflix[[#This Row],[Año Último Pago]]))</f>
        <v>45469</v>
      </c>
      <c r="M396" s="4">
        <f>DATEDIF(BBDD_Usiarios_Netflix[[#This Row],[Fecha Suscripción]],BBDD_Usiarios_Netflix[[#This Row],[Fecha Último Pago]],"M")+1</f>
        <v>13</v>
      </c>
      <c r="N396" s="4">
        <f>BBDD_Usiarios_Netflix[[#This Row],[Ingresos Mensuales]]*BBDD_Usiarios_Netflix[[#This Row],[Meses contratados]]</f>
        <v>130</v>
      </c>
      <c r="O396" t="s">
        <v>39</v>
      </c>
      <c r="P396" t="str">
        <f>IF(BBDD_Usiarios_Netflix[[#This Row],[País]]="","Desconocido",BBDD_Usiarios_Netflix[[#This Row],[País]])</f>
        <v>Canadá</v>
      </c>
      <c r="Q396">
        <v>45</v>
      </c>
      <c r="R396" t="s">
        <v>30</v>
      </c>
      <c r="S396" t="s">
        <v>36</v>
      </c>
      <c r="T396" t="s">
        <v>38</v>
      </c>
      <c r="U396">
        <f>IF(IFERROR(VLOOKUP(BBDD_Usiarios_Netflix[[#This Row],[Identificador Usuario]],A397:$A$5870,1,FALSE),0)&lt;&gt;0,1,0)</f>
        <v>0</v>
      </c>
      <c r="V396" s="6" t="str">
        <f>IF(BBDD_Usiarios_Netflix[[#This Row],[Duración Plan]]="12 Meses",LEFT(BBDD_Usiarios_Netflix[[#This Row],[Duración Plan]],2),LEFT(BBDD_Usiarios_Netflix[[#This Row],[Duración Plan]],1))</f>
        <v>3</v>
      </c>
      <c r="W3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397" spans="1:23" x14ac:dyDescent="0.25">
      <c r="A397">
        <v>396</v>
      </c>
      <c r="B397" t="s">
        <v>28</v>
      </c>
      <c r="C397">
        <v>14</v>
      </c>
      <c r="D397" s="3">
        <v>10</v>
      </c>
      <c r="E397" s="3">
        <v>6</v>
      </c>
      <c r="F397">
        <v>23</v>
      </c>
      <c r="G397" s="1">
        <f>DATEVALUE(_xlfn.CONCAT(BBDD_Usiarios_Netflix[[#This Row],[Día Suscripción]],"/",BBDD_Usiarios_Netflix[[#This Row],[Mes Suscripción]],"/",BBDD_Usiarios_Netflix[[#This Row],[Año Suscripción]]))</f>
        <v>45087</v>
      </c>
      <c r="H397" s="1">
        <v>27</v>
      </c>
      <c r="I397" s="1">
        <v>6</v>
      </c>
      <c r="J397" s="1">
        <v>24</v>
      </c>
      <c r="K397" s="1" t="str">
        <f>TEXT(BBDD_Usiarios_Netflix[[#This Row],[Fecha Suscripción]],"dddd")</f>
        <v>sábado</v>
      </c>
      <c r="L397" s="1">
        <f>DATEVALUE(_xlfn.CONCAT(BBDD_Usiarios_Netflix[[#This Row],[Día Último Pago]],"/",BBDD_Usiarios_Netflix[[#This Row],[Mes Último Pago]],"/",BBDD_Usiarios_Netflix[[#This Row],[Año Último Pago]]))</f>
        <v>45470</v>
      </c>
      <c r="M397" s="4">
        <f>DATEDIF(BBDD_Usiarios_Netflix[[#This Row],[Fecha Suscripción]],BBDD_Usiarios_Netflix[[#This Row],[Fecha Último Pago]],"M")+1</f>
        <v>13</v>
      </c>
      <c r="N397" s="4">
        <f>BBDD_Usiarios_Netflix[[#This Row],[Ingresos Mensuales]]*BBDD_Usiarios_Netflix[[#This Row],[Meses contratados]]</f>
        <v>182</v>
      </c>
      <c r="O397" t="s">
        <v>42</v>
      </c>
      <c r="P397" t="str">
        <f>IF(BBDD_Usiarios_Netflix[[#This Row],[País]]="","Desconocido",BBDD_Usiarios_Netflix[[#This Row],[País]])</f>
        <v>Reino Unido</v>
      </c>
      <c r="Q397">
        <v>30</v>
      </c>
      <c r="R397" t="s">
        <v>30</v>
      </c>
      <c r="S397" t="s">
        <v>26</v>
      </c>
      <c r="T397" t="s">
        <v>41</v>
      </c>
      <c r="U397">
        <f>IF(IFERROR(VLOOKUP(BBDD_Usiarios_Netflix[[#This Row],[Identificador Usuario]],A398:$A$5870,1,FALSE),0)&lt;&gt;0,1,0)</f>
        <v>0</v>
      </c>
      <c r="V397" s="6" t="str">
        <f>IF(BBDD_Usiarios_Netflix[[#This Row],[Duración Plan]]="12 Meses",LEFT(BBDD_Usiarios_Netflix[[#This Row],[Duración Plan]],2),LEFT(BBDD_Usiarios_Netflix[[#This Row],[Duración Plan]],1))</f>
        <v>12</v>
      </c>
      <c r="W3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98" spans="1:23" x14ac:dyDescent="0.25">
      <c r="A398">
        <v>397</v>
      </c>
      <c r="B398" t="s">
        <v>23</v>
      </c>
      <c r="C398">
        <v>10</v>
      </c>
      <c r="D398" s="3">
        <v>14</v>
      </c>
      <c r="E398" s="3">
        <v>7</v>
      </c>
      <c r="F398">
        <v>23</v>
      </c>
      <c r="G398" s="1">
        <f>DATEVALUE(_xlfn.CONCAT(BBDD_Usiarios_Netflix[[#This Row],[Día Suscripción]],"/",BBDD_Usiarios_Netflix[[#This Row],[Mes Suscripción]],"/",BBDD_Usiarios_Netflix[[#This Row],[Año Suscripción]]))</f>
        <v>45121</v>
      </c>
      <c r="H398" s="1">
        <v>26</v>
      </c>
      <c r="I398" s="1">
        <v>6</v>
      </c>
      <c r="J398" s="1">
        <v>24</v>
      </c>
      <c r="K398" s="1" t="str">
        <f>TEXT(BBDD_Usiarios_Netflix[[#This Row],[Fecha Suscripción]],"dddd")</f>
        <v>viernes</v>
      </c>
      <c r="L398" s="1">
        <f>DATEVALUE(_xlfn.CONCAT(BBDD_Usiarios_Netflix[[#This Row],[Día Último Pago]],"/",BBDD_Usiarios_Netflix[[#This Row],[Mes Último Pago]],"/",BBDD_Usiarios_Netflix[[#This Row],[Año Último Pago]]))</f>
        <v>45469</v>
      </c>
      <c r="M398" s="4">
        <f>DATEDIF(BBDD_Usiarios_Netflix[[#This Row],[Fecha Suscripción]],BBDD_Usiarios_Netflix[[#This Row],[Fecha Último Pago]],"M")+1</f>
        <v>12</v>
      </c>
      <c r="N398" s="4">
        <f>BBDD_Usiarios_Netflix[[#This Row],[Ingresos Mensuales]]*BBDD_Usiarios_Netflix[[#This Row],[Meses contratados]]</f>
        <v>120</v>
      </c>
      <c r="O398" t="s">
        <v>42</v>
      </c>
      <c r="P398" t="str">
        <f>IF(BBDD_Usiarios_Netflix[[#This Row],[País]]="","Desconocido",BBDD_Usiarios_Netflix[[#This Row],[País]])</f>
        <v>Reino Unido</v>
      </c>
      <c r="Q398">
        <v>31</v>
      </c>
      <c r="R398" t="s">
        <v>30</v>
      </c>
      <c r="S398" t="s">
        <v>26</v>
      </c>
      <c r="T398" t="s">
        <v>41</v>
      </c>
      <c r="U398">
        <f>IF(IFERROR(VLOOKUP(BBDD_Usiarios_Netflix[[#This Row],[Identificador Usuario]],A399:$A$5870,1,FALSE),0)&lt;&gt;0,1,0)</f>
        <v>0</v>
      </c>
      <c r="V398" s="6" t="str">
        <f>IF(BBDD_Usiarios_Netflix[[#This Row],[Duración Plan]]="12 Meses",LEFT(BBDD_Usiarios_Netflix[[#This Row],[Duración Plan]],2),LEFT(BBDD_Usiarios_Netflix[[#This Row],[Duración Plan]],1))</f>
        <v>12</v>
      </c>
      <c r="W3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399" spans="1:23" x14ac:dyDescent="0.25">
      <c r="A399">
        <v>398</v>
      </c>
      <c r="B399" t="s">
        <v>32</v>
      </c>
      <c r="C399">
        <v>12</v>
      </c>
      <c r="D399" s="3">
        <v>15</v>
      </c>
      <c r="E399" s="3">
        <v>7</v>
      </c>
      <c r="F399">
        <v>23</v>
      </c>
      <c r="G399" s="1">
        <f>DATEVALUE(_xlfn.CONCAT(BBDD_Usiarios_Netflix[[#This Row],[Día Suscripción]],"/",BBDD_Usiarios_Netflix[[#This Row],[Mes Suscripción]],"/",BBDD_Usiarios_Netflix[[#This Row],[Año Suscripción]]))</f>
        <v>45122</v>
      </c>
      <c r="H399" s="1">
        <v>27</v>
      </c>
      <c r="I399" s="1">
        <v>6</v>
      </c>
      <c r="J399" s="1">
        <v>24</v>
      </c>
      <c r="K399" s="1" t="str">
        <f>TEXT(BBDD_Usiarios_Netflix[[#This Row],[Fecha Suscripción]],"dddd")</f>
        <v>sábado</v>
      </c>
      <c r="L399" s="1">
        <f>DATEVALUE(_xlfn.CONCAT(BBDD_Usiarios_Netflix[[#This Row],[Día Último Pago]],"/",BBDD_Usiarios_Netflix[[#This Row],[Mes Último Pago]],"/",BBDD_Usiarios_Netflix[[#This Row],[Año Último Pago]]))</f>
        <v>45470</v>
      </c>
      <c r="M399" s="4">
        <f>DATEDIF(BBDD_Usiarios_Netflix[[#This Row],[Fecha Suscripción]],BBDD_Usiarios_Netflix[[#This Row],[Fecha Último Pago]],"M")+1</f>
        <v>12</v>
      </c>
      <c r="N399" s="4">
        <f>BBDD_Usiarios_Netflix[[#This Row],[Ingresos Mensuales]]*BBDD_Usiarios_Netflix[[#This Row],[Meses contratados]]</f>
        <v>144</v>
      </c>
      <c r="O399" t="s">
        <v>29</v>
      </c>
      <c r="P399" t="str">
        <f>IF(BBDD_Usiarios_Netflix[[#This Row],[País]]="","Desconocido",BBDD_Usiarios_Netflix[[#This Row],[País]])</f>
        <v>EEUU</v>
      </c>
      <c r="Q399">
        <v>51</v>
      </c>
      <c r="R399" t="s">
        <v>30</v>
      </c>
      <c r="S399" t="s">
        <v>31</v>
      </c>
      <c r="T399" t="s">
        <v>27</v>
      </c>
      <c r="U399">
        <f>IF(IFERROR(VLOOKUP(BBDD_Usiarios_Netflix[[#This Row],[Identificador Usuario]],A400:$A$5870,1,FALSE),0)&lt;&gt;0,1,0)</f>
        <v>0</v>
      </c>
      <c r="V399" s="6" t="str">
        <f>IF(BBDD_Usiarios_Netflix[[#This Row],[Duración Plan]]="12 Meses",LEFT(BBDD_Usiarios_Netflix[[#This Row],[Duración Plan]],2),LEFT(BBDD_Usiarios_Netflix[[#This Row],[Duración Plan]],1))</f>
        <v>1</v>
      </c>
      <c r="W3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00" spans="1:23" x14ac:dyDescent="0.25">
      <c r="A400">
        <v>399</v>
      </c>
      <c r="B400" t="s">
        <v>32</v>
      </c>
      <c r="C400">
        <v>12</v>
      </c>
      <c r="D400" s="3">
        <v>14</v>
      </c>
      <c r="E400" s="3">
        <v>7</v>
      </c>
      <c r="F400">
        <v>23</v>
      </c>
      <c r="G400" s="1">
        <f>DATEVALUE(_xlfn.CONCAT(BBDD_Usiarios_Netflix[[#This Row],[Día Suscripción]],"/",BBDD_Usiarios_Netflix[[#This Row],[Mes Suscripción]],"/",BBDD_Usiarios_Netflix[[#This Row],[Año Suscripción]]))</f>
        <v>45121</v>
      </c>
      <c r="H400" s="1">
        <v>25</v>
      </c>
      <c r="I400" s="1">
        <v>6</v>
      </c>
      <c r="J400" s="1">
        <v>24</v>
      </c>
      <c r="K400" s="1" t="str">
        <f>TEXT(BBDD_Usiarios_Netflix[[#This Row],[Fecha Suscripción]],"dddd")</f>
        <v>viernes</v>
      </c>
      <c r="L400" s="1">
        <f>DATEVALUE(_xlfn.CONCAT(BBDD_Usiarios_Netflix[[#This Row],[Día Último Pago]],"/",BBDD_Usiarios_Netflix[[#This Row],[Mes Último Pago]],"/",BBDD_Usiarios_Netflix[[#This Row],[Año Último Pago]]))</f>
        <v>45468</v>
      </c>
      <c r="M400" s="4">
        <f>DATEDIF(BBDD_Usiarios_Netflix[[#This Row],[Fecha Suscripción]],BBDD_Usiarios_Netflix[[#This Row],[Fecha Último Pago]],"M")+1</f>
        <v>12</v>
      </c>
      <c r="N400" s="4">
        <f>BBDD_Usiarios_Netflix[[#This Row],[Ingresos Mensuales]]*BBDD_Usiarios_Netflix[[#This Row],[Meses contratados]]</f>
        <v>144</v>
      </c>
      <c r="O400" t="s">
        <v>40</v>
      </c>
      <c r="P400" t="str">
        <f>IF(BBDD_Usiarios_Netflix[[#This Row],[País]]="","Desconocido",BBDD_Usiarios_Netflix[[#This Row],[País]])</f>
        <v>Italia</v>
      </c>
      <c r="Q400">
        <v>44</v>
      </c>
      <c r="R400" t="s">
        <v>30</v>
      </c>
      <c r="S400" t="s">
        <v>26</v>
      </c>
      <c r="T400" t="s">
        <v>38</v>
      </c>
      <c r="U400">
        <f>IF(IFERROR(VLOOKUP(BBDD_Usiarios_Netflix[[#This Row],[Identificador Usuario]],A401:$A$5870,1,FALSE),0)&lt;&gt;0,1,0)</f>
        <v>0</v>
      </c>
      <c r="V400" s="6" t="str">
        <f>IF(BBDD_Usiarios_Netflix[[#This Row],[Duración Plan]]="12 Meses",LEFT(BBDD_Usiarios_Netflix[[#This Row],[Duración Plan]],2),LEFT(BBDD_Usiarios_Netflix[[#This Row],[Duración Plan]],1))</f>
        <v>3</v>
      </c>
      <c r="W4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01" spans="1:23" x14ac:dyDescent="0.25">
      <c r="A401">
        <v>400</v>
      </c>
      <c r="B401" t="s">
        <v>23</v>
      </c>
      <c r="C401">
        <v>10</v>
      </c>
      <c r="D401" s="3">
        <v>13</v>
      </c>
      <c r="E401" s="3">
        <v>7</v>
      </c>
      <c r="F401">
        <v>23</v>
      </c>
      <c r="G401" s="1">
        <f>DATEVALUE(_xlfn.CONCAT(BBDD_Usiarios_Netflix[[#This Row],[Día Suscripción]],"/",BBDD_Usiarios_Netflix[[#This Row],[Mes Suscripción]],"/",BBDD_Usiarios_Netflix[[#This Row],[Año Suscripción]]))</f>
        <v>45120</v>
      </c>
      <c r="H401" s="1">
        <v>27</v>
      </c>
      <c r="I401" s="1">
        <v>6</v>
      </c>
      <c r="J401" s="1">
        <v>24</v>
      </c>
      <c r="K401" s="1" t="str">
        <f>TEXT(BBDD_Usiarios_Netflix[[#This Row],[Fecha Suscripción]],"dddd")</f>
        <v>jueves</v>
      </c>
      <c r="L401" s="1">
        <f>DATEVALUE(_xlfn.CONCAT(BBDD_Usiarios_Netflix[[#This Row],[Día Último Pago]],"/",BBDD_Usiarios_Netflix[[#This Row],[Mes Último Pago]],"/",BBDD_Usiarios_Netflix[[#This Row],[Año Último Pago]]))</f>
        <v>45470</v>
      </c>
      <c r="M401" s="4">
        <f>DATEDIF(BBDD_Usiarios_Netflix[[#This Row],[Fecha Suscripción]],BBDD_Usiarios_Netflix[[#This Row],[Fecha Último Pago]],"M")+1</f>
        <v>12</v>
      </c>
      <c r="N401" s="4">
        <f>BBDD_Usiarios_Netflix[[#This Row],[Ingresos Mensuales]]*BBDD_Usiarios_Netflix[[#This Row],[Meses contratados]]</f>
        <v>120</v>
      </c>
      <c r="O401" t="s">
        <v>44</v>
      </c>
      <c r="P401" t="str">
        <f>IF(BBDD_Usiarios_Netflix[[#This Row],[País]]="","Desconocido",BBDD_Usiarios_Netflix[[#This Row],[País]])</f>
        <v>Desconocido</v>
      </c>
      <c r="Q401">
        <v>49</v>
      </c>
      <c r="R401" t="s">
        <v>25</v>
      </c>
      <c r="S401" t="s">
        <v>36</v>
      </c>
      <c r="T401" t="s">
        <v>38</v>
      </c>
      <c r="U401">
        <f>IF(IFERROR(VLOOKUP(BBDD_Usiarios_Netflix[[#This Row],[Identificador Usuario]],A402:$A$5870,1,FALSE),0)&lt;&gt;0,1,0)</f>
        <v>0</v>
      </c>
      <c r="V401" s="6" t="str">
        <f>IF(BBDD_Usiarios_Netflix[[#This Row],[Duración Plan]]="12 Meses",LEFT(BBDD_Usiarios_Netflix[[#This Row],[Duración Plan]],2),LEFT(BBDD_Usiarios_Netflix[[#This Row],[Duración Plan]],1))</f>
        <v>3</v>
      </c>
      <c r="W4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02" spans="1:23" x14ac:dyDescent="0.25">
      <c r="A402">
        <v>401</v>
      </c>
      <c r="B402" t="s">
        <v>28</v>
      </c>
      <c r="C402">
        <v>14</v>
      </c>
      <c r="D402" s="3">
        <v>17</v>
      </c>
      <c r="E402" s="3">
        <v>7</v>
      </c>
      <c r="F402">
        <v>23</v>
      </c>
      <c r="G402" s="1">
        <f>DATEVALUE(_xlfn.CONCAT(BBDD_Usiarios_Netflix[[#This Row],[Día Suscripción]],"/",BBDD_Usiarios_Netflix[[#This Row],[Mes Suscripción]],"/",BBDD_Usiarios_Netflix[[#This Row],[Año Suscripción]]))</f>
        <v>45124</v>
      </c>
      <c r="H402" s="1">
        <v>26</v>
      </c>
      <c r="I402" s="1">
        <v>6</v>
      </c>
      <c r="J402" s="1">
        <v>24</v>
      </c>
      <c r="K402" s="1" t="str">
        <f>TEXT(BBDD_Usiarios_Netflix[[#This Row],[Fecha Suscripción]],"dddd")</f>
        <v>lunes</v>
      </c>
      <c r="L402" s="1">
        <f>DATEVALUE(_xlfn.CONCAT(BBDD_Usiarios_Netflix[[#This Row],[Día Último Pago]],"/",BBDD_Usiarios_Netflix[[#This Row],[Mes Último Pago]],"/",BBDD_Usiarios_Netflix[[#This Row],[Año Último Pago]]))</f>
        <v>45469</v>
      </c>
      <c r="M402" s="4">
        <f>DATEDIF(BBDD_Usiarios_Netflix[[#This Row],[Fecha Suscripción]],BBDD_Usiarios_Netflix[[#This Row],[Fecha Último Pago]],"M")+1</f>
        <v>12</v>
      </c>
      <c r="N402" s="4">
        <f>BBDD_Usiarios_Netflix[[#This Row],[Ingresos Mensuales]]*BBDD_Usiarios_Netflix[[#This Row],[Meses contratados]]</f>
        <v>168</v>
      </c>
      <c r="O402" t="s">
        <v>33</v>
      </c>
      <c r="P402" t="str">
        <f>IF(BBDD_Usiarios_Netflix[[#This Row],[País]]="","Desconocido",BBDD_Usiarios_Netflix[[#This Row],[País]])</f>
        <v>Francia</v>
      </c>
      <c r="Q402">
        <v>47</v>
      </c>
      <c r="R402" t="s">
        <v>30</v>
      </c>
      <c r="S402" t="s">
        <v>36</v>
      </c>
      <c r="T402" t="s">
        <v>38</v>
      </c>
      <c r="U402">
        <f>IF(IFERROR(VLOOKUP(BBDD_Usiarios_Netflix[[#This Row],[Identificador Usuario]],A403:$A$5870,1,FALSE),0)&lt;&gt;0,1,0)</f>
        <v>0</v>
      </c>
      <c r="V402" s="6" t="str">
        <f>IF(BBDD_Usiarios_Netflix[[#This Row],[Duración Plan]]="12 Meses",LEFT(BBDD_Usiarios_Netflix[[#This Row],[Duración Plan]],2),LEFT(BBDD_Usiarios_Netflix[[#This Row],[Duración Plan]],1))</f>
        <v>3</v>
      </c>
      <c r="W4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03" spans="1:23" x14ac:dyDescent="0.25">
      <c r="A403">
        <v>402</v>
      </c>
      <c r="B403" t="s">
        <v>23</v>
      </c>
      <c r="C403">
        <v>10</v>
      </c>
      <c r="D403" s="3">
        <v>21</v>
      </c>
      <c r="E403" s="3">
        <v>7</v>
      </c>
      <c r="F403">
        <v>23</v>
      </c>
      <c r="G403" s="1">
        <f>DATEVALUE(_xlfn.CONCAT(BBDD_Usiarios_Netflix[[#This Row],[Día Suscripción]],"/",BBDD_Usiarios_Netflix[[#This Row],[Mes Suscripción]],"/",BBDD_Usiarios_Netflix[[#This Row],[Año Suscripción]]))</f>
        <v>45128</v>
      </c>
      <c r="H403" s="1">
        <v>26</v>
      </c>
      <c r="I403" s="1">
        <v>6</v>
      </c>
      <c r="J403" s="1">
        <v>24</v>
      </c>
      <c r="K403" s="1" t="str">
        <f>TEXT(BBDD_Usiarios_Netflix[[#This Row],[Fecha Suscripción]],"dddd")</f>
        <v>viernes</v>
      </c>
      <c r="L403" s="1">
        <f>DATEVALUE(_xlfn.CONCAT(BBDD_Usiarios_Netflix[[#This Row],[Día Último Pago]],"/",BBDD_Usiarios_Netflix[[#This Row],[Mes Último Pago]],"/",BBDD_Usiarios_Netflix[[#This Row],[Año Último Pago]]))</f>
        <v>45469</v>
      </c>
      <c r="M403" s="4">
        <f>DATEDIF(BBDD_Usiarios_Netflix[[#This Row],[Fecha Suscripción]],BBDD_Usiarios_Netflix[[#This Row],[Fecha Último Pago]],"M")+1</f>
        <v>12</v>
      </c>
      <c r="N403" s="4">
        <f>BBDD_Usiarios_Netflix[[#This Row],[Ingresos Mensuales]]*BBDD_Usiarios_Netflix[[#This Row],[Meses contratados]]</f>
        <v>120</v>
      </c>
      <c r="O403" t="s">
        <v>39</v>
      </c>
      <c r="P403" t="str">
        <f>IF(BBDD_Usiarios_Netflix[[#This Row],[País]]="","Desconocido",BBDD_Usiarios_Netflix[[#This Row],[País]])</f>
        <v>Canadá</v>
      </c>
      <c r="Q403">
        <v>42</v>
      </c>
      <c r="R403" t="s">
        <v>25</v>
      </c>
      <c r="S403" t="s">
        <v>26</v>
      </c>
      <c r="T403" t="s">
        <v>35</v>
      </c>
      <c r="U403">
        <f>IF(IFERROR(VLOOKUP(BBDD_Usiarios_Netflix[[#This Row],[Identificador Usuario]],A404:$A$5870,1,FALSE),0)&lt;&gt;0,1,0)</f>
        <v>0</v>
      </c>
      <c r="V403" s="6" t="str">
        <f>IF(BBDD_Usiarios_Netflix[[#This Row],[Duración Plan]]="12 Meses",LEFT(BBDD_Usiarios_Netflix[[#This Row],[Duración Plan]],2),LEFT(BBDD_Usiarios_Netflix[[#This Row],[Duración Plan]],1))</f>
        <v>6</v>
      </c>
      <c r="W4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04" spans="1:23" x14ac:dyDescent="0.25">
      <c r="A404">
        <v>403</v>
      </c>
      <c r="B404" t="s">
        <v>32</v>
      </c>
      <c r="C404">
        <v>12</v>
      </c>
      <c r="D404" s="3">
        <v>23</v>
      </c>
      <c r="E404" s="3">
        <v>7</v>
      </c>
      <c r="F404">
        <v>23</v>
      </c>
      <c r="G404" s="1">
        <f>DATEVALUE(_xlfn.CONCAT(BBDD_Usiarios_Netflix[[#This Row],[Día Suscripción]],"/",BBDD_Usiarios_Netflix[[#This Row],[Mes Suscripción]],"/",BBDD_Usiarios_Netflix[[#This Row],[Año Suscripción]]))</f>
        <v>45130</v>
      </c>
      <c r="H404" s="1">
        <v>28</v>
      </c>
      <c r="I404" s="1">
        <v>6</v>
      </c>
      <c r="J404" s="1">
        <v>24</v>
      </c>
      <c r="K404" s="1" t="str">
        <f>TEXT(BBDD_Usiarios_Netflix[[#This Row],[Fecha Suscripción]],"dddd")</f>
        <v>domingo</v>
      </c>
      <c r="L404" s="1">
        <f>DATEVALUE(_xlfn.CONCAT(BBDD_Usiarios_Netflix[[#This Row],[Día Último Pago]],"/",BBDD_Usiarios_Netflix[[#This Row],[Mes Último Pago]],"/",BBDD_Usiarios_Netflix[[#This Row],[Año Último Pago]]))</f>
        <v>45471</v>
      </c>
      <c r="M404" s="4">
        <f>DATEDIF(BBDD_Usiarios_Netflix[[#This Row],[Fecha Suscripción]],BBDD_Usiarios_Netflix[[#This Row],[Fecha Último Pago]],"M")+1</f>
        <v>12</v>
      </c>
      <c r="N404" s="4">
        <f>BBDD_Usiarios_Netflix[[#This Row],[Ingresos Mensuales]]*BBDD_Usiarios_Netflix[[#This Row],[Meses contratados]]</f>
        <v>144</v>
      </c>
      <c r="O404" t="s">
        <v>43</v>
      </c>
      <c r="P404" t="str">
        <f>IF(BBDD_Usiarios_Netflix[[#This Row],[País]]="","Desconocido",BBDD_Usiarios_Netflix[[#This Row],[País]])</f>
        <v>Alemania</v>
      </c>
      <c r="Q404">
        <v>28</v>
      </c>
      <c r="R404" t="s">
        <v>25</v>
      </c>
      <c r="S404" t="s">
        <v>26</v>
      </c>
      <c r="T404" t="s">
        <v>38</v>
      </c>
      <c r="U404">
        <f>IF(IFERROR(VLOOKUP(BBDD_Usiarios_Netflix[[#This Row],[Identificador Usuario]],A405:$A$5870,1,FALSE),0)&lt;&gt;0,1,0)</f>
        <v>0</v>
      </c>
      <c r="V404" s="6" t="str">
        <f>IF(BBDD_Usiarios_Netflix[[#This Row],[Duración Plan]]="12 Meses",LEFT(BBDD_Usiarios_Netflix[[#This Row],[Duración Plan]],2),LEFT(BBDD_Usiarios_Netflix[[#This Row],[Duración Plan]],1))</f>
        <v>3</v>
      </c>
      <c r="W4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05" spans="1:23" x14ac:dyDescent="0.25">
      <c r="A405">
        <v>404</v>
      </c>
      <c r="B405" t="s">
        <v>28</v>
      </c>
      <c r="C405">
        <v>14</v>
      </c>
      <c r="D405" s="3">
        <v>1</v>
      </c>
      <c r="E405" s="3">
        <v>8</v>
      </c>
      <c r="F405">
        <v>23</v>
      </c>
      <c r="G405" s="1">
        <f>DATEVALUE(_xlfn.CONCAT(BBDD_Usiarios_Netflix[[#This Row],[Día Suscripción]],"/",BBDD_Usiarios_Netflix[[#This Row],[Mes Suscripción]],"/",BBDD_Usiarios_Netflix[[#This Row],[Año Suscripción]]))</f>
        <v>45139</v>
      </c>
      <c r="H405" s="1">
        <v>28</v>
      </c>
      <c r="I405" s="1">
        <v>6</v>
      </c>
      <c r="J405" s="1">
        <v>24</v>
      </c>
      <c r="K405" s="1" t="str">
        <f>TEXT(BBDD_Usiarios_Netflix[[#This Row],[Fecha Suscripción]],"dddd")</f>
        <v>martes</v>
      </c>
      <c r="L405" s="1">
        <f>DATEVALUE(_xlfn.CONCAT(BBDD_Usiarios_Netflix[[#This Row],[Día Último Pago]],"/",BBDD_Usiarios_Netflix[[#This Row],[Mes Último Pago]],"/",BBDD_Usiarios_Netflix[[#This Row],[Año Último Pago]]))</f>
        <v>45471</v>
      </c>
      <c r="M405" s="4">
        <f>DATEDIF(BBDD_Usiarios_Netflix[[#This Row],[Fecha Suscripción]],BBDD_Usiarios_Netflix[[#This Row],[Fecha Último Pago]],"M")+1</f>
        <v>11</v>
      </c>
      <c r="N405" s="4">
        <f>BBDD_Usiarios_Netflix[[#This Row],[Ingresos Mensuales]]*BBDD_Usiarios_Netflix[[#This Row],[Meses contratados]]</f>
        <v>154</v>
      </c>
      <c r="O405" t="s">
        <v>45</v>
      </c>
      <c r="P405" t="str">
        <f>IF(BBDD_Usiarios_Netflix[[#This Row],[País]]="","Desconocido",BBDD_Usiarios_Netflix[[#This Row],[País]])</f>
        <v>España</v>
      </c>
      <c r="Q405">
        <v>28</v>
      </c>
      <c r="R405" t="s">
        <v>25</v>
      </c>
      <c r="S405" t="s">
        <v>26</v>
      </c>
      <c r="T405" t="s">
        <v>41</v>
      </c>
      <c r="U405">
        <f>IF(IFERROR(VLOOKUP(BBDD_Usiarios_Netflix[[#This Row],[Identificador Usuario]],A406:$A$5870,1,FALSE),0)&lt;&gt;0,1,0)</f>
        <v>0</v>
      </c>
      <c r="V405" s="6" t="str">
        <f>IF(BBDD_Usiarios_Netflix[[#This Row],[Duración Plan]]="12 Meses",LEFT(BBDD_Usiarios_Netflix[[#This Row],[Duración Plan]],2),LEFT(BBDD_Usiarios_Netflix[[#This Row],[Duración Plan]],1))</f>
        <v>12</v>
      </c>
      <c r="W4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06" spans="1:23" x14ac:dyDescent="0.25">
      <c r="A406">
        <v>405</v>
      </c>
      <c r="B406" t="s">
        <v>23</v>
      </c>
      <c r="C406">
        <v>10</v>
      </c>
      <c r="D406" s="3">
        <v>6</v>
      </c>
      <c r="E406" s="3">
        <v>8</v>
      </c>
      <c r="F406">
        <v>23</v>
      </c>
      <c r="G406" s="1">
        <f>DATEVALUE(_xlfn.CONCAT(BBDD_Usiarios_Netflix[[#This Row],[Día Suscripción]],"/",BBDD_Usiarios_Netflix[[#This Row],[Mes Suscripción]],"/",BBDD_Usiarios_Netflix[[#This Row],[Año Suscripción]]))</f>
        <v>45144</v>
      </c>
      <c r="H406" s="1">
        <v>26</v>
      </c>
      <c r="I406" s="1">
        <v>6</v>
      </c>
      <c r="J406" s="1">
        <v>24</v>
      </c>
      <c r="K406" s="1" t="str">
        <f>TEXT(BBDD_Usiarios_Netflix[[#This Row],[Fecha Suscripción]],"dddd")</f>
        <v>domingo</v>
      </c>
      <c r="L406" s="1">
        <f>DATEVALUE(_xlfn.CONCAT(BBDD_Usiarios_Netflix[[#This Row],[Día Último Pago]],"/",BBDD_Usiarios_Netflix[[#This Row],[Mes Último Pago]],"/",BBDD_Usiarios_Netflix[[#This Row],[Año Último Pago]]))</f>
        <v>45469</v>
      </c>
      <c r="M406" s="4">
        <f>DATEDIF(BBDD_Usiarios_Netflix[[#This Row],[Fecha Suscripción]],BBDD_Usiarios_Netflix[[#This Row],[Fecha Último Pago]],"M")+1</f>
        <v>11</v>
      </c>
      <c r="N406" s="4">
        <f>BBDD_Usiarios_Netflix[[#This Row],[Ingresos Mensuales]]*BBDD_Usiarios_Netflix[[#This Row],[Meses contratados]]</f>
        <v>110</v>
      </c>
      <c r="O406" t="s">
        <v>39</v>
      </c>
      <c r="P406" t="str">
        <f>IF(BBDD_Usiarios_Netflix[[#This Row],[País]]="","Desconocido",BBDD_Usiarios_Netflix[[#This Row],[País]])</f>
        <v>Canadá</v>
      </c>
      <c r="Q406">
        <v>49</v>
      </c>
      <c r="R406" t="s">
        <v>30</v>
      </c>
      <c r="S406" t="s">
        <v>31</v>
      </c>
      <c r="T406" t="s">
        <v>41</v>
      </c>
      <c r="U406">
        <f>IF(IFERROR(VLOOKUP(BBDD_Usiarios_Netflix[[#This Row],[Identificador Usuario]],A407:$A$5870,1,FALSE),0)&lt;&gt;0,1,0)</f>
        <v>0</v>
      </c>
      <c r="V406" s="6" t="str">
        <f>IF(BBDD_Usiarios_Netflix[[#This Row],[Duración Plan]]="12 Meses",LEFT(BBDD_Usiarios_Netflix[[#This Row],[Duración Plan]],2),LEFT(BBDD_Usiarios_Netflix[[#This Row],[Duración Plan]],1))</f>
        <v>12</v>
      </c>
      <c r="W4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07" spans="1:23" x14ac:dyDescent="0.25">
      <c r="A407">
        <v>406</v>
      </c>
      <c r="B407" t="s">
        <v>28</v>
      </c>
      <c r="C407">
        <v>14</v>
      </c>
      <c r="D407" s="3">
        <v>19</v>
      </c>
      <c r="E407" s="3">
        <v>8</v>
      </c>
      <c r="F407">
        <v>23</v>
      </c>
      <c r="G407" s="1">
        <f>DATEVALUE(_xlfn.CONCAT(BBDD_Usiarios_Netflix[[#This Row],[Día Suscripción]],"/",BBDD_Usiarios_Netflix[[#This Row],[Mes Suscripción]],"/",BBDD_Usiarios_Netflix[[#This Row],[Año Suscripción]]))</f>
        <v>45157</v>
      </c>
      <c r="H407" s="1">
        <v>26</v>
      </c>
      <c r="I407" s="1">
        <v>6</v>
      </c>
      <c r="J407" s="1">
        <v>24</v>
      </c>
      <c r="K407" s="1" t="str">
        <f>TEXT(BBDD_Usiarios_Netflix[[#This Row],[Fecha Suscripción]],"dddd")</f>
        <v>sábado</v>
      </c>
      <c r="L407" s="1">
        <f>DATEVALUE(_xlfn.CONCAT(BBDD_Usiarios_Netflix[[#This Row],[Día Último Pago]],"/",BBDD_Usiarios_Netflix[[#This Row],[Mes Último Pago]],"/",BBDD_Usiarios_Netflix[[#This Row],[Año Último Pago]]))</f>
        <v>45469</v>
      </c>
      <c r="M407" s="4">
        <f>DATEDIF(BBDD_Usiarios_Netflix[[#This Row],[Fecha Suscripción]],BBDD_Usiarios_Netflix[[#This Row],[Fecha Último Pago]],"M")+1</f>
        <v>11</v>
      </c>
      <c r="N407" s="4">
        <f>BBDD_Usiarios_Netflix[[#This Row],[Ingresos Mensuales]]*BBDD_Usiarios_Netflix[[#This Row],[Meses contratados]]</f>
        <v>154</v>
      </c>
      <c r="O407" t="s">
        <v>29</v>
      </c>
      <c r="P407" t="str">
        <f>IF(BBDD_Usiarios_Netflix[[#This Row],[País]]="","Desconocido",BBDD_Usiarios_Netflix[[#This Row],[País]])</f>
        <v>EEUU</v>
      </c>
      <c r="Q407">
        <v>32</v>
      </c>
      <c r="R407" t="s">
        <v>30</v>
      </c>
      <c r="S407" t="s">
        <v>26</v>
      </c>
      <c r="T407" t="s">
        <v>27</v>
      </c>
      <c r="U407">
        <f>IF(IFERROR(VLOOKUP(BBDD_Usiarios_Netflix[[#This Row],[Identificador Usuario]],A408:$A$5870,1,FALSE),0)&lt;&gt;0,1,0)</f>
        <v>0</v>
      </c>
      <c r="V407" s="6" t="str">
        <f>IF(BBDD_Usiarios_Netflix[[#This Row],[Duración Plan]]="12 Meses",LEFT(BBDD_Usiarios_Netflix[[#This Row],[Duración Plan]],2),LEFT(BBDD_Usiarios_Netflix[[#This Row],[Duración Plan]],1))</f>
        <v>1</v>
      </c>
      <c r="W4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08" spans="1:23" x14ac:dyDescent="0.25">
      <c r="A408">
        <v>407</v>
      </c>
      <c r="B408" t="s">
        <v>23</v>
      </c>
      <c r="C408">
        <v>10</v>
      </c>
      <c r="D408" s="3">
        <v>26</v>
      </c>
      <c r="E408" s="3">
        <v>8</v>
      </c>
      <c r="F408">
        <v>23</v>
      </c>
      <c r="G408" s="1">
        <f>DATEVALUE(_xlfn.CONCAT(BBDD_Usiarios_Netflix[[#This Row],[Día Suscripción]],"/",BBDD_Usiarios_Netflix[[#This Row],[Mes Suscripción]],"/",BBDD_Usiarios_Netflix[[#This Row],[Año Suscripción]]))</f>
        <v>45164</v>
      </c>
      <c r="H408" s="1">
        <v>27</v>
      </c>
      <c r="I408" s="1">
        <v>6</v>
      </c>
      <c r="J408" s="1">
        <v>24</v>
      </c>
      <c r="K408" s="1" t="str">
        <f>TEXT(BBDD_Usiarios_Netflix[[#This Row],[Fecha Suscripción]],"dddd")</f>
        <v>sábado</v>
      </c>
      <c r="L408" s="1">
        <f>DATEVALUE(_xlfn.CONCAT(BBDD_Usiarios_Netflix[[#This Row],[Día Último Pago]],"/",BBDD_Usiarios_Netflix[[#This Row],[Mes Último Pago]],"/",BBDD_Usiarios_Netflix[[#This Row],[Año Último Pago]]))</f>
        <v>45470</v>
      </c>
      <c r="M408" s="4">
        <f>DATEDIF(BBDD_Usiarios_Netflix[[#This Row],[Fecha Suscripción]],BBDD_Usiarios_Netflix[[#This Row],[Fecha Último Pago]],"M")+1</f>
        <v>11</v>
      </c>
      <c r="N408" s="4">
        <f>BBDD_Usiarios_Netflix[[#This Row],[Ingresos Mensuales]]*BBDD_Usiarios_Netflix[[#This Row],[Meses contratados]]</f>
        <v>110</v>
      </c>
      <c r="O408" t="s">
        <v>39</v>
      </c>
      <c r="P408" t="str">
        <f>IF(BBDD_Usiarios_Netflix[[#This Row],[País]]="","Desconocido",BBDD_Usiarios_Netflix[[#This Row],[País]])</f>
        <v>Canadá</v>
      </c>
      <c r="Q408">
        <v>37</v>
      </c>
      <c r="R408" t="s">
        <v>30</v>
      </c>
      <c r="S408" t="s">
        <v>31</v>
      </c>
      <c r="T408" t="s">
        <v>27</v>
      </c>
      <c r="U408">
        <f>IF(IFERROR(VLOOKUP(BBDD_Usiarios_Netflix[[#This Row],[Identificador Usuario]],A409:$A$5870,1,FALSE),0)&lt;&gt;0,1,0)</f>
        <v>0</v>
      </c>
      <c r="V408" s="6" t="str">
        <f>IF(BBDD_Usiarios_Netflix[[#This Row],[Duración Plan]]="12 Meses",LEFT(BBDD_Usiarios_Netflix[[#This Row],[Duración Plan]],2),LEFT(BBDD_Usiarios_Netflix[[#This Row],[Duración Plan]],1))</f>
        <v>1</v>
      </c>
      <c r="W4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09" spans="1:23" x14ac:dyDescent="0.25">
      <c r="A409">
        <v>408</v>
      </c>
      <c r="B409" t="s">
        <v>32</v>
      </c>
      <c r="C409">
        <v>12</v>
      </c>
      <c r="D409" s="3">
        <v>27</v>
      </c>
      <c r="E409" s="3">
        <v>9</v>
      </c>
      <c r="F409">
        <v>23</v>
      </c>
      <c r="G409" s="1">
        <f>DATEVALUE(_xlfn.CONCAT(BBDD_Usiarios_Netflix[[#This Row],[Día Suscripción]],"/",BBDD_Usiarios_Netflix[[#This Row],[Mes Suscripción]],"/",BBDD_Usiarios_Netflix[[#This Row],[Año Suscripción]]))</f>
        <v>45196</v>
      </c>
      <c r="H409" s="1">
        <v>27</v>
      </c>
      <c r="I409" s="1">
        <v>6</v>
      </c>
      <c r="J409" s="1">
        <v>24</v>
      </c>
      <c r="K409" s="1" t="str">
        <f>TEXT(BBDD_Usiarios_Netflix[[#This Row],[Fecha Suscripción]],"dddd")</f>
        <v>miércoles</v>
      </c>
      <c r="L409" s="1">
        <f>DATEVALUE(_xlfn.CONCAT(BBDD_Usiarios_Netflix[[#This Row],[Día Último Pago]],"/",BBDD_Usiarios_Netflix[[#This Row],[Mes Último Pago]],"/",BBDD_Usiarios_Netflix[[#This Row],[Año Último Pago]]))</f>
        <v>45470</v>
      </c>
      <c r="M409" s="4">
        <f>DATEDIF(BBDD_Usiarios_Netflix[[#This Row],[Fecha Suscripción]],BBDD_Usiarios_Netflix[[#This Row],[Fecha Último Pago]],"M")+1</f>
        <v>10</v>
      </c>
      <c r="N409" s="4">
        <f>BBDD_Usiarios_Netflix[[#This Row],[Ingresos Mensuales]]*BBDD_Usiarios_Netflix[[#This Row],[Meses contratados]]</f>
        <v>120</v>
      </c>
      <c r="O409" t="s">
        <v>40</v>
      </c>
      <c r="P409" t="str">
        <f>IF(BBDD_Usiarios_Netflix[[#This Row],[País]]="","Desconocido",BBDD_Usiarios_Netflix[[#This Row],[País]])</f>
        <v>Italia</v>
      </c>
      <c r="Q409">
        <v>37</v>
      </c>
      <c r="R409" t="s">
        <v>30</v>
      </c>
      <c r="S409" t="s">
        <v>31</v>
      </c>
      <c r="T409" t="s">
        <v>38</v>
      </c>
      <c r="U409">
        <f>IF(IFERROR(VLOOKUP(BBDD_Usiarios_Netflix[[#This Row],[Identificador Usuario]],A410:$A$5870,1,FALSE),0)&lt;&gt;0,1,0)</f>
        <v>0</v>
      </c>
      <c r="V409" s="6" t="str">
        <f>IF(BBDD_Usiarios_Netflix[[#This Row],[Duración Plan]]="12 Meses",LEFT(BBDD_Usiarios_Netflix[[#This Row],[Duración Plan]],2),LEFT(BBDD_Usiarios_Netflix[[#This Row],[Duración Plan]],1))</f>
        <v>3</v>
      </c>
      <c r="W4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10" spans="1:23" x14ac:dyDescent="0.25">
      <c r="A410">
        <v>409</v>
      </c>
      <c r="B410" t="s">
        <v>32</v>
      </c>
      <c r="C410">
        <v>12</v>
      </c>
      <c r="D410" s="3">
        <v>15</v>
      </c>
      <c r="E410" s="3">
        <v>9</v>
      </c>
      <c r="F410">
        <v>23</v>
      </c>
      <c r="G410" s="1">
        <f>DATEVALUE(_xlfn.CONCAT(BBDD_Usiarios_Netflix[[#This Row],[Día Suscripción]],"/",BBDD_Usiarios_Netflix[[#This Row],[Mes Suscripción]],"/",BBDD_Usiarios_Netflix[[#This Row],[Año Suscripción]]))</f>
        <v>45184</v>
      </c>
      <c r="H410" s="1">
        <v>25</v>
      </c>
      <c r="I410" s="1">
        <v>6</v>
      </c>
      <c r="J410" s="1">
        <v>24</v>
      </c>
      <c r="K410" s="1" t="str">
        <f>TEXT(BBDD_Usiarios_Netflix[[#This Row],[Fecha Suscripción]],"dddd")</f>
        <v>viernes</v>
      </c>
      <c r="L410" s="1">
        <f>DATEVALUE(_xlfn.CONCAT(BBDD_Usiarios_Netflix[[#This Row],[Día Último Pago]],"/",BBDD_Usiarios_Netflix[[#This Row],[Mes Último Pago]],"/",BBDD_Usiarios_Netflix[[#This Row],[Año Último Pago]]))</f>
        <v>45468</v>
      </c>
      <c r="M410" s="4">
        <f>DATEDIF(BBDD_Usiarios_Netflix[[#This Row],[Fecha Suscripción]],BBDD_Usiarios_Netflix[[#This Row],[Fecha Último Pago]],"M")+1</f>
        <v>10</v>
      </c>
      <c r="N410" s="4">
        <f>BBDD_Usiarios_Netflix[[#This Row],[Ingresos Mensuales]]*BBDD_Usiarios_Netflix[[#This Row],[Meses contratados]]</f>
        <v>120</v>
      </c>
      <c r="O410" t="s">
        <v>43</v>
      </c>
      <c r="P410" t="str">
        <f>IF(BBDD_Usiarios_Netflix[[#This Row],[País]]="","Desconocido",BBDD_Usiarios_Netflix[[#This Row],[País]])</f>
        <v>Alemania</v>
      </c>
      <c r="Q410">
        <v>37</v>
      </c>
      <c r="R410" t="s">
        <v>25</v>
      </c>
      <c r="S410" t="s">
        <v>26</v>
      </c>
      <c r="T410" t="s">
        <v>27</v>
      </c>
      <c r="U410">
        <f>IF(IFERROR(VLOOKUP(BBDD_Usiarios_Netflix[[#This Row],[Identificador Usuario]],A411:$A$5870,1,FALSE),0)&lt;&gt;0,1,0)</f>
        <v>0</v>
      </c>
      <c r="V410" s="6" t="str">
        <f>IF(BBDD_Usiarios_Netflix[[#This Row],[Duración Plan]]="12 Meses",LEFT(BBDD_Usiarios_Netflix[[#This Row],[Duración Plan]],2),LEFT(BBDD_Usiarios_Netflix[[#This Row],[Duración Plan]],1))</f>
        <v>1</v>
      </c>
      <c r="W4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11" spans="1:23" x14ac:dyDescent="0.25">
      <c r="A411">
        <v>410</v>
      </c>
      <c r="B411" t="s">
        <v>23</v>
      </c>
      <c r="C411">
        <v>10</v>
      </c>
      <c r="D411" s="3">
        <v>2</v>
      </c>
      <c r="E411" s="3">
        <v>9</v>
      </c>
      <c r="F411">
        <v>23</v>
      </c>
      <c r="G411" s="1">
        <f>DATEVALUE(_xlfn.CONCAT(BBDD_Usiarios_Netflix[[#This Row],[Día Suscripción]],"/",BBDD_Usiarios_Netflix[[#This Row],[Mes Suscripción]],"/",BBDD_Usiarios_Netflix[[#This Row],[Año Suscripción]]))</f>
        <v>45171</v>
      </c>
      <c r="H411" s="1">
        <v>25</v>
      </c>
      <c r="I411" s="1">
        <v>6</v>
      </c>
      <c r="J411" s="1">
        <v>24</v>
      </c>
      <c r="K411" s="1" t="str">
        <f>TEXT(BBDD_Usiarios_Netflix[[#This Row],[Fecha Suscripción]],"dddd")</f>
        <v>sábado</v>
      </c>
      <c r="L411" s="1">
        <f>DATEVALUE(_xlfn.CONCAT(BBDD_Usiarios_Netflix[[#This Row],[Día Último Pago]],"/",BBDD_Usiarios_Netflix[[#This Row],[Mes Último Pago]],"/",BBDD_Usiarios_Netflix[[#This Row],[Año Último Pago]]))</f>
        <v>45468</v>
      </c>
      <c r="M411" s="4">
        <f>DATEDIF(BBDD_Usiarios_Netflix[[#This Row],[Fecha Suscripción]],BBDD_Usiarios_Netflix[[#This Row],[Fecha Último Pago]],"M")+1</f>
        <v>10</v>
      </c>
      <c r="N411" s="4">
        <f>BBDD_Usiarios_Netflix[[#This Row],[Ingresos Mensuales]]*BBDD_Usiarios_Netflix[[#This Row],[Meses contratados]]</f>
        <v>100</v>
      </c>
      <c r="O411" t="s">
        <v>39</v>
      </c>
      <c r="P411" t="str">
        <f>IF(BBDD_Usiarios_Netflix[[#This Row],[País]]="","Desconocido",BBDD_Usiarios_Netflix[[#This Row],[País]])</f>
        <v>Canadá</v>
      </c>
      <c r="Q411">
        <v>37</v>
      </c>
      <c r="R411" t="s">
        <v>25</v>
      </c>
      <c r="S411" t="s">
        <v>34</v>
      </c>
      <c r="T411" t="s">
        <v>27</v>
      </c>
      <c r="U411">
        <f>IF(IFERROR(VLOOKUP(BBDD_Usiarios_Netflix[[#This Row],[Identificador Usuario]],A412:$A$5870,1,FALSE),0)&lt;&gt;0,1,0)</f>
        <v>0</v>
      </c>
      <c r="V411" s="6" t="str">
        <f>IF(BBDD_Usiarios_Netflix[[#This Row],[Duración Plan]]="12 Meses",LEFT(BBDD_Usiarios_Netflix[[#This Row],[Duración Plan]],2),LEFT(BBDD_Usiarios_Netflix[[#This Row],[Duración Plan]],1))</f>
        <v>1</v>
      </c>
      <c r="W4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12" spans="1:23" x14ac:dyDescent="0.25">
      <c r="A412">
        <v>411</v>
      </c>
      <c r="B412" t="s">
        <v>28</v>
      </c>
      <c r="C412">
        <v>14</v>
      </c>
      <c r="D412" s="3">
        <v>3</v>
      </c>
      <c r="E412" s="3">
        <v>9</v>
      </c>
      <c r="F412">
        <v>23</v>
      </c>
      <c r="G412" s="1">
        <f>DATEVALUE(_xlfn.CONCAT(BBDD_Usiarios_Netflix[[#This Row],[Día Suscripción]],"/",BBDD_Usiarios_Netflix[[#This Row],[Mes Suscripción]],"/",BBDD_Usiarios_Netflix[[#This Row],[Año Suscripción]]))</f>
        <v>45172</v>
      </c>
      <c r="H412" s="1">
        <v>26</v>
      </c>
      <c r="I412" s="1">
        <v>6</v>
      </c>
      <c r="J412" s="1">
        <v>24</v>
      </c>
      <c r="K412" s="1" t="str">
        <f>TEXT(BBDD_Usiarios_Netflix[[#This Row],[Fecha Suscripción]],"dddd")</f>
        <v>domingo</v>
      </c>
      <c r="L412" s="1">
        <f>DATEVALUE(_xlfn.CONCAT(BBDD_Usiarios_Netflix[[#This Row],[Día Último Pago]],"/",BBDD_Usiarios_Netflix[[#This Row],[Mes Último Pago]],"/",BBDD_Usiarios_Netflix[[#This Row],[Año Último Pago]]))</f>
        <v>45469</v>
      </c>
      <c r="M412" s="4">
        <f>DATEDIF(BBDD_Usiarios_Netflix[[#This Row],[Fecha Suscripción]],BBDD_Usiarios_Netflix[[#This Row],[Fecha Último Pago]],"M")+1</f>
        <v>10</v>
      </c>
      <c r="N412" s="4">
        <f>BBDD_Usiarios_Netflix[[#This Row],[Ingresos Mensuales]]*BBDD_Usiarios_Netflix[[#This Row],[Meses contratados]]</f>
        <v>140</v>
      </c>
      <c r="O412" t="s">
        <v>24</v>
      </c>
      <c r="P412" t="str">
        <f>IF(BBDD_Usiarios_Netflix[[#This Row],[País]]="","Desconocido",BBDD_Usiarios_Netflix[[#This Row],[País]])</f>
        <v>Australia</v>
      </c>
      <c r="Q412">
        <v>48</v>
      </c>
      <c r="R412" t="s">
        <v>30</v>
      </c>
      <c r="S412" t="s">
        <v>31</v>
      </c>
      <c r="T412" t="s">
        <v>27</v>
      </c>
      <c r="U412">
        <f>IF(IFERROR(VLOOKUP(BBDD_Usiarios_Netflix[[#This Row],[Identificador Usuario]],A413:$A$5870,1,FALSE),0)&lt;&gt;0,1,0)</f>
        <v>0</v>
      </c>
      <c r="V412" s="6" t="str">
        <f>IF(BBDD_Usiarios_Netflix[[#This Row],[Duración Plan]]="12 Meses",LEFT(BBDD_Usiarios_Netflix[[#This Row],[Duración Plan]],2),LEFT(BBDD_Usiarios_Netflix[[#This Row],[Duración Plan]],1))</f>
        <v>1</v>
      </c>
      <c r="W4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13" spans="1:23" x14ac:dyDescent="0.25">
      <c r="A413">
        <v>412</v>
      </c>
      <c r="B413" t="s">
        <v>23</v>
      </c>
      <c r="C413">
        <v>10</v>
      </c>
      <c r="D413" s="3">
        <v>3</v>
      </c>
      <c r="E413" s="3">
        <v>9</v>
      </c>
      <c r="F413">
        <v>23</v>
      </c>
      <c r="G413" s="1">
        <f>DATEVALUE(_xlfn.CONCAT(BBDD_Usiarios_Netflix[[#This Row],[Día Suscripción]],"/",BBDD_Usiarios_Netflix[[#This Row],[Mes Suscripción]],"/",BBDD_Usiarios_Netflix[[#This Row],[Año Suscripción]]))</f>
        <v>45172</v>
      </c>
      <c r="H413" s="1">
        <v>26</v>
      </c>
      <c r="I413" s="1">
        <v>6</v>
      </c>
      <c r="J413" s="1">
        <v>24</v>
      </c>
      <c r="K413" s="1" t="str">
        <f>TEXT(BBDD_Usiarios_Netflix[[#This Row],[Fecha Suscripción]],"dddd")</f>
        <v>domingo</v>
      </c>
      <c r="L413" s="1">
        <f>DATEVALUE(_xlfn.CONCAT(BBDD_Usiarios_Netflix[[#This Row],[Día Último Pago]],"/",BBDD_Usiarios_Netflix[[#This Row],[Mes Último Pago]],"/",BBDD_Usiarios_Netflix[[#This Row],[Año Último Pago]]))</f>
        <v>45469</v>
      </c>
      <c r="M413" s="4">
        <f>DATEDIF(BBDD_Usiarios_Netflix[[#This Row],[Fecha Suscripción]],BBDD_Usiarios_Netflix[[#This Row],[Fecha Último Pago]],"M")+1</f>
        <v>10</v>
      </c>
      <c r="N413" s="4">
        <f>BBDD_Usiarios_Netflix[[#This Row],[Ingresos Mensuales]]*BBDD_Usiarios_Netflix[[#This Row],[Meses contratados]]</f>
        <v>100</v>
      </c>
      <c r="O413" t="s">
        <v>24</v>
      </c>
      <c r="P413" t="str">
        <f>IF(BBDD_Usiarios_Netflix[[#This Row],[País]]="","Desconocido",BBDD_Usiarios_Netflix[[#This Row],[País]])</f>
        <v>Australia</v>
      </c>
      <c r="Q413">
        <v>47</v>
      </c>
      <c r="R413" t="s">
        <v>25</v>
      </c>
      <c r="S413" t="s">
        <v>36</v>
      </c>
      <c r="T413" t="s">
        <v>27</v>
      </c>
      <c r="U413">
        <f>IF(IFERROR(VLOOKUP(BBDD_Usiarios_Netflix[[#This Row],[Identificador Usuario]],A414:$A$5870,1,FALSE),0)&lt;&gt;0,1,0)</f>
        <v>0</v>
      </c>
      <c r="V413" s="6" t="str">
        <f>IF(BBDD_Usiarios_Netflix[[#This Row],[Duración Plan]]="12 Meses",LEFT(BBDD_Usiarios_Netflix[[#This Row],[Duración Plan]],2),LEFT(BBDD_Usiarios_Netflix[[#This Row],[Duración Plan]],1))</f>
        <v>1</v>
      </c>
      <c r="W4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14" spans="1:23" x14ac:dyDescent="0.25">
      <c r="A414">
        <v>413</v>
      </c>
      <c r="B414" t="s">
        <v>32</v>
      </c>
      <c r="C414">
        <v>12</v>
      </c>
      <c r="D414" s="3">
        <v>24</v>
      </c>
      <c r="E414" s="3">
        <v>8</v>
      </c>
      <c r="F414">
        <v>23</v>
      </c>
      <c r="G414" s="1">
        <f>DATEVALUE(_xlfn.CONCAT(BBDD_Usiarios_Netflix[[#This Row],[Día Suscripción]],"/",BBDD_Usiarios_Netflix[[#This Row],[Mes Suscripción]],"/",BBDD_Usiarios_Netflix[[#This Row],[Año Suscripción]]))</f>
        <v>45162</v>
      </c>
      <c r="H414" s="1">
        <v>26</v>
      </c>
      <c r="I414" s="1">
        <v>6</v>
      </c>
      <c r="J414" s="1">
        <v>24</v>
      </c>
      <c r="K414" s="1" t="str">
        <f>TEXT(BBDD_Usiarios_Netflix[[#This Row],[Fecha Suscripción]],"dddd")</f>
        <v>jueves</v>
      </c>
      <c r="L414" s="1">
        <f>DATEVALUE(_xlfn.CONCAT(BBDD_Usiarios_Netflix[[#This Row],[Día Último Pago]],"/",BBDD_Usiarios_Netflix[[#This Row],[Mes Último Pago]],"/",BBDD_Usiarios_Netflix[[#This Row],[Año Último Pago]]))</f>
        <v>45469</v>
      </c>
      <c r="M414" s="4">
        <f>DATEDIF(BBDD_Usiarios_Netflix[[#This Row],[Fecha Suscripción]],BBDD_Usiarios_Netflix[[#This Row],[Fecha Último Pago]],"M")+1</f>
        <v>11</v>
      </c>
      <c r="N414" s="4">
        <f>BBDD_Usiarios_Netflix[[#This Row],[Ingresos Mensuales]]*BBDD_Usiarios_Netflix[[#This Row],[Meses contratados]]</f>
        <v>132</v>
      </c>
      <c r="O414" t="s">
        <v>33</v>
      </c>
      <c r="P414" t="str">
        <f>IF(BBDD_Usiarios_Netflix[[#This Row],[País]]="","Desconocido",BBDD_Usiarios_Netflix[[#This Row],[País]])</f>
        <v>Francia</v>
      </c>
      <c r="Q414">
        <v>41</v>
      </c>
      <c r="R414" t="s">
        <v>30</v>
      </c>
      <c r="S414" t="s">
        <v>26</v>
      </c>
      <c r="T414" t="s">
        <v>41</v>
      </c>
      <c r="U414">
        <f>IF(IFERROR(VLOOKUP(BBDD_Usiarios_Netflix[[#This Row],[Identificador Usuario]],A415:$A$5870,1,FALSE),0)&lt;&gt;0,1,0)</f>
        <v>0</v>
      </c>
      <c r="V414" s="6" t="str">
        <f>IF(BBDD_Usiarios_Netflix[[#This Row],[Duración Plan]]="12 Meses",LEFT(BBDD_Usiarios_Netflix[[#This Row],[Duración Plan]],2),LEFT(BBDD_Usiarios_Netflix[[#This Row],[Duración Plan]],1))</f>
        <v>12</v>
      </c>
      <c r="W4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15" spans="1:23" x14ac:dyDescent="0.25">
      <c r="A415">
        <v>414</v>
      </c>
      <c r="B415" t="s">
        <v>28</v>
      </c>
      <c r="C415">
        <v>14</v>
      </c>
      <c r="D415" s="3">
        <v>21</v>
      </c>
      <c r="E415" s="3">
        <v>8</v>
      </c>
      <c r="F415">
        <v>23</v>
      </c>
      <c r="G415" s="1">
        <f>DATEVALUE(_xlfn.CONCAT(BBDD_Usiarios_Netflix[[#This Row],[Día Suscripción]],"/",BBDD_Usiarios_Netflix[[#This Row],[Mes Suscripción]],"/",BBDD_Usiarios_Netflix[[#This Row],[Año Suscripción]]))</f>
        <v>45159</v>
      </c>
      <c r="H415" s="1">
        <v>27</v>
      </c>
      <c r="I415" s="1">
        <v>6</v>
      </c>
      <c r="J415" s="1">
        <v>24</v>
      </c>
      <c r="K415" s="1" t="str">
        <f>TEXT(BBDD_Usiarios_Netflix[[#This Row],[Fecha Suscripción]],"dddd")</f>
        <v>lunes</v>
      </c>
      <c r="L415" s="1">
        <f>DATEVALUE(_xlfn.CONCAT(BBDD_Usiarios_Netflix[[#This Row],[Día Último Pago]],"/",BBDD_Usiarios_Netflix[[#This Row],[Mes Último Pago]],"/",BBDD_Usiarios_Netflix[[#This Row],[Año Último Pago]]))</f>
        <v>45470</v>
      </c>
      <c r="M415" s="4">
        <f>DATEDIF(BBDD_Usiarios_Netflix[[#This Row],[Fecha Suscripción]],BBDD_Usiarios_Netflix[[#This Row],[Fecha Último Pago]],"M")+1</f>
        <v>11</v>
      </c>
      <c r="N415" s="4">
        <f>BBDD_Usiarios_Netflix[[#This Row],[Ingresos Mensuales]]*BBDD_Usiarios_Netflix[[#This Row],[Meses contratados]]</f>
        <v>154</v>
      </c>
      <c r="O415" t="s">
        <v>33</v>
      </c>
      <c r="P415" t="str">
        <f>IF(BBDD_Usiarios_Netflix[[#This Row],[País]]="","Desconocido",BBDD_Usiarios_Netflix[[#This Row],[País]])</f>
        <v>Francia</v>
      </c>
      <c r="Q415">
        <v>47</v>
      </c>
      <c r="R415" t="s">
        <v>30</v>
      </c>
      <c r="S415" t="s">
        <v>36</v>
      </c>
      <c r="T415" t="s">
        <v>41</v>
      </c>
      <c r="U415">
        <f>IF(IFERROR(VLOOKUP(BBDD_Usiarios_Netflix[[#This Row],[Identificador Usuario]],A416:$A$5870,1,FALSE),0)&lt;&gt;0,1,0)</f>
        <v>0</v>
      </c>
      <c r="V415" s="6" t="str">
        <f>IF(BBDD_Usiarios_Netflix[[#This Row],[Duración Plan]]="12 Meses",LEFT(BBDD_Usiarios_Netflix[[#This Row],[Duración Plan]],2),LEFT(BBDD_Usiarios_Netflix[[#This Row],[Duración Plan]],1))</f>
        <v>12</v>
      </c>
      <c r="W4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16" spans="1:23" x14ac:dyDescent="0.25">
      <c r="A416">
        <v>415</v>
      </c>
      <c r="B416" t="s">
        <v>23</v>
      </c>
      <c r="C416">
        <v>10</v>
      </c>
      <c r="D416" s="3">
        <v>23</v>
      </c>
      <c r="E416" s="3">
        <v>8</v>
      </c>
      <c r="F416">
        <v>23</v>
      </c>
      <c r="G416" s="1">
        <f>DATEVALUE(_xlfn.CONCAT(BBDD_Usiarios_Netflix[[#This Row],[Día Suscripción]],"/",BBDD_Usiarios_Netflix[[#This Row],[Mes Suscripción]],"/",BBDD_Usiarios_Netflix[[#This Row],[Año Suscripción]]))</f>
        <v>45161</v>
      </c>
      <c r="H416" s="1">
        <v>25</v>
      </c>
      <c r="I416" s="1">
        <v>6</v>
      </c>
      <c r="J416" s="1">
        <v>24</v>
      </c>
      <c r="K416" s="1" t="str">
        <f>TEXT(BBDD_Usiarios_Netflix[[#This Row],[Fecha Suscripción]],"dddd")</f>
        <v>miércoles</v>
      </c>
      <c r="L416" s="1">
        <f>DATEVALUE(_xlfn.CONCAT(BBDD_Usiarios_Netflix[[#This Row],[Día Último Pago]],"/",BBDD_Usiarios_Netflix[[#This Row],[Mes Último Pago]],"/",BBDD_Usiarios_Netflix[[#This Row],[Año Último Pago]]))</f>
        <v>45468</v>
      </c>
      <c r="M416" s="4">
        <f>DATEDIF(BBDD_Usiarios_Netflix[[#This Row],[Fecha Suscripción]],BBDD_Usiarios_Netflix[[#This Row],[Fecha Último Pago]],"M")+1</f>
        <v>11</v>
      </c>
      <c r="N416" s="4">
        <f>BBDD_Usiarios_Netflix[[#This Row],[Ingresos Mensuales]]*BBDD_Usiarios_Netflix[[#This Row],[Meses contratados]]</f>
        <v>110</v>
      </c>
      <c r="O416" t="s">
        <v>24</v>
      </c>
      <c r="P416" t="str">
        <f>IF(BBDD_Usiarios_Netflix[[#This Row],[País]]="","Desconocido",BBDD_Usiarios_Netflix[[#This Row],[País]])</f>
        <v>Australia</v>
      </c>
      <c r="Q416">
        <v>39</v>
      </c>
      <c r="R416" t="s">
        <v>30</v>
      </c>
      <c r="S416" t="s">
        <v>26</v>
      </c>
      <c r="T416" t="s">
        <v>41</v>
      </c>
      <c r="U416">
        <f>IF(IFERROR(VLOOKUP(BBDD_Usiarios_Netflix[[#This Row],[Identificador Usuario]],A417:$A$5870,1,FALSE),0)&lt;&gt;0,1,0)</f>
        <v>0</v>
      </c>
      <c r="V416" s="6" t="str">
        <f>IF(BBDD_Usiarios_Netflix[[#This Row],[Duración Plan]]="12 Meses",LEFT(BBDD_Usiarios_Netflix[[#This Row],[Duración Plan]],2),LEFT(BBDD_Usiarios_Netflix[[#This Row],[Duración Plan]],1))</f>
        <v>12</v>
      </c>
      <c r="W4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17" spans="1:23" x14ac:dyDescent="0.25">
      <c r="A417">
        <v>416</v>
      </c>
      <c r="B417" t="s">
        <v>28</v>
      </c>
      <c r="C417">
        <v>14</v>
      </c>
      <c r="D417" s="3">
        <v>2</v>
      </c>
      <c r="E417" s="3">
        <v>9</v>
      </c>
      <c r="F417">
        <v>23</v>
      </c>
      <c r="G417" s="1">
        <f>DATEVALUE(_xlfn.CONCAT(BBDD_Usiarios_Netflix[[#This Row],[Día Suscripción]],"/",BBDD_Usiarios_Netflix[[#This Row],[Mes Suscripción]],"/",BBDD_Usiarios_Netflix[[#This Row],[Año Suscripción]]))</f>
        <v>45171</v>
      </c>
      <c r="H417" s="1">
        <v>26</v>
      </c>
      <c r="I417" s="1">
        <v>6</v>
      </c>
      <c r="J417" s="1">
        <v>24</v>
      </c>
      <c r="K417" s="1" t="str">
        <f>TEXT(BBDD_Usiarios_Netflix[[#This Row],[Fecha Suscripción]],"dddd")</f>
        <v>sábado</v>
      </c>
      <c r="L417" s="1">
        <f>DATEVALUE(_xlfn.CONCAT(BBDD_Usiarios_Netflix[[#This Row],[Día Último Pago]],"/",BBDD_Usiarios_Netflix[[#This Row],[Mes Último Pago]],"/",BBDD_Usiarios_Netflix[[#This Row],[Año Último Pago]]))</f>
        <v>45469</v>
      </c>
      <c r="M417" s="4">
        <f>DATEDIF(BBDD_Usiarios_Netflix[[#This Row],[Fecha Suscripción]],BBDD_Usiarios_Netflix[[#This Row],[Fecha Último Pago]],"M")+1</f>
        <v>10</v>
      </c>
      <c r="N417" s="4">
        <f>BBDD_Usiarios_Netflix[[#This Row],[Ingresos Mensuales]]*BBDD_Usiarios_Netflix[[#This Row],[Meses contratados]]</f>
        <v>140</v>
      </c>
      <c r="O417" t="s">
        <v>24</v>
      </c>
      <c r="P417" t="str">
        <f>IF(BBDD_Usiarios_Netflix[[#This Row],[País]]="","Desconocido",BBDD_Usiarios_Netflix[[#This Row],[País]])</f>
        <v>Australia</v>
      </c>
      <c r="Q417">
        <v>28</v>
      </c>
      <c r="R417" t="s">
        <v>25</v>
      </c>
      <c r="S417" t="s">
        <v>31</v>
      </c>
      <c r="T417" t="s">
        <v>27</v>
      </c>
      <c r="U417">
        <f>IF(IFERROR(VLOOKUP(BBDD_Usiarios_Netflix[[#This Row],[Identificador Usuario]],A418:$A$5870,1,FALSE),0)&lt;&gt;0,1,0)</f>
        <v>0</v>
      </c>
      <c r="V417" s="6" t="str">
        <f>IF(BBDD_Usiarios_Netflix[[#This Row],[Duración Plan]]="12 Meses",LEFT(BBDD_Usiarios_Netflix[[#This Row],[Duración Plan]],2),LEFT(BBDD_Usiarios_Netflix[[#This Row],[Duración Plan]],1))</f>
        <v>1</v>
      </c>
      <c r="W4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18" spans="1:23" x14ac:dyDescent="0.25">
      <c r="A418">
        <v>417</v>
      </c>
      <c r="B418" t="s">
        <v>23</v>
      </c>
      <c r="C418">
        <v>10</v>
      </c>
      <c r="D418" s="3">
        <v>21</v>
      </c>
      <c r="E418" s="3">
        <v>9</v>
      </c>
      <c r="F418">
        <v>23</v>
      </c>
      <c r="G418" s="1">
        <f>DATEVALUE(_xlfn.CONCAT(BBDD_Usiarios_Netflix[[#This Row],[Día Suscripción]],"/",BBDD_Usiarios_Netflix[[#This Row],[Mes Suscripción]],"/",BBDD_Usiarios_Netflix[[#This Row],[Año Suscripción]]))</f>
        <v>45190</v>
      </c>
      <c r="H418" s="1">
        <v>29</v>
      </c>
      <c r="I418" s="1">
        <v>6</v>
      </c>
      <c r="J418" s="1">
        <v>24</v>
      </c>
      <c r="K418" s="1" t="str">
        <f>TEXT(BBDD_Usiarios_Netflix[[#This Row],[Fecha Suscripción]],"dddd")</f>
        <v>jueves</v>
      </c>
      <c r="L418" s="1">
        <f>DATEVALUE(_xlfn.CONCAT(BBDD_Usiarios_Netflix[[#This Row],[Día Último Pago]],"/",BBDD_Usiarios_Netflix[[#This Row],[Mes Último Pago]],"/",BBDD_Usiarios_Netflix[[#This Row],[Año Último Pago]]))</f>
        <v>45472</v>
      </c>
      <c r="M418" s="4">
        <f>DATEDIF(BBDD_Usiarios_Netflix[[#This Row],[Fecha Suscripción]],BBDD_Usiarios_Netflix[[#This Row],[Fecha Último Pago]],"M")+1</f>
        <v>10</v>
      </c>
      <c r="N418" s="4">
        <f>BBDD_Usiarios_Netflix[[#This Row],[Ingresos Mensuales]]*BBDD_Usiarios_Netflix[[#This Row],[Meses contratados]]</f>
        <v>100</v>
      </c>
      <c r="O418" t="s">
        <v>42</v>
      </c>
      <c r="P418" t="str">
        <f>IF(BBDD_Usiarios_Netflix[[#This Row],[País]]="","Desconocido",BBDD_Usiarios_Netflix[[#This Row],[País]])</f>
        <v>Reino Unido</v>
      </c>
      <c r="Q418">
        <v>31</v>
      </c>
      <c r="R418" t="s">
        <v>25</v>
      </c>
      <c r="S418" t="s">
        <v>34</v>
      </c>
      <c r="T418" t="s">
        <v>35</v>
      </c>
      <c r="U418">
        <f>IF(IFERROR(VLOOKUP(BBDD_Usiarios_Netflix[[#This Row],[Identificador Usuario]],A419:$A$5870,1,FALSE),0)&lt;&gt;0,1,0)</f>
        <v>0</v>
      </c>
      <c r="V418" s="6" t="str">
        <f>IF(BBDD_Usiarios_Netflix[[#This Row],[Duración Plan]]="12 Meses",LEFT(BBDD_Usiarios_Netflix[[#This Row],[Duración Plan]],2),LEFT(BBDD_Usiarios_Netflix[[#This Row],[Duración Plan]],1))</f>
        <v>6</v>
      </c>
      <c r="W4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19" spans="1:23" x14ac:dyDescent="0.25">
      <c r="A419">
        <v>418</v>
      </c>
      <c r="B419" t="s">
        <v>32</v>
      </c>
      <c r="C419">
        <v>12</v>
      </c>
      <c r="D419" s="3">
        <v>21</v>
      </c>
      <c r="E419" s="3">
        <v>10</v>
      </c>
      <c r="F419">
        <v>23</v>
      </c>
      <c r="G419" s="1">
        <f>DATEVALUE(_xlfn.CONCAT(BBDD_Usiarios_Netflix[[#This Row],[Día Suscripción]],"/",BBDD_Usiarios_Netflix[[#This Row],[Mes Suscripción]],"/",BBDD_Usiarios_Netflix[[#This Row],[Año Suscripción]]))</f>
        <v>45220</v>
      </c>
      <c r="H419" s="1">
        <v>27</v>
      </c>
      <c r="I419" s="1">
        <v>6</v>
      </c>
      <c r="J419" s="1">
        <v>24</v>
      </c>
      <c r="K419" s="1" t="str">
        <f>TEXT(BBDD_Usiarios_Netflix[[#This Row],[Fecha Suscripción]],"dddd")</f>
        <v>sábado</v>
      </c>
      <c r="L419" s="1">
        <f>DATEVALUE(_xlfn.CONCAT(BBDD_Usiarios_Netflix[[#This Row],[Día Último Pago]],"/",BBDD_Usiarios_Netflix[[#This Row],[Mes Último Pago]],"/",BBDD_Usiarios_Netflix[[#This Row],[Año Último Pago]]))</f>
        <v>45470</v>
      </c>
      <c r="M419" s="4">
        <f>DATEDIF(BBDD_Usiarios_Netflix[[#This Row],[Fecha Suscripción]],BBDD_Usiarios_Netflix[[#This Row],[Fecha Último Pago]],"M")+1</f>
        <v>9</v>
      </c>
      <c r="N419" s="4">
        <f>BBDD_Usiarios_Netflix[[#This Row],[Ingresos Mensuales]]*BBDD_Usiarios_Netflix[[#This Row],[Meses contratados]]</f>
        <v>108</v>
      </c>
      <c r="O419" t="s">
        <v>43</v>
      </c>
      <c r="P419" t="str">
        <f>IF(BBDD_Usiarios_Netflix[[#This Row],[País]]="","Desconocido",BBDD_Usiarios_Netflix[[#This Row],[País]])</f>
        <v>Alemania</v>
      </c>
      <c r="Q419">
        <v>47</v>
      </c>
      <c r="R419" t="s">
        <v>30</v>
      </c>
      <c r="S419" t="s">
        <v>34</v>
      </c>
      <c r="T419" t="s">
        <v>35</v>
      </c>
      <c r="U419">
        <f>IF(IFERROR(VLOOKUP(BBDD_Usiarios_Netflix[[#This Row],[Identificador Usuario]],A420:$A$5870,1,FALSE),0)&lt;&gt;0,1,0)</f>
        <v>0</v>
      </c>
      <c r="V419" s="6" t="str">
        <f>IF(BBDD_Usiarios_Netflix[[#This Row],[Duración Plan]]="12 Meses",LEFT(BBDD_Usiarios_Netflix[[#This Row],[Duración Plan]],2),LEFT(BBDD_Usiarios_Netflix[[#This Row],[Duración Plan]],1))</f>
        <v>6</v>
      </c>
      <c r="W4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20" spans="1:23" x14ac:dyDescent="0.25">
      <c r="A420">
        <v>419</v>
      </c>
      <c r="B420" t="s">
        <v>32</v>
      </c>
      <c r="C420">
        <v>12</v>
      </c>
      <c r="D420" s="3">
        <v>30</v>
      </c>
      <c r="E420" s="3">
        <v>10</v>
      </c>
      <c r="F420">
        <v>23</v>
      </c>
      <c r="G420" s="1">
        <f>DATEVALUE(_xlfn.CONCAT(BBDD_Usiarios_Netflix[[#This Row],[Día Suscripción]],"/",BBDD_Usiarios_Netflix[[#This Row],[Mes Suscripción]],"/",BBDD_Usiarios_Netflix[[#This Row],[Año Suscripción]]))</f>
        <v>45229</v>
      </c>
      <c r="H420" s="1">
        <v>27</v>
      </c>
      <c r="I420" s="1">
        <v>6</v>
      </c>
      <c r="J420" s="1">
        <v>24</v>
      </c>
      <c r="K420" s="1" t="str">
        <f>TEXT(BBDD_Usiarios_Netflix[[#This Row],[Fecha Suscripción]],"dddd")</f>
        <v>lunes</v>
      </c>
      <c r="L420" s="1">
        <f>DATEVALUE(_xlfn.CONCAT(BBDD_Usiarios_Netflix[[#This Row],[Día Último Pago]],"/",BBDD_Usiarios_Netflix[[#This Row],[Mes Último Pago]],"/",BBDD_Usiarios_Netflix[[#This Row],[Año Último Pago]]))</f>
        <v>45470</v>
      </c>
      <c r="M420" s="4">
        <f>DATEDIF(BBDD_Usiarios_Netflix[[#This Row],[Fecha Suscripción]],BBDD_Usiarios_Netflix[[#This Row],[Fecha Último Pago]],"M")+1</f>
        <v>8</v>
      </c>
      <c r="N420" s="4">
        <f>BBDD_Usiarios_Netflix[[#This Row],[Ingresos Mensuales]]*BBDD_Usiarios_Netflix[[#This Row],[Meses contratados]]</f>
        <v>96</v>
      </c>
      <c r="O420" t="s">
        <v>29</v>
      </c>
      <c r="P420" t="str">
        <f>IF(BBDD_Usiarios_Netflix[[#This Row],[País]]="","Desconocido",BBDD_Usiarios_Netflix[[#This Row],[País]])</f>
        <v>EEUU</v>
      </c>
      <c r="Q420">
        <v>27</v>
      </c>
      <c r="R420" t="s">
        <v>30</v>
      </c>
      <c r="S420" t="s">
        <v>36</v>
      </c>
      <c r="T420" t="s">
        <v>41</v>
      </c>
      <c r="U420">
        <f>IF(IFERROR(VLOOKUP(BBDD_Usiarios_Netflix[[#This Row],[Identificador Usuario]],A421:$A$5870,1,FALSE),0)&lt;&gt;0,1,0)</f>
        <v>0</v>
      </c>
      <c r="V420" s="6" t="str">
        <f>IF(BBDD_Usiarios_Netflix[[#This Row],[Duración Plan]]="12 Meses",LEFT(BBDD_Usiarios_Netflix[[#This Row],[Duración Plan]],2),LEFT(BBDD_Usiarios_Netflix[[#This Row],[Duración Plan]],1))</f>
        <v>12</v>
      </c>
      <c r="W4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21" spans="1:23" x14ac:dyDescent="0.25">
      <c r="A421">
        <v>420</v>
      </c>
      <c r="B421" t="s">
        <v>23</v>
      </c>
      <c r="C421">
        <v>10</v>
      </c>
      <c r="D421" s="3">
        <v>2</v>
      </c>
      <c r="E421" s="3">
        <v>11</v>
      </c>
      <c r="F421">
        <v>23</v>
      </c>
      <c r="G421" s="1">
        <f>DATEVALUE(_xlfn.CONCAT(BBDD_Usiarios_Netflix[[#This Row],[Día Suscripción]],"/",BBDD_Usiarios_Netflix[[#This Row],[Mes Suscripción]],"/",BBDD_Usiarios_Netflix[[#This Row],[Año Suscripción]]))</f>
        <v>45232</v>
      </c>
      <c r="H421" s="1">
        <v>28</v>
      </c>
      <c r="I421" s="1">
        <v>6</v>
      </c>
      <c r="J421" s="1">
        <v>24</v>
      </c>
      <c r="K421" s="1" t="str">
        <f>TEXT(BBDD_Usiarios_Netflix[[#This Row],[Fecha Suscripción]],"dddd")</f>
        <v>jueves</v>
      </c>
      <c r="L421" s="1">
        <f>DATEVALUE(_xlfn.CONCAT(BBDD_Usiarios_Netflix[[#This Row],[Día Último Pago]],"/",BBDD_Usiarios_Netflix[[#This Row],[Mes Último Pago]],"/",BBDD_Usiarios_Netflix[[#This Row],[Año Último Pago]]))</f>
        <v>45471</v>
      </c>
      <c r="M421" s="4">
        <f>DATEDIF(BBDD_Usiarios_Netflix[[#This Row],[Fecha Suscripción]],BBDD_Usiarios_Netflix[[#This Row],[Fecha Último Pago]],"M")+1</f>
        <v>8</v>
      </c>
      <c r="N421" s="4">
        <f>BBDD_Usiarios_Netflix[[#This Row],[Ingresos Mensuales]]*BBDD_Usiarios_Netflix[[#This Row],[Meses contratados]]</f>
        <v>80</v>
      </c>
      <c r="O421" t="s">
        <v>37</v>
      </c>
      <c r="P421" t="str">
        <f>IF(BBDD_Usiarios_Netflix[[#This Row],[País]]="","Desconocido",BBDD_Usiarios_Netflix[[#This Row],[País]])</f>
        <v>Brasil</v>
      </c>
      <c r="Q421">
        <v>28</v>
      </c>
      <c r="R421" t="s">
        <v>25</v>
      </c>
      <c r="S421" t="s">
        <v>36</v>
      </c>
      <c r="T421" t="s">
        <v>38</v>
      </c>
      <c r="U421">
        <f>IF(IFERROR(VLOOKUP(BBDD_Usiarios_Netflix[[#This Row],[Identificador Usuario]],A422:$A$5870,1,FALSE),0)&lt;&gt;0,1,0)</f>
        <v>0</v>
      </c>
      <c r="V421" s="6" t="str">
        <f>IF(BBDD_Usiarios_Netflix[[#This Row],[Duración Plan]]="12 Meses",LEFT(BBDD_Usiarios_Netflix[[#This Row],[Duración Plan]],2),LEFT(BBDD_Usiarios_Netflix[[#This Row],[Duración Plan]],1))</f>
        <v>3</v>
      </c>
      <c r="W4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22" spans="1:23" x14ac:dyDescent="0.25">
      <c r="A422">
        <v>421</v>
      </c>
      <c r="B422" t="s">
        <v>28</v>
      </c>
      <c r="C422">
        <v>14</v>
      </c>
      <c r="D422" s="3">
        <v>16</v>
      </c>
      <c r="E422" s="3">
        <v>10</v>
      </c>
      <c r="F422">
        <v>23</v>
      </c>
      <c r="G422" s="1">
        <f>DATEVALUE(_xlfn.CONCAT(BBDD_Usiarios_Netflix[[#This Row],[Día Suscripción]],"/",BBDD_Usiarios_Netflix[[#This Row],[Mes Suscripción]],"/",BBDD_Usiarios_Netflix[[#This Row],[Año Suscripción]]))</f>
        <v>45215</v>
      </c>
      <c r="H422" s="1">
        <v>28</v>
      </c>
      <c r="I422" s="1">
        <v>6</v>
      </c>
      <c r="J422" s="1">
        <v>24</v>
      </c>
      <c r="K422" s="1" t="str">
        <f>TEXT(BBDD_Usiarios_Netflix[[#This Row],[Fecha Suscripción]],"dddd")</f>
        <v>lunes</v>
      </c>
      <c r="L422" s="1">
        <f>DATEVALUE(_xlfn.CONCAT(BBDD_Usiarios_Netflix[[#This Row],[Día Último Pago]],"/",BBDD_Usiarios_Netflix[[#This Row],[Mes Último Pago]],"/",BBDD_Usiarios_Netflix[[#This Row],[Año Último Pago]]))</f>
        <v>45471</v>
      </c>
      <c r="M422" s="4">
        <f>DATEDIF(BBDD_Usiarios_Netflix[[#This Row],[Fecha Suscripción]],BBDD_Usiarios_Netflix[[#This Row],[Fecha Último Pago]],"M")+1</f>
        <v>9</v>
      </c>
      <c r="N422" s="4">
        <f>BBDD_Usiarios_Netflix[[#This Row],[Ingresos Mensuales]]*BBDD_Usiarios_Netflix[[#This Row],[Meses contratados]]</f>
        <v>126</v>
      </c>
      <c r="O422" t="s">
        <v>29</v>
      </c>
      <c r="P422" t="str">
        <f>IF(BBDD_Usiarios_Netflix[[#This Row],[País]]="","Desconocido",BBDD_Usiarios_Netflix[[#This Row],[País]])</f>
        <v>EEUU</v>
      </c>
      <c r="Q422">
        <v>33</v>
      </c>
      <c r="R422" t="s">
        <v>25</v>
      </c>
      <c r="S422" t="s">
        <v>31</v>
      </c>
      <c r="T422" t="s">
        <v>35</v>
      </c>
      <c r="U422">
        <f>IF(IFERROR(VLOOKUP(BBDD_Usiarios_Netflix[[#This Row],[Identificador Usuario]],A423:$A$5870,1,FALSE),0)&lt;&gt;0,1,0)</f>
        <v>0</v>
      </c>
      <c r="V422" s="6" t="str">
        <f>IF(BBDD_Usiarios_Netflix[[#This Row],[Duración Plan]]="12 Meses",LEFT(BBDD_Usiarios_Netflix[[#This Row],[Duración Plan]],2),LEFT(BBDD_Usiarios_Netflix[[#This Row],[Duración Plan]],1))</f>
        <v>6</v>
      </c>
      <c r="W4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23" spans="1:23" x14ac:dyDescent="0.25">
      <c r="A423">
        <v>422</v>
      </c>
      <c r="B423" t="s">
        <v>23</v>
      </c>
      <c r="C423">
        <v>10</v>
      </c>
      <c r="D423" s="3">
        <v>15</v>
      </c>
      <c r="E423" s="3">
        <v>9</v>
      </c>
      <c r="F423">
        <v>23</v>
      </c>
      <c r="G423" s="1">
        <f>DATEVALUE(_xlfn.CONCAT(BBDD_Usiarios_Netflix[[#This Row],[Día Suscripción]],"/",BBDD_Usiarios_Netflix[[#This Row],[Mes Suscripción]],"/",BBDD_Usiarios_Netflix[[#This Row],[Año Suscripción]]))</f>
        <v>45184</v>
      </c>
      <c r="H423" s="1">
        <v>29</v>
      </c>
      <c r="I423" s="1">
        <v>6</v>
      </c>
      <c r="J423" s="1">
        <v>24</v>
      </c>
      <c r="K423" s="1" t="str">
        <f>TEXT(BBDD_Usiarios_Netflix[[#This Row],[Fecha Suscripción]],"dddd")</f>
        <v>viernes</v>
      </c>
      <c r="L423" s="1">
        <f>DATEVALUE(_xlfn.CONCAT(BBDD_Usiarios_Netflix[[#This Row],[Día Último Pago]],"/",BBDD_Usiarios_Netflix[[#This Row],[Mes Último Pago]],"/",BBDD_Usiarios_Netflix[[#This Row],[Año Último Pago]]))</f>
        <v>45472</v>
      </c>
      <c r="M423" s="4">
        <f>DATEDIF(BBDD_Usiarios_Netflix[[#This Row],[Fecha Suscripción]],BBDD_Usiarios_Netflix[[#This Row],[Fecha Último Pago]],"M")+1</f>
        <v>10</v>
      </c>
      <c r="N423" s="4">
        <f>BBDD_Usiarios_Netflix[[#This Row],[Ingresos Mensuales]]*BBDD_Usiarios_Netflix[[#This Row],[Meses contratados]]</f>
        <v>100</v>
      </c>
      <c r="O423" t="s">
        <v>39</v>
      </c>
      <c r="P423" t="str">
        <f>IF(BBDD_Usiarios_Netflix[[#This Row],[País]]="","Desconocido",BBDD_Usiarios_Netflix[[#This Row],[País]])</f>
        <v>Canadá</v>
      </c>
      <c r="Q423">
        <v>29</v>
      </c>
      <c r="R423" t="s">
        <v>30</v>
      </c>
      <c r="S423" t="s">
        <v>31</v>
      </c>
      <c r="T423" t="s">
        <v>35</v>
      </c>
      <c r="U423">
        <f>IF(IFERROR(VLOOKUP(BBDD_Usiarios_Netflix[[#This Row],[Identificador Usuario]],A424:$A$5870,1,FALSE),0)&lt;&gt;0,1,0)</f>
        <v>0</v>
      </c>
      <c r="V423" s="6" t="str">
        <f>IF(BBDD_Usiarios_Netflix[[#This Row],[Duración Plan]]="12 Meses",LEFT(BBDD_Usiarios_Netflix[[#This Row],[Duración Plan]],2),LEFT(BBDD_Usiarios_Netflix[[#This Row],[Duración Plan]],1))</f>
        <v>6</v>
      </c>
      <c r="W4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24" spans="1:23" x14ac:dyDescent="0.25">
      <c r="A424">
        <v>423</v>
      </c>
      <c r="B424" t="s">
        <v>32</v>
      </c>
      <c r="C424">
        <v>12</v>
      </c>
      <c r="D424" s="3">
        <v>12</v>
      </c>
      <c r="E424" s="3">
        <v>9</v>
      </c>
      <c r="F424">
        <v>23</v>
      </c>
      <c r="G424" s="1">
        <f>DATEVALUE(_xlfn.CONCAT(BBDD_Usiarios_Netflix[[#This Row],[Día Suscripción]],"/",BBDD_Usiarios_Netflix[[#This Row],[Mes Suscripción]],"/",BBDD_Usiarios_Netflix[[#This Row],[Año Suscripción]]))</f>
        <v>45181</v>
      </c>
      <c r="H424" s="1">
        <v>27</v>
      </c>
      <c r="I424" s="1">
        <v>6</v>
      </c>
      <c r="J424" s="1">
        <v>24</v>
      </c>
      <c r="K424" s="1" t="str">
        <f>TEXT(BBDD_Usiarios_Netflix[[#This Row],[Fecha Suscripción]],"dddd")</f>
        <v>martes</v>
      </c>
      <c r="L424" s="1">
        <f>DATEVALUE(_xlfn.CONCAT(BBDD_Usiarios_Netflix[[#This Row],[Día Último Pago]],"/",BBDD_Usiarios_Netflix[[#This Row],[Mes Último Pago]],"/",BBDD_Usiarios_Netflix[[#This Row],[Año Último Pago]]))</f>
        <v>45470</v>
      </c>
      <c r="M424" s="4">
        <f>DATEDIF(BBDD_Usiarios_Netflix[[#This Row],[Fecha Suscripción]],BBDD_Usiarios_Netflix[[#This Row],[Fecha Último Pago]],"M")+1</f>
        <v>10</v>
      </c>
      <c r="N424" s="4">
        <f>BBDD_Usiarios_Netflix[[#This Row],[Ingresos Mensuales]]*BBDD_Usiarios_Netflix[[#This Row],[Meses contratados]]</f>
        <v>120</v>
      </c>
      <c r="O424" t="s">
        <v>24</v>
      </c>
      <c r="P424" t="str">
        <f>IF(BBDD_Usiarios_Netflix[[#This Row],[País]]="","Desconocido",BBDD_Usiarios_Netflix[[#This Row],[País]])</f>
        <v>Australia</v>
      </c>
      <c r="Q424">
        <v>41</v>
      </c>
      <c r="R424" t="s">
        <v>25</v>
      </c>
      <c r="S424" t="s">
        <v>26</v>
      </c>
      <c r="T424" t="s">
        <v>27</v>
      </c>
      <c r="U424">
        <f>IF(IFERROR(VLOOKUP(BBDD_Usiarios_Netflix[[#This Row],[Identificador Usuario]],A425:$A$5870,1,FALSE),0)&lt;&gt;0,1,0)</f>
        <v>0</v>
      </c>
      <c r="V424" s="6" t="str">
        <f>IF(BBDD_Usiarios_Netflix[[#This Row],[Duración Plan]]="12 Meses",LEFT(BBDD_Usiarios_Netflix[[#This Row],[Duración Plan]],2),LEFT(BBDD_Usiarios_Netflix[[#This Row],[Duración Plan]],1))</f>
        <v>1</v>
      </c>
      <c r="W4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25" spans="1:23" x14ac:dyDescent="0.25">
      <c r="A425">
        <v>424</v>
      </c>
      <c r="B425" t="s">
        <v>28</v>
      </c>
      <c r="C425">
        <v>14</v>
      </c>
      <c r="D425" s="3">
        <v>18</v>
      </c>
      <c r="E425" s="3">
        <v>9</v>
      </c>
      <c r="F425">
        <v>23</v>
      </c>
      <c r="G425" s="1">
        <f>DATEVALUE(_xlfn.CONCAT(BBDD_Usiarios_Netflix[[#This Row],[Día Suscripción]],"/",BBDD_Usiarios_Netflix[[#This Row],[Mes Suscripción]],"/",BBDD_Usiarios_Netflix[[#This Row],[Año Suscripción]]))</f>
        <v>45187</v>
      </c>
      <c r="H425" s="1">
        <v>29</v>
      </c>
      <c r="I425" s="1">
        <v>6</v>
      </c>
      <c r="J425" s="1">
        <v>24</v>
      </c>
      <c r="K425" s="1" t="str">
        <f>TEXT(BBDD_Usiarios_Netflix[[#This Row],[Fecha Suscripción]],"dddd")</f>
        <v>lunes</v>
      </c>
      <c r="L425" s="1">
        <f>DATEVALUE(_xlfn.CONCAT(BBDD_Usiarios_Netflix[[#This Row],[Día Último Pago]],"/",BBDD_Usiarios_Netflix[[#This Row],[Mes Último Pago]],"/",BBDD_Usiarios_Netflix[[#This Row],[Año Último Pago]]))</f>
        <v>45472</v>
      </c>
      <c r="M425" s="4">
        <f>DATEDIF(BBDD_Usiarios_Netflix[[#This Row],[Fecha Suscripción]],BBDD_Usiarios_Netflix[[#This Row],[Fecha Último Pago]],"M")+1</f>
        <v>10</v>
      </c>
      <c r="N425" s="4">
        <f>BBDD_Usiarios_Netflix[[#This Row],[Ingresos Mensuales]]*BBDD_Usiarios_Netflix[[#This Row],[Meses contratados]]</f>
        <v>140</v>
      </c>
      <c r="O425" t="s">
        <v>29</v>
      </c>
      <c r="P425" t="str">
        <f>IF(BBDD_Usiarios_Netflix[[#This Row],[País]]="","Desconocido",BBDD_Usiarios_Netflix[[#This Row],[País]])</f>
        <v>EEUU</v>
      </c>
      <c r="Q425">
        <v>28</v>
      </c>
      <c r="R425" t="s">
        <v>30</v>
      </c>
      <c r="S425" t="s">
        <v>31</v>
      </c>
      <c r="T425" t="s">
        <v>27</v>
      </c>
      <c r="U425">
        <f>IF(IFERROR(VLOOKUP(BBDD_Usiarios_Netflix[[#This Row],[Identificador Usuario]],A426:$A$5870,1,FALSE),0)&lt;&gt;0,1,0)</f>
        <v>0</v>
      </c>
      <c r="V425" s="6" t="str">
        <f>IF(BBDD_Usiarios_Netflix[[#This Row],[Duración Plan]]="12 Meses",LEFT(BBDD_Usiarios_Netflix[[#This Row],[Duración Plan]],2),LEFT(BBDD_Usiarios_Netflix[[#This Row],[Duración Plan]],1))</f>
        <v>1</v>
      </c>
      <c r="W4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26" spans="1:23" x14ac:dyDescent="0.25">
      <c r="A426">
        <v>425</v>
      </c>
      <c r="B426" t="s">
        <v>23</v>
      </c>
      <c r="C426">
        <v>10</v>
      </c>
      <c r="D426" s="3">
        <v>4</v>
      </c>
      <c r="E426" s="3">
        <v>10</v>
      </c>
      <c r="F426">
        <v>23</v>
      </c>
      <c r="G426" s="1">
        <f>DATEVALUE(_xlfn.CONCAT(BBDD_Usiarios_Netflix[[#This Row],[Día Suscripción]],"/",BBDD_Usiarios_Netflix[[#This Row],[Mes Suscripción]],"/",BBDD_Usiarios_Netflix[[#This Row],[Año Suscripción]]))</f>
        <v>45203</v>
      </c>
      <c r="H426" s="1">
        <v>27</v>
      </c>
      <c r="I426" s="1">
        <v>6</v>
      </c>
      <c r="J426" s="1">
        <v>24</v>
      </c>
      <c r="K426" s="1" t="str">
        <f>TEXT(BBDD_Usiarios_Netflix[[#This Row],[Fecha Suscripción]],"dddd")</f>
        <v>miércoles</v>
      </c>
      <c r="L426" s="1">
        <f>DATEVALUE(_xlfn.CONCAT(BBDD_Usiarios_Netflix[[#This Row],[Día Último Pago]],"/",BBDD_Usiarios_Netflix[[#This Row],[Mes Último Pago]],"/",BBDD_Usiarios_Netflix[[#This Row],[Año Último Pago]]))</f>
        <v>45470</v>
      </c>
      <c r="M426" s="4">
        <f>DATEDIF(BBDD_Usiarios_Netflix[[#This Row],[Fecha Suscripción]],BBDD_Usiarios_Netflix[[#This Row],[Fecha Último Pago]],"M")+1</f>
        <v>9</v>
      </c>
      <c r="N426" s="4">
        <f>BBDD_Usiarios_Netflix[[#This Row],[Ingresos Mensuales]]*BBDD_Usiarios_Netflix[[#This Row],[Meses contratados]]</f>
        <v>90</v>
      </c>
      <c r="O426" t="s">
        <v>24</v>
      </c>
      <c r="P426" t="str">
        <f>IF(BBDD_Usiarios_Netflix[[#This Row],[País]]="","Desconocido",BBDD_Usiarios_Netflix[[#This Row],[País]])</f>
        <v>Australia</v>
      </c>
      <c r="Q426">
        <v>38</v>
      </c>
      <c r="R426" t="s">
        <v>25</v>
      </c>
      <c r="S426" t="s">
        <v>31</v>
      </c>
      <c r="T426" t="s">
        <v>38</v>
      </c>
      <c r="U426">
        <f>IF(IFERROR(VLOOKUP(BBDD_Usiarios_Netflix[[#This Row],[Identificador Usuario]],A427:$A$5870,1,FALSE),0)&lt;&gt;0,1,0)</f>
        <v>0</v>
      </c>
      <c r="V426" s="6" t="str">
        <f>IF(BBDD_Usiarios_Netflix[[#This Row],[Duración Plan]]="12 Meses",LEFT(BBDD_Usiarios_Netflix[[#This Row],[Duración Plan]],2),LEFT(BBDD_Usiarios_Netflix[[#This Row],[Duración Plan]],1))</f>
        <v>3</v>
      </c>
      <c r="W4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27" spans="1:23" x14ac:dyDescent="0.25">
      <c r="A427">
        <v>426</v>
      </c>
      <c r="B427" t="s">
        <v>28</v>
      </c>
      <c r="C427">
        <v>14</v>
      </c>
      <c r="D427" s="3">
        <v>5</v>
      </c>
      <c r="E427" s="3">
        <v>10</v>
      </c>
      <c r="F427">
        <v>23</v>
      </c>
      <c r="G427" s="1">
        <f>DATEVALUE(_xlfn.CONCAT(BBDD_Usiarios_Netflix[[#This Row],[Día Suscripción]],"/",BBDD_Usiarios_Netflix[[#This Row],[Mes Suscripción]],"/",BBDD_Usiarios_Netflix[[#This Row],[Año Suscripción]]))</f>
        <v>45204</v>
      </c>
      <c r="H427" s="1">
        <v>30</v>
      </c>
      <c r="I427" s="1">
        <v>6</v>
      </c>
      <c r="J427" s="1">
        <v>24</v>
      </c>
      <c r="K427" s="1" t="str">
        <f>TEXT(BBDD_Usiarios_Netflix[[#This Row],[Fecha Suscripción]],"dddd")</f>
        <v>jueves</v>
      </c>
      <c r="L427" s="1">
        <f>DATEVALUE(_xlfn.CONCAT(BBDD_Usiarios_Netflix[[#This Row],[Día Último Pago]],"/",BBDD_Usiarios_Netflix[[#This Row],[Mes Último Pago]],"/",BBDD_Usiarios_Netflix[[#This Row],[Año Último Pago]]))</f>
        <v>45473</v>
      </c>
      <c r="M427" s="4">
        <f>DATEDIF(BBDD_Usiarios_Netflix[[#This Row],[Fecha Suscripción]],BBDD_Usiarios_Netflix[[#This Row],[Fecha Último Pago]],"M")+1</f>
        <v>9</v>
      </c>
      <c r="N427" s="4">
        <f>BBDD_Usiarios_Netflix[[#This Row],[Ingresos Mensuales]]*BBDD_Usiarios_Netflix[[#This Row],[Meses contratados]]</f>
        <v>126</v>
      </c>
      <c r="O427" t="s">
        <v>29</v>
      </c>
      <c r="P427" t="str">
        <f>IF(BBDD_Usiarios_Netflix[[#This Row],[País]]="","Desconocido",BBDD_Usiarios_Netflix[[#This Row],[País]])</f>
        <v>EEUU</v>
      </c>
      <c r="Q427">
        <v>35</v>
      </c>
      <c r="R427" t="s">
        <v>25</v>
      </c>
      <c r="S427" t="s">
        <v>36</v>
      </c>
      <c r="T427" t="s">
        <v>27</v>
      </c>
      <c r="U427">
        <f>IF(IFERROR(VLOOKUP(BBDD_Usiarios_Netflix[[#This Row],[Identificador Usuario]],A428:$A$5870,1,FALSE),0)&lt;&gt;0,1,0)</f>
        <v>0</v>
      </c>
      <c r="V427" s="6" t="str">
        <f>IF(BBDD_Usiarios_Netflix[[#This Row],[Duración Plan]]="12 Meses",LEFT(BBDD_Usiarios_Netflix[[#This Row],[Duración Plan]],2),LEFT(BBDD_Usiarios_Netflix[[#This Row],[Duración Plan]],1))</f>
        <v>1</v>
      </c>
      <c r="W4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28" spans="1:23" x14ac:dyDescent="0.25">
      <c r="A428">
        <v>427</v>
      </c>
      <c r="B428" t="s">
        <v>23</v>
      </c>
      <c r="C428">
        <v>10</v>
      </c>
      <c r="D428" s="3">
        <v>6</v>
      </c>
      <c r="E428" s="3">
        <v>11</v>
      </c>
      <c r="F428">
        <v>23</v>
      </c>
      <c r="G428" s="1">
        <f>DATEVALUE(_xlfn.CONCAT(BBDD_Usiarios_Netflix[[#This Row],[Día Suscripción]],"/",BBDD_Usiarios_Netflix[[#This Row],[Mes Suscripción]],"/",BBDD_Usiarios_Netflix[[#This Row],[Año Suscripción]]))</f>
        <v>45236</v>
      </c>
      <c r="H428" s="1">
        <v>26</v>
      </c>
      <c r="I428" s="1">
        <v>6</v>
      </c>
      <c r="J428" s="1">
        <v>24</v>
      </c>
      <c r="K428" s="1" t="str">
        <f>TEXT(BBDD_Usiarios_Netflix[[#This Row],[Fecha Suscripción]],"dddd")</f>
        <v>lunes</v>
      </c>
      <c r="L428" s="1">
        <f>DATEVALUE(_xlfn.CONCAT(BBDD_Usiarios_Netflix[[#This Row],[Día Último Pago]],"/",BBDD_Usiarios_Netflix[[#This Row],[Mes Último Pago]],"/",BBDD_Usiarios_Netflix[[#This Row],[Año Último Pago]]))</f>
        <v>45469</v>
      </c>
      <c r="M428" s="4">
        <f>DATEDIF(BBDD_Usiarios_Netflix[[#This Row],[Fecha Suscripción]],BBDD_Usiarios_Netflix[[#This Row],[Fecha Último Pago]],"M")+1</f>
        <v>8</v>
      </c>
      <c r="N428" s="4">
        <f>BBDD_Usiarios_Netflix[[#This Row],[Ingresos Mensuales]]*BBDD_Usiarios_Netflix[[#This Row],[Meses contratados]]</f>
        <v>80</v>
      </c>
      <c r="O428" t="s">
        <v>44</v>
      </c>
      <c r="P428" t="str">
        <f>IF(BBDD_Usiarios_Netflix[[#This Row],[País]]="","Desconocido",BBDD_Usiarios_Netflix[[#This Row],[País]])</f>
        <v>Desconocido</v>
      </c>
      <c r="Q428">
        <v>51</v>
      </c>
      <c r="R428" t="s">
        <v>25</v>
      </c>
      <c r="S428" t="s">
        <v>34</v>
      </c>
      <c r="T428" t="s">
        <v>35</v>
      </c>
      <c r="U428">
        <f>IF(IFERROR(VLOOKUP(BBDD_Usiarios_Netflix[[#This Row],[Identificador Usuario]],A429:$A$5870,1,FALSE),0)&lt;&gt;0,1,0)</f>
        <v>0</v>
      </c>
      <c r="V428" s="6" t="str">
        <f>IF(BBDD_Usiarios_Netflix[[#This Row],[Duración Plan]]="12 Meses",LEFT(BBDD_Usiarios_Netflix[[#This Row],[Duración Plan]],2),LEFT(BBDD_Usiarios_Netflix[[#This Row],[Duración Plan]],1))</f>
        <v>6</v>
      </c>
      <c r="W4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29" spans="1:23" x14ac:dyDescent="0.25">
      <c r="A429">
        <v>428</v>
      </c>
      <c r="B429" t="s">
        <v>32</v>
      </c>
      <c r="C429">
        <v>12</v>
      </c>
      <c r="D429" s="3">
        <v>17</v>
      </c>
      <c r="E429" s="3">
        <v>11</v>
      </c>
      <c r="F429">
        <v>23</v>
      </c>
      <c r="G429" s="1">
        <f>DATEVALUE(_xlfn.CONCAT(BBDD_Usiarios_Netflix[[#This Row],[Día Suscripción]],"/",BBDD_Usiarios_Netflix[[#This Row],[Mes Suscripción]],"/",BBDD_Usiarios_Netflix[[#This Row],[Año Suscripción]]))</f>
        <v>45247</v>
      </c>
      <c r="H429" s="1">
        <v>28</v>
      </c>
      <c r="I429" s="1">
        <v>6</v>
      </c>
      <c r="J429" s="1">
        <v>24</v>
      </c>
      <c r="K429" s="1" t="str">
        <f>TEXT(BBDD_Usiarios_Netflix[[#This Row],[Fecha Suscripción]],"dddd")</f>
        <v>viernes</v>
      </c>
      <c r="L429" s="1">
        <f>DATEVALUE(_xlfn.CONCAT(BBDD_Usiarios_Netflix[[#This Row],[Día Último Pago]],"/",BBDD_Usiarios_Netflix[[#This Row],[Mes Último Pago]],"/",BBDD_Usiarios_Netflix[[#This Row],[Año Último Pago]]))</f>
        <v>45471</v>
      </c>
      <c r="M429" s="4">
        <f>DATEDIF(BBDD_Usiarios_Netflix[[#This Row],[Fecha Suscripción]],BBDD_Usiarios_Netflix[[#This Row],[Fecha Último Pago]],"M")+1</f>
        <v>8</v>
      </c>
      <c r="N429" s="4">
        <f>BBDD_Usiarios_Netflix[[#This Row],[Ingresos Mensuales]]*BBDD_Usiarios_Netflix[[#This Row],[Meses contratados]]</f>
        <v>96</v>
      </c>
      <c r="O429" t="s">
        <v>29</v>
      </c>
      <c r="P429" t="str">
        <f>IF(BBDD_Usiarios_Netflix[[#This Row],[País]]="","Desconocido",BBDD_Usiarios_Netflix[[#This Row],[País]])</f>
        <v>EEUU</v>
      </c>
      <c r="Q429">
        <v>45</v>
      </c>
      <c r="R429" t="s">
        <v>25</v>
      </c>
      <c r="S429" t="s">
        <v>26</v>
      </c>
      <c r="T429" t="s">
        <v>35</v>
      </c>
      <c r="U429">
        <f>IF(IFERROR(VLOOKUP(BBDD_Usiarios_Netflix[[#This Row],[Identificador Usuario]],A430:$A$5870,1,FALSE),0)&lt;&gt;0,1,0)</f>
        <v>0</v>
      </c>
      <c r="V429" s="6" t="str">
        <f>IF(BBDD_Usiarios_Netflix[[#This Row],[Duración Plan]]="12 Meses",LEFT(BBDD_Usiarios_Netflix[[#This Row],[Duración Plan]],2),LEFT(BBDD_Usiarios_Netflix[[#This Row],[Duración Plan]],1))</f>
        <v>6</v>
      </c>
      <c r="W4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30" spans="1:23" x14ac:dyDescent="0.25">
      <c r="A430">
        <v>429</v>
      </c>
      <c r="B430" t="s">
        <v>32</v>
      </c>
      <c r="C430">
        <v>12</v>
      </c>
      <c r="D430" s="3">
        <v>18</v>
      </c>
      <c r="E430" s="3">
        <v>11</v>
      </c>
      <c r="F430">
        <v>23</v>
      </c>
      <c r="G430" s="1">
        <f>DATEVALUE(_xlfn.CONCAT(BBDD_Usiarios_Netflix[[#This Row],[Día Suscripción]],"/",BBDD_Usiarios_Netflix[[#This Row],[Mes Suscripción]],"/",BBDD_Usiarios_Netflix[[#This Row],[Año Suscripción]]))</f>
        <v>45248</v>
      </c>
      <c r="H430" s="1">
        <v>26</v>
      </c>
      <c r="I430" s="1">
        <v>6</v>
      </c>
      <c r="J430" s="1">
        <v>24</v>
      </c>
      <c r="K430" s="1" t="str">
        <f>TEXT(BBDD_Usiarios_Netflix[[#This Row],[Fecha Suscripción]],"dddd")</f>
        <v>sábado</v>
      </c>
      <c r="L430" s="1">
        <f>DATEVALUE(_xlfn.CONCAT(BBDD_Usiarios_Netflix[[#This Row],[Día Último Pago]],"/",BBDD_Usiarios_Netflix[[#This Row],[Mes Último Pago]],"/",BBDD_Usiarios_Netflix[[#This Row],[Año Último Pago]]))</f>
        <v>45469</v>
      </c>
      <c r="M430" s="4">
        <f>DATEDIF(BBDD_Usiarios_Netflix[[#This Row],[Fecha Suscripción]],BBDD_Usiarios_Netflix[[#This Row],[Fecha Último Pago]],"M")+1</f>
        <v>8</v>
      </c>
      <c r="N430" s="4">
        <f>BBDD_Usiarios_Netflix[[#This Row],[Ingresos Mensuales]]*BBDD_Usiarios_Netflix[[#This Row],[Meses contratados]]</f>
        <v>96</v>
      </c>
      <c r="O430" t="s">
        <v>29</v>
      </c>
      <c r="P430" t="str">
        <f>IF(BBDD_Usiarios_Netflix[[#This Row],[País]]="","Desconocido",BBDD_Usiarios_Netflix[[#This Row],[País]])</f>
        <v>EEUU</v>
      </c>
      <c r="Q430">
        <v>51</v>
      </c>
      <c r="R430" t="s">
        <v>25</v>
      </c>
      <c r="S430" t="s">
        <v>36</v>
      </c>
      <c r="T430" t="s">
        <v>27</v>
      </c>
      <c r="U430">
        <f>IF(IFERROR(VLOOKUP(BBDD_Usiarios_Netflix[[#This Row],[Identificador Usuario]],A431:$A$5870,1,FALSE),0)&lt;&gt;0,1,0)</f>
        <v>0</v>
      </c>
      <c r="V430" s="6" t="str">
        <f>IF(BBDD_Usiarios_Netflix[[#This Row],[Duración Plan]]="12 Meses",LEFT(BBDD_Usiarios_Netflix[[#This Row],[Duración Plan]],2),LEFT(BBDD_Usiarios_Netflix[[#This Row],[Duración Plan]],1))</f>
        <v>1</v>
      </c>
      <c r="W4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1" spans="1:23" x14ac:dyDescent="0.25">
      <c r="A431">
        <v>430</v>
      </c>
      <c r="B431" t="s">
        <v>23</v>
      </c>
      <c r="C431">
        <v>10</v>
      </c>
      <c r="D431" s="3">
        <v>22</v>
      </c>
      <c r="E431" s="3">
        <v>11</v>
      </c>
      <c r="F431">
        <v>23</v>
      </c>
      <c r="G431" s="1">
        <f>DATEVALUE(_xlfn.CONCAT(BBDD_Usiarios_Netflix[[#This Row],[Día Suscripción]],"/",BBDD_Usiarios_Netflix[[#This Row],[Mes Suscripción]],"/",BBDD_Usiarios_Netflix[[#This Row],[Año Suscripción]]))</f>
        <v>45252</v>
      </c>
      <c r="H431" s="1">
        <v>30</v>
      </c>
      <c r="I431" s="1">
        <v>6</v>
      </c>
      <c r="J431" s="1">
        <v>24</v>
      </c>
      <c r="K431" s="1" t="str">
        <f>TEXT(BBDD_Usiarios_Netflix[[#This Row],[Fecha Suscripción]],"dddd")</f>
        <v>miércoles</v>
      </c>
      <c r="L431" s="1">
        <f>DATEVALUE(_xlfn.CONCAT(BBDD_Usiarios_Netflix[[#This Row],[Día Último Pago]],"/",BBDD_Usiarios_Netflix[[#This Row],[Mes Último Pago]],"/",BBDD_Usiarios_Netflix[[#This Row],[Año Último Pago]]))</f>
        <v>45473</v>
      </c>
      <c r="M431" s="4">
        <f>DATEDIF(BBDD_Usiarios_Netflix[[#This Row],[Fecha Suscripción]],BBDD_Usiarios_Netflix[[#This Row],[Fecha Último Pago]],"M")+1</f>
        <v>8</v>
      </c>
      <c r="N431" s="4">
        <f>BBDD_Usiarios_Netflix[[#This Row],[Ingresos Mensuales]]*BBDD_Usiarios_Netflix[[#This Row],[Meses contratados]]</f>
        <v>80</v>
      </c>
      <c r="O431" t="s">
        <v>29</v>
      </c>
      <c r="P431" t="str">
        <f>IF(BBDD_Usiarios_Netflix[[#This Row],[País]]="","Desconocido",BBDD_Usiarios_Netflix[[#This Row],[País]])</f>
        <v>EEUU</v>
      </c>
      <c r="Q431">
        <v>46</v>
      </c>
      <c r="R431" t="s">
        <v>30</v>
      </c>
      <c r="S431" t="s">
        <v>34</v>
      </c>
      <c r="T431" t="s">
        <v>38</v>
      </c>
      <c r="U431">
        <f>IF(IFERROR(VLOOKUP(BBDD_Usiarios_Netflix[[#This Row],[Identificador Usuario]],A432:$A$5870,1,FALSE),0)&lt;&gt;0,1,0)</f>
        <v>0</v>
      </c>
      <c r="V431" s="6" t="str">
        <f>IF(BBDD_Usiarios_Netflix[[#This Row],[Duración Plan]]="12 Meses",LEFT(BBDD_Usiarios_Netflix[[#This Row],[Duración Plan]],2),LEFT(BBDD_Usiarios_Netflix[[#This Row],[Duración Plan]],1))</f>
        <v>3</v>
      </c>
      <c r="W4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32" spans="1:23" x14ac:dyDescent="0.25">
      <c r="A432">
        <v>431</v>
      </c>
      <c r="B432" t="s">
        <v>28</v>
      </c>
      <c r="C432">
        <v>15</v>
      </c>
      <c r="D432" s="3">
        <v>4</v>
      </c>
      <c r="E432" s="3">
        <v>12</v>
      </c>
      <c r="F432">
        <v>23</v>
      </c>
      <c r="G432" s="1">
        <f>DATEVALUE(_xlfn.CONCAT(BBDD_Usiarios_Netflix[[#This Row],[Día Suscripción]],"/",BBDD_Usiarios_Netflix[[#This Row],[Mes Suscripción]],"/",BBDD_Usiarios_Netflix[[#This Row],[Año Suscripción]]))</f>
        <v>45264</v>
      </c>
      <c r="H432" s="1">
        <v>28</v>
      </c>
      <c r="I432" s="1">
        <v>6</v>
      </c>
      <c r="J432" s="1">
        <v>24</v>
      </c>
      <c r="K432" s="1" t="str">
        <f>TEXT(BBDD_Usiarios_Netflix[[#This Row],[Fecha Suscripción]],"dddd")</f>
        <v>lunes</v>
      </c>
      <c r="L432" s="1">
        <f>DATEVALUE(_xlfn.CONCAT(BBDD_Usiarios_Netflix[[#This Row],[Día Último Pago]],"/",BBDD_Usiarios_Netflix[[#This Row],[Mes Último Pago]],"/",BBDD_Usiarios_Netflix[[#This Row],[Año Último Pago]]))</f>
        <v>45471</v>
      </c>
      <c r="M432" s="4">
        <f>DATEDIF(BBDD_Usiarios_Netflix[[#This Row],[Fecha Suscripción]],BBDD_Usiarios_Netflix[[#This Row],[Fecha Último Pago]],"M")+1</f>
        <v>7</v>
      </c>
      <c r="N432" s="4">
        <f>BBDD_Usiarios_Netflix[[#This Row],[Ingresos Mensuales]]*BBDD_Usiarios_Netflix[[#This Row],[Meses contratados]]</f>
        <v>105</v>
      </c>
      <c r="O432" t="s">
        <v>40</v>
      </c>
      <c r="P432" t="str">
        <f>IF(BBDD_Usiarios_Netflix[[#This Row],[País]]="","Desconocido",BBDD_Usiarios_Netflix[[#This Row],[País]])</f>
        <v>Italia</v>
      </c>
      <c r="Q432">
        <v>28</v>
      </c>
      <c r="R432" t="s">
        <v>25</v>
      </c>
      <c r="S432" t="s">
        <v>34</v>
      </c>
      <c r="T432" t="s">
        <v>27</v>
      </c>
      <c r="U432">
        <f>IF(IFERROR(VLOOKUP(BBDD_Usiarios_Netflix[[#This Row],[Identificador Usuario]],A433:$A$5870,1,FALSE),0)&lt;&gt;0,1,0)</f>
        <v>0</v>
      </c>
      <c r="V432" s="6" t="str">
        <f>IF(BBDD_Usiarios_Netflix[[#This Row],[Duración Plan]]="12 Meses",LEFT(BBDD_Usiarios_Netflix[[#This Row],[Duración Plan]],2),LEFT(BBDD_Usiarios_Netflix[[#This Row],[Duración Plan]],1))</f>
        <v>1</v>
      </c>
      <c r="W4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3" spans="1:23" x14ac:dyDescent="0.25">
      <c r="A433">
        <v>432</v>
      </c>
      <c r="B433" t="s">
        <v>23</v>
      </c>
      <c r="C433">
        <v>10</v>
      </c>
      <c r="D433" s="3">
        <v>19</v>
      </c>
      <c r="E433" s="3">
        <v>11</v>
      </c>
      <c r="F433">
        <v>23</v>
      </c>
      <c r="G433" s="1">
        <f>DATEVALUE(_xlfn.CONCAT(BBDD_Usiarios_Netflix[[#This Row],[Día Suscripción]],"/",BBDD_Usiarios_Netflix[[#This Row],[Mes Suscripción]],"/",BBDD_Usiarios_Netflix[[#This Row],[Año Suscripción]]))</f>
        <v>45249</v>
      </c>
      <c r="H433" s="1">
        <v>30</v>
      </c>
      <c r="I433" s="1">
        <v>6</v>
      </c>
      <c r="J433" s="1">
        <v>24</v>
      </c>
      <c r="K433" s="1" t="str">
        <f>TEXT(BBDD_Usiarios_Netflix[[#This Row],[Fecha Suscripción]],"dddd")</f>
        <v>domingo</v>
      </c>
      <c r="L433" s="1">
        <f>DATEVALUE(_xlfn.CONCAT(BBDD_Usiarios_Netflix[[#This Row],[Día Último Pago]],"/",BBDD_Usiarios_Netflix[[#This Row],[Mes Último Pago]],"/",BBDD_Usiarios_Netflix[[#This Row],[Año Último Pago]]))</f>
        <v>45473</v>
      </c>
      <c r="M433" s="4">
        <f>DATEDIF(BBDD_Usiarios_Netflix[[#This Row],[Fecha Suscripción]],BBDD_Usiarios_Netflix[[#This Row],[Fecha Último Pago]],"M")+1</f>
        <v>8</v>
      </c>
      <c r="N433" s="4">
        <f>BBDD_Usiarios_Netflix[[#This Row],[Ingresos Mensuales]]*BBDD_Usiarios_Netflix[[#This Row],[Meses contratados]]</f>
        <v>80</v>
      </c>
      <c r="O433" t="s">
        <v>37</v>
      </c>
      <c r="P433" t="str">
        <f>IF(BBDD_Usiarios_Netflix[[#This Row],[País]]="","Desconocido",BBDD_Usiarios_Netflix[[#This Row],[País]])</f>
        <v>Brasil</v>
      </c>
      <c r="Q433">
        <v>46</v>
      </c>
      <c r="R433" t="s">
        <v>30</v>
      </c>
      <c r="S433" t="s">
        <v>34</v>
      </c>
      <c r="T433" t="s">
        <v>35</v>
      </c>
      <c r="U433">
        <f>IF(IFERROR(VLOOKUP(BBDD_Usiarios_Netflix[[#This Row],[Identificador Usuario]],A434:$A$5870,1,FALSE),0)&lt;&gt;0,1,0)</f>
        <v>0</v>
      </c>
      <c r="V433" s="6" t="str">
        <f>IF(BBDD_Usiarios_Netflix[[#This Row],[Duración Plan]]="12 Meses",LEFT(BBDD_Usiarios_Netflix[[#This Row],[Duración Plan]],2),LEFT(BBDD_Usiarios_Netflix[[#This Row],[Duración Plan]],1))</f>
        <v>6</v>
      </c>
      <c r="W4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34" spans="1:23" x14ac:dyDescent="0.25">
      <c r="A434">
        <v>433</v>
      </c>
      <c r="B434" t="s">
        <v>32</v>
      </c>
      <c r="C434">
        <v>12</v>
      </c>
      <c r="D434" s="3">
        <v>6</v>
      </c>
      <c r="E434" s="3">
        <v>11</v>
      </c>
      <c r="F434">
        <v>23</v>
      </c>
      <c r="G434" s="1">
        <f>DATEVALUE(_xlfn.CONCAT(BBDD_Usiarios_Netflix[[#This Row],[Día Suscripción]],"/",BBDD_Usiarios_Netflix[[#This Row],[Mes Suscripción]],"/",BBDD_Usiarios_Netflix[[#This Row],[Año Suscripción]]))</f>
        <v>45236</v>
      </c>
      <c r="H434" s="1">
        <v>25</v>
      </c>
      <c r="I434" s="1">
        <v>6</v>
      </c>
      <c r="J434" s="1">
        <v>24</v>
      </c>
      <c r="K434" s="1" t="str">
        <f>TEXT(BBDD_Usiarios_Netflix[[#This Row],[Fecha Suscripción]],"dddd")</f>
        <v>lunes</v>
      </c>
      <c r="L434" s="1">
        <f>DATEVALUE(_xlfn.CONCAT(BBDD_Usiarios_Netflix[[#This Row],[Día Último Pago]],"/",BBDD_Usiarios_Netflix[[#This Row],[Mes Último Pago]],"/",BBDD_Usiarios_Netflix[[#This Row],[Año Último Pago]]))</f>
        <v>45468</v>
      </c>
      <c r="M434" s="4">
        <f>DATEDIF(BBDD_Usiarios_Netflix[[#This Row],[Fecha Suscripción]],BBDD_Usiarios_Netflix[[#This Row],[Fecha Último Pago]],"M")+1</f>
        <v>8</v>
      </c>
      <c r="N434" s="4">
        <f>BBDD_Usiarios_Netflix[[#This Row],[Ingresos Mensuales]]*BBDD_Usiarios_Netflix[[#This Row],[Meses contratados]]</f>
        <v>96</v>
      </c>
      <c r="O434" t="s">
        <v>29</v>
      </c>
      <c r="P434" t="str">
        <f>IF(BBDD_Usiarios_Netflix[[#This Row],[País]]="","Desconocido",BBDD_Usiarios_Netflix[[#This Row],[País]])</f>
        <v>EEUU</v>
      </c>
      <c r="Q434">
        <v>46</v>
      </c>
      <c r="R434" t="s">
        <v>30</v>
      </c>
      <c r="S434" t="s">
        <v>26</v>
      </c>
      <c r="T434" t="s">
        <v>27</v>
      </c>
      <c r="U434">
        <f>IF(IFERROR(VLOOKUP(BBDD_Usiarios_Netflix[[#This Row],[Identificador Usuario]],A435:$A$5870,1,FALSE),0)&lt;&gt;0,1,0)</f>
        <v>0</v>
      </c>
      <c r="V434" s="6" t="str">
        <f>IF(BBDD_Usiarios_Netflix[[#This Row],[Duración Plan]]="12 Meses",LEFT(BBDD_Usiarios_Netflix[[#This Row],[Duración Plan]],2),LEFT(BBDD_Usiarios_Netflix[[#This Row],[Duración Plan]],1))</f>
        <v>1</v>
      </c>
      <c r="W4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5" spans="1:23" x14ac:dyDescent="0.25">
      <c r="A435">
        <v>434</v>
      </c>
      <c r="B435" t="s">
        <v>28</v>
      </c>
      <c r="C435">
        <v>14</v>
      </c>
      <c r="D435" s="3">
        <v>15</v>
      </c>
      <c r="E435" s="3">
        <v>10</v>
      </c>
      <c r="F435">
        <v>23</v>
      </c>
      <c r="G435" s="1">
        <f>DATEVALUE(_xlfn.CONCAT(BBDD_Usiarios_Netflix[[#This Row],[Día Suscripción]],"/",BBDD_Usiarios_Netflix[[#This Row],[Mes Suscripción]],"/",BBDD_Usiarios_Netflix[[#This Row],[Año Suscripción]]))</f>
        <v>45214</v>
      </c>
      <c r="H435" s="1">
        <v>29</v>
      </c>
      <c r="I435" s="1">
        <v>6</v>
      </c>
      <c r="J435" s="1">
        <v>24</v>
      </c>
      <c r="K435" s="1" t="str">
        <f>TEXT(BBDD_Usiarios_Netflix[[#This Row],[Fecha Suscripción]],"dddd")</f>
        <v>domingo</v>
      </c>
      <c r="L435" s="1">
        <f>DATEVALUE(_xlfn.CONCAT(BBDD_Usiarios_Netflix[[#This Row],[Día Último Pago]],"/",BBDD_Usiarios_Netflix[[#This Row],[Mes Último Pago]],"/",BBDD_Usiarios_Netflix[[#This Row],[Año Último Pago]]))</f>
        <v>45472</v>
      </c>
      <c r="M435" s="4">
        <f>DATEDIF(BBDD_Usiarios_Netflix[[#This Row],[Fecha Suscripción]],BBDD_Usiarios_Netflix[[#This Row],[Fecha Último Pago]],"M")+1</f>
        <v>9</v>
      </c>
      <c r="N435" s="4">
        <f>BBDD_Usiarios_Netflix[[#This Row],[Ingresos Mensuales]]*BBDD_Usiarios_Netflix[[#This Row],[Meses contratados]]</f>
        <v>126</v>
      </c>
      <c r="O435" t="s">
        <v>24</v>
      </c>
      <c r="P435" t="str">
        <f>IF(BBDD_Usiarios_Netflix[[#This Row],[País]]="","Desconocido",BBDD_Usiarios_Netflix[[#This Row],[País]])</f>
        <v>Australia</v>
      </c>
      <c r="Q435">
        <v>32</v>
      </c>
      <c r="R435" t="s">
        <v>30</v>
      </c>
      <c r="S435" t="s">
        <v>36</v>
      </c>
      <c r="T435" t="s">
        <v>27</v>
      </c>
      <c r="U435">
        <f>IF(IFERROR(VLOOKUP(BBDD_Usiarios_Netflix[[#This Row],[Identificador Usuario]],A436:$A$5870,1,FALSE),0)&lt;&gt;0,1,0)</f>
        <v>0</v>
      </c>
      <c r="V435" s="6" t="str">
        <f>IF(BBDD_Usiarios_Netflix[[#This Row],[Duración Plan]]="12 Meses",LEFT(BBDD_Usiarios_Netflix[[#This Row],[Duración Plan]],2),LEFT(BBDD_Usiarios_Netflix[[#This Row],[Duración Plan]],1))</f>
        <v>1</v>
      </c>
      <c r="W4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6" spans="1:23" x14ac:dyDescent="0.25">
      <c r="A436">
        <v>435</v>
      </c>
      <c r="B436" t="s">
        <v>23</v>
      </c>
      <c r="C436">
        <v>10</v>
      </c>
      <c r="D436" s="3">
        <v>17</v>
      </c>
      <c r="E436" s="3">
        <v>10</v>
      </c>
      <c r="F436">
        <v>23</v>
      </c>
      <c r="G436" s="1">
        <f>DATEVALUE(_xlfn.CONCAT(BBDD_Usiarios_Netflix[[#This Row],[Día Suscripción]],"/",BBDD_Usiarios_Netflix[[#This Row],[Mes Suscripción]],"/",BBDD_Usiarios_Netflix[[#This Row],[Año Suscripción]]))</f>
        <v>45216</v>
      </c>
      <c r="H436" s="1">
        <v>28</v>
      </c>
      <c r="I436" s="1">
        <v>6</v>
      </c>
      <c r="J436" s="1">
        <v>24</v>
      </c>
      <c r="K436" s="1" t="str">
        <f>TEXT(BBDD_Usiarios_Netflix[[#This Row],[Fecha Suscripción]],"dddd")</f>
        <v>martes</v>
      </c>
      <c r="L436" s="1">
        <f>DATEVALUE(_xlfn.CONCAT(BBDD_Usiarios_Netflix[[#This Row],[Día Último Pago]],"/",BBDD_Usiarios_Netflix[[#This Row],[Mes Último Pago]],"/",BBDD_Usiarios_Netflix[[#This Row],[Año Último Pago]]))</f>
        <v>45471</v>
      </c>
      <c r="M436" s="4">
        <f>DATEDIF(BBDD_Usiarios_Netflix[[#This Row],[Fecha Suscripción]],BBDD_Usiarios_Netflix[[#This Row],[Fecha Último Pago]],"M")+1</f>
        <v>9</v>
      </c>
      <c r="N436" s="4">
        <f>BBDD_Usiarios_Netflix[[#This Row],[Ingresos Mensuales]]*BBDD_Usiarios_Netflix[[#This Row],[Meses contratados]]</f>
        <v>90</v>
      </c>
      <c r="O436" t="s">
        <v>43</v>
      </c>
      <c r="P436" t="str">
        <f>IF(BBDD_Usiarios_Netflix[[#This Row],[País]]="","Desconocido",BBDD_Usiarios_Netflix[[#This Row],[País]])</f>
        <v>Alemania</v>
      </c>
      <c r="Q436">
        <v>39</v>
      </c>
      <c r="R436" t="s">
        <v>30</v>
      </c>
      <c r="S436" t="s">
        <v>34</v>
      </c>
      <c r="T436" t="s">
        <v>27</v>
      </c>
      <c r="U436">
        <f>IF(IFERROR(VLOOKUP(BBDD_Usiarios_Netflix[[#This Row],[Identificador Usuario]],A437:$A$5870,1,FALSE),0)&lt;&gt;0,1,0)</f>
        <v>0</v>
      </c>
      <c r="V436" s="6" t="str">
        <f>IF(BBDD_Usiarios_Netflix[[#This Row],[Duración Plan]]="12 Meses",LEFT(BBDD_Usiarios_Netflix[[#This Row],[Duración Plan]],2),LEFT(BBDD_Usiarios_Netflix[[#This Row],[Duración Plan]],1))</f>
        <v>1</v>
      </c>
      <c r="W4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7" spans="1:23" x14ac:dyDescent="0.25">
      <c r="A437">
        <v>436</v>
      </c>
      <c r="B437" t="s">
        <v>28</v>
      </c>
      <c r="C437">
        <v>14</v>
      </c>
      <c r="D437" s="3">
        <v>19</v>
      </c>
      <c r="E437" s="3">
        <v>10</v>
      </c>
      <c r="F437">
        <v>23</v>
      </c>
      <c r="G437" s="1">
        <f>DATEVALUE(_xlfn.CONCAT(BBDD_Usiarios_Netflix[[#This Row],[Día Suscripción]],"/",BBDD_Usiarios_Netflix[[#This Row],[Mes Suscripción]],"/",BBDD_Usiarios_Netflix[[#This Row],[Año Suscripción]]))</f>
        <v>45218</v>
      </c>
      <c r="H437" s="1">
        <v>29</v>
      </c>
      <c r="I437" s="1">
        <v>6</v>
      </c>
      <c r="J437" s="1">
        <v>24</v>
      </c>
      <c r="K437" s="1" t="str">
        <f>TEXT(BBDD_Usiarios_Netflix[[#This Row],[Fecha Suscripción]],"dddd")</f>
        <v>jueves</v>
      </c>
      <c r="L437" s="1">
        <f>DATEVALUE(_xlfn.CONCAT(BBDD_Usiarios_Netflix[[#This Row],[Día Último Pago]],"/",BBDD_Usiarios_Netflix[[#This Row],[Mes Último Pago]],"/",BBDD_Usiarios_Netflix[[#This Row],[Año Último Pago]]))</f>
        <v>45472</v>
      </c>
      <c r="M437" s="4">
        <f>DATEDIF(BBDD_Usiarios_Netflix[[#This Row],[Fecha Suscripción]],BBDD_Usiarios_Netflix[[#This Row],[Fecha Último Pago]],"M")+1</f>
        <v>9</v>
      </c>
      <c r="N437" s="4">
        <f>BBDD_Usiarios_Netflix[[#This Row],[Ingresos Mensuales]]*BBDD_Usiarios_Netflix[[#This Row],[Meses contratados]]</f>
        <v>126</v>
      </c>
      <c r="O437" t="s">
        <v>39</v>
      </c>
      <c r="P437" t="str">
        <f>IF(BBDD_Usiarios_Netflix[[#This Row],[País]]="","Desconocido",BBDD_Usiarios_Netflix[[#This Row],[País]])</f>
        <v>Canadá</v>
      </c>
      <c r="Q437">
        <v>41</v>
      </c>
      <c r="R437" t="s">
        <v>30</v>
      </c>
      <c r="S437" t="s">
        <v>26</v>
      </c>
      <c r="T437" t="s">
        <v>27</v>
      </c>
      <c r="U437">
        <f>IF(IFERROR(VLOOKUP(BBDD_Usiarios_Netflix[[#This Row],[Identificador Usuario]],A438:$A$5870,1,FALSE),0)&lt;&gt;0,1,0)</f>
        <v>0</v>
      </c>
      <c r="V437" s="6" t="str">
        <f>IF(BBDD_Usiarios_Netflix[[#This Row],[Duración Plan]]="12 Meses",LEFT(BBDD_Usiarios_Netflix[[#This Row],[Duración Plan]],2),LEFT(BBDD_Usiarios_Netflix[[#This Row],[Duración Plan]],1))</f>
        <v>1</v>
      </c>
      <c r="W4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8" spans="1:23" x14ac:dyDescent="0.25">
      <c r="A438">
        <v>437</v>
      </c>
      <c r="B438" t="s">
        <v>23</v>
      </c>
      <c r="C438">
        <v>10</v>
      </c>
      <c r="D438" s="3">
        <v>23</v>
      </c>
      <c r="E438" s="3">
        <v>10</v>
      </c>
      <c r="F438">
        <v>23</v>
      </c>
      <c r="G438" s="1">
        <f>DATEVALUE(_xlfn.CONCAT(BBDD_Usiarios_Netflix[[#This Row],[Día Suscripción]],"/",BBDD_Usiarios_Netflix[[#This Row],[Mes Suscripción]],"/",BBDD_Usiarios_Netflix[[#This Row],[Año Suscripción]]))</f>
        <v>45222</v>
      </c>
      <c r="H438" s="1">
        <v>25</v>
      </c>
      <c r="I438" s="1">
        <v>6</v>
      </c>
      <c r="J438" s="1">
        <v>24</v>
      </c>
      <c r="K438" s="1" t="str">
        <f>TEXT(BBDD_Usiarios_Netflix[[#This Row],[Fecha Suscripción]],"dddd")</f>
        <v>lunes</v>
      </c>
      <c r="L438" s="1">
        <f>DATEVALUE(_xlfn.CONCAT(BBDD_Usiarios_Netflix[[#This Row],[Día Último Pago]],"/",BBDD_Usiarios_Netflix[[#This Row],[Mes Último Pago]],"/",BBDD_Usiarios_Netflix[[#This Row],[Año Último Pago]]))</f>
        <v>45468</v>
      </c>
      <c r="M438" s="4">
        <f>DATEDIF(BBDD_Usiarios_Netflix[[#This Row],[Fecha Suscripción]],BBDD_Usiarios_Netflix[[#This Row],[Fecha Último Pago]],"M")+1</f>
        <v>9</v>
      </c>
      <c r="N438" s="4">
        <f>BBDD_Usiarios_Netflix[[#This Row],[Ingresos Mensuales]]*BBDD_Usiarios_Netflix[[#This Row],[Meses contratados]]</f>
        <v>90</v>
      </c>
      <c r="O438" t="s">
        <v>42</v>
      </c>
      <c r="P438" t="str">
        <f>IF(BBDD_Usiarios_Netflix[[#This Row],[País]]="","Desconocido",BBDD_Usiarios_Netflix[[#This Row],[País]])</f>
        <v>Reino Unido</v>
      </c>
      <c r="Q438">
        <v>47</v>
      </c>
      <c r="R438" t="s">
        <v>25</v>
      </c>
      <c r="S438" t="s">
        <v>34</v>
      </c>
      <c r="T438" t="s">
        <v>27</v>
      </c>
      <c r="U438">
        <f>IF(IFERROR(VLOOKUP(BBDD_Usiarios_Netflix[[#This Row],[Identificador Usuario]],A439:$A$5870,1,FALSE),0)&lt;&gt;0,1,0)</f>
        <v>0</v>
      </c>
      <c r="V438" s="6" t="str">
        <f>IF(BBDD_Usiarios_Netflix[[#This Row],[Duración Plan]]="12 Meses",LEFT(BBDD_Usiarios_Netflix[[#This Row],[Duración Plan]],2),LEFT(BBDD_Usiarios_Netflix[[#This Row],[Duración Plan]],1))</f>
        <v>1</v>
      </c>
      <c r="W4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39" spans="1:23" x14ac:dyDescent="0.25">
      <c r="A439">
        <v>438</v>
      </c>
      <c r="B439" t="s">
        <v>32</v>
      </c>
      <c r="C439">
        <v>12</v>
      </c>
      <c r="D439" s="3">
        <v>24</v>
      </c>
      <c r="E439" s="3">
        <v>10</v>
      </c>
      <c r="F439">
        <v>23</v>
      </c>
      <c r="G439" s="1">
        <f>DATEVALUE(_xlfn.CONCAT(BBDD_Usiarios_Netflix[[#This Row],[Día Suscripción]],"/",BBDD_Usiarios_Netflix[[#This Row],[Mes Suscripción]],"/",BBDD_Usiarios_Netflix[[#This Row],[Año Suscripción]]))</f>
        <v>45223</v>
      </c>
      <c r="H439" s="1">
        <v>28</v>
      </c>
      <c r="I439" s="1">
        <v>6</v>
      </c>
      <c r="J439" s="1">
        <v>24</v>
      </c>
      <c r="K439" s="1" t="str">
        <f>TEXT(BBDD_Usiarios_Netflix[[#This Row],[Fecha Suscripción]],"dddd")</f>
        <v>martes</v>
      </c>
      <c r="L439" s="1">
        <f>DATEVALUE(_xlfn.CONCAT(BBDD_Usiarios_Netflix[[#This Row],[Día Último Pago]],"/",BBDD_Usiarios_Netflix[[#This Row],[Mes Último Pago]],"/",BBDD_Usiarios_Netflix[[#This Row],[Año Último Pago]]))</f>
        <v>45471</v>
      </c>
      <c r="M439" s="4">
        <f>DATEDIF(BBDD_Usiarios_Netflix[[#This Row],[Fecha Suscripción]],BBDD_Usiarios_Netflix[[#This Row],[Fecha Último Pago]],"M")+1</f>
        <v>9</v>
      </c>
      <c r="N439" s="4">
        <f>BBDD_Usiarios_Netflix[[#This Row],[Ingresos Mensuales]]*BBDD_Usiarios_Netflix[[#This Row],[Meses contratados]]</f>
        <v>108</v>
      </c>
      <c r="O439" t="s">
        <v>44</v>
      </c>
      <c r="P439" t="str">
        <f>IF(BBDD_Usiarios_Netflix[[#This Row],[País]]="","Desconocido",BBDD_Usiarios_Netflix[[#This Row],[País]])</f>
        <v>Desconocido</v>
      </c>
      <c r="Q439">
        <v>35</v>
      </c>
      <c r="R439" t="s">
        <v>25</v>
      </c>
      <c r="S439" t="s">
        <v>34</v>
      </c>
      <c r="T439" t="s">
        <v>38</v>
      </c>
      <c r="U439">
        <f>IF(IFERROR(VLOOKUP(BBDD_Usiarios_Netflix[[#This Row],[Identificador Usuario]],A440:$A$5870,1,FALSE),0)&lt;&gt;0,1,0)</f>
        <v>0</v>
      </c>
      <c r="V439" s="6" t="str">
        <f>IF(BBDD_Usiarios_Netflix[[#This Row],[Duración Plan]]="12 Meses",LEFT(BBDD_Usiarios_Netflix[[#This Row],[Duración Plan]],2),LEFT(BBDD_Usiarios_Netflix[[#This Row],[Duración Plan]],1))</f>
        <v>3</v>
      </c>
      <c r="W4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0" spans="1:23" x14ac:dyDescent="0.25">
      <c r="A440">
        <v>439</v>
      </c>
      <c r="B440" t="s">
        <v>32</v>
      </c>
      <c r="C440">
        <v>12</v>
      </c>
      <c r="D440" s="3">
        <v>23</v>
      </c>
      <c r="E440" s="3">
        <v>10</v>
      </c>
      <c r="F440">
        <v>23</v>
      </c>
      <c r="G440" s="1">
        <f>DATEVALUE(_xlfn.CONCAT(BBDD_Usiarios_Netflix[[#This Row],[Día Suscripción]],"/",BBDD_Usiarios_Netflix[[#This Row],[Mes Suscripción]],"/",BBDD_Usiarios_Netflix[[#This Row],[Año Suscripción]]))</f>
        <v>45222</v>
      </c>
      <c r="H440" s="1">
        <v>27</v>
      </c>
      <c r="I440" s="1">
        <v>6</v>
      </c>
      <c r="J440" s="1">
        <v>24</v>
      </c>
      <c r="K440" s="1" t="str">
        <f>TEXT(BBDD_Usiarios_Netflix[[#This Row],[Fecha Suscripción]],"dddd")</f>
        <v>lunes</v>
      </c>
      <c r="L440" s="1">
        <f>DATEVALUE(_xlfn.CONCAT(BBDD_Usiarios_Netflix[[#This Row],[Día Último Pago]],"/",BBDD_Usiarios_Netflix[[#This Row],[Mes Último Pago]],"/",BBDD_Usiarios_Netflix[[#This Row],[Año Último Pago]]))</f>
        <v>45470</v>
      </c>
      <c r="M440" s="4">
        <f>DATEDIF(BBDD_Usiarios_Netflix[[#This Row],[Fecha Suscripción]],BBDD_Usiarios_Netflix[[#This Row],[Fecha Último Pago]],"M")+1</f>
        <v>9</v>
      </c>
      <c r="N440" s="4">
        <f>BBDD_Usiarios_Netflix[[#This Row],[Ingresos Mensuales]]*BBDD_Usiarios_Netflix[[#This Row],[Meses contratados]]</f>
        <v>108</v>
      </c>
      <c r="O440" t="s">
        <v>37</v>
      </c>
      <c r="P440" t="str">
        <f>IF(BBDD_Usiarios_Netflix[[#This Row],[País]]="","Desconocido",BBDD_Usiarios_Netflix[[#This Row],[País]])</f>
        <v>Brasil</v>
      </c>
      <c r="Q440">
        <v>37</v>
      </c>
      <c r="R440" t="s">
        <v>30</v>
      </c>
      <c r="S440" t="s">
        <v>34</v>
      </c>
      <c r="T440" t="s">
        <v>38</v>
      </c>
      <c r="U440">
        <f>IF(IFERROR(VLOOKUP(BBDD_Usiarios_Netflix[[#This Row],[Identificador Usuario]],A441:$A$5870,1,FALSE),0)&lt;&gt;0,1,0)</f>
        <v>0</v>
      </c>
      <c r="V440" s="6" t="str">
        <f>IF(BBDD_Usiarios_Netflix[[#This Row],[Duración Plan]]="12 Meses",LEFT(BBDD_Usiarios_Netflix[[#This Row],[Duración Plan]],2),LEFT(BBDD_Usiarios_Netflix[[#This Row],[Duración Plan]],1))</f>
        <v>3</v>
      </c>
      <c r="W4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1" spans="1:23" x14ac:dyDescent="0.25">
      <c r="A441">
        <v>440</v>
      </c>
      <c r="B441" t="s">
        <v>23</v>
      </c>
      <c r="C441">
        <v>10</v>
      </c>
      <c r="D441" s="3">
        <v>10</v>
      </c>
      <c r="E441" s="3">
        <v>10</v>
      </c>
      <c r="F441">
        <v>23</v>
      </c>
      <c r="G441" s="1">
        <f>DATEVALUE(_xlfn.CONCAT(BBDD_Usiarios_Netflix[[#This Row],[Día Suscripción]],"/",BBDD_Usiarios_Netflix[[#This Row],[Mes Suscripción]],"/",BBDD_Usiarios_Netflix[[#This Row],[Año Suscripción]]))</f>
        <v>45209</v>
      </c>
      <c r="H441" s="1">
        <v>29</v>
      </c>
      <c r="I441" s="1">
        <v>6</v>
      </c>
      <c r="J441" s="1">
        <v>24</v>
      </c>
      <c r="K441" s="1" t="str">
        <f>TEXT(BBDD_Usiarios_Netflix[[#This Row],[Fecha Suscripción]],"dddd")</f>
        <v>martes</v>
      </c>
      <c r="L441" s="1">
        <f>DATEVALUE(_xlfn.CONCAT(BBDD_Usiarios_Netflix[[#This Row],[Día Último Pago]],"/",BBDD_Usiarios_Netflix[[#This Row],[Mes Último Pago]],"/",BBDD_Usiarios_Netflix[[#This Row],[Año Último Pago]]))</f>
        <v>45472</v>
      </c>
      <c r="M441" s="4">
        <f>DATEDIF(BBDD_Usiarios_Netflix[[#This Row],[Fecha Suscripción]],BBDD_Usiarios_Netflix[[#This Row],[Fecha Último Pago]],"M")+1</f>
        <v>9</v>
      </c>
      <c r="N441" s="4">
        <f>BBDD_Usiarios_Netflix[[#This Row],[Ingresos Mensuales]]*BBDD_Usiarios_Netflix[[#This Row],[Meses contratados]]</f>
        <v>90</v>
      </c>
      <c r="O441" t="s">
        <v>29</v>
      </c>
      <c r="P441" t="str">
        <f>IF(BBDD_Usiarios_Netflix[[#This Row],[País]]="","Desconocido",BBDD_Usiarios_Netflix[[#This Row],[País]])</f>
        <v>EEUU</v>
      </c>
      <c r="Q441">
        <v>47</v>
      </c>
      <c r="R441" t="s">
        <v>25</v>
      </c>
      <c r="S441" t="s">
        <v>31</v>
      </c>
      <c r="T441" t="s">
        <v>38</v>
      </c>
      <c r="U441">
        <f>IF(IFERROR(VLOOKUP(BBDD_Usiarios_Netflix[[#This Row],[Identificador Usuario]],A442:$A$5870,1,FALSE),0)&lt;&gt;0,1,0)</f>
        <v>0</v>
      </c>
      <c r="V441" s="6" t="str">
        <f>IF(BBDD_Usiarios_Netflix[[#This Row],[Duración Plan]]="12 Meses",LEFT(BBDD_Usiarios_Netflix[[#This Row],[Duración Plan]],2),LEFT(BBDD_Usiarios_Netflix[[#This Row],[Duración Plan]],1))</f>
        <v>3</v>
      </c>
      <c r="W4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2" spans="1:23" x14ac:dyDescent="0.25">
      <c r="A442">
        <v>441</v>
      </c>
      <c r="B442" t="s">
        <v>28</v>
      </c>
      <c r="C442">
        <v>14</v>
      </c>
      <c r="D442" s="3">
        <v>5</v>
      </c>
      <c r="E442" s="3">
        <v>10</v>
      </c>
      <c r="F442">
        <v>23</v>
      </c>
      <c r="G442" s="1">
        <f>DATEVALUE(_xlfn.CONCAT(BBDD_Usiarios_Netflix[[#This Row],[Día Suscripción]],"/",BBDD_Usiarios_Netflix[[#This Row],[Mes Suscripción]],"/",BBDD_Usiarios_Netflix[[#This Row],[Año Suscripción]]))</f>
        <v>45204</v>
      </c>
      <c r="H442" s="1">
        <v>28</v>
      </c>
      <c r="I442" s="1">
        <v>6</v>
      </c>
      <c r="J442" s="1">
        <v>24</v>
      </c>
      <c r="K442" s="1" t="str">
        <f>TEXT(BBDD_Usiarios_Netflix[[#This Row],[Fecha Suscripción]],"dddd")</f>
        <v>jueves</v>
      </c>
      <c r="L442" s="1">
        <f>DATEVALUE(_xlfn.CONCAT(BBDD_Usiarios_Netflix[[#This Row],[Día Último Pago]],"/",BBDD_Usiarios_Netflix[[#This Row],[Mes Último Pago]],"/",BBDD_Usiarios_Netflix[[#This Row],[Año Último Pago]]))</f>
        <v>45471</v>
      </c>
      <c r="M442" s="4">
        <f>DATEDIF(BBDD_Usiarios_Netflix[[#This Row],[Fecha Suscripción]],BBDD_Usiarios_Netflix[[#This Row],[Fecha Último Pago]],"M")+1</f>
        <v>9</v>
      </c>
      <c r="N442" s="4">
        <f>BBDD_Usiarios_Netflix[[#This Row],[Ingresos Mensuales]]*BBDD_Usiarios_Netflix[[#This Row],[Meses contratados]]</f>
        <v>126</v>
      </c>
      <c r="O442" t="s">
        <v>39</v>
      </c>
      <c r="P442" t="str">
        <f>IF(BBDD_Usiarios_Netflix[[#This Row],[País]]="","Desconocido",BBDD_Usiarios_Netflix[[#This Row],[País]])</f>
        <v>Canadá</v>
      </c>
      <c r="Q442">
        <v>48</v>
      </c>
      <c r="R442" t="s">
        <v>30</v>
      </c>
      <c r="S442" t="s">
        <v>36</v>
      </c>
      <c r="T442" t="s">
        <v>38</v>
      </c>
      <c r="U442">
        <f>IF(IFERROR(VLOOKUP(BBDD_Usiarios_Netflix[[#This Row],[Identificador Usuario]],A443:$A$5870,1,FALSE),0)&lt;&gt;0,1,0)</f>
        <v>0</v>
      </c>
      <c r="V442" s="6" t="str">
        <f>IF(BBDD_Usiarios_Netflix[[#This Row],[Duración Plan]]="12 Meses",LEFT(BBDD_Usiarios_Netflix[[#This Row],[Duración Plan]],2),LEFT(BBDD_Usiarios_Netflix[[#This Row],[Duración Plan]],1))</f>
        <v>3</v>
      </c>
      <c r="W4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3" spans="1:23" x14ac:dyDescent="0.25">
      <c r="A443">
        <v>442</v>
      </c>
      <c r="B443" t="s">
        <v>23</v>
      </c>
      <c r="C443">
        <v>10</v>
      </c>
      <c r="D443" s="3">
        <v>1</v>
      </c>
      <c r="E443" s="3">
        <v>7</v>
      </c>
      <c r="F443">
        <v>23</v>
      </c>
      <c r="G443" s="1">
        <f>DATEVALUE(_xlfn.CONCAT(BBDD_Usiarios_Netflix[[#This Row],[Día Suscripción]],"/",BBDD_Usiarios_Netflix[[#This Row],[Mes Suscripción]],"/",BBDD_Usiarios_Netflix[[#This Row],[Año Suscripción]]))</f>
        <v>45108</v>
      </c>
      <c r="H443" s="1">
        <v>27</v>
      </c>
      <c r="I443" s="1">
        <v>6</v>
      </c>
      <c r="J443" s="1">
        <v>24</v>
      </c>
      <c r="K443" s="1" t="str">
        <f>TEXT(BBDD_Usiarios_Netflix[[#This Row],[Fecha Suscripción]],"dddd")</f>
        <v>sábado</v>
      </c>
      <c r="L443" s="1">
        <f>DATEVALUE(_xlfn.CONCAT(BBDD_Usiarios_Netflix[[#This Row],[Día Último Pago]],"/",BBDD_Usiarios_Netflix[[#This Row],[Mes Último Pago]],"/",BBDD_Usiarios_Netflix[[#This Row],[Año Último Pago]]))</f>
        <v>45470</v>
      </c>
      <c r="M443" s="4">
        <f>DATEDIF(BBDD_Usiarios_Netflix[[#This Row],[Fecha Suscripción]],BBDD_Usiarios_Netflix[[#This Row],[Fecha Último Pago]],"M")+1</f>
        <v>12</v>
      </c>
      <c r="N443" s="4">
        <f>BBDD_Usiarios_Netflix[[#This Row],[Ingresos Mensuales]]*BBDD_Usiarios_Netflix[[#This Row],[Meses contratados]]</f>
        <v>120</v>
      </c>
      <c r="O443" t="s">
        <v>29</v>
      </c>
      <c r="P443" t="str">
        <f>IF(BBDD_Usiarios_Netflix[[#This Row],[País]]="","Desconocido",BBDD_Usiarios_Netflix[[#This Row],[País]])</f>
        <v>EEUU</v>
      </c>
      <c r="Q443">
        <v>30</v>
      </c>
      <c r="R443" t="s">
        <v>30</v>
      </c>
      <c r="S443" t="s">
        <v>36</v>
      </c>
      <c r="T443" t="s">
        <v>27</v>
      </c>
      <c r="U443">
        <f>IF(IFERROR(VLOOKUP(BBDD_Usiarios_Netflix[[#This Row],[Identificador Usuario]],A444:$A$5870,1,FALSE),0)&lt;&gt;0,1,0)</f>
        <v>0</v>
      </c>
      <c r="V443" s="6" t="str">
        <f>IF(BBDD_Usiarios_Netflix[[#This Row],[Duración Plan]]="12 Meses",LEFT(BBDD_Usiarios_Netflix[[#This Row],[Duración Plan]],2),LEFT(BBDD_Usiarios_Netflix[[#This Row],[Duración Plan]],1))</f>
        <v>1</v>
      </c>
      <c r="W4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44" spans="1:23" x14ac:dyDescent="0.25">
      <c r="A444">
        <v>443</v>
      </c>
      <c r="B444" t="s">
        <v>32</v>
      </c>
      <c r="C444">
        <v>12</v>
      </c>
      <c r="D444" s="3">
        <v>1</v>
      </c>
      <c r="E444" s="3">
        <v>7</v>
      </c>
      <c r="F444">
        <v>23</v>
      </c>
      <c r="G444" s="1">
        <f>DATEVALUE(_xlfn.CONCAT(BBDD_Usiarios_Netflix[[#This Row],[Día Suscripción]],"/",BBDD_Usiarios_Netflix[[#This Row],[Mes Suscripción]],"/",BBDD_Usiarios_Netflix[[#This Row],[Año Suscripción]]))</f>
        <v>45108</v>
      </c>
      <c r="H444" s="1">
        <v>27</v>
      </c>
      <c r="I444" s="1">
        <v>6</v>
      </c>
      <c r="J444" s="1">
        <v>24</v>
      </c>
      <c r="K444" s="1" t="str">
        <f>TEXT(BBDD_Usiarios_Netflix[[#This Row],[Fecha Suscripción]],"dddd")</f>
        <v>sábado</v>
      </c>
      <c r="L444" s="1">
        <f>DATEVALUE(_xlfn.CONCAT(BBDD_Usiarios_Netflix[[#This Row],[Día Último Pago]],"/",BBDD_Usiarios_Netflix[[#This Row],[Mes Último Pago]],"/",BBDD_Usiarios_Netflix[[#This Row],[Año Último Pago]]))</f>
        <v>45470</v>
      </c>
      <c r="M444" s="4">
        <f>DATEDIF(BBDD_Usiarios_Netflix[[#This Row],[Fecha Suscripción]],BBDD_Usiarios_Netflix[[#This Row],[Fecha Último Pago]],"M")+1</f>
        <v>12</v>
      </c>
      <c r="N444" s="4">
        <f>BBDD_Usiarios_Netflix[[#This Row],[Ingresos Mensuales]]*BBDD_Usiarios_Netflix[[#This Row],[Meses contratados]]</f>
        <v>144</v>
      </c>
      <c r="O444" t="s">
        <v>29</v>
      </c>
      <c r="P444" t="str">
        <f>IF(BBDD_Usiarios_Netflix[[#This Row],[País]]="","Desconocido",BBDD_Usiarios_Netflix[[#This Row],[País]])</f>
        <v>EEUU</v>
      </c>
      <c r="Q444">
        <v>36</v>
      </c>
      <c r="R444" t="s">
        <v>25</v>
      </c>
      <c r="S444" t="s">
        <v>34</v>
      </c>
      <c r="T444" t="s">
        <v>27</v>
      </c>
      <c r="U444">
        <f>IF(IFERROR(VLOOKUP(BBDD_Usiarios_Netflix[[#This Row],[Identificador Usuario]],A445:$A$5870,1,FALSE),0)&lt;&gt;0,1,0)</f>
        <v>0</v>
      </c>
      <c r="V444" s="6" t="str">
        <f>IF(BBDD_Usiarios_Netflix[[#This Row],[Duración Plan]]="12 Meses",LEFT(BBDD_Usiarios_Netflix[[#This Row],[Duración Plan]],2),LEFT(BBDD_Usiarios_Netflix[[#This Row],[Duración Plan]],1))</f>
        <v>1</v>
      </c>
      <c r="W4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45" spans="1:23" x14ac:dyDescent="0.25">
      <c r="A445">
        <v>444</v>
      </c>
      <c r="B445" t="s">
        <v>28</v>
      </c>
      <c r="C445">
        <v>14</v>
      </c>
      <c r="D445" s="3">
        <v>25</v>
      </c>
      <c r="E445" s="3">
        <v>6</v>
      </c>
      <c r="F445">
        <v>23</v>
      </c>
      <c r="G445" s="1">
        <f>DATEVALUE(_xlfn.CONCAT(BBDD_Usiarios_Netflix[[#This Row],[Día Suscripción]],"/",BBDD_Usiarios_Netflix[[#This Row],[Mes Suscripción]],"/",BBDD_Usiarios_Netflix[[#This Row],[Año Suscripción]]))</f>
        <v>45102</v>
      </c>
      <c r="H445" s="1">
        <v>28</v>
      </c>
      <c r="I445" s="1">
        <v>6</v>
      </c>
      <c r="J445" s="1">
        <v>24</v>
      </c>
      <c r="K445" s="1" t="str">
        <f>TEXT(BBDD_Usiarios_Netflix[[#This Row],[Fecha Suscripción]],"dddd")</f>
        <v>domingo</v>
      </c>
      <c r="L445" s="1">
        <f>DATEVALUE(_xlfn.CONCAT(BBDD_Usiarios_Netflix[[#This Row],[Día Último Pago]],"/",BBDD_Usiarios_Netflix[[#This Row],[Mes Último Pago]],"/",BBDD_Usiarios_Netflix[[#This Row],[Año Último Pago]]))</f>
        <v>45471</v>
      </c>
      <c r="M445" s="4">
        <f>DATEDIF(BBDD_Usiarios_Netflix[[#This Row],[Fecha Suscripción]],BBDD_Usiarios_Netflix[[#This Row],[Fecha Último Pago]],"M")+1</f>
        <v>13</v>
      </c>
      <c r="N445" s="4">
        <f>BBDD_Usiarios_Netflix[[#This Row],[Ingresos Mensuales]]*BBDD_Usiarios_Netflix[[#This Row],[Meses contratados]]</f>
        <v>182</v>
      </c>
      <c r="O445" t="s">
        <v>44</v>
      </c>
      <c r="P445" t="str">
        <f>IF(BBDD_Usiarios_Netflix[[#This Row],[País]]="","Desconocido",BBDD_Usiarios_Netflix[[#This Row],[País]])</f>
        <v>Desconocido</v>
      </c>
      <c r="Q445">
        <v>50</v>
      </c>
      <c r="R445" t="s">
        <v>30</v>
      </c>
      <c r="S445" t="s">
        <v>26</v>
      </c>
      <c r="T445" t="s">
        <v>27</v>
      </c>
      <c r="U445">
        <f>IF(IFERROR(VLOOKUP(BBDD_Usiarios_Netflix[[#This Row],[Identificador Usuario]],A446:$A$5870,1,FALSE),0)&lt;&gt;0,1,0)</f>
        <v>0</v>
      </c>
      <c r="V445" s="6" t="str">
        <f>IF(BBDD_Usiarios_Netflix[[#This Row],[Duración Plan]]="12 Meses",LEFT(BBDD_Usiarios_Netflix[[#This Row],[Duración Plan]],2),LEFT(BBDD_Usiarios_Netflix[[#This Row],[Duración Plan]],1))</f>
        <v>1</v>
      </c>
      <c r="W4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46" spans="1:23" x14ac:dyDescent="0.25">
      <c r="A446">
        <v>445</v>
      </c>
      <c r="B446" t="s">
        <v>23</v>
      </c>
      <c r="C446">
        <v>10</v>
      </c>
      <c r="D446" s="3">
        <v>24</v>
      </c>
      <c r="E446" s="3">
        <v>6</v>
      </c>
      <c r="F446">
        <v>23</v>
      </c>
      <c r="G446" s="1">
        <f>DATEVALUE(_xlfn.CONCAT(BBDD_Usiarios_Netflix[[#This Row],[Día Suscripción]],"/",BBDD_Usiarios_Netflix[[#This Row],[Mes Suscripción]],"/",BBDD_Usiarios_Netflix[[#This Row],[Año Suscripción]]))</f>
        <v>45101</v>
      </c>
      <c r="H446" s="1">
        <v>28</v>
      </c>
      <c r="I446" s="1">
        <v>6</v>
      </c>
      <c r="J446" s="1">
        <v>24</v>
      </c>
      <c r="K446" s="1" t="str">
        <f>TEXT(BBDD_Usiarios_Netflix[[#This Row],[Fecha Suscripción]],"dddd")</f>
        <v>sábado</v>
      </c>
      <c r="L446" s="1">
        <f>DATEVALUE(_xlfn.CONCAT(BBDD_Usiarios_Netflix[[#This Row],[Día Último Pago]],"/",BBDD_Usiarios_Netflix[[#This Row],[Mes Último Pago]],"/",BBDD_Usiarios_Netflix[[#This Row],[Año Último Pago]]))</f>
        <v>45471</v>
      </c>
      <c r="M446" s="4">
        <f>DATEDIF(BBDD_Usiarios_Netflix[[#This Row],[Fecha Suscripción]],BBDD_Usiarios_Netflix[[#This Row],[Fecha Último Pago]],"M")+1</f>
        <v>13</v>
      </c>
      <c r="N446" s="4">
        <f>BBDD_Usiarios_Netflix[[#This Row],[Ingresos Mensuales]]*BBDD_Usiarios_Netflix[[#This Row],[Meses contratados]]</f>
        <v>130</v>
      </c>
      <c r="O446" t="s">
        <v>39</v>
      </c>
      <c r="P446" t="str">
        <f>IF(BBDD_Usiarios_Netflix[[#This Row],[País]]="","Desconocido",BBDD_Usiarios_Netflix[[#This Row],[País]])</f>
        <v>Canadá</v>
      </c>
      <c r="Q446">
        <v>41</v>
      </c>
      <c r="R446" t="s">
        <v>25</v>
      </c>
      <c r="S446" t="s">
        <v>31</v>
      </c>
      <c r="T446" t="s">
        <v>38</v>
      </c>
      <c r="U446">
        <f>IF(IFERROR(VLOOKUP(BBDD_Usiarios_Netflix[[#This Row],[Identificador Usuario]],A447:$A$5870,1,FALSE),0)&lt;&gt;0,1,0)</f>
        <v>0</v>
      </c>
      <c r="V446" s="6" t="str">
        <f>IF(BBDD_Usiarios_Netflix[[#This Row],[Duración Plan]]="12 Meses",LEFT(BBDD_Usiarios_Netflix[[#This Row],[Duración Plan]],2),LEFT(BBDD_Usiarios_Netflix[[#This Row],[Duración Plan]],1))</f>
        <v>3</v>
      </c>
      <c r="W4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7" spans="1:23" x14ac:dyDescent="0.25">
      <c r="A447">
        <v>446</v>
      </c>
      <c r="B447" t="s">
        <v>23</v>
      </c>
      <c r="C447">
        <v>10</v>
      </c>
      <c r="D447" s="3">
        <v>28</v>
      </c>
      <c r="E447" s="3">
        <v>6</v>
      </c>
      <c r="F447">
        <v>23</v>
      </c>
      <c r="G447" s="1">
        <f>DATEVALUE(_xlfn.CONCAT(BBDD_Usiarios_Netflix[[#This Row],[Día Suscripción]],"/",BBDD_Usiarios_Netflix[[#This Row],[Mes Suscripción]],"/",BBDD_Usiarios_Netflix[[#This Row],[Año Suscripción]]))</f>
        <v>45105</v>
      </c>
      <c r="H447" s="1">
        <v>28</v>
      </c>
      <c r="I447" s="1">
        <v>6</v>
      </c>
      <c r="J447" s="1">
        <v>24</v>
      </c>
      <c r="K447" s="1" t="str">
        <f>TEXT(BBDD_Usiarios_Netflix[[#This Row],[Fecha Suscripción]],"dddd")</f>
        <v>miércoles</v>
      </c>
      <c r="L447" s="1">
        <f>DATEVALUE(_xlfn.CONCAT(BBDD_Usiarios_Netflix[[#This Row],[Día Último Pago]],"/",BBDD_Usiarios_Netflix[[#This Row],[Mes Último Pago]],"/",BBDD_Usiarios_Netflix[[#This Row],[Año Último Pago]]))</f>
        <v>45471</v>
      </c>
      <c r="M447" s="4">
        <f>DATEDIF(BBDD_Usiarios_Netflix[[#This Row],[Fecha Suscripción]],BBDD_Usiarios_Netflix[[#This Row],[Fecha Último Pago]],"M")+1</f>
        <v>13</v>
      </c>
      <c r="N447" s="4">
        <f>BBDD_Usiarios_Netflix[[#This Row],[Ingresos Mensuales]]*BBDD_Usiarios_Netflix[[#This Row],[Meses contratados]]</f>
        <v>130</v>
      </c>
      <c r="O447" t="s">
        <v>42</v>
      </c>
      <c r="P447" t="str">
        <f>IF(BBDD_Usiarios_Netflix[[#This Row],[País]]="","Desconocido",BBDD_Usiarios_Netflix[[#This Row],[País]])</f>
        <v>Reino Unido</v>
      </c>
      <c r="Q447">
        <v>46</v>
      </c>
      <c r="R447" t="s">
        <v>30</v>
      </c>
      <c r="S447" t="s">
        <v>26</v>
      </c>
      <c r="T447" t="s">
        <v>41</v>
      </c>
      <c r="U447">
        <f>IF(IFERROR(VLOOKUP(BBDD_Usiarios_Netflix[[#This Row],[Identificador Usuario]],A448:$A$5870,1,FALSE),0)&lt;&gt;0,1,0)</f>
        <v>0</v>
      </c>
      <c r="V447" s="6" t="str">
        <f>IF(BBDD_Usiarios_Netflix[[#This Row],[Duración Plan]]="12 Meses",LEFT(BBDD_Usiarios_Netflix[[#This Row],[Duración Plan]],2),LEFT(BBDD_Usiarios_Netflix[[#This Row],[Duración Plan]],1))</f>
        <v>12</v>
      </c>
      <c r="W4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48" spans="1:23" x14ac:dyDescent="0.25">
      <c r="A448">
        <v>447</v>
      </c>
      <c r="B448" t="s">
        <v>23</v>
      </c>
      <c r="C448">
        <v>10</v>
      </c>
      <c r="D448" s="3">
        <v>11</v>
      </c>
      <c r="E448" s="3">
        <v>8</v>
      </c>
      <c r="F448">
        <v>23</v>
      </c>
      <c r="G448" s="1">
        <f>DATEVALUE(_xlfn.CONCAT(BBDD_Usiarios_Netflix[[#This Row],[Día Suscripción]],"/",BBDD_Usiarios_Netflix[[#This Row],[Mes Suscripción]],"/",BBDD_Usiarios_Netflix[[#This Row],[Año Suscripción]]))</f>
        <v>45149</v>
      </c>
      <c r="H448" s="1">
        <v>28</v>
      </c>
      <c r="I448" s="1">
        <v>6</v>
      </c>
      <c r="J448" s="1">
        <v>24</v>
      </c>
      <c r="K448" s="1" t="str">
        <f>TEXT(BBDD_Usiarios_Netflix[[#This Row],[Fecha Suscripción]],"dddd")</f>
        <v>viernes</v>
      </c>
      <c r="L448" s="1">
        <f>DATEVALUE(_xlfn.CONCAT(BBDD_Usiarios_Netflix[[#This Row],[Día Último Pago]],"/",BBDD_Usiarios_Netflix[[#This Row],[Mes Último Pago]],"/",BBDD_Usiarios_Netflix[[#This Row],[Año Último Pago]]))</f>
        <v>45471</v>
      </c>
      <c r="M448" s="4">
        <f>DATEDIF(BBDD_Usiarios_Netflix[[#This Row],[Fecha Suscripción]],BBDD_Usiarios_Netflix[[#This Row],[Fecha Último Pago]],"M")+1</f>
        <v>11</v>
      </c>
      <c r="N448" s="4">
        <f>BBDD_Usiarios_Netflix[[#This Row],[Ingresos Mensuales]]*BBDD_Usiarios_Netflix[[#This Row],[Meses contratados]]</f>
        <v>110</v>
      </c>
      <c r="O448" t="s">
        <v>45</v>
      </c>
      <c r="P448" t="str">
        <f>IF(BBDD_Usiarios_Netflix[[#This Row],[País]]="","Desconocido",BBDD_Usiarios_Netflix[[#This Row],[País]])</f>
        <v>España</v>
      </c>
      <c r="Q448">
        <v>36</v>
      </c>
      <c r="R448" t="s">
        <v>30</v>
      </c>
      <c r="S448" t="s">
        <v>36</v>
      </c>
      <c r="T448" t="s">
        <v>38</v>
      </c>
      <c r="U448">
        <f>IF(IFERROR(VLOOKUP(BBDD_Usiarios_Netflix[[#This Row],[Identificador Usuario]],A449:$A$5870,1,FALSE),0)&lt;&gt;0,1,0)</f>
        <v>0</v>
      </c>
      <c r="V448" s="6" t="str">
        <f>IF(BBDD_Usiarios_Netflix[[#This Row],[Duración Plan]]="12 Meses",LEFT(BBDD_Usiarios_Netflix[[#This Row],[Duración Plan]],2),LEFT(BBDD_Usiarios_Netflix[[#This Row],[Duración Plan]],1))</f>
        <v>3</v>
      </c>
      <c r="W4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49" spans="1:23" x14ac:dyDescent="0.25">
      <c r="A449">
        <v>448</v>
      </c>
      <c r="B449" t="s">
        <v>32</v>
      </c>
      <c r="C449">
        <v>12</v>
      </c>
      <c r="D449" s="3">
        <v>12</v>
      </c>
      <c r="E449" s="3">
        <v>8</v>
      </c>
      <c r="F449">
        <v>23</v>
      </c>
      <c r="G449" s="1">
        <f>DATEVALUE(_xlfn.CONCAT(BBDD_Usiarios_Netflix[[#This Row],[Día Suscripción]],"/",BBDD_Usiarios_Netflix[[#This Row],[Mes Suscripción]],"/",BBDD_Usiarios_Netflix[[#This Row],[Año Suscripción]]))</f>
        <v>45150</v>
      </c>
      <c r="H449" s="1">
        <v>27</v>
      </c>
      <c r="I449" s="1">
        <v>6</v>
      </c>
      <c r="J449" s="1">
        <v>24</v>
      </c>
      <c r="K449" s="1" t="str">
        <f>TEXT(BBDD_Usiarios_Netflix[[#This Row],[Fecha Suscripción]],"dddd")</f>
        <v>sábado</v>
      </c>
      <c r="L449" s="1">
        <f>DATEVALUE(_xlfn.CONCAT(BBDD_Usiarios_Netflix[[#This Row],[Día Último Pago]],"/",BBDD_Usiarios_Netflix[[#This Row],[Mes Último Pago]],"/",BBDD_Usiarios_Netflix[[#This Row],[Año Último Pago]]))</f>
        <v>45470</v>
      </c>
      <c r="M449" s="4">
        <f>DATEDIF(BBDD_Usiarios_Netflix[[#This Row],[Fecha Suscripción]],BBDD_Usiarios_Netflix[[#This Row],[Fecha Último Pago]],"M")+1</f>
        <v>11</v>
      </c>
      <c r="N449" s="4">
        <f>BBDD_Usiarios_Netflix[[#This Row],[Ingresos Mensuales]]*BBDD_Usiarios_Netflix[[#This Row],[Meses contratados]]</f>
        <v>132</v>
      </c>
      <c r="O449" t="s">
        <v>45</v>
      </c>
      <c r="P449" t="str">
        <f>IF(BBDD_Usiarios_Netflix[[#This Row],[País]]="","Desconocido",BBDD_Usiarios_Netflix[[#This Row],[País]])</f>
        <v>España</v>
      </c>
      <c r="Q449">
        <v>48</v>
      </c>
      <c r="R449" t="s">
        <v>25</v>
      </c>
      <c r="S449" t="s">
        <v>31</v>
      </c>
      <c r="T449" t="s">
        <v>35</v>
      </c>
      <c r="U449">
        <f>IF(IFERROR(VLOOKUP(BBDD_Usiarios_Netflix[[#This Row],[Identificador Usuario]],A450:$A$5870,1,FALSE),0)&lt;&gt;0,1,0)</f>
        <v>0</v>
      </c>
      <c r="V449" s="6" t="str">
        <f>IF(BBDD_Usiarios_Netflix[[#This Row],[Duración Plan]]="12 Meses",LEFT(BBDD_Usiarios_Netflix[[#This Row],[Duración Plan]],2),LEFT(BBDD_Usiarios_Netflix[[#This Row],[Duración Plan]],1))</f>
        <v>6</v>
      </c>
      <c r="W4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50" spans="1:23" x14ac:dyDescent="0.25">
      <c r="A450">
        <v>449</v>
      </c>
      <c r="B450" t="s">
        <v>28</v>
      </c>
      <c r="C450">
        <v>14</v>
      </c>
      <c r="D450" s="3">
        <v>7</v>
      </c>
      <c r="E450" s="3">
        <v>8</v>
      </c>
      <c r="F450">
        <v>23</v>
      </c>
      <c r="G450" s="1">
        <f>DATEVALUE(_xlfn.CONCAT(BBDD_Usiarios_Netflix[[#This Row],[Día Suscripción]],"/",BBDD_Usiarios_Netflix[[#This Row],[Mes Suscripción]],"/",BBDD_Usiarios_Netflix[[#This Row],[Año Suscripción]]))</f>
        <v>45145</v>
      </c>
      <c r="H450" s="1">
        <v>28</v>
      </c>
      <c r="I450" s="1">
        <v>6</v>
      </c>
      <c r="J450" s="1">
        <v>24</v>
      </c>
      <c r="K450" s="1" t="str">
        <f>TEXT(BBDD_Usiarios_Netflix[[#This Row],[Fecha Suscripción]],"dddd")</f>
        <v>lunes</v>
      </c>
      <c r="L450" s="1">
        <f>DATEVALUE(_xlfn.CONCAT(BBDD_Usiarios_Netflix[[#This Row],[Día Último Pago]],"/",BBDD_Usiarios_Netflix[[#This Row],[Mes Último Pago]],"/",BBDD_Usiarios_Netflix[[#This Row],[Año Último Pago]]))</f>
        <v>45471</v>
      </c>
      <c r="M450" s="4">
        <f>DATEDIF(BBDD_Usiarios_Netflix[[#This Row],[Fecha Suscripción]],BBDD_Usiarios_Netflix[[#This Row],[Fecha Último Pago]],"M")+1</f>
        <v>11</v>
      </c>
      <c r="N450" s="4">
        <f>BBDD_Usiarios_Netflix[[#This Row],[Ingresos Mensuales]]*BBDD_Usiarios_Netflix[[#This Row],[Meses contratados]]</f>
        <v>154</v>
      </c>
      <c r="O450" t="s">
        <v>44</v>
      </c>
      <c r="P450" t="str">
        <f>IF(BBDD_Usiarios_Netflix[[#This Row],[País]]="","Desconocido",BBDD_Usiarios_Netflix[[#This Row],[País]])</f>
        <v>Desconocido</v>
      </c>
      <c r="Q450">
        <v>37</v>
      </c>
      <c r="R450" t="s">
        <v>30</v>
      </c>
      <c r="S450" t="s">
        <v>36</v>
      </c>
      <c r="T450" t="s">
        <v>38</v>
      </c>
      <c r="U450">
        <f>IF(IFERROR(VLOOKUP(BBDD_Usiarios_Netflix[[#This Row],[Identificador Usuario]],A451:$A$5870,1,FALSE),0)&lt;&gt;0,1,0)</f>
        <v>0</v>
      </c>
      <c r="V450" s="6" t="str">
        <f>IF(BBDD_Usiarios_Netflix[[#This Row],[Duración Plan]]="12 Meses",LEFT(BBDD_Usiarios_Netflix[[#This Row],[Duración Plan]],2),LEFT(BBDD_Usiarios_Netflix[[#This Row],[Duración Plan]],1))</f>
        <v>3</v>
      </c>
      <c r="W4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51" spans="1:23" x14ac:dyDescent="0.25">
      <c r="A451">
        <v>450</v>
      </c>
      <c r="B451" t="s">
        <v>23</v>
      </c>
      <c r="C451">
        <v>10</v>
      </c>
      <c r="D451" s="3">
        <v>6</v>
      </c>
      <c r="E451" s="3">
        <v>8</v>
      </c>
      <c r="F451">
        <v>23</v>
      </c>
      <c r="G451" s="1">
        <f>DATEVALUE(_xlfn.CONCAT(BBDD_Usiarios_Netflix[[#This Row],[Día Suscripción]],"/",BBDD_Usiarios_Netflix[[#This Row],[Mes Suscripción]],"/",BBDD_Usiarios_Netflix[[#This Row],[Año Suscripción]]))</f>
        <v>45144</v>
      </c>
      <c r="H451" s="1">
        <v>27</v>
      </c>
      <c r="I451" s="1">
        <v>6</v>
      </c>
      <c r="J451" s="1">
        <v>24</v>
      </c>
      <c r="K451" s="1" t="str">
        <f>TEXT(BBDD_Usiarios_Netflix[[#This Row],[Fecha Suscripción]],"dddd")</f>
        <v>domingo</v>
      </c>
      <c r="L451" s="1">
        <f>DATEVALUE(_xlfn.CONCAT(BBDD_Usiarios_Netflix[[#This Row],[Día Último Pago]],"/",BBDD_Usiarios_Netflix[[#This Row],[Mes Último Pago]],"/",BBDD_Usiarios_Netflix[[#This Row],[Año Último Pago]]))</f>
        <v>45470</v>
      </c>
      <c r="M451" s="4">
        <f>DATEDIF(BBDD_Usiarios_Netflix[[#This Row],[Fecha Suscripción]],BBDD_Usiarios_Netflix[[#This Row],[Fecha Último Pago]],"M")+1</f>
        <v>11</v>
      </c>
      <c r="N451" s="4">
        <f>BBDD_Usiarios_Netflix[[#This Row],[Ingresos Mensuales]]*BBDD_Usiarios_Netflix[[#This Row],[Meses contratados]]</f>
        <v>110</v>
      </c>
      <c r="O451" t="s">
        <v>24</v>
      </c>
      <c r="P451" t="str">
        <f>IF(BBDD_Usiarios_Netflix[[#This Row],[País]]="","Desconocido",BBDD_Usiarios_Netflix[[#This Row],[País]])</f>
        <v>Australia</v>
      </c>
      <c r="Q451">
        <v>49</v>
      </c>
      <c r="R451" t="s">
        <v>25</v>
      </c>
      <c r="S451" t="s">
        <v>36</v>
      </c>
      <c r="T451" t="s">
        <v>35</v>
      </c>
      <c r="U451">
        <f>IF(IFERROR(VLOOKUP(BBDD_Usiarios_Netflix[[#This Row],[Identificador Usuario]],A452:$A$5870,1,FALSE),0)&lt;&gt;0,1,0)</f>
        <v>0</v>
      </c>
      <c r="V451" s="6" t="str">
        <f>IF(BBDD_Usiarios_Netflix[[#This Row],[Duración Plan]]="12 Meses",LEFT(BBDD_Usiarios_Netflix[[#This Row],[Duración Plan]],2),LEFT(BBDD_Usiarios_Netflix[[#This Row],[Duración Plan]],1))</f>
        <v>6</v>
      </c>
      <c r="W4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52" spans="1:23" x14ac:dyDescent="0.25">
      <c r="A452">
        <v>451</v>
      </c>
      <c r="B452" t="s">
        <v>23</v>
      </c>
      <c r="C452">
        <v>10</v>
      </c>
      <c r="D452" s="3">
        <v>18</v>
      </c>
      <c r="E452" s="3">
        <v>7</v>
      </c>
      <c r="F452">
        <v>23</v>
      </c>
      <c r="G452" s="1">
        <f>DATEVALUE(_xlfn.CONCAT(BBDD_Usiarios_Netflix[[#This Row],[Día Suscripción]],"/",BBDD_Usiarios_Netflix[[#This Row],[Mes Suscripción]],"/",BBDD_Usiarios_Netflix[[#This Row],[Año Suscripción]]))</f>
        <v>45125</v>
      </c>
      <c r="H452" s="1">
        <v>28</v>
      </c>
      <c r="I452" s="1">
        <v>6</v>
      </c>
      <c r="J452" s="1">
        <v>24</v>
      </c>
      <c r="K452" s="1" t="str">
        <f>TEXT(BBDD_Usiarios_Netflix[[#This Row],[Fecha Suscripción]],"dddd")</f>
        <v>martes</v>
      </c>
      <c r="L452" s="1">
        <f>DATEVALUE(_xlfn.CONCAT(BBDD_Usiarios_Netflix[[#This Row],[Día Último Pago]],"/",BBDD_Usiarios_Netflix[[#This Row],[Mes Último Pago]],"/",BBDD_Usiarios_Netflix[[#This Row],[Año Último Pago]]))</f>
        <v>45471</v>
      </c>
      <c r="M452" s="4">
        <f>DATEDIF(BBDD_Usiarios_Netflix[[#This Row],[Fecha Suscripción]],BBDD_Usiarios_Netflix[[#This Row],[Fecha Último Pago]],"M")+1</f>
        <v>12</v>
      </c>
      <c r="N452" s="4">
        <f>BBDD_Usiarios_Netflix[[#This Row],[Ingresos Mensuales]]*BBDD_Usiarios_Netflix[[#This Row],[Meses contratados]]</f>
        <v>120</v>
      </c>
      <c r="O452" t="s">
        <v>40</v>
      </c>
      <c r="P452" t="str">
        <f>IF(BBDD_Usiarios_Netflix[[#This Row],[País]]="","Desconocido",BBDD_Usiarios_Netflix[[#This Row],[País]])</f>
        <v>Italia</v>
      </c>
      <c r="Q452">
        <v>31</v>
      </c>
      <c r="R452" t="s">
        <v>30</v>
      </c>
      <c r="S452" t="s">
        <v>36</v>
      </c>
      <c r="T452" t="s">
        <v>35</v>
      </c>
      <c r="U452">
        <f>IF(IFERROR(VLOOKUP(BBDD_Usiarios_Netflix[[#This Row],[Identificador Usuario]],A453:$A$5870,1,FALSE),0)&lt;&gt;0,1,0)</f>
        <v>0</v>
      </c>
      <c r="V452" s="6" t="str">
        <f>IF(BBDD_Usiarios_Netflix[[#This Row],[Duración Plan]]="12 Meses",LEFT(BBDD_Usiarios_Netflix[[#This Row],[Duración Plan]],2),LEFT(BBDD_Usiarios_Netflix[[#This Row],[Duración Plan]],1))</f>
        <v>6</v>
      </c>
      <c r="W4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53" spans="1:23" x14ac:dyDescent="0.25">
      <c r="A453">
        <v>452</v>
      </c>
      <c r="B453" t="s">
        <v>28</v>
      </c>
      <c r="C453">
        <v>14</v>
      </c>
      <c r="D453" s="3">
        <v>16</v>
      </c>
      <c r="E453" s="3">
        <v>6</v>
      </c>
      <c r="F453">
        <v>23</v>
      </c>
      <c r="G453" s="1">
        <f>DATEVALUE(_xlfn.CONCAT(BBDD_Usiarios_Netflix[[#This Row],[Día Suscripción]],"/",BBDD_Usiarios_Netflix[[#This Row],[Mes Suscripción]],"/",BBDD_Usiarios_Netflix[[#This Row],[Año Suscripción]]))</f>
        <v>45093</v>
      </c>
      <c r="H453" s="1">
        <v>26</v>
      </c>
      <c r="I453" s="1">
        <v>6</v>
      </c>
      <c r="J453" s="1">
        <v>24</v>
      </c>
      <c r="K453" s="1" t="str">
        <f>TEXT(BBDD_Usiarios_Netflix[[#This Row],[Fecha Suscripción]],"dddd")</f>
        <v>viernes</v>
      </c>
      <c r="L453" s="1">
        <f>DATEVALUE(_xlfn.CONCAT(BBDD_Usiarios_Netflix[[#This Row],[Día Último Pago]],"/",BBDD_Usiarios_Netflix[[#This Row],[Mes Último Pago]],"/",BBDD_Usiarios_Netflix[[#This Row],[Año Último Pago]]))</f>
        <v>45469</v>
      </c>
      <c r="M453" s="4">
        <f>DATEDIF(BBDD_Usiarios_Netflix[[#This Row],[Fecha Suscripción]],BBDD_Usiarios_Netflix[[#This Row],[Fecha Último Pago]],"M")+1</f>
        <v>13</v>
      </c>
      <c r="N453" s="4">
        <f>BBDD_Usiarios_Netflix[[#This Row],[Ingresos Mensuales]]*BBDD_Usiarios_Netflix[[#This Row],[Meses contratados]]</f>
        <v>182</v>
      </c>
      <c r="O453" t="s">
        <v>33</v>
      </c>
      <c r="P453" t="str">
        <f>IF(BBDD_Usiarios_Netflix[[#This Row],[País]]="","Desconocido",BBDD_Usiarios_Netflix[[#This Row],[País]])</f>
        <v>Francia</v>
      </c>
      <c r="Q453">
        <v>42</v>
      </c>
      <c r="R453" t="s">
        <v>30</v>
      </c>
      <c r="S453" t="s">
        <v>36</v>
      </c>
      <c r="T453" t="s">
        <v>35</v>
      </c>
      <c r="U453">
        <f>IF(IFERROR(VLOOKUP(BBDD_Usiarios_Netflix[[#This Row],[Identificador Usuario]],A454:$A$5870,1,FALSE),0)&lt;&gt;0,1,0)</f>
        <v>0</v>
      </c>
      <c r="V453" s="6" t="str">
        <f>IF(BBDD_Usiarios_Netflix[[#This Row],[Duración Plan]]="12 Meses",LEFT(BBDD_Usiarios_Netflix[[#This Row],[Duración Plan]],2),LEFT(BBDD_Usiarios_Netflix[[#This Row],[Duración Plan]],1))</f>
        <v>6</v>
      </c>
      <c r="W4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54" spans="1:23" x14ac:dyDescent="0.25">
      <c r="A454">
        <v>453</v>
      </c>
      <c r="B454" t="s">
        <v>32</v>
      </c>
      <c r="C454">
        <v>13</v>
      </c>
      <c r="D454" s="3">
        <v>30</v>
      </c>
      <c r="E454" s="3">
        <v>5</v>
      </c>
      <c r="F454">
        <v>23</v>
      </c>
      <c r="G454" s="1">
        <f>DATEVALUE(_xlfn.CONCAT(BBDD_Usiarios_Netflix[[#This Row],[Día Suscripción]],"/",BBDD_Usiarios_Netflix[[#This Row],[Mes Suscripción]],"/",BBDD_Usiarios_Netflix[[#This Row],[Año Suscripción]]))</f>
        <v>45076</v>
      </c>
      <c r="H454" s="1">
        <v>28</v>
      </c>
      <c r="I454" s="1">
        <v>6</v>
      </c>
      <c r="J454" s="1">
        <v>24</v>
      </c>
      <c r="K454" s="1" t="str">
        <f>TEXT(BBDD_Usiarios_Netflix[[#This Row],[Fecha Suscripción]],"dddd")</f>
        <v>martes</v>
      </c>
      <c r="L454" s="1">
        <f>DATEVALUE(_xlfn.CONCAT(BBDD_Usiarios_Netflix[[#This Row],[Día Último Pago]],"/",BBDD_Usiarios_Netflix[[#This Row],[Mes Último Pago]],"/",BBDD_Usiarios_Netflix[[#This Row],[Año Último Pago]]))</f>
        <v>45471</v>
      </c>
      <c r="M454" s="4">
        <f>DATEDIF(BBDD_Usiarios_Netflix[[#This Row],[Fecha Suscripción]],BBDD_Usiarios_Netflix[[#This Row],[Fecha Último Pago]],"M")+1</f>
        <v>13</v>
      </c>
      <c r="N454" s="4">
        <f>BBDD_Usiarios_Netflix[[#This Row],[Ingresos Mensuales]]*BBDD_Usiarios_Netflix[[#This Row],[Meses contratados]]</f>
        <v>169</v>
      </c>
      <c r="O454" t="s">
        <v>39</v>
      </c>
      <c r="P454" t="str">
        <f>IF(BBDD_Usiarios_Netflix[[#This Row],[País]]="","Desconocido",BBDD_Usiarios_Netflix[[#This Row],[País]])</f>
        <v>Canadá</v>
      </c>
      <c r="Q454">
        <v>45</v>
      </c>
      <c r="R454" t="s">
        <v>30</v>
      </c>
      <c r="S454" t="s">
        <v>31</v>
      </c>
      <c r="T454" t="s">
        <v>35</v>
      </c>
      <c r="U454">
        <f>IF(IFERROR(VLOOKUP(BBDD_Usiarios_Netflix[[#This Row],[Identificador Usuario]],A455:$A$5870,1,FALSE),0)&lt;&gt;0,1,0)</f>
        <v>0</v>
      </c>
      <c r="V454" s="6" t="str">
        <f>IF(BBDD_Usiarios_Netflix[[#This Row],[Duración Plan]]="12 Meses",LEFT(BBDD_Usiarios_Netflix[[#This Row],[Duración Plan]],2),LEFT(BBDD_Usiarios_Netflix[[#This Row],[Duración Plan]],1))</f>
        <v>6</v>
      </c>
      <c r="W4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55" spans="1:23" x14ac:dyDescent="0.25">
      <c r="A455">
        <v>454</v>
      </c>
      <c r="B455" t="s">
        <v>32</v>
      </c>
      <c r="C455">
        <v>13</v>
      </c>
      <c r="D455" s="3">
        <v>28</v>
      </c>
      <c r="E455" s="3">
        <v>5</v>
      </c>
      <c r="F455">
        <v>23</v>
      </c>
      <c r="G455" s="1">
        <f>DATEVALUE(_xlfn.CONCAT(BBDD_Usiarios_Netflix[[#This Row],[Día Suscripción]],"/",BBDD_Usiarios_Netflix[[#This Row],[Mes Suscripción]],"/",BBDD_Usiarios_Netflix[[#This Row],[Año Suscripción]]))</f>
        <v>45074</v>
      </c>
      <c r="H455" s="1">
        <v>28</v>
      </c>
      <c r="I455" s="1">
        <v>6</v>
      </c>
      <c r="J455" s="1">
        <v>24</v>
      </c>
      <c r="K455" s="1" t="str">
        <f>TEXT(BBDD_Usiarios_Netflix[[#This Row],[Fecha Suscripción]],"dddd")</f>
        <v>domingo</v>
      </c>
      <c r="L455" s="1">
        <f>DATEVALUE(_xlfn.CONCAT(BBDD_Usiarios_Netflix[[#This Row],[Día Último Pago]],"/",BBDD_Usiarios_Netflix[[#This Row],[Mes Último Pago]],"/",BBDD_Usiarios_Netflix[[#This Row],[Año Último Pago]]))</f>
        <v>45471</v>
      </c>
      <c r="M455" s="4">
        <f>DATEDIF(BBDD_Usiarios_Netflix[[#This Row],[Fecha Suscripción]],BBDD_Usiarios_Netflix[[#This Row],[Fecha Último Pago]],"M")+1</f>
        <v>14</v>
      </c>
      <c r="N455" s="4">
        <f>BBDD_Usiarios_Netflix[[#This Row],[Ingresos Mensuales]]*BBDD_Usiarios_Netflix[[#This Row],[Meses contratados]]</f>
        <v>182</v>
      </c>
      <c r="O455" t="s">
        <v>39</v>
      </c>
      <c r="P455" t="str">
        <f>IF(BBDD_Usiarios_Netflix[[#This Row],[País]]="","Desconocido",BBDD_Usiarios_Netflix[[#This Row],[País]])</f>
        <v>Canadá</v>
      </c>
      <c r="Q455">
        <v>51</v>
      </c>
      <c r="R455" t="s">
        <v>30</v>
      </c>
      <c r="S455" t="s">
        <v>31</v>
      </c>
      <c r="T455" t="s">
        <v>41</v>
      </c>
      <c r="U455">
        <f>IF(IFERROR(VLOOKUP(BBDD_Usiarios_Netflix[[#This Row],[Identificador Usuario]],A456:$A$5870,1,FALSE),0)&lt;&gt;0,1,0)</f>
        <v>0</v>
      </c>
      <c r="V455" s="6" t="str">
        <f>IF(BBDD_Usiarios_Netflix[[#This Row],[Duración Plan]]="12 Meses",LEFT(BBDD_Usiarios_Netflix[[#This Row],[Duración Plan]],2),LEFT(BBDD_Usiarios_Netflix[[#This Row],[Duración Plan]],1))</f>
        <v>12</v>
      </c>
      <c r="W4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56" spans="1:23" x14ac:dyDescent="0.25">
      <c r="A456">
        <v>455</v>
      </c>
      <c r="B456" t="s">
        <v>23</v>
      </c>
      <c r="C456">
        <v>11</v>
      </c>
      <c r="D456" s="3">
        <v>31</v>
      </c>
      <c r="E456" s="3">
        <v>5</v>
      </c>
      <c r="F456">
        <v>23</v>
      </c>
      <c r="G456" s="1">
        <f>DATEVALUE(_xlfn.CONCAT(BBDD_Usiarios_Netflix[[#This Row],[Día Suscripción]],"/",BBDD_Usiarios_Netflix[[#This Row],[Mes Suscripción]],"/",BBDD_Usiarios_Netflix[[#This Row],[Año Suscripción]]))</f>
        <v>45077</v>
      </c>
      <c r="H456" s="1">
        <v>27</v>
      </c>
      <c r="I456" s="1">
        <v>6</v>
      </c>
      <c r="J456" s="1">
        <v>24</v>
      </c>
      <c r="K456" s="1" t="str">
        <f>TEXT(BBDD_Usiarios_Netflix[[#This Row],[Fecha Suscripción]],"dddd")</f>
        <v>miércoles</v>
      </c>
      <c r="L456" s="1">
        <f>DATEVALUE(_xlfn.CONCAT(BBDD_Usiarios_Netflix[[#This Row],[Día Último Pago]],"/",BBDD_Usiarios_Netflix[[#This Row],[Mes Último Pago]],"/",BBDD_Usiarios_Netflix[[#This Row],[Año Último Pago]]))</f>
        <v>45470</v>
      </c>
      <c r="M456" s="4">
        <f>DATEDIF(BBDD_Usiarios_Netflix[[#This Row],[Fecha Suscripción]],BBDD_Usiarios_Netflix[[#This Row],[Fecha Último Pago]],"M")+1</f>
        <v>13</v>
      </c>
      <c r="N456" s="4">
        <f>BBDD_Usiarios_Netflix[[#This Row],[Ingresos Mensuales]]*BBDD_Usiarios_Netflix[[#This Row],[Meses contratados]]</f>
        <v>143</v>
      </c>
      <c r="O456" t="s">
        <v>43</v>
      </c>
      <c r="P456" t="str">
        <f>IF(BBDD_Usiarios_Netflix[[#This Row],[País]]="","Desconocido",BBDD_Usiarios_Netflix[[#This Row],[País]])</f>
        <v>Alemania</v>
      </c>
      <c r="Q456">
        <v>31</v>
      </c>
      <c r="R456" t="s">
        <v>30</v>
      </c>
      <c r="S456" t="s">
        <v>34</v>
      </c>
      <c r="T456" t="s">
        <v>38</v>
      </c>
      <c r="U456">
        <f>IF(IFERROR(VLOOKUP(BBDD_Usiarios_Netflix[[#This Row],[Identificador Usuario]],A457:$A$5870,1,FALSE),0)&lt;&gt;0,1,0)</f>
        <v>0</v>
      </c>
      <c r="V456" s="6" t="str">
        <f>IF(BBDD_Usiarios_Netflix[[#This Row],[Duración Plan]]="12 Meses",LEFT(BBDD_Usiarios_Netflix[[#This Row],[Duración Plan]],2),LEFT(BBDD_Usiarios_Netflix[[#This Row],[Duración Plan]],1))</f>
        <v>3</v>
      </c>
      <c r="W4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57" spans="1:23" x14ac:dyDescent="0.25">
      <c r="A457">
        <v>456</v>
      </c>
      <c r="B457" t="s">
        <v>28</v>
      </c>
      <c r="C457">
        <v>14</v>
      </c>
      <c r="D457" s="3">
        <v>4</v>
      </c>
      <c r="E457" s="3">
        <v>6</v>
      </c>
      <c r="F457">
        <v>23</v>
      </c>
      <c r="G457" s="1">
        <f>DATEVALUE(_xlfn.CONCAT(BBDD_Usiarios_Netflix[[#This Row],[Día Suscripción]],"/",BBDD_Usiarios_Netflix[[#This Row],[Mes Suscripción]],"/",BBDD_Usiarios_Netflix[[#This Row],[Año Suscripción]]))</f>
        <v>45081</v>
      </c>
      <c r="H457" s="1">
        <v>27</v>
      </c>
      <c r="I457" s="1">
        <v>6</v>
      </c>
      <c r="J457" s="1">
        <v>24</v>
      </c>
      <c r="K457" s="1" t="str">
        <f>TEXT(BBDD_Usiarios_Netflix[[#This Row],[Fecha Suscripción]],"dddd")</f>
        <v>domingo</v>
      </c>
      <c r="L457" s="1">
        <f>DATEVALUE(_xlfn.CONCAT(BBDD_Usiarios_Netflix[[#This Row],[Día Último Pago]],"/",BBDD_Usiarios_Netflix[[#This Row],[Mes Último Pago]],"/",BBDD_Usiarios_Netflix[[#This Row],[Año Último Pago]]))</f>
        <v>45470</v>
      </c>
      <c r="M457" s="4">
        <f>DATEDIF(BBDD_Usiarios_Netflix[[#This Row],[Fecha Suscripción]],BBDD_Usiarios_Netflix[[#This Row],[Fecha Último Pago]],"M")+1</f>
        <v>13</v>
      </c>
      <c r="N457" s="4">
        <f>BBDD_Usiarios_Netflix[[#This Row],[Ingresos Mensuales]]*BBDD_Usiarios_Netflix[[#This Row],[Meses contratados]]</f>
        <v>182</v>
      </c>
      <c r="O457" t="s">
        <v>42</v>
      </c>
      <c r="P457" t="str">
        <f>IF(BBDD_Usiarios_Netflix[[#This Row],[País]]="","Desconocido",BBDD_Usiarios_Netflix[[#This Row],[País]])</f>
        <v>Reino Unido</v>
      </c>
      <c r="Q457">
        <v>41</v>
      </c>
      <c r="R457" t="s">
        <v>25</v>
      </c>
      <c r="S457" t="s">
        <v>31</v>
      </c>
      <c r="T457" t="s">
        <v>35</v>
      </c>
      <c r="U457">
        <f>IF(IFERROR(VLOOKUP(BBDD_Usiarios_Netflix[[#This Row],[Identificador Usuario]],A458:$A$5870,1,FALSE),0)&lt;&gt;0,1,0)</f>
        <v>0</v>
      </c>
      <c r="V457" s="6" t="str">
        <f>IF(BBDD_Usiarios_Netflix[[#This Row],[Duración Plan]]="12 Meses",LEFT(BBDD_Usiarios_Netflix[[#This Row],[Duración Plan]],2),LEFT(BBDD_Usiarios_Netflix[[#This Row],[Duración Plan]],1))</f>
        <v>6</v>
      </c>
      <c r="W4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58" spans="1:23" x14ac:dyDescent="0.25">
      <c r="A458">
        <v>457</v>
      </c>
      <c r="B458" t="s">
        <v>32</v>
      </c>
      <c r="C458">
        <v>12</v>
      </c>
      <c r="D458" s="3">
        <v>29</v>
      </c>
      <c r="E458" s="3">
        <v>6</v>
      </c>
      <c r="F458">
        <v>23</v>
      </c>
      <c r="G458" s="1">
        <f>DATEVALUE(_xlfn.CONCAT(BBDD_Usiarios_Netflix[[#This Row],[Día Suscripción]],"/",BBDD_Usiarios_Netflix[[#This Row],[Mes Suscripción]],"/",BBDD_Usiarios_Netflix[[#This Row],[Año Suscripción]]))</f>
        <v>45106</v>
      </c>
      <c r="H458" s="1">
        <v>28</v>
      </c>
      <c r="I458" s="1">
        <v>6</v>
      </c>
      <c r="J458" s="1">
        <v>24</v>
      </c>
      <c r="K458" s="1" t="str">
        <f>TEXT(BBDD_Usiarios_Netflix[[#This Row],[Fecha Suscripción]],"dddd")</f>
        <v>jueves</v>
      </c>
      <c r="L458" s="1">
        <f>DATEVALUE(_xlfn.CONCAT(BBDD_Usiarios_Netflix[[#This Row],[Día Último Pago]],"/",BBDD_Usiarios_Netflix[[#This Row],[Mes Último Pago]],"/",BBDD_Usiarios_Netflix[[#This Row],[Año Último Pago]]))</f>
        <v>45471</v>
      </c>
      <c r="M458" s="4">
        <f>DATEDIF(BBDD_Usiarios_Netflix[[#This Row],[Fecha Suscripción]],BBDD_Usiarios_Netflix[[#This Row],[Fecha Último Pago]],"M")+1</f>
        <v>12</v>
      </c>
      <c r="N458" s="4">
        <f>BBDD_Usiarios_Netflix[[#This Row],[Ingresos Mensuales]]*BBDD_Usiarios_Netflix[[#This Row],[Meses contratados]]</f>
        <v>144</v>
      </c>
      <c r="O458" t="s">
        <v>24</v>
      </c>
      <c r="P458" t="str">
        <f>IF(BBDD_Usiarios_Netflix[[#This Row],[País]]="","Desconocido",BBDD_Usiarios_Netflix[[#This Row],[País]])</f>
        <v>Australia</v>
      </c>
      <c r="Q458">
        <v>40</v>
      </c>
      <c r="R458" t="s">
        <v>25</v>
      </c>
      <c r="S458" t="s">
        <v>34</v>
      </c>
      <c r="T458" t="s">
        <v>27</v>
      </c>
      <c r="U458">
        <f>IF(IFERROR(VLOOKUP(BBDD_Usiarios_Netflix[[#This Row],[Identificador Usuario]],A459:$A$5870,1,FALSE),0)&lt;&gt;0,1,0)</f>
        <v>0</v>
      </c>
      <c r="V458" s="6" t="str">
        <f>IF(BBDD_Usiarios_Netflix[[#This Row],[Duración Plan]]="12 Meses",LEFT(BBDD_Usiarios_Netflix[[#This Row],[Duración Plan]],2),LEFT(BBDD_Usiarios_Netflix[[#This Row],[Duración Plan]],1))</f>
        <v>1</v>
      </c>
      <c r="W4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59" spans="1:23" x14ac:dyDescent="0.25">
      <c r="A459">
        <v>458</v>
      </c>
      <c r="B459" t="s">
        <v>23</v>
      </c>
      <c r="C459">
        <v>10</v>
      </c>
      <c r="D459" s="3">
        <v>24</v>
      </c>
      <c r="E459" s="3">
        <v>7</v>
      </c>
      <c r="F459">
        <v>23</v>
      </c>
      <c r="G459" s="1">
        <f>DATEVALUE(_xlfn.CONCAT(BBDD_Usiarios_Netflix[[#This Row],[Día Suscripción]],"/",BBDD_Usiarios_Netflix[[#This Row],[Mes Suscripción]],"/",BBDD_Usiarios_Netflix[[#This Row],[Año Suscripción]]))</f>
        <v>45131</v>
      </c>
      <c r="H459" s="1">
        <v>28</v>
      </c>
      <c r="I459" s="1">
        <v>6</v>
      </c>
      <c r="J459" s="1">
        <v>24</v>
      </c>
      <c r="K459" s="1" t="str">
        <f>TEXT(BBDD_Usiarios_Netflix[[#This Row],[Fecha Suscripción]],"dddd")</f>
        <v>lunes</v>
      </c>
      <c r="L459" s="1">
        <f>DATEVALUE(_xlfn.CONCAT(BBDD_Usiarios_Netflix[[#This Row],[Día Último Pago]],"/",BBDD_Usiarios_Netflix[[#This Row],[Mes Último Pago]],"/",BBDD_Usiarios_Netflix[[#This Row],[Año Último Pago]]))</f>
        <v>45471</v>
      </c>
      <c r="M459" s="4">
        <f>DATEDIF(BBDD_Usiarios_Netflix[[#This Row],[Fecha Suscripción]],BBDD_Usiarios_Netflix[[#This Row],[Fecha Último Pago]],"M")+1</f>
        <v>12</v>
      </c>
      <c r="N459" s="4">
        <f>BBDD_Usiarios_Netflix[[#This Row],[Ingresos Mensuales]]*BBDD_Usiarios_Netflix[[#This Row],[Meses contratados]]</f>
        <v>120</v>
      </c>
      <c r="O459" t="s">
        <v>24</v>
      </c>
      <c r="P459" t="str">
        <f>IF(BBDD_Usiarios_Netflix[[#This Row],[País]]="","Desconocido",BBDD_Usiarios_Netflix[[#This Row],[País]])</f>
        <v>Australia</v>
      </c>
      <c r="Q459">
        <v>27</v>
      </c>
      <c r="R459" t="s">
        <v>25</v>
      </c>
      <c r="S459" t="s">
        <v>31</v>
      </c>
      <c r="T459" t="s">
        <v>38</v>
      </c>
      <c r="U459">
        <f>IF(IFERROR(VLOOKUP(BBDD_Usiarios_Netflix[[#This Row],[Identificador Usuario]],A460:$A$5870,1,FALSE),0)&lt;&gt;0,1,0)</f>
        <v>0</v>
      </c>
      <c r="V459" s="6" t="str">
        <f>IF(BBDD_Usiarios_Netflix[[#This Row],[Duración Plan]]="12 Meses",LEFT(BBDD_Usiarios_Netflix[[#This Row],[Duración Plan]],2),LEFT(BBDD_Usiarios_Netflix[[#This Row],[Duración Plan]],1))</f>
        <v>3</v>
      </c>
      <c r="W4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60" spans="1:23" x14ac:dyDescent="0.25">
      <c r="A460">
        <v>459</v>
      </c>
      <c r="B460" t="s">
        <v>32</v>
      </c>
      <c r="C460">
        <v>12</v>
      </c>
      <c r="D460" s="3">
        <v>19</v>
      </c>
      <c r="E460" s="3">
        <v>7</v>
      </c>
      <c r="F460">
        <v>23</v>
      </c>
      <c r="G460" s="1">
        <f>DATEVALUE(_xlfn.CONCAT(BBDD_Usiarios_Netflix[[#This Row],[Día Suscripción]],"/",BBDD_Usiarios_Netflix[[#This Row],[Mes Suscripción]],"/",BBDD_Usiarios_Netflix[[#This Row],[Año Suscripción]]))</f>
        <v>45126</v>
      </c>
      <c r="H460" s="1">
        <v>27</v>
      </c>
      <c r="I460" s="1">
        <v>6</v>
      </c>
      <c r="J460" s="1">
        <v>24</v>
      </c>
      <c r="K460" s="1" t="str">
        <f>TEXT(BBDD_Usiarios_Netflix[[#This Row],[Fecha Suscripción]],"dddd")</f>
        <v>miércoles</v>
      </c>
      <c r="L460" s="1">
        <f>DATEVALUE(_xlfn.CONCAT(BBDD_Usiarios_Netflix[[#This Row],[Día Último Pago]],"/",BBDD_Usiarios_Netflix[[#This Row],[Mes Último Pago]],"/",BBDD_Usiarios_Netflix[[#This Row],[Año Último Pago]]))</f>
        <v>45470</v>
      </c>
      <c r="M460" s="4">
        <f>DATEDIF(BBDD_Usiarios_Netflix[[#This Row],[Fecha Suscripción]],BBDD_Usiarios_Netflix[[#This Row],[Fecha Último Pago]],"M")+1</f>
        <v>12</v>
      </c>
      <c r="N460" s="4">
        <f>BBDD_Usiarios_Netflix[[#This Row],[Ingresos Mensuales]]*BBDD_Usiarios_Netflix[[#This Row],[Meses contratados]]</f>
        <v>144</v>
      </c>
      <c r="O460" t="s">
        <v>42</v>
      </c>
      <c r="P460" t="str">
        <f>IF(BBDD_Usiarios_Netflix[[#This Row],[País]]="","Desconocido",BBDD_Usiarios_Netflix[[#This Row],[País]])</f>
        <v>Reino Unido</v>
      </c>
      <c r="Q460">
        <v>46</v>
      </c>
      <c r="R460" t="s">
        <v>30</v>
      </c>
      <c r="S460" t="s">
        <v>31</v>
      </c>
      <c r="T460" t="s">
        <v>38</v>
      </c>
      <c r="U460">
        <f>IF(IFERROR(VLOOKUP(BBDD_Usiarios_Netflix[[#This Row],[Identificador Usuario]],A461:$A$5870,1,FALSE),0)&lt;&gt;0,1,0)</f>
        <v>0</v>
      </c>
      <c r="V460" s="6" t="str">
        <f>IF(BBDD_Usiarios_Netflix[[#This Row],[Duración Plan]]="12 Meses",LEFT(BBDD_Usiarios_Netflix[[#This Row],[Duración Plan]],2),LEFT(BBDD_Usiarios_Netflix[[#This Row],[Duración Plan]],1))</f>
        <v>3</v>
      </c>
      <c r="W4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61" spans="1:23" x14ac:dyDescent="0.25">
      <c r="A461">
        <v>460</v>
      </c>
      <c r="B461" t="s">
        <v>28</v>
      </c>
      <c r="C461">
        <v>14</v>
      </c>
      <c r="D461" s="3">
        <v>30</v>
      </c>
      <c r="E461" s="3">
        <v>6</v>
      </c>
      <c r="F461">
        <v>23</v>
      </c>
      <c r="G461" s="1">
        <f>DATEVALUE(_xlfn.CONCAT(BBDD_Usiarios_Netflix[[#This Row],[Día Suscripción]],"/",BBDD_Usiarios_Netflix[[#This Row],[Mes Suscripción]],"/",BBDD_Usiarios_Netflix[[#This Row],[Año Suscripción]]))</f>
        <v>45107</v>
      </c>
      <c r="H461" s="1">
        <v>28</v>
      </c>
      <c r="I461" s="1">
        <v>6</v>
      </c>
      <c r="J461" s="1">
        <v>24</v>
      </c>
      <c r="K461" s="1" t="str">
        <f>TEXT(BBDD_Usiarios_Netflix[[#This Row],[Fecha Suscripción]],"dddd")</f>
        <v>viernes</v>
      </c>
      <c r="L461" s="1">
        <f>DATEVALUE(_xlfn.CONCAT(BBDD_Usiarios_Netflix[[#This Row],[Día Último Pago]],"/",BBDD_Usiarios_Netflix[[#This Row],[Mes Último Pago]],"/",BBDD_Usiarios_Netflix[[#This Row],[Año Último Pago]]))</f>
        <v>45471</v>
      </c>
      <c r="M461" s="4">
        <f>DATEDIF(BBDD_Usiarios_Netflix[[#This Row],[Fecha Suscripción]],BBDD_Usiarios_Netflix[[#This Row],[Fecha Último Pago]],"M")+1</f>
        <v>12</v>
      </c>
      <c r="N461" s="4">
        <f>BBDD_Usiarios_Netflix[[#This Row],[Ingresos Mensuales]]*BBDD_Usiarios_Netflix[[#This Row],[Meses contratados]]</f>
        <v>168</v>
      </c>
      <c r="O461" t="s">
        <v>29</v>
      </c>
      <c r="P461" t="str">
        <f>IF(BBDD_Usiarios_Netflix[[#This Row],[País]]="","Desconocido",BBDD_Usiarios_Netflix[[#This Row],[País]])</f>
        <v>EEUU</v>
      </c>
      <c r="Q461">
        <v>30</v>
      </c>
      <c r="R461" t="s">
        <v>30</v>
      </c>
      <c r="S461" t="s">
        <v>34</v>
      </c>
      <c r="T461" t="s">
        <v>38</v>
      </c>
      <c r="U461">
        <f>IF(IFERROR(VLOOKUP(BBDD_Usiarios_Netflix[[#This Row],[Identificador Usuario]],A462:$A$5870,1,FALSE),0)&lt;&gt;0,1,0)</f>
        <v>0</v>
      </c>
      <c r="V461" s="6" t="str">
        <f>IF(BBDD_Usiarios_Netflix[[#This Row],[Duración Plan]]="12 Meses",LEFT(BBDD_Usiarios_Netflix[[#This Row],[Duración Plan]],2),LEFT(BBDD_Usiarios_Netflix[[#This Row],[Duración Plan]],1))</f>
        <v>3</v>
      </c>
      <c r="W4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62" spans="1:23" x14ac:dyDescent="0.25">
      <c r="A462">
        <v>461</v>
      </c>
      <c r="B462" t="s">
        <v>23</v>
      </c>
      <c r="C462">
        <v>10</v>
      </c>
      <c r="D462" s="3">
        <v>16</v>
      </c>
      <c r="E462" s="3">
        <v>6</v>
      </c>
      <c r="F462">
        <v>23</v>
      </c>
      <c r="G462" s="1">
        <f>DATEVALUE(_xlfn.CONCAT(BBDD_Usiarios_Netflix[[#This Row],[Día Suscripción]],"/",BBDD_Usiarios_Netflix[[#This Row],[Mes Suscripción]],"/",BBDD_Usiarios_Netflix[[#This Row],[Año Suscripción]]))</f>
        <v>45093</v>
      </c>
      <c r="H462" s="1">
        <v>27</v>
      </c>
      <c r="I462" s="1">
        <v>6</v>
      </c>
      <c r="J462" s="1">
        <v>24</v>
      </c>
      <c r="K462" s="1" t="str">
        <f>TEXT(BBDD_Usiarios_Netflix[[#This Row],[Fecha Suscripción]],"dddd")</f>
        <v>viernes</v>
      </c>
      <c r="L462" s="1">
        <f>DATEVALUE(_xlfn.CONCAT(BBDD_Usiarios_Netflix[[#This Row],[Día Último Pago]],"/",BBDD_Usiarios_Netflix[[#This Row],[Mes Último Pago]],"/",BBDD_Usiarios_Netflix[[#This Row],[Año Último Pago]]))</f>
        <v>45470</v>
      </c>
      <c r="M462" s="4">
        <f>DATEDIF(BBDD_Usiarios_Netflix[[#This Row],[Fecha Suscripción]],BBDD_Usiarios_Netflix[[#This Row],[Fecha Último Pago]],"M")+1</f>
        <v>13</v>
      </c>
      <c r="N462" s="4">
        <f>BBDD_Usiarios_Netflix[[#This Row],[Ingresos Mensuales]]*BBDD_Usiarios_Netflix[[#This Row],[Meses contratados]]</f>
        <v>130</v>
      </c>
      <c r="O462" t="s">
        <v>42</v>
      </c>
      <c r="P462" t="str">
        <f>IF(BBDD_Usiarios_Netflix[[#This Row],[País]]="","Desconocido",BBDD_Usiarios_Netflix[[#This Row],[País]])</f>
        <v>Reino Unido</v>
      </c>
      <c r="Q462">
        <v>37</v>
      </c>
      <c r="R462" t="s">
        <v>25</v>
      </c>
      <c r="S462" t="s">
        <v>34</v>
      </c>
      <c r="T462" t="s">
        <v>38</v>
      </c>
      <c r="U462">
        <f>IF(IFERROR(VLOOKUP(BBDD_Usiarios_Netflix[[#This Row],[Identificador Usuario]],A463:$A$5870,1,FALSE),0)&lt;&gt;0,1,0)</f>
        <v>0</v>
      </c>
      <c r="V462" s="6" t="str">
        <f>IF(BBDD_Usiarios_Netflix[[#This Row],[Duración Plan]]="12 Meses",LEFT(BBDD_Usiarios_Netflix[[#This Row],[Duración Plan]],2),LEFT(BBDD_Usiarios_Netflix[[#This Row],[Duración Plan]],1))</f>
        <v>3</v>
      </c>
      <c r="W4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63" spans="1:23" x14ac:dyDescent="0.25">
      <c r="A463">
        <v>462</v>
      </c>
      <c r="B463" t="s">
        <v>28</v>
      </c>
      <c r="C463">
        <v>14</v>
      </c>
      <c r="D463" s="3">
        <v>10</v>
      </c>
      <c r="E463" s="3">
        <v>6</v>
      </c>
      <c r="F463">
        <v>23</v>
      </c>
      <c r="G463" s="1">
        <f>DATEVALUE(_xlfn.CONCAT(BBDD_Usiarios_Netflix[[#This Row],[Día Suscripción]],"/",BBDD_Usiarios_Netflix[[#This Row],[Mes Suscripción]],"/",BBDD_Usiarios_Netflix[[#This Row],[Año Suscripción]]))</f>
        <v>45087</v>
      </c>
      <c r="H463" s="1">
        <v>28</v>
      </c>
      <c r="I463" s="1">
        <v>6</v>
      </c>
      <c r="J463" s="1">
        <v>24</v>
      </c>
      <c r="K463" s="1" t="str">
        <f>TEXT(BBDD_Usiarios_Netflix[[#This Row],[Fecha Suscripción]],"dddd")</f>
        <v>sábado</v>
      </c>
      <c r="L463" s="1">
        <f>DATEVALUE(_xlfn.CONCAT(BBDD_Usiarios_Netflix[[#This Row],[Día Último Pago]],"/",BBDD_Usiarios_Netflix[[#This Row],[Mes Último Pago]],"/",BBDD_Usiarios_Netflix[[#This Row],[Año Último Pago]]))</f>
        <v>45471</v>
      </c>
      <c r="M463" s="4">
        <f>DATEDIF(BBDD_Usiarios_Netflix[[#This Row],[Fecha Suscripción]],BBDD_Usiarios_Netflix[[#This Row],[Fecha Último Pago]],"M")+1</f>
        <v>13</v>
      </c>
      <c r="N463" s="4">
        <f>BBDD_Usiarios_Netflix[[#This Row],[Ingresos Mensuales]]*BBDD_Usiarios_Netflix[[#This Row],[Meses contratados]]</f>
        <v>182</v>
      </c>
      <c r="O463" t="s">
        <v>33</v>
      </c>
      <c r="P463" t="str">
        <f>IF(BBDD_Usiarios_Netflix[[#This Row],[País]]="","Desconocido",BBDD_Usiarios_Netflix[[#This Row],[País]])</f>
        <v>Francia</v>
      </c>
      <c r="Q463">
        <v>45</v>
      </c>
      <c r="R463" t="s">
        <v>25</v>
      </c>
      <c r="S463" t="s">
        <v>26</v>
      </c>
      <c r="T463" t="s">
        <v>41</v>
      </c>
      <c r="U463">
        <f>IF(IFERROR(VLOOKUP(BBDD_Usiarios_Netflix[[#This Row],[Identificador Usuario]],A464:$A$5870,1,FALSE),0)&lt;&gt;0,1,0)</f>
        <v>0</v>
      </c>
      <c r="V463" s="6" t="str">
        <f>IF(BBDD_Usiarios_Netflix[[#This Row],[Duración Plan]]="12 Meses",LEFT(BBDD_Usiarios_Netflix[[#This Row],[Duración Plan]],2),LEFT(BBDD_Usiarios_Netflix[[#This Row],[Duración Plan]],1))</f>
        <v>12</v>
      </c>
      <c r="W4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64" spans="1:23" x14ac:dyDescent="0.25">
      <c r="A464">
        <v>463</v>
      </c>
      <c r="B464" t="s">
        <v>32</v>
      </c>
      <c r="C464">
        <v>12</v>
      </c>
      <c r="D464" s="3">
        <v>1</v>
      </c>
      <c r="E464" s="3">
        <v>6</v>
      </c>
      <c r="F464">
        <v>23</v>
      </c>
      <c r="G464" s="1">
        <f>DATEVALUE(_xlfn.CONCAT(BBDD_Usiarios_Netflix[[#This Row],[Día Suscripción]],"/",BBDD_Usiarios_Netflix[[#This Row],[Mes Suscripción]],"/",BBDD_Usiarios_Netflix[[#This Row],[Año Suscripción]]))</f>
        <v>45078</v>
      </c>
      <c r="H464" s="1">
        <v>26</v>
      </c>
      <c r="I464" s="1">
        <v>6</v>
      </c>
      <c r="J464" s="1">
        <v>24</v>
      </c>
      <c r="K464" s="1" t="str">
        <f>TEXT(BBDD_Usiarios_Netflix[[#This Row],[Fecha Suscripción]],"dddd")</f>
        <v>jueves</v>
      </c>
      <c r="L464" s="1">
        <f>DATEVALUE(_xlfn.CONCAT(BBDD_Usiarios_Netflix[[#This Row],[Día Último Pago]],"/",BBDD_Usiarios_Netflix[[#This Row],[Mes Último Pago]],"/",BBDD_Usiarios_Netflix[[#This Row],[Año Último Pago]]))</f>
        <v>45469</v>
      </c>
      <c r="M464" s="4">
        <f>DATEDIF(BBDD_Usiarios_Netflix[[#This Row],[Fecha Suscripción]],BBDD_Usiarios_Netflix[[#This Row],[Fecha Último Pago]],"M")+1</f>
        <v>13</v>
      </c>
      <c r="N464" s="4">
        <f>BBDD_Usiarios_Netflix[[#This Row],[Ingresos Mensuales]]*BBDD_Usiarios_Netflix[[#This Row],[Meses contratados]]</f>
        <v>156</v>
      </c>
      <c r="O464" t="s">
        <v>33</v>
      </c>
      <c r="P464" t="str">
        <f>IF(BBDD_Usiarios_Netflix[[#This Row],[País]]="","Desconocido",BBDD_Usiarios_Netflix[[#This Row],[País]])</f>
        <v>Francia</v>
      </c>
      <c r="Q464">
        <v>40</v>
      </c>
      <c r="R464" t="s">
        <v>25</v>
      </c>
      <c r="S464" t="s">
        <v>34</v>
      </c>
      <c r="T464" t="s">
        <v>41</v>
      </c>
      <c r="U464">
        <f>IF(IFERROR(VLOOKUP(BBDD_Usiarios_Netflix[[#This Row],[Identificador Usuario]],A465:$A$5870,1,FALSE),0)&lt;&gt;0,1,0)</f>
        <v>0</v>
      </c>
      <c r="V464" s="6" t="str">
        <f>IF(BBDD_Usiarios_Netflix[[#This Row],[Duración Plan]]="12 Meses",LEFT(BBDD_Usiarios_Netflix[[#This Row],[Duración Plan]],2),LEFT(BBDD_Usiarios_Netflix[[#This Row],[Duración Plan]],1))</f>
        <v>12</v>
      </c>
      <c r="W4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65" spans="1:23" x14ac:dyDescent="0.25">
      <c r="A465">
        <v>464</v>
      </c>
      <c r="B465" t="s">
        <v>23</v>
      </c>
      <c r="C465">
        <v>10</v>
      </c>
      <c r="D465" s="3">
        <v>3</v>
      </c>
      <c r="E465" s="3">
        <v>6</v>
      </c>
      <c r="F465">
        <v>23</v>
      </c>
      <c r="G465" s="1">
        <f>DATEVALUE(_xlfn.CONCAT(BBDD_Usiarios_Netflix[[#This Row],[Día Suscripción]],"/",BBDD_Usiarios_Netflix[[#This Row],[Mes Suscripción]],"/",BBDD_Usiarios_Netflix[[#This Row],[Año Suscripción]]))</f>
        <v>45080</v>
      </c>
      <c r="H465" s="1">
        <v>28</v>
      </c>
      <c r="I465" s="1">
        <v>6</v>
      </c>
      <c r="J465" s="1">
        <v>24</v>
      </c>
      <c r="K465" s="1" t="str">
        <f>TEXT(BBDD_Usiarios_Netflix[[#This Row],[Fecha Suscripción]],"dddd")</f>
        <v>sábado</v>
      </c>
      <c r="L465" s="1">
        <f>DATEVALUE(_xlfn.CONCAT(BBDD_Usiarios_Netflix[[#This Row],[Día Último Pago]],"/",BBDD_Usiarios_Netflix[[#This Row],[Mes Último Pago]],"/",BBDD_Usiarios_Netflix[[#This Row],[Año Último Pago]]))</f>
        <v>45471</v>
      </c>
      <c r="M465" s="4">
        <f>DATEDIF(BBDD_Usiarios_Netflix[[#This Row],[Fecha Suscripción]],BBDD_Usiarios_Netflix[[#This Row],[Fecha Último Pago]],"M")+1</f>
        <v>13</v>
      </c>
      <c r="N465" s="4">
        <f>BBDD_Usiarios_Netflix[[#This Row],[Ingresos Mensuales]]*BBDD_Usiarios_Netflix[[#This Row],[Meses contratados]]</f>
        <v>130</v>
      </c>
      <c r="O465" t="s">
        <v>43</v>
      </c>
      <c r="P465" t="str">
        <f>IF(BBDD_Usiarios_Netflix[[#This Row],[País]]="","Desconocido",BBDD_Usiarios_Netflix[[#This Row],[País]])</f>
        <v>Alemania</v>
      </c>
      <c r="Q465">
        <v>45</v>
      </c>
      <c r="R465" t="s">
        <v>25</v>
      </c>
      <c r="S465" t="s">
        <v>36</v>
      </c>
      <c r="T465" t="s">
        <v>27</v>
      </c>
      <c r="U465">
        <f>IF(IFERROR(VLOOKUP(BBDD_Usiarios_Netflix[[#This Row],[Identificador Usuario]],A466:$A$5870,1,FALSE),0)&lt;&gt;0,1,0)</f>
        <v>0</v>
      </c>
      <c r="V465" s="6" t="str">
        <f>IF(BBDD_Usiarios_Netflix[[#This Row],[Duración Plan]]="12 Meses",LEFT(BBDD_Usiarios_Netflix[[#This Row],[Duración Plan]],2),LEFT(BBDD_Usiarios_Netflix[[#This Row],[Duración Plan]],1))</f>
        <v>1</v>
      </c>
      <c r="W4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66" spans="1:23" x14ac:dyDescent="0.25">
      <c r="A466">
        <v>465</v>
      </c>
      <c r="B466" t="s">
        <v>32</v>
      </c>
      <c r="C466">
        <v>12</v>
      </c>
      <c r="D466" s="3">
        <v>5</v>
      </c>
      <c r="E466" s="3">
        <v>6</v>
      </c>
      <c r="F466">
        <v>23</v>
      </c>
      <c r="G466" s="1">
        <f>DATEVALUE(_xlfn.CONCAT(BBDD_Usiarios_Netflix[[#This Row],[Día Suscripción]],"/",BBDD_Usiarios_Netflix[[#This Row],[Mes Suscripción]],"/",BBDD_Usiarios_Netflix[[#This Row],[Año Suscripción]]))</f>
        <v>45082</v>
      </c>
      <c r="H466" s="1">
        <v>26</v>
      </c>
      <c r="I466" s="1">
        <v>6</v>
      </c>
      <c r="J466" s="1">
        <v>24</v>
      </c>
      <c r="K466" s="1" t="str">
        <f>TEXT(BBDD_Usiarios_Netflix[[#This Row],[Fecha Suscripción]],"dddd")</f>
        <v>lunes</v>
      </c>
      <c r="L466" s="1">
        <f>DATEVALUE(_xlfn.CONCAT(BBDD_Usiarios_Netflix[[#This Row],[Día Último Pago]],"/",BBDD_Usiarios_Netflix[[#This Row],[Mes Último Pago]],"/",BBDD_Usiarios_Netflix[[#This Row],[Año Último Pago]]))</f>
        <v>45469</v>
      </c>
      <c r="M466" s="4">
        <f>DATEDIF(BBDD_Usiarios_Netflix[[#This Row],[Fecha Suscripción]],BBDD_Usiarios_Netflix[[#This Row],[Fecha Último Pago]],"M")+1</f>
        <v>13</v>
      </c>
      <c r="N466" s="4">
        <f>BBDD_Usiarios_Netflix[[#This Row],[Ingresos Mensuales]]*BBDD_Usiarios_Netflix[[#This Row],[Meses contratados]]</f>
        <v>156</v>
      </c>
      <c r="O466" t="s">
        <v>37</v>
      </c>
      <c r="P466" t="str">
        <f>IF(BBDD_Usiarios_Netflix[[#This Row],[País]]="","Desconocido",BBDD_Usiarios_Netflix[[#This Row],[País]])</f>
        <v>Brasil</v>
      </c>
      <c r="Q466">
        <v>34</v>
      </c>
      <c r="R466" t="s">
        <v>25</v>
      </c>
      <c r="S466" t="s">
        <v>36</v>
      </c>
      <c r="T466" t="s">
        <v>27</v>
      </c>
      <c r="U466">
        <f>IF(IFERROR(VLOOKUP(BBDD_Usiarios_Netflix[[#This Row],[Identificador Usuario]],A467:$A$5870,1,FALSE),0)&lt;&gt;0,1,0)</f>
        <v>0</v>
      </c>
      <c r="V466" s="6" t="str">
        <f>IF(BBDD_Usiarios_Netflix[[#This Row],[Duración Plan]]="12 Meses",LEFT(BBDD_Usiarios_Netflix[[#This Row],[Duración Plan]],2),LEFT(BBDD_Usiarios_Netflix[[#This Row],[Duración Plan]],1))</f>
        <v>1</v>
      </c>
      <c r="W4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67" spans="1:23" x14ac:dyDescent="0.25">
      <c r="A467">
        <v>466</v>
      </c>
      <c r="B467" t="s">
        <v>28</v>
      </c>
      <c r="C467">
        <v>14</v>
      </c>
      <c r="D467" s="3">
        <v>7</v>
      </c>
      <c r="E467" s="3">
        <v>6</v>
      </c>
      <c r="F467">
        <v>23</v>
      </c>
      <c r="G467" s="1">
        <f>DATEVALUE(_xlfn.CONCAT(BBDD_Usiarios_Netflix[[#This Row],[Día Suscripción]],"/",BBDD_Usiarios_Netflix[[#This Row],[Mes Suscripción]],"/",BBDD_Usiarios_Netflix[[#This Row],[Año Suscripción]]))</f>
        <v>45084</v>
      </c>
      <c r="H467" s="1">
        <v>27</v>
      </c>
      <c r="I467" s="1">
        <v>6</v>
      </c>
      <c r="J467" s="1">
        <v>24</v>
      </c>
      <c r="K467" s="1" t="str">
        <f>TEXT(BBDD_Usiarios_Netflix[[#This Row],[Fecha Suscripción]],"dddd")</f>
        <v>miércoles</v>
      </c>
      <c r="L467" s="1">
        <f>DATEVALUE(_xlfn.CONCAT(BBDD_Usiarios_Netflix[[#This Row],[Día Último Pago]],"/",BBDD_Usiarios_Netflix[[#This Row],[Mes Último Pago]],"/",BBDD_Usiarios_Netflix[[#This Row],[Año Último Pago]]))</f>
        <v>45470</v>
      </c>
      <c r="M467" s="4">
        <f>DATEDIF(BBDD_Usiarios_Netflix[[#This Row],[Fecha Suscripción]],BBDD_Usiarios_Netflix[[#This Row],[Fecha Último Pago]],"M")+1</f>
        <v>13</v>
      </c>
      <c r="N467" s="4">
        <f>BBDD_Usiarios_Netflix[[#This Row],[Ingresos Mensuales]]*BBDD_Usiarios_Netflix[[#This Row],[Meses contratados]]</f>
        <v>182</v>
      </c>
      <c r="O467" t="s">
        <v>43</v>
      </c>
      <c r="P467" t="str">
        <f>IF(BBDD_Usiarios_Netflix[[#This Row],[País]]="","Desconocido",BBDD_Usiarios_Netflix[[#This Row],[País]])</f>
        <v>Alemania</v>
      </c>
      <c r="Q467">
        <v>33</v>
      </c>
      <c r="R467" t="s">
        <v>25</v>
      </c>
      <c r="S467" t="s">
        <v>36</v>
      </c>
      <c r="T467" t="s">
        <v>38</v>
      </c>
      <c r="U467">
        <f>IF(IFERROR(VLOOKUP(BBDD_Usiarios_Netflix[[#This Row],[Identificador Usuario]],A468:$A$5870,1,FALSE),0)&lt;&gt;0,1,0)</f>
        <v>0</v>
      </c>
      <c r="V467" s="6" t="str">
        <f>IF(BBDD_Usiarios_Netflix[[#This Row],[Duración Plan]]="12 Meses",LEFT(BBDD_Usiarios_Netflix[[#This Row],[Duración Plan]],2),LEFT(BBDD_Usiarios_Netflix[[#This Row],[Duración Plan]],1))</f>
        <v>3</v>
      </c>
      <c r="W4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68" spans="1:23" x14ac:dyDescent="0.25">
      <c r="A468">
        <v>467</v>
      </c>
      <c r="B468" t="s">
        <v>23</v>
      </c>
      <c r="C468">
        <v>10</v>
      </c>
      <c r="D468" s="3">
        <v>22</v>
      </c>
      <c r="E468" s="3">
        <v>6</v>
      </c>
      <c r="F468">
        <v>23</v>
      </c>
      <c r="G468" s="1">
        <f>DATEVALUE(_xlfn.CONCAT(BBDD_Usiarios_Netflix[[#This Row],[Día Suscripción]],"/",BBDD_Usiarios_Netflix[[#This Row],[Mes Suscripción]],"/",BBDD_Usiarios_Netflix[[#This Row],[Año Suscripción]]))</f>
        <v>45099</v>
      </c>
      <c r="H468" s="1">
        <v>26</v>
      </c>
      <c r="I468" s="1">
        <v>6</v>
      </c>
      <c r="J468" s="1">
        <v>24</v>
      </c>
      <c r="K468" s="1" t="str">
        <f>TEXT(BBDD_Usiarios_Netflix[[#This Row],[Fecha Suscripción]],"dddd")</f>
        <v>jueves</v>
      </c>
      <c r="L468" s="1">
        <f>DATEVALUE(_xlfn.CONCAT(BBDD_Usiarios_Netflix[[#This Row],[Día Último Pago]],"/",BBDD_Usiarios_Netflix[[#This Row],[Mes Último Pago]],"/",BBDD_Usiarios_Netflix[[#This Row],[Año Último Pago]]))</f>
        <v>45469</v>
      </c>
      <c r="M468" s="4">
        <f>DATEDIF(BBDD_Usiarios_Netflix[[#This Row],[Fecha Suscripción]],BBDD_Usiarios_Netflix[[#This Row],[Fecha Último Pago]],"M")+1</f>
        <v>13</v>
      </c>
      <c r="N468" s="4">
        <f>BBDD_Usiarios_Netflix[[#This Row],[Ingresos Mensuales]]*BBDD_Usiarios_Netflix[[#This Row],[Meses contratados]]</f>
        <v>130</v>
      </c>
      <c r="O468" t="s">
        <v>44</v>
      </c>
      <c r="P468" t="str">
        <f>IF(BBDD_Usiarios_Netflix[[#This Row],[País]]="","Desconocido",BBDD_Usiarios_Netflix[[#This Row],[País]])</f>
        <v>Desconocido</v>
      </c>
      <c r="Q468">
        <v>47</v>
      </c>
      <c r="R468" t="s">
        <v>30</v>
      </c>
      <c r="S468" t="s">
        <v>36</v>
      </c>
      <c r="T468" t="s">
        <v>38</v>
      </c>
      <c r="U468">
        <f>IF(IFERROR(VLOOKUP(BBDD_Usiarios_Netflix[[#This Row],[Identificador Usuario]],A469:$A$5870,1,FALSE),0)&lt;&gt;0,1,0)</f>
        <v>0</v>
      </c>
      <c r="V468" s="6" t="str">
        <f>IF(BBDD_Usiarios_Netflix[[#This Row],[Duración Plan]]="12 Meses",LEFT(BBDD_Usiarios_Netflix[[#This Row],[Duración Plan]],2),LEFT(BBDD_Usiarios_Netflix[[#This Row],[Duración Plan]],1))</f>
        <v>3</v>
      </c>
      <c r="W4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69" spans="1:23" x14ac:dyDescent="0.25">
      <c r="A469">
        <v>468</v>
      </c>
      <c r="B469" t="s">
        <v>32</v>
      </c>
      <c r="C469">
        <v>12</v>
      </c>
      <c r="D469" s="3">
        <v>28</v>
      </c>
      <c r="E469" s="3">
        <v>6</v>
      </c>
      <c r="F469">
        <v>23</v>
      </c>
      <c r="G469" s="1">
        <f>DATEVALUE(_xlfn.CONCAT(BBDD_Usiarios_Netflix[[#This Row],[Día Suscripción]],"/",BBDD_Usiarios_Netflix[[#This Row],[Mes Suscripción]],"/",BBDD_Usiarios_Netflix[[#This Row],[Año Suscripción]]))</f>
        <v>45105</v>
      </c>
      <c r="H469" s="1">
        <v>27</v>
      </c>
      <c r="I469" s="1">
        <v>6</v>
      </c>
      <c r="J469" s="1">
        <v>24</v>
      </c>
      <c r="K469" s="1" t="str">
        <f>TEXT(BBDD_Usiarios_Netflix[[#This Row],[Fecha Suscripción]],"dddd")</f>
        <v>miércoles</v>
      </c>
      <c r="L469" s="1">
        <f>DATEVALUE(_xlfn.CONCAT(BBDD_Usiarios_Netflix[[#This Row],[Día Último Pago]],"/",BBDD_Usiarios_Netflix[[#This Row],[Mes Último Pago]],"/",BBDD_Usiarios_Netflix[[#This Row],[Año Último Pago]]))</f>
        <v>45470</v>
      </c>
      <c r="M469" s="4">
        <f>DATEDIF(BBDD_Usiarios_Netflix[[#This Row],[Fecha Suscripción]],BBDD_Usiarios_Netflix[[#This Row],[Fecha Último Pago]],"M")+1</f>
        <v>12</v>
      </c>
      <c r="N469" s="4">
        <f>BBDD_Usiarios_Netflix[[#This Row],[Ingresos Mensuales]]*BBDD_Usiarios_Netflix[[#This Row],[Meses contratados]]</f>
        <v>144</v>
      </c>
      <c r="O469" t="s">
        <v>43</v>
      </c>
      <c r="P469" t="str">
        <f>IF(BBDD_Usiarios_Netflix[[#This Row],[País]]="","Desconocido",BBDD_Usiarios_Netflix[[#This Row],[País]])</f>
        <v>Alemania</v>
      </c>
      <c r="Q469">
        <v>32</v>
      </c>
      <c r="R469" t="s">
        <v>25</v>
      </c>
      <c r="S469" t="s">
        <v>34</v>
      </c>
      <c r="T469" t="s">
        <v>35</v>
      </c>
      <c r="U469">
        <f>IF(IFERROR(VLOOKUP(BBDD_Usiarios_Netflix[[#This Row],[Identificador Usuario]],A470:$A$5870,1,FALSE),0)&lt;&gt;0,1,0)</f>
        <v>0</v>
      </c>
      <c r="V469" s="6" t="str">
        <f>IF(BBDD_Usiarios_Netflix[[#This Row],[Duración Plan]]="12 Meses",LEFT(BBDD_Usiarios_Netflix[[#This Row],[Duración Plan]],2),LEFT(BBDD_Usiarios_Netflix[[#This Row],[Duración Plan]],1))</f>
        <v>6</v>
      </c>
      <c r="W4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70" spans="1:23" x14ac:dyDescent="0.25">
      <c r="A470">
        <v>469</v>
      </c>
      <c r="B470" t="s">
        <v>28</v>
      </c>
      <c r="C470">
        <v>14</v>
      </c>
      <c r="D470" s="3">
        <v>29</v>
      </c>
      <c r="E470" s="3">
        <v>6</v>
      </c>
      <c r="F470">
        <v>23</v>
      </c>
      <c r="G470" s="1">
        <f>DATEVALUE(_xlfn.CONCAT(BBDD_Usiarios_Netflix[[#This Row],[Día Suscripción]],"/",BBDD_Usiarios_Netflix[[#This Row],[Mes Suscripción]],"/",BBDD_Usiarios_Netflix[[#This Row],[Año Suscripción]]))</f>
        <v>45106</v>
      </c>
      <c r="H470" s="1">
        <v>29</v>
      </c>
      <c r="I470" s="1">
        <v>6</v>
      </c>
      <c r="J470" s="1">
        <v>24</v>
      </c>
      <c r="K470" s="1" t="str">
        <f>TEXT(BBDD_Usiarios_Netflix[[#This Row],[Fecha Suscripción]],"dddd")</f>
        <v>jueves</v>
      </c>
      <c r="L470" s="1">
        <f>DATEVALUE(_xlfn.CONCAT(BBDD_Usiarios_Netflix[[#This Row],[Día Último Pago]],"/",BBDD_Usiarios_Netflix[[#This Row],[Mes Último Pago]],"/",BBDD_Usiarios_Netflix[[#This Row],[Año Último Pago]]))</f>
        <v>45472</v>
      </c>
      <c r="M470" s="4">
        <f>DATEDIF(BBDD_Usiarios_Netflix[[#This Row],[Fecha Suscripción]],BBDD_Usiarios_Netflix[[#This Row],[Fecha Último Pago]],"M")+1</f>
        <v>13</v>
      </c>
      <c r="N470" s="4">
        <f>BBDD_Usiarios_Netflix[[#This Row],[Ingresos Mensuales]]*BBDD_Usiarios_Netflix[[#This Row],[Meses contratados]]</f>
        <v>182</v>
      </c>
      <c r="O470" t="s">
        <v>42</v>
      </c>
      <c r="P470" t="str">
        <f>IF(BBDD_Usiarios_Netflix[[#This Row],[País]]="","Desconocido",BBDD_Usiarios_Netflix[[#This Row],[País]])</f>
        <v>Reino Unido</v>
      </c>
      <c r="Q470">
        <v>41</v>
      </c>
      <c r="R470" t="s">
        <v>30</v>
      </c>
      <c r="S470" t="s">
        <v>31</v>
      </c>
      <c r="T470" t="s">
        <v>38</v>
      </c>
      <c r="U470">
        <f>IF(IFERROR(VLOOKUP(BBDD_Usiarios_Netflix[[#This Row],[Identificador Usuario]],A471:$A$5870,1,FALSE),0)&lt;&gt;0,1,0)</f>
        <v>0</v>
      </c>
      <c r="V470" s="6" t="str">
        <f>IF(BBDD_Usiarios_Netflix[[#This Row],[Duración Plan]]="12 Meses",LEFT(BBDD_Usiarios_Netflix[[#This Row],[Duración Plan]],2),LEFT(BBDD_Usiarios_Netflix[[#This Row],[Duración Plan]],1))</f>
        <v>3</v>
      </c>
      <c r="W4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71" spans="1:23" x14ac:dyDescent="0.25">
      <c r="A471">
        <v>470</v>
      </c>
      <c r="B471" t="s">
        <v>23</v>
      </c>
      <c r="C471">
        <v>10</v>
      </c>
      <c r="D471" s="3">
        <v>3</v>
      </c>
      <c r="E471" s="3">
        <v>7</v>
      </c>
      <c r="F471">
        <v>23</v>
      </c>
      <c r="G471" s="1">
        <f>DATEVALUE(_xlfn.CONCAT(BBDD_Usiarios_Netflix[[#This Row],[Día Suscripción]],"/",BBDD_Usiarios_Netflix[[#This Row],[Mes Suscripción]],"/",BBDD_Usiarios_Netflix[[#This Row],[Año Suscripción]]))</f>
        <v>45110</v>
      </c>
      <c r="H471" s="1">
        <v>28</v>
      </c>
      <c r="I471" s="1">
        <v>6</v>
      </c>
      <c r="J471" s="1">
        <v>24</v>
      </c>
      <c r="K471" s="1" t="str">
        <f>TEXT(BBDD_Usiarios_Netflix[[#This Row],[Fecha Suscripción]],"dddd")</f>
        <v>lunes</v>
      </c>
      <c r="L471" s="1">
        <f>DATEVALUE(_xlfn.CONCAT(BBDD_Usiarios_Netflix[[#This Row],[Día Último Pago]],"/",BBDD_Usiarios_Netflix[[#This Row],[Mes Último Pago]],"/",BBDD_Usiarios_Netflix[[#This Row],[Año Último Pago]]))</f>
        <v>45471</v>
      </c>
      <c r="M471" s="4">
        <f>DATEDIF(BBDD_Usiarios_Netflix[[#This Row],[Fecha Suscripción]],BBDD_Usiarios_Netflix[[#This Row],[Fecha Último Pago]],"M")+1</f>
        <v>12</v>
      </c>
      <c r="N471" s="4">
        <f>BBDD_Usiarios_Netflix[[#This Row],[Ingresos Mensuales]]*BBDD_Usiarios_Netflix[[#This Row],[Meses contratados]]</f>
        <v>120</v>
      </c>
      <c r="O471" t="s">
        <v>33</v>
      </c>
      <c r="P471" t="str">
        <f>IF(BBDD_Usiarios_Netflix[[#This Row],[País]]="","Desconocido",BBDD_Usiarios_Netflix[[#This Row],[País]])</f>
        <v>Francia</v>
      </c>
      <c r="Q471">
        <v>31</v>
      </c>
      <c r="R471" t="s">
        <v>30</v>
      </c>
      <c r="S471" t="s">
        <v>31</v>
      </c>
      <c r="T471" t="s">
        <v>38</v>
      </c>
      <c r="U471">
        <f>IF(IFERROR(VLOOKUP(BBDD_Usiarios_Netflix[[#This Row],[Identificador Usuario]],A472:$A$5870,1,FALSE),0)&lt;&gt;0,1,0)</f>
        <v>0</v>
      </c>
      <c r="V471" s="6" t="str">
        <f>IF(BBDD_Usiarios_Netflix[[#This Row],[Duración Plan]]="12 Meses",LEFT(BBDD_Usiarios_Netflix[[#This Row],[Duración Plan]],2),LEFT(BBDD_Usiarios_Netflix[[#This Row],[Duración Plan]],1))</f>
        <v>3</v>
      </c>
      <c r="W4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72" spans="1:23" x14ac:dyDescent="0.25">
      <c r="A472">
        <v>471</v>
      </c>
      <c r="B472" t="s">
        <v>28</v>
      </c>
      <c r="C472">
        <v>14</v>
      </c>
      <c r="D472" s="3">
        <v>8</v>
      </c>
      <c r="E472" s="3">
        <v>7</v>
      </c>
      <c r="F472">
        <v>23</v>
      </c>
      <c r="G472" s="1">
        <f>DATEVALUE(_xlfn.CONCAT(BBDD_Usiarios_Netflix[[#This Row],[Día Suscripción]],"/",BBDD_Usiarios_Netflix[[#This Row],[Mes Suscripción]],"/",BBDD_Usiarios_Netflix[[#This Row],[Año Suscripción]]))</f>
        <v>45115</v>
      </c>
      <c r="H472" s="1">
        <v>27</v>
      </c>
      <c r="I472" s="1">
        <v>6</v>
      </c>
      <c r="J472" s="1">
        <v>24</v>
      </c>
      <c r="K472" s="1" t="str">
        <f>TEXT(BBDD_Usiarios_Netflix[[#This Row],[Fecha Suscripción]],"dddd")</f>
        <v>sábado</v>
      </c>
      <c r="L472" s="1">
        <f>DATEVALUE(_xlfn.CONCAT(BBDD_Usiarios_Netflix[[#This Row],[Día Último Pago]],"/",BBDD_Usiarios_Netflix[[#This Row],[Mes Último Pago]],"/",BBDD_Usiarios_Netflix[[#This Row],[Año Último Pago]]))</f>
        <v>45470</v>
      </c>
      <c r="M472" s="4">
        <f>DATEDIF(BBDD_Usiarios_Netflix[[#This Row],[Fecha Suscripción]],BBDD_Usiarios_Netflix[[#This Row],[Fecha Último Pago]],"M")+1</f>
        <v>12</v>
      </c>
      <c r="N472" s="4">
        <f>BBDD_Usiarios_Netflix[[#This Row],[Ingresos Mensuales]]*BBDD_Usiarios_Netflix[[#This Row],[Meses contratados]]</f>
        <v>168</v>
      </c>
      <c r="O472" t="s">
        <v>33</v>
      </c>
      <c r="P472" t="str">
        <f>IF(BBDD_Usiarios_Netflix[[#This Row],[País]]="","Desconocido",BBDD_Usiarios_Netflix[[#This Row],[País]])</f>
        <v>Francia</v>
      </c>
      <c r="Q472">
        <v>43</v>
      </c>
      <c r="R472" t="s">
        <v>25</v>
      </c>
      <c r="S472" t="s">
        <v>31</v>
      </c>
      <c r="T472" t="s">
        <v>35</v>
      </c>
      <c r="U472">
        <f>IF(IFERROR(VLOOKUP(BBDD_Usiarios_Netflix[[#This Row],[Identificador Usuario]],A473:$A$5870,1,FALSE),0)&lt;&gt;0,1,0)</f>
        <v>0</v>
      </c>
      <c r="V472" s="6" t="str">
        <f>IF(BBDD_Usiarios_Netflix[[#This Row],[Duración Plan]]="12 Meses",LEFT(BBDD_Usiarios_Netflix[[#This Row],[Duración Plan]],2),LEFT(BBDD_Usiarios_Netflix[[#This Row],[Duración Plan]],1))</f>
        <v>6</v>
      </c>
      <c r="W4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73" spans="1:23" x14ac:dyDescent="0.25">
      <c r="A473">
        <v>472</v>
      </c>
      <c r="B473" t="s">
        <v>23</v>
      </c>
      <c r="C473">
        <v>10</v>
      </c>
      <c r="D473" s="3">
        <v>13</v>
      </c>
      <c r="E473" s="3">
        <v>7</v>
      </c>
      <c r="F473">
        <v>23</v>
      </c>
      <c r="G473" s="1">
        <f>DATEVALUE(_xlfn.CONCAT(BBDD_Usiarios_Netflix[[#This Row],[Día Suscripción]],"/",BBDD_Usiarios_Netflix[[#This Row],[Mes Suscripción]],"/",BBDD_Usiarios_Netflix[[#This Row],[Año Suscripción]]))</f>
        <v>45120</v>
      </c>
      <c r="H473" s="1">
        <v>27</v>
      </c>
      <c r="I473" s="1">
        <v>6</v>
      </c>
      <c r="J473" s="1">
        <v>24</v>
      </c>
      <c r="K473" s="1" t="str">
        <f>TEXT(BBDD_Usiarios_Netflix[[#This Row],[Fecha Suscripción]],"dddd")</f>
        <v>jueves</v>
      </c>
      <c r="L473" s="1">
        <f>DATEVALUE(_xlfn.CONCAT(BBDD_Usiarios_Netflix[[#This Row],[Día Último Pago]],"/",BBDD_Usiarios_Netflix[[#This Row],[Mes Último Pago]],"/",BBDD_Usiarios_Netflix[[#This Row],[Año Último Pago]]))</f>
        <v>45470</v>
      </c>
      <c r="M473" s="4">
        <f>DATEDIF(BBDD_Usiarios_Netflix[[#This Row],[Fecha Suscripción]],BBDD_Usiarios_Netflix[[#This Row],[Fecha Último Pago]],"M")+1</f>
        <v>12</v>
      </c>
      <c r="N473" s="4">
        <f>BBDD_Usiarios_Netflix[[#This Row],[Ingresos Mensuales]]*BBDD_Usiarios_Netflix[[#This Row],[Meses contratados]]</f>
        <v>120</v>
      </c>
      <c r="O473" t="s">
        <v>37</v>
      </c>
      <c r="P473" t="str">
        <f>IF(BBDD_Usiarios_Netflix[[#This Row],[País]]="","Desconocido",BBDD_Usiarios_Netflix[[#This Row],[País]])</f>
        <v>Brasil</v>
      </c>
      <c r="Q473">
        <v>32</v>
      </c>
      <c r="R473" t="s">
        <v>30</v>
      </c>
      <c r="S473" t="s">
        <v>31</v>
      </c>
      <c r="T473" t="s">
        <v>27</v>
      </c>
      <c r="U473">
        <f>IF(IFERROR(VLOOKUP(BBDD_Usiarios_Netflix[[#This Row],[Identificador Usuario]],A474:$A$5870,1,FALSE),0)&lt;&gt;0,1,0)</f>
        <v>0</v>
      </c>
      <c r="V473" s="6" t="str">
        <f>IF(BBDD_Usiarios_Netflix[[#This Row],[Duración Plan]]="12 Meses",LEFT(BBDD_Usiarios_Netflix[[#This Row],[Duración Plan]],2),LEFT(BBDD_Usiarios_Netflix[[#This Row],[Duración Plan]],1))</f>
        <v>1</v>
      </c>
      <c r="W4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74" spans="1:23" x14ac:dyDescent="0.25">
      <c r="A474">
        <v>473</v>
      </c>
      <c r="B474" t="s">
        <v>32</v>
      </c>
      <c r="C474">
        <v>12</v>
      </c>
      <c r="D474" s="3">
        <v>27</v>
      </c>
      <c r="E474" s="3">
        <v>7</v>
      </c>
      <c r="F474">
        <v>23</v>
      </c>
      <c r="G474" s="1">
        <f>DATEVALUE(_xlfn.CONCAT(BBDD_Usiarios_Netflix[[#This Row],[Día Suscripción]],"/",BBDD_Usiarios_Netflix[[#This Row],[Mes Suscripción]],"/",BBDD_Usiarios_Netflix[[#This Row],[Año Suscripción]]))</f>
        <v>45134</v>
      </c>
      <c r="H474" s="1">
        <v>28</v>
      </c>
      <c r="I474" s="1">
        <v>6</v>
      </c>
      <c r="J474" s="1">
        <v>24</v>
      </c>
      <c r="K474" s="1" t="str">
        <f>TEXT(BBDD_Usiarios_Netflix[[#This Row],[Fecha Suscripción]],"dddd")</f>
        <v>jueves</v>
      </c>
      <c r="L474" s="1">
        <f>DATEVALUE(_xlfn.CONCAT(BBDD_Usiarios_Netflix[[#This Row],[Día Último Pago]],"/",BBDD_Usiarios_Netflix[[#This Row],[Mes Último Pago]],"/",BBDD_Usiarios_Netflix[[#This Row],[Año Último Pago]]))</f>
        <v>45471</v>
      </c>
      <c r="M474" s="4">
        <f>DATEDIF(BBDD_Usiarios_Netflix[[#This Row],[Fecha Suscripción]],BBDD_Usiarios_Netflix[[#This Row],[Fecha Último Pago]],"M")+1</f>
        <v>12</v>
      </c>
      <c r="N474" s="4">
        <f>BBDD_Usiarios_Netflix[[#This Row],[Ingresos Mensuales]]*BBDD_Usiarios_Netflix[[#This Row],[Meses contratados]]</f>
        <v>144</v>
      </c>
      <c r="O474" t="s">
        <v>40</v>
      </c>
      <c r="P474" t="str">
        <f>IF(BBDD_Usiarios_Netflix[[#This Row],[País]]="","Desconocido",BBDD_Usiarios_Netflix[[#This Row],[País]])</f>
        <v>Italia</v>
      </c>
      <c r="Q474">
        <v>46</v>
      </c>
      <c r="R474" t="s">
        <v>30</v>
      </c>
      <c r="S474" t="s">
        <v>26</v>
      </c>
      <c r="T474" t="s">
        <v>41</v>
      </c>
      <c r="U474">
        <f>IF(IFERROR(VLOOKUP(BBDD_Usiarios_Netflix[[#This Row],[Identificador Usuario]],A475:$A$5870,1,FALSE),0)&lt;&gt;0,1,0)</f>
        <v>0</v>
      </c>
      <c r="V474" s="6" t="str">
        <f>IF(BBDD_Usiarios_Netflix[[#This Row],[Duración Plan]]="12 Meses",LEFT(BBDD_Usiarios_Netflix[[#This Row],[Duración Plan]],2),LEFT(BBDD_Usiarios_Netflix[[#This Row],[Duración Plan]],1))</f>
        <v>12</v>
      </c>
      <c r="W4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75" spans="1:23" x14ac:dyDescent="0.25">
      <c r="A475">
        <v>474</v>
      </c>
      <c r="B475" t="s">
        <v>32</v>
      </c>
      <c r="C475">
        <v>12</v>
      </c>
      <c r="D475" s="3">
        <v>30</v>
      </c>
      <c r="E475" s="3">
        <v>7</v>
      </c>
      <c r="F475">
        <v>23</v>
      </c>
      <c r="G475" s="1">
        <f>DATEVALUE(_xlfn.CONCAT(BBDD_Usiarios_Netflix[[#This Row],[Día Suscripción]],"/",BBDD_Usiarios_Netflix[[#This Row],[Mes Suscripción]],"/",BBDD_Usiarios_Netflix[[#This Row],[Año Suscripción]]))</f>
        <v>45137</v>
      </c>
      <c r="H475" s="1">
        <v>28</v>
      </c>
      <c r="I475" s="1">
        <v>6</v>
      </c>
      <c r="J475" s="1">
        <v>24</v>
      </c>
      <c r="K475" s="1" t="str">
        <f>TEXT(BBDD_Usiarios_Netflix[[#This Row],[Fecha Suscripción]],"dddd")</f>
        <v>domingo</v>
      </c>
      <c r="L475" s="1">
        <f>DATEVALUE(_xlfn.CONCAT(BBDD_Usiarios_Netflix[[#This Row],[Día Último Pago]],"/",BBDD_Usiarios_Netflix[[#This Row],[Mes Último Pago]],"/",BBDD_Usiarios_Netflix[[#This Row],[Año Último Pago]]))</f>
        <v>45471</v>
      </c>
      <c r="M475" s="4">
        <f>DATEDIF(BBDD_Usiarios_Netflix[[#This Row],[Fecha Suscripción]],BBDD_Usiarios_Netflix[[#This Row],[Fecha Último Pago]],"M")+1</f>
        <v>11</v>
      </c>
      <c r="N475" s="4">
        <f>BBDD_Usiarios_Netflix[[#This Row],[Ingresos Mensuales]]*BBDD_Usiarios_Netflix[[#This Row],[Meses contratados]]</f>
        <v>132</v>
      </c>
      <c r="O475" t="s">
        <v>24</v>
      </c>
      <c r="P475" t="str">
        <f>IF(BBDD_Usiarios_Netflix[[#This Row],[País]]="","Desconocido",BBDD_Usiarios_Netflix[[#This Row],[País]])</f>
        <v>Australia</v>
      </c>
      <c r="Q475">
        <v>38</v>
      </c>
      <c r="R475" t="s">
        <v>25</v>
      </c>
      <c r="S475" t="s">
        <v>26</v>
      </c>
      <c r="T475" t="s">
        <v>27</v>
      </c>
      <c r="U475">
        <f>IF(IFERROR(VLOOKUP(BBDD_Usiarios_Netflix[[#This Row],[Identificador Usuario]],A476:$A$5870,1,FALSE),0)&lt;&gt;0,1,0)</f>
        <v>0</v>
      </c>
      <c r="V475" s="6" t="str">
        <f>IF(BBDD_Usiarios_Netflix[[#This Row],[Duración Plan]]="12 Meses",LEFT(BBDD_Usiarios_Netflix[[#This Row],[Duración Plan]],2),LEFT(BBDD_Usiarios_Netflix[[#This Row],[Duración Plan]],1))</f>
        <v>1</v>
      </c>
      <c r="W4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76" spans="1:23" x14ac:dyDescent="0.25">
      <c r="A476">
        <v>475</v>
      </c>
      <c r="B476" t="s">
        <v>23</v>
      </c>
      <c r="C476">
        <v>10</v>
      </c>
      <c r="D476" s="3">
        <v>13</v>
      </c>
      <c r="E476" s="3">
        <v>8</v>
      </c>
      <c r="F476">
        <v>23</v>
      </c>
      <c r="G476" s="1">
        <f>DATEVALUE(_xlfn.CONCAT(BBDD_Usiarios_Netflix[[#This Row],[Día Suscripción]],"/",BBDD_Usiarios_Netflix[[#This Row],[Mes Suscripción]],"/",BBDD_Usiarios_Netflix[[#This Row],[Año Suscripción]]))</f>
        <v>45151</v>
      </c>
      <c r="H476" s="1">
        <v>26</v>
      </c>
      <c r="I476" s="1">
        <v>6</v>
      </c>
      <c r="J476" s="1">
        <v>24</v>
      </c>
      <c r="K476" s="1" t="str">
        <f>TEXT(BBDD_Usiarios_Netflix[[#This Row],[Fecha Suscripción]],"dddd")</f>
        <v>domingo</v>
      </c>
      <c r="L476" s="1">
        <f>DATEVALUE(_xlfn.CONCAT(BBDD_Usiarios_Netflix[[#This Row],[Día Último Pago]],"/",BBDD_Usiarios_Netflix[[#This Row],[Mes Último Pago]],"/",BBDD_Usiarios_Netflix[[#This Row],[Año Último Pago]]))</f>
        <v>45469</v>
      </c>
      <c r="M476" s="4">
        <f>DATEDIF(BBDD_Usiarios_Netflix[[#This Row],[Fecha Suscripción]],BBDD_Usiarios_Netflix[[#This Row],[Fecha Último Pago]],"M")+1</f>
        <v>11</v>
      </c>
      <c r="N476" s="4">
        <f>BBDD_Usiarios_Netflix[[#This Row],[Ingresos Mensuales]]*BBDD_Usiarios_Netflix[[#This Row],[Meses contratados]]</f>
        <v>110</v>
      </c>
      <c r="O476" t="s">
        <v>33</v>
      </c>
      <c r="P476" t="str">
        <f>IF(BBDD_Usiarios_Netflix[[#This Row],[País]]="","Desconocido",BBDD_Usiarios_Netflix[[#This Row],[País]])</f>
        <v>Francia</v>
      </c>
      <c r="Q476">
        <v>31</v>
      </c>
      <c r="R476" t="s">
        <v>30</v>
      </c>
      <c r="S476" t="s">
        <v>34</v>
      </c>
      <c r="T476" t="s">
        <v>41</v>
      </c>
      <c r="U476">
        <f>IF(IFERROR(VLOOKUP(BBDD_Usiarios_Netflix[[#This Row],[Identificador Usuario]],A477:$A$5870,1,FALSE),0)&lt;&gt;0,1,0)</f>
        <v>0</v>
      </c>
      <c r="V476" s="6" t="str">
        <f>IF(BBDD_Usiarios_Netflix[[#This Row],[Duración Plan]]="12 Meses",LEFT(BBDD_Usiarios_Netflix[[#This Row],[Duración Plan]],2),LEFT(BBDD_Usiarios_Netflix[[#This Row],[Duración Plan]],1))</f>
        <v>12</v>
      </c>
      <c r="W4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77" spans="1:23" x14ac:dyDescent="0.25">
      <c r="A477">
        <v>476</v>
      </c>
      <c r="B477" t="s">
        <v>28</v>
      </c>
      <c r="C477">
        <v>14</v>
      </c>
      <c r="D477" s="3">
        <v>18</v>
      </c>
      <c r="E477" s="3">
        <v>8</v>
      </c>
      <c r="F477">
        <v>23</v>
      </c>
      <c r="G477" s="1">
        <f>DATEVALUE(_xlfn.CONCAT(BBDD_Usiarios_Netflix[[#This Row],[Día Suscripción]],"/",BBDD_Usiarios_Netflix[[#This Row],[Mes Suscripción]],"/",BBDD_Usiarios_Netflix[[#This Row],[Año Suscripción]]))</f>
        <v>45156</v>
      </c>
      <c r="H477" s="1">
        <v>26</v>
      </c>
      <c r="I477" s="1">
        <v>6</v>
      </c>
      <c r="J477" s="1">
        <v>24</v>
      </c>
      <c r="K477" s="1" t="str">
        <f>TEXT(BBDD_Usiarios_Netflix[[#This Row],[Fecha Suscripción]],"dddd")</f>
        <v>viernes</v>
      </c>
      <c r="L477" s="1">
        <f>DATEVALUE(_xlfn.CONCAT(BBDD_Usiarios_Netflix[[#This Row],[Día Último Pago]],"/",BBDD_Usiarios_Netflix[[#This Row],[Mes Último Pago]],"/",BBDD_Usiarios_Netflix[[#This Row],[Año Último Pago]]))</f>
        <v>45469</v>
      </c>
      <c r="M477" s="4">
        <f>DATEDIF(BBDD_Usiarios_Netflix[[#This Row],[Fecha Suscripción]],BBDD_Usiarios_Netflix[[#This Row],[Fecha Último Pago]],"M")+1</f>
        <v>11</v>
      </c>
      <c r="N477" s="4">
        <f>BBDD_Usiarios_Netflix[[#This Row],[Ingresos Mensuales]]*BBDD_Usiarios_Netflix[[#This Row],[Meses contratados]]</f>
        <v>154</v>
      </c>
      <c r="O477" t="s">
        <v>24</v>
      </c>
      <c r="P477" t="str">
        <f>IF(BBDD_Usiarios_Netflix[[#This Row],[País]]="","Desconocido",BBDD_Usiarios_Netflix[[#This Row],[País]])</f>
        <v>Australia</v>
      </c>
      <c r="Q477">
        <v>31</v>
      </c>
      <c r="R477" t="s">
        <v>30</v>
      </c>
      <c r="S477" t="s">
        <v>36</v>
      </c>
      <c r="T477" t="s">
        <v>27</v>
      </c>
      <c r="U477">
        <f>IF(IFERROR(VLOOKUP(BBDD_Usiarios_Netflix[[#This Row],[Identificador Usuario]],A478:$A$5870,1,FALSE),0)&lt;&gt;0,1,0)</f>
        <v>0</v>
      </c>
      <c r="V477" s="6" t="str">
        <f>IF(BBDD_Usiarios_Netflix[[#This Row],[Duración Plan]]="12 Meses",LEFT(BBDD_Usiarios_Netflix[[#This Row],[Duración Plan]],2),LEFT(BBDD_Usiarios_Netflix[[#This Row],[Duración Plan]],1))</f>
        <v>1</v>
      </c>
      <c r="W4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78" spans="1:23" x14ac:dyDescent="0.25">
      <c r="A478">
        <v>477</v>
      </c>
      <c r="B478" t="s">
        <v>23</v>
      </c>
      <c r="C478">
        <v>10</v>
      </c>
      <c r="D478" s="3">
        <v>24</v>
      </c>
      <c r="E478" s="3">
        <v>8</v>
      </c>
      <c r="F478">
        <v>23</v>
      </c>
      <c r="G478" s="1">
        <f>DATEVALUE(_xlfn.CONCAT(BBDD_Usiarios_Netflix[[#This Row],[Día Suscripción]],"/",BBDD_Usiarios_Netflix[[#This Row],[Mes Suscripción]],"/",BBDD_Usiarios_Netflix[[#This Row],[Año Suscripción]]))</f>
        <v>45162</v>
      </c>
      <c r="H478" s="1">
        <v>27</v>
      </c>
      <c r="I478" s="1">
        <v>6</v>
      </c>
      <c r="J478" s="1">
        <v>24</v>
      </c>
      <c r="K478" s="1" t="str">
        <f>TEXT(BBDD_Usiarios_Netflix[[#This Row],[Fecha Suscripción]],"dddd")</f>
        <v>jueves</v>
      </c>
      <c r="L478" s="1">
        <f>DATEVALUE(_xlfn.CONCAT(BBDD_Usiarios_Netflix[[#This Row],[Día Último Pago]],"/",BBDD_Usiarios_Netflix[[#This Row],[Mes Último Pago]],"/",BBDD_Usiarios_Netflix[[#This Row],[Año Último Pago]]))</f>
        <v>45470</v>
      </c>
      <c r="M478" s="4">
        <f>DATEDIF(BBDD_Usiarios_Netflix[[#This Row],[Fecha Suscripción]],BBDD_Usiarios_Netflix[[#This Row],[Fecha Último Pago]],"M")+1</f>
        <v>11</v>
      </c>
      <c r="N478" s="4">
        <f>BBDD_Usiarios_Netflix[[#This Row],[Ingresos Mensuales]]*BBDD_Usiarios_Netflix[[#This Row],[Meses contratados]]</f>
        <v>110</v>
      </c>
      <c r="O478" t="s">
        <v>24</v>
      </c>
      <c r="P478" t="str">
        <f>IF(BBDD_Usiarios_Netflix[[#This Row],[País]]="","Desconocido",BBDD_Usiarios_Netflix[[#This Row],[País]])</f>
        <v>Australia</v>
      </c>
      <c r="Q478">
        <v>50</v>
      </c>
      <c r="R478" t="s">
        <v>25</v>
      </c>
      <c r="S478" t="s">
        <v>36</v>
      </c>
      <c r="T478" t="s">
        <v>27</v>
      </c>
      <c r="U478">
        <f>IF(IFERROR(VLOOKUP(BBDD_Usiarios_Netflix[[#This Row],[Identificador Usuario]],A479:$A$5870,1,FALSE),0)&lt;&gt;0,1,0)</f>
        <v>0</v>
      </c>
      <c r="V478" s="6" t="str">
        <f>IF(BBDD_Usiarios_Netflix[[#This Row],[Duración Plan]]="12 Meses",LEFT(BBDD_Usiarios_Netflix[[#This Row],[Duración Plan]],2),LEFT(BBDD_Usiarios_Netflix[[#This Row],[Duración Plan]],1))</f>
        <v>1</v>
      </c>
      <c r="W4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79" spans="1:23" x14ac:dyDescent="0.25">
      <c r="A479">
        <v>478</v>
      </c>
      <c r="B479" t="s">
        <v>32</v>
      </c>
      <c r="C479">
        <v>12</v>
      </c>
      <c r="D479" s="3">
        <v>8</v>
      </c>
      <c r="E479" s="3">
        <v>9</v>
      </c>
      <c r="F479">
        <v>23</v>
      </c>
      <c r="G479" s="1">
        <f>DATEVALUE(_xlfn.CONCAT(BBDD_Usiarios_Netflix[[#This Row],[Día Suscripción]],"/",BBDD_Usiarios_Netflix[[#This Row],[Mes Suscripción]],"/",BBDD_Usiarios_Netflix[[#This Row],[Año Suscripción]]))</f>
        <v>45177</v>
      </c>
      <c r="H479" s="1">
        <v>27</v>
      </c>
      <c r="I479" s="1">
        <v>6</v>
      </c>
      <c r="J479" s="1">
        <v>24</v>
      </c>
      <c r="K479" s="1" t="str">
        <f>TEXT(BBDD_Usiarios_Netflix[[#This Row],[Fecha Suscripción]],"dddd")</f>
        <v>viernes</v>
      </c>
      <c r="L479" s="1">
        <f>DATEVALUE(_xlfn.CONCAT(BBDD_Usiarios_Netflix[[#This Row],[Día Último Pago]],"/",BBDD_Usiarios_Netflix[[#This Row],[Mes Último Pago]],"/",BBDD_Usiarios_Netflix[[#This Row],[Año Último Pago]]))</f>
        <v>45470</v>
      </c>
      <c r="M479" s="4">
        <f>DATEDIF(BBDD_Usiarios_Netflix[[#This Row],[Fecha Suscripción]],BBDD_Usiarios_Netflix[[#This Row],[Fecha Último Pago]],"M")+1</f>
        <v>10</v>
      </c>
      <c r="N479" s="4">
        <f>BBDD_Usiarios_Netflix[[#This Row],[Ingresos Mensuales]]*BBDD_Usiarios_Netflix[[#This Row],[Meses contratados]]</f>
        <v>120</v>
      </c>
      <c r="O479" t="s">
        <v>24</v>
      </c>
      <c r="P479" t="str">
        <f>IF(BBDD_Usiarios_Netflix[[#This Row],[País]]="","Desconocido",BBDD_Usiarios_Netflix[[#This Row],[País]])</f>
        <v>Australia</v>
      </c>
      <c r="Q479">
        <v>32</v>
      </c>
      <c r="R479" t="s">
        <v>25</v>
      </c>
      <c r="S479" t="s">
        <v>36</v>
      </c>
      <c r="T479" t="s">
        <v>38</v>
      </c>
      <c r="U479">
        <f>IF(IFERROR(VLOOKUP(BBDD_Usiarios_Netflix[[#This Row],[Identificador Usuario]],A480:$A$5870,1,FALSE),0)&lt;&gt;0,1,0)</f>
        <v>0</v>
      </c>
      <c r="V479" s="6" t="str">
        <f>IF(BBDD_Usiarios_Netflix[[#This Row],[Duración Plan]]="12 Meses",LEFT(BBDD_Usiarios_Netflix[[#This Row],[Duración Plan]],2),LEFT(BBDD_Usiarios_Netflix[[#This Row],[Duración Plan]],1))</f>
        <v>3</v>
      </c>
      <c r="W4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80" spans="1:23" x14ac:dyDescent="0.25">
      <c r="A480">
        <v>479</v>
      </c>
      <c r="B480" t="s">
        <v>28</v>
      </c>
      <c r="C480">
        <v>14</v>
      </c>
      <c r="D480" s="3">
        <v>4</v>
      </c>
      <c r="E480" s="3">
        <v>9</v>
      </c>
      <c r="F480">
        <v>23</v>
      </c>
      <c r="G480" s="1">
        <f>DATEVALUE(_xlfn.CONCAT(BBDD_Usiarios_Netflix[[#This Row],[Día Suscripción]],"/",BBDD_Usiarios_Netflix[[#This Row],[Mes Suscripción]],"/",BBDD_Usiarios_Netflix[[#This Row],[Año Suscripción]]))</f>
        <v>45173</v>
      </c>
      <c r="H480" s="1">
        <v>27</v>
      </c>
      <c r="I480" s="1">
        <v>6</v>
      </c>
      <c r="J480" s="1">
        <v>24</v>
      </c>
      <c r="K480" s="1" t="str">
        <f>TEXT(BBDD_Usiarios_Netflix[[#This Row],[Fecha Suscripción]],"dddd")</f>
        <v>lunes</v>
      </c>
      <c r="L480" s="1">
        <f>DATEVALUE(_xlfn.CONCAT(BBDD_Usiarios_Netflix[[#This Row],[Día Último Pago]],"/",BBDD_Usiarios_Netflix[[#This Row],[Mes Último Pago]],"/",BBDD_Usiarios_Netflix[[#This Row],[Año Último Pago]]))</f>
        <v>45470</v>
      </c>
      <c r="M480" s="4">
        <f>DATEDIF(BBDD_Usiarios_Netflix[[#This Row],[Fecha Suscripción]],BBDD_Usiarios_Netflix[[#This Row],[Fecha Último Pago]],"M")+1</f>
        <v>10</v>
      </c>
      <c r="N480" s="4">
        <f>BBDD_Usiarios_Netflix[[#This Row],[Ingresos Mensuales]]*BBDD_Usiarios_Netflix[[#This Row],[Meses contratados]]</f>
        <v>140</v>
      </c>
      <c r="O480" t="s">
        <v>40</v>
      </c>
      <c r="P480" t="str">
        <f>IF(BBDD_Usiarios_Netflix[[#This Row],[País]]="","Desconocido",BBDD_Usiarios_Netflix[[#This Row],[País]])</f>
        <v>Italia</v>
      </c>
      <c r="Q480">
        <v>38</v>
      </c>
      <c r="R480" t="s">
        <v>30</v>
      </c>
      <c r="S480" t="s">
        <v>26</v>
      </c>
      <c r="T480" t="s">
        <v>38</v>
      </c>
      <c r="U480">
        <f>IF(IFERROR(VLOOKUP(BBDD_Usiarios_Netflix[[#This Row],[Identificador Usuario]],A481:$A$5870,1,FALSE),0)&lt;&gt;0,1,0)</f>
        <v>0</v>
      </c>
      <c r="V480" s="6" t="str">
        <f>IF(BBDD_Usiarios_Netflix[[#This Row],[Duración Plan]]="12 Meses",LEFT(BBDD_Usiarios_Netflix[[#This Row],[Duración Plan]],2),LEFT(BBDD_Usiarios_Netflix[[#This Row],[Duración Plan]],1))</f>
        <v>3</v>
      </c>
      <c r="W4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81" spans="1:23" x14ac:dyDescent="0.25">
      <c r="A481">
        <v>480</v>
      </c>
      <c r="B481" t="s">
        <v>23</v>
      </c>
      <c r="C481">
        <v>10</v>
      </c>
      <c r="D481" s="3">
        <v>4</v>
      </c>
      <c r="E481" s="3">
        <v>9</v>
      </c>
      <c r="F481">
        <v>23</v>
      </c>
      <c r="G481" s="1">
        <f>DATEVALUE(_xlfn.CONCAT(BBDD_Usiarios_Netflix[[#This Row],[Día Suscripción]],"/",BBDD_Usiarios_Netflix[[#This Row],[Mes Suscripción]],"/",BBDD_Usiarios_Netflix[[#This Row],[Año Suscripción]]))</f>
        <v>45173</v>
      </c>
      <c r="H481" s="1">
        <v>27</v>
      </c>
      <c r="I481" s="1">
        <v>6</v>
      </c>
      <c r="J481" s="1">
        <v>24</v>
      </c>
      <c r="K481" s="1" t="str">
        <f>TEXT(BBDD_Usiarios_Netflix[[#This Row],[Fecha Suscripción]],"dddd")</f>
        <v>lunes</v>
      </c>
      <c r="L481" s="1">
        <f>DATEVALUE(_xlfn.CONCAT(BBDD_Usiarios_Netflix[[#This Row],[Día Último Pago]],"/",BBDD_Usiarios_Netflix[[#This Row],[Mes Último Pago]],"/",BBDD_Usiarios_Netflix[[#This Row],[Año Último Pago]]))</f>
        <v>45470</v>
      </c>
      <c r="M481" s="4">
        <f>DATEDIF(BBDD_Usiarios_Netflix[[#This Row],[Fecha Suscripción]],BBDD_Usiarios_Netflix[[#This Row],[Fecha Último Pago]],"M")+1</f>
        <v>10</v>
      </c>
      <c r="N481" s="4">
        <f>BBDD_Usiarios_Netflix[[#This Row],[Ingresos Mensuales]]*BBDD_Usiarios_Netflix[[#This Row],[Meses contratados]]</f>
        <v>100</v>
      </c>
      <c r="O481" t="s">
        <v>39</v>
      </c>
      <c r="P481" t="str">
        <f>IF(BBDD_Usiarios_Netflix[[#This Row],[País]]="","Desconocido",BBDD_Usiarios_Netflix[[#This Row],[País]])</f>
        <v>Canadá</v>
      </c>
      <c r="Q481">
        <v>37</v>
      </c>
      <c r="R481" t="s">
        <v>30</v>
      </c>
      <c r="S481" t="s">
        <v>36</v>
      </c>
      <c r="T481" t="s">
        <v>41</v>
      </c>
      <c r="U481">
        <f>IF(IFERROR(VLOOKUP(BBDD_Usiarios_Netflix[[#This Row],[Identificador Usuario]],A482:$A$5870,1,FALSE),0)&lt;&gt;0,1,0)</f>
        <v>0</v>
      </c>
      <c r="V481" s="6" t="str">
        <f>IF(BBDD_Usiarios_Netflix[[#This Row],[Duración Plan]]="12 Meses",LEFT(BBDD_Usiarios_Netflix[[#This Row],[Duración Plan]],2),LEFT(BBDD_Usiarios_Netflix[[#This Row],[Duración Plan]],1))</f>
        <v>12</v>
      </c>
      <c r="W4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82" spans="1:23" x14ac:dyDescent="0.25">
      <c r="A482">
        <v>481</v>
      </c>
      <c r="B482" t="s">
        <v>28</v>
      </c>
      <c r="C482">
        <v>14</v>
      </c>
      <c r="D482" s="3">
        <v>4</v>
      </c>
      <c r="E482" s="3">
        <v>9</v>
      </c>
      <c r="F482">
        <v>23</v>
      </c>
      <c r="G482" s="1">
        <f>DATEVALUE(_xlfn.CONCAT(BBDD_Usiarios_Netflix[[#This Row],[Día Suscripción]],"/",BBDD_Usiarios_Netflix[[#This Row],[Mes Suscripción]],"/",BBDD_Usiarios_Netflix[[#This Row],[Año Suscripción]]))</f>
        <v>45173</v>
      </c>
      <c r="H482" s="1">
        <v>26</v>
      </c>
      <c r="I482" s="1">
        <v>6</v>
      </c>
      <c r="J482" s="1">
        <v>24</v>
      </c>
      <c r="K482" s="1" t="str">
        <f>TEXT(BBDD_Usiarios_Netflix[[#This Row],[Fecha Suscripción]],"dddd")</f>
        <v>lunes</v>
      </c>
      <c r="L482" s="1">
        <f>DATEVALUE(_xlfn.CONCAT(BBDD_Usiarios_Netflix[[#This Row],[Día Último Pago]],"/",BBDD_Usiarios_Netflix[[#This Row],[Mes Último Pago]],"/",BBDD_Usiarios_Netflix[[#This Row],[Año Último Pago]]))</f>
        <v>45469</v>
      </c>
      <c r="M482" s="4">
        <f>DATEDIF(BBDD_Usiarios_Netflix[[#This Row],[Fecha Suscripción]],BBDD_Usiarios_Netflix[[#This Row],[Fecha Último Pago]],"M")+1</f>
        <v>10</v>
      </c>
      <c r="N482" s="4">
        <f>BBDD_Usiarios_Netflix[[#This Row],[Ingresos Mensuales]]*BBDD_Usiarios_Netflix[[#This Row],[Meses contratados]]</f>
        <v>140</v>
      </c>
      <c r="O482" t="s">
        <v>29</v>
      </c>
      <c r="P482" t="str">
        <f>IF(BBDD_Usiarios_Netflix[[#This Row],[País]]="","Desconocido",BBDD_Usiarios_Netflix[[#This Row],[País]])</f>
        <v>EEUU</v>
      </c>
      <c r="Q482">
        <v>36</v>
      </c>
      <c r="R482" t="s">
        <v>25</v>
      </c>
      <c r="S482" t="s">
        <v>34</v>
      </c>
      <c r="T482" t="s">
        <v>27</v>
      </c>
      <c r="U482">
        <f>IF(IFERROR(VLOOKUP(BBDD_Usiarios_Netflix[[#This Row],[Identificador Usuario]],A483:$A$5870,1,FALSE),0)&lt;&gt;0,1,0)</f>
        <v>0</v>
      </c>
      <c r="V482" s="6" t="str">
        <f>IF(BBDD_Usiarios_Netflix[[#This Row],[Duración Plan]]="12 Meses",LEFT(BBDD_Usiarios_Netflix[[#This Row],[Duración Plan]],2),LEFT(BBDD_Usiarios_Netflix[[#This Row],[Duración Plan]],1))</f>
        <v>1</v>
      </c>
      <c r="W4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83" spans="1:23" x14ac:dyDescent="0.25">
      <c r="A483">
        <v>482</v>
      </c>
      <c r="B483" t="s">
        <v>23</v>
      </c>
      <c r="C483">
        <v>10</v>
      </c>
      <c r="D483" s="3">
        <v>27</v>
      </c>
      <c r="E483" s="3">
        <v>8</v>
      </c>
      <c r="F483">
        <v>23</v>
      </c>
      <c r="G483" s="1">
        <f>DATEVALUE(_xlfn.CONCAT(BBDD_Usiarios_Netflix[[#This Row],[Día Suscripción]],"/",BBDD_Usiarios_Netflix[[#This Row],[Mes Suscripción]],"/",BBDD_Usiarios_Netflix[[#This Row],[Año Suscripción]]))</f>
        <v>45165</v>
      </c>
      <c r="H483" s="1">
        <v>27</v>
      </c>
      <c r="I483" s="1">
        <v>6</v>
      </c>
      <c r="J483" s="1">
        <v>24</v>
      </c>
      <c r="K483" s="1" t="str">
        <f>TEXT(BBDD_Usiarios_Netflix[[#This Row],[Fecha Suscripción]],"dddd")</f>
        <v>domingo</v>
      </c>
      <c r="L483" s="1">
        <f>DATEVALUE(_xlfn.CONCAT(BBDD_Usiarios_Netflix[[#This Row],[Día Último Pago]],"/",BBDD_Usiarios_Netflix[[#This Row],[Mes Último Pago]],"/",BBDD_Usiarios_Netflix[[#This Row],[Año Último Pago]]))</f>
        <v>45470</v>
      </c>
      <c r="M483" s="4">
        <f>DATEDIF(BBDD_Usiarios_Netflix[[#This Row],[Fecha Suscripción]],BBDD_Usiarios_Netflix[[#This Row],[Fecha Último Pago]],"M")+1</f>
        <v>11</v>
      </c>
      <c r="N483" s="4">
        <f>BBDD_Usiarios_Netflix[[#This Row],[Ingresos Mensuales]]*BBDD_Usiarios_Netflix[[#This Row],[Meses contratados]]</f>
        <v>110</v>
      </c>
      <c r="O483" t="s">
        <v>44</v>
      </c>
      <c r="P483" t="str">
        <f>IF(BBDD_Usiarios_Netflix[[#This Row],[País]]="","Desconocido",BBDD_Usiarios_Netflix[[#This Row],[País]])</f>
        <v>Desconocido</v>
      </c>
      <c r="Q483">
        <v>30</v>
      </c>
      <c r="R483" t="s">
        <v>25</v>
      </c>
      <c r="S483" t="s">
        <v>34</v>
      </c>
      <c r="T483" t="s">
        <v>38</v>
      </c>
      <c r="U483">
        <f>IF(IFERROR(VLOOKUP(BBDD_Usiarios_Netflix[[#This Row],[Identificador Usuario]],A484:$A$5870,1,FALSE),0)&lt;&gt;0,1,0)</f>
        <v>0</v>
      </c>
      <c r="V483" s="6" t="str">
        <f>IF(BBDD_Usiarios_Netflix[[#This Row],[Duración Plan]]="12 Meses",LEFT(BBDD_Usiarios_Netflix[[#This Row],[Duración Plan]],2),LEFT(BBDD_Usiarios_Netflix[[#This Row],[Duración Plan]],1))</f>
        <v>3</v>
      </c>
      <c r="W4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84" spans="1:23" x14ac:dyDescent="0.25">
      <c r="A484">
        <v>483</v>
      </c>
      <c r="B484" t="s">
        <v>32</v>
      </c>
      <c r="C484">
        <v>12</v>
      </c>
      <c r="D484" s="3">
        <v>25</v>
      </c>
      <c r="E484" s="3">
        <v>8</v>
      </c>
      <c r="F484">
        <v>23</v>
      </c>
      <c r="G484" s="1">
        <f>DATEVALUE(_xlfn.CONCAT(BBDD_Usiarios_Netflix[[#This Row],[Día Suscripción]],"/",BBDD_Usiarios_Netflix[[#This Row],[Mes Suscripción]],"/",BBDD_Usiarios_Netflix[[#This Row],[Año Suscripción]]))</f>
        <v>45163</v>
      </c>
      <c r="H484" s="1">
        <v>27</v>
      </c>
      <c r="I484" s="1">
        <v>6</v>
      </c>
      <c r="J484" s="1">
        <v>24</v>
      </c>
      <c r="K484" s="1" t="str">
        <f>TEXT(BBDD_Usiarios_Netflix[[#This Row],[Fecha Suscripción]],"dddd")</f>
        <v>viernes</v>
      </c>
      <c r="L484" s="1">
        <f>DATEVALUE(_xlfn.CONCAT(BBDD_Usiarios_Netflix[[#This Row],[Día Último Pago]],"/",BBDD_Usiarios_Netflix[[#This Row],[Mes Último Pago]],"/",BBDD_Usiarios_Netflix[[#This Row],[Año Último Pago]]))</f>
        <v>45470</v>
      </c>
      <c r="M484" s="4">
        <f>DATEDIF(BBDD_Usiarios_Netflix[[#This Row],[Fecha Suscripción]],BBDD_Usiarios_Netflix[[#This Row],[Fecha Último Pago]],"M")+1</f>
        <v>11</v>
      </c>
      <c r="N484" s="4">
        <f>BBDD_Usiarios_Netflix[[#This Row],[Ingresos Mensuales]]*BBDD_Usiarios_Netflix[[#This Row],[Meses contratados]]</f>
        <v>132</v>
      </c>
      <c r="O484" t="s">
        <v>42</v>
      </c>
      <c r="P484" t="str">
        <f>IF(BBDD_Usiarios_Netflix[[#This Row],[País]]="","Desconocido",BBDD_Usiarios_Netflix[[#This Row],[País]])</f>
        <v>Reino Unido</v>
      </c>
      <c r="Q484">
        <v>28</v>
      </c>
      <c r="R484" t="s">
        <v>25</v>
      </c>
      <c r="S484" t="s">
        <v>34</v>
      </c>
      <c r="T484" t="s">
        <v>27</v>
      </c>
      <c r="U484">
        <f>IF(IFERROR(VLOOKUP(BBDD_Usiarios_Netflix[[#This Row],[Identificador Usuario]],A485:$A$5870,1,FALSE),0)&lt;&gt;0,1,0)</f>
        <v>0</v>
      </c>
      <c r="V484" s="6" t="str">
        <f>IF(BBDD_Usiarios_Netflix[[#This Row],[Duración Plan]]="12 Meses",LEFT(BBDD_Usiarios_Netflix[[#This Row],[Duración Plan]],2),LEFT(BBDD_Usiarios_Netflix[[#This Row],[Duración Plan]],1))</f>
        <v>1</v>
      </c>
      <c r="W4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85" spans="1:23" x14ac:dyDescent="0.25">
      <c r="A485">
        <v>484</v>
      </c>
      <c r="B485" t="s">
        <v>32</v>
      </c>
      <c r="C485">
        <v>12</v>
      </c>
      <c r="D485" s="3">
        <v>25</v>
      </c>
      <c r="E485" s="3">
        <v>8</v>
      </c>
      <c r="F485">
        <v>23</v>
      </c>
      <c r="G485" s="1">
        <f>DATEVALUE(_xlfn.CONCAT(BBDD_Usiarios_Netflix[[#This Row],[Día Suscripción]],"/",BBDD_Usiarios_Netflix[[#This Row],[Mes Suscripción]],"/",BBDD_Usiarios_Netflix[[#This Row],[Año Suscripción]]))</f>
        <v>45163</v>
      </c>
      <c r="H485" s="1">
        <v>28</v>
      </c>
      <c r="I485" s="1">
        <v>6</v>
      </c>
      <c r="J485" s="1">
        <v>24</v>
      </c>
      <c r="K485" s="1" t="str">
        <f>TEXT(BBDD_Usiarios_Netflix[[#This Row],[Fecha Suscripción]],"dddd")</f>
        <v>viernes</v>
      </c>
      <c r="L485" s="1">
        <f>DATEVALUE(_xlfn.CONCAT(BBDD_Usiarios_Netflix[[#This Row],[Día Último Pago]],"/",BBDD_Usiarios_Netflix[[#This Row],[Mes Último Pago]],"/",BBDD_Usiarios_Netflix[[#This Row],[Año Último Pago]]))</f>
        <v>45471</v>
      </c>
      <c r="M485" s="4">
        <f>DATEDIF(BBDD_Usiarios_Netflix[[#This Row],[Fecha Suscripción]],BBDD_Usiarios_Netflix[[#This Row],[Fecha Último Pago]],"M")+1</f>
        <v>11</v>
      </c>
      <c r="N485" s="4">
        <f>BBDD_Usiarios_Netflix[[#This Row],[Ingresos Mensuales]]*BBDD_Usiarios_Netflix[[#This Row],[Meses contratados]]</f>
        <v>132</v>
      </c>
      <c r="O485" t="s">
        <v>42</v>
      </c>
      <c r="P485" t="str">
        <f>IF(BBDD_Usiarios_Netflix[[#This Row],[País]]="","Desconocido",BBDD_Usiarios_Netflix[[#This Row],[País]])</f>
        <v>Reino Unido</v>
      </c>
      <c r="Q485">
        <v>40</v>
      </c>
      <c r="R485" t="s">
        <v>25</v>
      </c>
      <c r="S485" t="s">
        <v>26</v>
      </c>
      <c r="T485" t="s">
        <v>35</v>
      </c>
      <c r="U485">
        <f>IF(IFERROR(VLOOKUP(BBDD_Usiarios_Netflix[[#This Row],[Identificador Usuario]],A486:$A$5870,1,FALSE),0)&lt;&gt;0,1,0)</f>
        <v>0</v>
      </c>
      <c r="V485" s="6" t="str">
        <f>IF(BBDD_Usiarios_Netflix[[#This Row],[Duración Plan]]="12 Meses",LEFT(BBDD_Usiarios_Netflix[[#This Row],[Duración Plan]],2),LEFT(BBDD_Usiarios_Netflix[[#This Row],[Duración Plan]],1))</f>
        <v>6</v>
      </c>
      <c r="W4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86" spans="1:23" x14ac:dyDescent="0.25">
      <c r="A486">
        <v>485</v>
      </c>
      <c r="B486" t="s">
        <v>23</v>
      </c>
      <c r="C486">
        <v>10</v>
      </c>
      <c r="D486" s="3">
        <v>1</v>
      </c>
      <c r="E486" s="3">
        <v>9</v>
      </c>
      <c r="F486">
        <v>23</v>
      </c>
      <c r="G486" s="1">
        <f>DATEVALUE(_xlfn.CONCAT(BBDD_Usiarios_Netflix[[#This Row],[Día Suscripción]],"/",BBDD_Usiarios_Netflix[[#This Row],[Mes Suscripción]],"/",BBDD_Usiarios_Netflix[[#This Row],[Año Suscripción]]))</f>
        <v>45170</v>
      </c>
      <c r="H486" s="1">
        <v>28</v>
      </c>
      <c r="I486" s="1">
        <v>6</v>
      </c>
      <c r="J486" s="1">
        <v>24</v>
      </c>
      <c r="K486" s="1" t="str">
        <f>TEXT(BBDD_Usiarios_Netflix[[#This Row],[Fecha Suscripción]],"dddd")</f>
        <v>viernes</v>
      </c>
      <c r="L486" s="1">
        <f>DATEVALUE(_xlfn.CONCAT(BBDD_Usiarios_Netflix[[#This Row],[Día Último Pago]],"/",BBDD_Usiarios_Netflix[[#This Row],[Mes Último Pago]],"/",BBDD_Usiarios_Netflix[[#This Row],[Año Último Pago]]))</f>
        <v>45471</v>
      </c>
      <c r="M486" s="4">
        <f>DATEDIF(BBDD_Usiarios_Netflix[[#This Row],[Fecha Suscripción]],BBDD_Usiarios_Netflix[[#This Row],[Fecha Último Pago]],"M")+1</f>
        <v>10</v>
      </c>
      <c r="N486" s="4">
        <f>BBDD_Usiarios_Netflix[[#This Row],[Ingresos Mensuales]]*BBDD_Usiarios_Netflix[[#This Row],[Meses contratados]]</f>
        <v>100</v>
      </c>
      <c r="O486" t="s">
        <v>29</v>
      </c>
      <c r="P486" t="str">
        <f>IF(BBDD_Usiarios_Netflix[[#This Row],[País]]="","Desconocido",BBDD_Usiarios_Netflix[[#This Row],[País]])</f>
        <v>EEUU</v>
      </c>
      <c r="Q486">
        <v>28</v>
      </c>
      <c r="R486" t="s">
        <v>30</v>
      </c>
      <c r="S486" t="s">
        <v>31</v>
      </c>
      <c r="T486" t="s">
        <v>41</v>
      </c>
      <c r="U486">
        <f>IF(IFERROR(VLOOKUP(BBDD_Usiarios_Netflix[[#This Row],[Identificador Usuario]],A487:$A$5870,1,FALSE),0)&lt;&gt;0,1,0)</f>
        <v>0</v>
      </c>
      <c r="V486" s="6" t="str">
        <f>IF(BBDD_Usiarios_Netflix[[#This Row],[Duración Plan]]="12 Meses",LEFT(BBDD_Usiarios_Netflix[[#This Row],[Duración Plan]],2),LEFT(BBDD_Usiarios_Netflix[[#This Row],[Duración Plan]],1))</f>
        <v>12</v>
      </c>
      <c r="W4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87" spans="1:23" x14ac:dyDescent="0.25">
      <c r="A487">
        <v>486</v>
      </c>
      <c r="B487" t="s">
        <v>28</v>
      </c>
      <c r="C487">
        <v>14</v>
      </c>
      <c r="D487" s="3">
        <v>13</v>
      </c>
      <c r="E487" s="3">
        <v>9</v>
      </c>
      <c r="F487">
        <v>23</v>
      </c>
      <c r="G487" s="1">
        <f>DATEVALUE(_xlfn.CONCAT(BBDD_Usiarios_Netflix[[#This Row],[Día Suscripción]],"/",BBDD_Usiarios_Netflix[[#This Row],[Mes Suscripción]],"/",BBDD_Usiarios_Netflix[[#This Row],[Año Suscripción]]))</f>
        <v>45182</v>
      </c>
      <c r="H487" s="1">
        <v>26</v>
      </c>
      <c r="I487" s="1">
        <v>6</v>
      </c>
      <c r="J487" s="1">
        <v>24</v>
      </c>
      <c r="K487" s="1" t="str">
        <f>TEXT(BBDD_Usiarios_Netflix[[#This Row],[Fecha Suscripción]],"dddd")</f>
        <v>miércoles</v>
      </c>
      <c r="L487" s="1">
        <f>DATEVALUE(_xlfn.CONCAT(BBDD_Usiarios_Netflix[[#This Row],[Día Último Pago]],"/",BBDD_Usiarios_Netflix[[#This Row],[Mes Último Pago]],"/",BBDD_Usiarios_Netflix[[#This Row],[Año Último Pago]]))</f>
        <v>45469</v>
      </c>
      <c r="M487" s="4">
        <f>DATEDIF(BBDD_Usiarios_Netflix[[#This Row],[Fecha Suscripción]],BBDD_Usiarios_Netflix[[#This Row],[Fecha Último Pago]],"M")+1</f>
        <v>10</v>
      </c>
      <c r="N487" s="4">
        <f>BBDD_Usiarios_Netflix[[#This Row],[Ingresos Mensuales]]*BBDD_Usiarios_Netflix[[#This Row],[Meses contratados]]</f>
        <v>140</v>
      </c>
      <c r="O487" t="s">
        <v>24</v>
      </c>
      <c r="P487" t="str">
        <f>IF(BBDD_Usiarios_Netflix[[#This Row],[País]]="","Desconocido",BBDD_Usiarios_Netflix[[#This Row],[País]])</f>
        <v>Australia</v>
      </c>
      <c r="Q487">
        <v>37</v>
      </c>
      <c r="R487" t="s">
        <v>30</v>
      </c>
      <c r="S487" t="s">
        <v>36</v>
      </c>
      <c r="T487" t="s">
        <v>27</v>
      </c>
      <c r="U487">
        <f>IF(IFERROR(VLOOKUP(BBDD_Usiarios_Netflix[[#This Row],[Identificador Usuario]],A488:$A$5870,1,FALSE),0)&lt;&gt;0,1,0)</f>
        <v>0</v>
      </c>
      <c r="V487" s="6" t="str">
        <f>IF(BBDD_Usiarios_Netflix[[#This Row],[Duración Plan]]="12 Meses",LEFT(BBDD_Usiarios_Netflix[[#This Row],[Duración Plan]],2),LEFT(BBDD_Usiarios_Netflix[[#This Row],[Duración Plan]],1))</f>
        <v>1</v>
      </c>
      <c r="W4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88" spans="1:23" x14ac:dyDescent="0.25">
      <c r="A488">
        <v>487</v>
      </c>
      <c r="B488" t="s">
        <v>23</v>
      </c>
      <c r="C488">
        <v>10</v>
      </c>
      <c r="D488" s="3">
        <v>5</v>
      </c>
      <c r="E488" s="3">
        <v>10</v>
      </c>
      <c r="F488">
        <v>23</v>
      </c>
      <c r="G488" s="1">
        <f>DATEVALUE(_xlfn.CONCAT(BBDD_Usiarios_Netflix[[#This Row],[Día Suscripción]],"/",BBDD_Usiarios_Netflix[[#This Row],[Mes Suscripción]],"/",BBDD_Usiarios_Netflix[[#This Row],[Año Suscripción]]))</f>
        <v>45204</v>
      </c>
      <c r="H488" s="1">
        <v>29</v>
      </c>
      <c r="I488" s="1">
        <v>6</v>
      </c>
      <c r="J488" s="1">
        <v>24</v>
      </c>
      <c r="K488" s="1" t="str">
        <f>TEXT(BBDD_Usiarios_Netflix[[#This Row],[Fecha Suscripción]],"dddd")</f>
        <v>jueves</v>
      </c>
      <c r="L488" s="1">
        <f>DATEVALUE(_xlfn.CONCAT(BBDD_Usiarios_Netflix[[#This Row],[Día Último Pago]],"/",BBDD_Usiarios_Netflix[[#This Row],[Mes Último Pago]],"/",BBDD_Usiarios_Netflix[[#This Row],[Año Último Pago]]))</f>
        <v>45472</v>
      </c>
      <c r="M488" s="4">
        <f>DATEDIF(BBDD_Usiarios_Netflix[[#This Row],[Fecha Suscripción]],BBDD_Usiarios_Netflix[[#This Row],[Fecha Último Pago]],"M")+1</f>
        <v>9</v>
      </c>
      <c r="N488" s="4">
        <f>BBDD_Usiarios_Netflix[[#This Row],[Ingresos Mensuales]]*BBDD_Usiarios_Netflix[[#This Row],[Meses contratados]]</f>
        <v>90</v>
      </c>
      <c r="O488" t="s">
        <v>43</v>
      </c>
      <c r="P488" t="str">
        <f>IF(BBDD_Usiarios_Netflix[[#This Row],[País]]="","Desconocido",BBDD_Usiarios_Netflix[[#This Row],[País]])</f>
        <v>Alemania</v>
      </c>
      <c r="Q488">
        <v>30</v>
      </c>
      <c r="R488" t="s">
        <v>25</v>
      </c>
      <c r="S488" t="s">
        <v>34</v>
      </c>
      <c r="T488" t="s">
        <v>38</v>
      </c>
      <c r="U488">
        <f>IF(IFERROR(VLOOKUP(BBDD_Usiarios_Netflix[[#This Row],[Identificador Usuario]],A489:$A$5870,1,FALSE),0)&lt;&gt;0,1,0)</f>
        <v>0</v>
      </c>
      <c r="V488" s="6" t="str">
        <f>IF(BBDD_Usiarios_Netflix[[#This Row],[Duración Plan]]="12 Meses",LEFT(BBDD_Usiarios_Netflix[[#This Row],[Duración Plan]],2),LEFT(BBDD_Usiarios_Netflix[[#This Row],[Duración Plan]],1))</f>
        <v>3</v>
      </c>
      <c r="W4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89" spans="1:23" x14ac:dyDescent="0.25">
      <c r="A489">
        <v>488</v>
      </c>
      <c r="B489" t="s">
        <v>32</v>
      </c>
      <c r="C489">
        <v>12</v>
      </c>
      <c r="D489" s="3">
        <v>8</v>
      </c>
      <c r="E489" s="3">
        <v>10</v>
      </c>
      <c r="F489">
        <v>23</v>
      </c>
      <c r="G489" s="1">
        <f>DATEVALUE(_xlfn.CONCAT(BBDD_Usiarios_Netflix[[#This Row],[Día Suscripción]],"/",BBDD_Usiarios_Netflix[[#This Row],[Mes Suscripción]],"/",BBDD_Usiarios_Netflix[[#This Row],[Año Suscripción]]))</f>
        <v>45207</v>
      </c>
      <c r="H489" s="1">
        <v>28</v>
      </c>
      <c r="I489" s="1">
        <v>6</v>
      </c>
      <c r="J489" s="1">
        <v>24</v>
      </c>
      <c r="K489" s="1" t="str">
        <f>TEXT(BBDD_Usiarios_Netflix[[#This Row],[Fecha Suscripción]],"dddd")</f>
        <v>domingo</v>
      </c>
      <c r="L489" s="1">
        <f>DATEVALUE(_xlfn.CONCAT(BBDD_Usiarios_Netflix[[#This Row],[Día Último Pago]],"/",BBDD_Usiarios_Netflix[[#This Row],[Mes Último Pago]],"/",BBDD_Usiarios_Netflix[[#This Row],[Año Último Pago]]))</f>
        <v>45471</v>
      </c>
      <c r="M489" s="4">
        <f>DATEDIF(BBDD_Usiarios_Netflix[[#This Row],[Fecha Suscripción]],BBDD_Usiarios_Netflix[[#This Row],[Fecha Último Pago]],"M")+1</f>
        <v>9</v>
      </c>
      <c r="N489" s="4">
        <f>BBDD_Usiarios_Netflix[[#This Row],[Ingresos Mensuales]]*BBDD_Usiarios_Netflix[[#This Row],[Meses contratados]]</f>
        <v>108</v>
      </c>
      <c r="O489" t="s">
        <v>24</v>
      </c>
      <c r="P489" t="str">
        <f>IF(BBDD_Usiarios_Netflix[[#This Row],[País]]="","Desconocido",BBDD_Usiarios_Netflix[[#This Row],[País]])</f>
        <v>Australia</v>
      </c>
      <c r="Q489">
        <v>33</v>
      </c>
      <c r="R489" t="s">
        <v>30</v>
      </c>
      <c r="S489" t="s">
        <v>34</v>
      </c>
      <c r="T489" t="s">
        <v>41</v>
      </c>
      <c r="U489">
        <f>IF(IFERROR(VLOOKUP(BBDD_Usiarios_Netflix[[#This Row],[Identificador Usuario]],A490:$A$5870,1,FALSE),0)&lt;&gt;0,1,0)</f>
        <v>0</v>
      </c>
      <c r="V489" s="6" t="str">
        <f>IF(BBDD_Usiarios_Netflix[[#This Row],[Duración Plan]]="12 Meses",LEFT(BBDD_Usiarios_Netflix[[#This Row],[Duración Plan]],2),LEFT(BBDD_Usiarios_Netflix[[#This Row],[Duración Plan]],1))</f>
        <v>12</v>
      </c>
      <c r="W4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90" spans="1:23" x14ac:dyDescent="0.25">
      <c r="A490">
        <v>489</v>
      </c>
      <c r="B490" t="s">
        <v>28</v>
      </c>
      <c r="C490">
        <v>14</v>
      </c>
      <c r="D490" s="3">
        <v>26</v>
      </c>
      <c r="E490" s="3">
        <v>10</v>
      </c>
      <c r="F490">
        <v>23</v>
      </c>
      <c r="G490" s="1">
        <f>DATEVALUE(_xlfn.CONCAT(BBDD_Usiarios_Netflix[[#This Row],[Día Suscripción]],"/",BBDD_Usiarios_Netflix[[#This Row],[Mes Suscripción]],"/",BBDD_Usiarios_Netflix[[#This Row],[Año Suscripción]]))</f>
        <v>45225</v>
      </c>
      <c r="H490" s="1">
        <v>28</v>
      </c>
      <c r="I490" s="1">
        <v>6</v>
      </c>
      <c r="J490" s="1">
        <v>24</v>
      </c>
      <c r="K490" s="1" t="str">
        <f>TEXT(BBDD_Usiarios_Netflix[[#This Row],[Fecha Suscripción]],"dddd")</f>
        <v>jueves</v>
      </c>
      <c r="L490" s="1">
        <f>DATEVALUE(_xlfn.CONCAT(BBDD_Usiarios_Netflix[[#This Row],[Día Último Pago]],"/",BBDD_Usiarios_Netflix[[#This Row],[Mes Último Pago]],"/",BBDD_Usiarios_Netflix[[#This Row],[Año Último Pago]]))</f>
        <v>45471</v>
      </c>
      <c r="M490" s="4">
        <f>DATEDIF(BBDD_Usiarios_Netflix[[#This Row],[Fecha Suscripción]],BBDD_Usiarios_Netflix[[#This Row],[Fecha Último Pago]],"M")+1</f>
        <v>9</v>
      </c>
      <c r="N490" s="4">
        <f>BBDD_Usiarios_Netflix[[#This Row],[Ingresos Mensuales]]*BBDD_Usiarios_Netflix[[#This Row],[Meses contratados]]</f>
        <v>126</v>
      </c>
      <c r="O490" t="s">
        <v>40</v>
      </c>
      <c r="P490" t="str">
        <f>IF(BBDD_Usiarios_Netflix[[#This Row],[País]]="","Desconocido",BBDD_Usiarios_Netflix[[#This Row],[País]])</f>
        <v>Italia</v>
      </c>
      <c r="Q490">
        <v>49</v>
      </c>
      <c r="R490" t="s">
        <v>25</v>
      </c>
      <c r="S490" t="s">
        <v>31</v>
      </c>
      <c r="T490" t="s">
        <v>35</v>
      </c>
      <c r="U490">
        <f>IF(IFERROR(VLOOKUP(BBDD_Usiarios_Netflix[[#This Row],[Identificador Usuario]],A491:$A$5870,1,FALSE),0)&lt;&gt;0,1,0)</f>
        <v>0</v>
      </c>
      <c r="V490" s="6" t="str">
        <f>IF(BBDD_Usiarios_Netflix[[#This Row],[Duración Plan]]="12 Meses",LEFT(BBDD_Usiarios_Netflix[[#This Row],[Duración Plan]],2),LEFT(BBDD_Usiarios_Netflix[[#This Row],[Duración Plan]],1))</f>
        <v>6</v>
      </c>
      <c r="W4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491" spans="1:23" x14ac:dyDescent="0.25">
      <c r="A491">
        <v>490</v>
      </c>
      <c r="B491" t="s">
        <v>23</v>
      </c>
      <c r="C491">
        <v>10</v>
      </c>
      <c r="D491" s="3">
        <v>18</v>
      </c>
      <c r="E491" s="3">
        <v>10</v>
      </c>
      <c r="F491">
        <v>23</v>
      </c>
      <c r="G491" s="1">
        <f>DATEVALUE(_xlfn.CONCAT(BBDD_Usiarios_Netflix[[#This Row],[Día Suscripción]],"/",BBDD_Usiarios_Netflix[[#This Row],[Mes Suscripción]],"/",BBDD_Usiarios_Netflix[[#This Row],[Año Suscripción]]))</f>
        <v>45217</v>
      </c>
      <c r="H491" s="1">
        <v>29</v>
      </c>
      <c r="I491" s="1">
        <v>6</v>
      </c>
      <c r="J491" s="1">
        <v>24</v>
      </c>
      <c r="K491" s="1" t="str">
        <f>TEXT(BBDD_Usiarios_Netflix[[#This Row],[Fecha Suscripción]],"dddd")</f>
        <v>miércoles</v>
      </c>
      <c r="L491" s="1">
        <f>DATEVALUE(_xlfn.CONCAT(BBDD_Usiarios_Netflix[[#This Row],[Día Último Pago]],"/",BBDD_Usiarios_Netflix[[#This Row],[Mes Último Pago]],"/",BBDD_Usiarios_Netflix[[#This Row],[Año Último Pago]]))</f>
        <v>45472</v>
      </c>
      <c r="M491" s="4">
        <f>DATEDIF(BBDD_Usiarios_Netflix[[#This Row],[Fecha Suscripción]],BBDD_Usiarios_Netflix[[#This Row],[Fecha Último Pago]],"M")+1</f>
        <v>9</v>
      </c>
      <c r="N491" s="4">
        <f>BBDD_Usiarios_Netflix[[#This Row],[Ingresos Mensuales]]*BBDD_Usiarios_Netflix[[#This Row],[Meses contratados]]</f>
        <v>90</v>
      </c>
      <c r="O491" t="s">
        <v>29</v>
      </c>
      <c r="P491" t="str">
        <f>IF(BBDD_Usiarios_Netflix[[#This Row],[País]]="","Desconocido",BBDD_Usiarios_Netflix[[#This Row],[País]])</f>
        <v>EEUU</v>
      </c>
      <c r="Q491">
        <v>36</v>
      </c>
      <c r="R491" t="s">
        <v>30</v>
      </c>
      <c r="S491" t="s">
        <v>34</v>
      </c>
      <c r="T491" t="s">
        <v>38</v>
      </c>
      <c r="U491">
        <f>IF(IFERROR(VLOOKUP(BBDD_Usiarios_Netflix[[#This Row],[Identificador Usuario]],A492:$A$5870,1,FALSE),0)&lt;&gt;0,1,0)</f>
        <v>0</v>
      </c>
      <c r="V491" s="6" t="str">
        <f>IF(BBDD_Usiarios_Netflix[[#This Row],[Duración Plan]]="12 Meses",LEFT(BBDD_Usiarios_Netflix[[#This Row],[Duración Plan]],2),LEFT(BBDD_Usiarios_Netflix[[#This Row],[Duración Plan]],1))</f>
        <v>3</v>
      </c>
      <c r="W4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92" spans="1:23" x14ac:dyDescent="0.25">
      <c r="A492">
        <v>491</v>
      </c>
      <c r="B492" t="s">
        <v>28</v>
      </c>
      <c r="C492">
        <v>14</v>
      </c>
      <c r="D492" s="3">
        <v>7</v>
      </c>
      <c r="E492" s="3">
        <v>10</v>
      </c>
      <c r="F492">
        <v>23</v>
      </c>
      <c r="G492" s="1">
        <f>DATEVALUE(_xlfn.CONCAT(BBDD_Usiarios_Netflix[[#This Row],[Día Suscripción]],"/",BBDD_Usiarios_Netflix[[#This Row],[Mes Suscripción]],"/",BBDD_Usiarios_Netflix[[#This Row],[Año Suscripción]]))</f>
        <v>45206</v>
      </c>
      <c r="H492" s="1">
        <v>28</v>
      </c>
      <c r="I492" s="1">
        <v>6</v>
      </c>
      <c r="J492" s="1">
        <v>24</v>
      </c>
      <c r="K492" s="1" t="str">
        <f>TEXT(BBDD_Usiarios_Netflix[[#This Row],[Fecha Suscripción]],"dddd")</f>
        <v>sábado</v>
      </c>
      <c r="L492" s="1">
        <f>DATEVALUE(_xlfn.CONCAT(BBDD_Usiarios_Netflix[[#This Row],[Día Último Pago]],"/",BBDD_Usiarios_Netflix[[#This Row],[Mes Último Pago]],"/",BBDD_Usiarios_Netflix[[#This Row],[Año Último Pago]]))</f>
        <v>45471</v>
      </c>
      <c r="M492" s="4">
        <f>DATEDIF(BBDD_Usiarios_Netflix[[#This Row],[Fecha Suscripción]],BBDD_Usiarios_Netflix[[#This Row],[Fecha Último Pago]],"M")+1</f>
        <v>9</v>
      </c>
      <c r="N492" s="4">
        <f>BBDD_Usiarios_Netflix[[#This Row],[Ingresos Mensuales]]*BBDD_Usiarios_Netflix[[#This Row],[Meses contratados]]</f>
        <v>126</v>
      </c>
      <c r="O492" t="s">
        <v>39</v>
      </c>
      <c r="P492" t="str">
        <f>IF(BBDD_Usiarios_Netflix[[#This Row],[País]]="","Desconocido",BBDD_Usiarios_Netflix[[#This Row],[País]])</f>
        <v>Canadá</v>
      </c>
      <c r="Q492">
        <v>28</v>
      </c>
      <c r="R492" t="s">
        <v>30</v>
      </c>
      <c r="S492" t="s">
        <v>26</v>
      </c>
      <c r="T492" t="s">
        <v>27</v>
      </c>
      <c r="U492">
        <f>IF(IFERROR(VLOOKUP(BBDD_Usiarios_Netflix[[#This Row],[Identificador Usuario]],A493:$A$5870,1,FALSE),0)&lt;&gt;0,1,0)</f>
        <v>0</v>
      </c>
      <c r="V492" s="6" t="str">
        <f>IF(BBDD_Usiarios_Netflix[[#This Row],[Duración Plan]]="12 Meses",LEFT(BBDD_Usiarios_Netflix[[#This Row],[Duración Plan]],2),LEFT(BBDD_Usiarios_Netflix[[#This Row],[Duración Plan]],1))</f>
        <v>1</v>
      </c>
      <c r="W4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93" spans="1:23" x14ac:dyDescent="0.25">
      <c r="A493">
        <v>492</v>
      </c>
      <c r="B493" t="s">
        <v>23</v>
      </c>
      <c r="C493">
        <v>10</v>
      </c>
      <c r="D493" s="3">
        <v>17</v>
      </c>
      <c r="E493" s="3">
        <v>9</v>
      </c>
      <c r="F493">
        <v>23</v>
      </c>
      <c r="G493" s="1">
        <f>DATEVALUE(_xlfn.CONCAT(BBDD_Usiarios_Netflix[[#This Row],[Día Suscripción]],"/",BBDD_Usiarios_Netflix[[#This Row],[Mes Suscripción]],"/",BBDD_Usiarios_Netflix[[#This Row],[Año Suscripción]]))</f>
        <v>45186</v>
      </c>
      <c r="H493" s="1">
        <v>30</v>
      </c>
      <c r="I493" s="1">
        <v>6</v>
      </c>
      <c r="J493" s="1">
        <v>24</v>
      </c>
      <c r="K493" s="1" t="str">
        <f>TEXT(BBDD_Usiarios_Netflix[[#This Row],[Fecha Suscripción]],"dddd")</f>
        <v>domingo</v>
      </c>
      <c r="L493" s="1">
        <f>DATEVALUE(_xlfn.CONCAT(BBDD_Usiarios_Netflix[[#This Row],[Día Último Pago]],"/",BBDD_Usiarios_Netflix[[#This Row],[Mes Último Pago]],"/",BBDD_Usiarios_Netflix[[#This Row],[Año Último Pago]]))</f>
        <v>45473</v>
      </c>
      <c r="M493" s="4">
        <f>DATEDIF(BBDD_Usiarios_Netflix[[#This Row],[Fecha Suscripción]],BBDD_Usiarios_Netflix[[#This Row],[Fecha Último Pago]],"M")+1</f>
        <v>10</v>
      </c>
      <c r="N493" s="4">
        <f>BBDD_Usiarios_Netflix[[#This Row],[Ingresos Mensuales]]*BBDD_Usiarios_Netflix[[#This Row],[Meses contratados]]</f>
        <v>100</v>
      </c>
      <c r="O493" t="s">
        <v>44</v>
      </c>
      <c r="P493" t="str">
        <f>IF(BBDD_Usiarios_Netflix[[#This Row],[País]]="","Desconocido",BBDD_Usiarios_Netflix[[#This Row],[País]])</f>
        <v>Desconocido</v>
      </c>
      <c r="Q493">
        <v>51</v>
      </c>
      <c r="R493" t="s">
        <v>25</v>
      </c>
      <c r="S493" t="s">
        <v>31</v>
      </c>
      <c r="T493" t="s">
        <v>27</v>
      </c>
      <c r="U493">
        <f>IF(IFERROR(VLOOKUP(BBDD_Usiarios_Netflix[[#This Row],[Identificador Usuario]],A494:$A$5870,1,FALSE),0)&lt;&gt;0,1,0)</f>
        <v>0</v>
      </c>
      <c r="V493" s="6" t="str">
        <f>IF(BBDD_Usiarios_Netflix[[#This Row],[Duración Plan]]="12 Meses",LEFT(BBDD_Usiarios_Netflix[[#This Row],[Duración Plan]],2),LEFT(BBDD_Usiarios_Netflix[[#This Row],[Duración Plan]],1))</f>
        <v>1</v>
      </c>
      <c r="W4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94" spans="1:23" x14ac:dyDescent="0.25">
      <c r="A494">
        <v>493</v>
      </c>
      <c r="B494" t="s">
        <v>32</v>
      </c>
      <c r="C494">
        <v>12</v>
      </c>
      <c r="D494" s="3">
        <v>18</v>
      </c>
      <c r="E494" s="3">
        <v>9</v>
      </c>
      <c r="F494">
        <v>23</v>
      </c>
      <c r="G494" s="1">
        <f>DATEVALUE(_xlfn.CONCAT(BBDD_Usiarios_Netflix[[#This Row],[Día Suscripción]],"/",BBDD_Usiarios_Netflix[[#This Row],[Mes Suscripción]],"/",BBDD_Usiarios_Netflix[[#This Row],[Año Suscripción]]))</f>
        <v>45187</v>
      </c>
      <c r="H494" s="1">
        <v>27</v>
      </c>
      <c r="I494" s="1">
        <v>6</v>
      </c>
      <c r="J494" s="1">
        <v>24</v>
      </c>
      <c r="K494" s="1" t="str">
        <f>TEXT(BBDD_Usiarios_Netflix[[#This Row],[Fecha Suscripción]],"dddd")</f>
        <v>lunes</v>
      </c>
      <c r="L494" s="1">
        <f>DATEVALUE(_xlfn.CONCAT(BBDD_Usiarios_Netflix[[#This Row],[Día Último Pago]],"/",BBDD_Usiarios_Netflix[[#This Row],[Mes Último Pago]],"/",BBDD_Usiarios_Netflix[[#This Row],[Año Último Pago]]))</f>
        <v>45470</v>
      </c>
      <c r="M494" s="4">
        <f>DATEDIF(BBDD_Usiarios_Netflix[[#This Row],[Fecha Suscripción]],BBDD_Usiarios_Netflix[[#This Row],[Fecha Último Pago]],"M")+1</f>
        <v>10</v>
      </c>
      <c r="N494" s="4">
        <f>BBDD_Usiarios_Netflix[[#This Row],[Ingresos Mensuales]]*BBDD_Usiarios_Netflix[[#This Row],[Meses contratados]]</f>
        <v>120</v>
      </c>
      <c r="O494" t="s">
        <v>42</v>
      </c>
      <c r="P494" t="str">
        <f>IF(BBDD_Usiarios_Netflix[[#This Row],[País]]="","Desconocido",BBDD_Usiarios_Netflix[[#This Row],[País]])</f>
        <v>Reino Unido</v>
      </c>
      <c r="Q494">
        <v>35</v>
      </c>
      <c r="R494" t="s">
        <v>30</v>
      </c>
      <c r="S494" t="s">
        <v>26</v>
      </c>
      <c r="T494" t="s">
        <v>41</v>
      </c>
      <c r="U494">
        <f>IF(IFERROR(VLOOKUP(BBDD_Usiarios_Netflix[[#This Row],[Identificador Usuario]],A495:$A$5870,1,FALSE),0)&lt;&gt;0,1,0)</f>
        <v>0</v>
      </c>
      <c r="V494" s="6" t="str">
        <f>IF(BBDD_Usiarios_Netflix[[#This Row],[Duración Plan]]="12 Meses",LEFT(BBDD_Usiarios_Netflix[[#This Row],[Duración Plan]],2),LEFT(BBDD_Usiarios_Netflix[[#This Row],[Duración Plan]],1))</f>
        <v>12</v>
      </c>
      <c r="W4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495" spans="1:23" x14ac:dyDescent="0.25">
      <c r="A495">
        <v>494</v>
      </c>
      <c r="B495" t="s">
        <v>32</v>
      </c>
      <c r="C495">
        <v>12</v>
      </c>
      <c r="D495" s="3">
        <v>27</v>
      </c>
      <c r="E495" s="3">
        <v>9</v>
      </c>
      <c r="F495">
        <v>23</v>
      </c>
      <c r="G495" s="1">
        <f>DATEVALUE(_xlfn.CONCAT(BBDD_Usiarios_Netflix[[#This Row],[Día Suscripción]],"/",BBDD_Usiarios_Netflix[[#This Row],[Mes Suscripción]],"/",BBDD_Usiarios_Netflix[[#This Row],[Año Suscripción]]))</f>
        <v>45196</v>
      </c>
      <c r="H495" s="1">
        <v>29</v>
      </c>
      <c r="I495" s="1">
        <v>6</v>
      </c>
      <c r="J495" s="1">
        <v>24</v>
      </c>
      <c r="K495" s="1" t="str">
        <f>TEXT(BBDD_Usiarios_Netflix[[#This Row],[Fecha Suscripción]],"dddd")</f>
        <v>miércoles</v>
      </c>
      <c r="L495" s="1">
        <f>DATEVALUE(_xlfn.CONCAT(BBDD_Usiarios_Netflix[[#This Row],[Día Último Pago]],"/",BBDD_Usiarios_Netflix[[#This Row],[Mes Último Pago]],"/",BBDD_Usiarios_Netflix[[#This Row],[Año Último Pago]]))</f>
        <v>45472</v>
      </c>
      <c r="M495" s="4">
        <f>DATEDIF(BBDD_Usiarios_Netflix[[#This Row],[Fecha Suscripción]],BBDD_Usiarios_Netflix[[#This Row],[Fecha Último Pago]],"M")+1</f>
        <v>10</v>
      </c>
      <c r="N495" s="4">
        <f>BBDD_Usiarios_Netflix[[#This Row],[Ingresos Mensuales]]*BBDD_Usiarios_Netflix[[#This Row],[Meses contratados]]</f>
        <v>120</v>
      </c>
      <c r="O495" t="s">
        <v>40</v>
      </c>
      <c r="P495" t="str">
        <f>IF(BBDD_Usiarios_Netflix[[#This Row],[País]]="","Desconocido",BBDD_Usiarios_Netflix[[#This Row],[País]])</f>
        <v>Italia</v>
      </c>
      <c r="Q495">
        <v>31</v>
      </c>
      <c r="R495" t="s">
        <v>25</v>
      </c>
      <c r="S495" t="s">
        <v>34</v>
      </c>
      <c r="T495" t="s">
        <v>27</v>
      </c>
      <c r="U495">
        <f>IF(IFERROR(VLOOKUP(BBDD_Usiarios_Netflix[[#This Row],[Identificador Usuario]],A496:$A$5870,1,FALSE),0)&lt;&gt;0,1,0)</f>
        <v>0</v>
      </c>
      <c r="V495" s="6" t="str">
        <f>IF(BBDD_Usiarios_Netflix[[#This Row],[Duración Plan]]="12 Meses",LEFT(BBDD_Usiarios_Netflix[[#This Row],[Duración Plan]],2),LEFT(BBDD_Usiarios_Netflix[[#This Row],[Duración Plan]],1))</f>
        <v>1</v>
      </c>
      <c r="W4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96" spans="1:23" x14ac:dyDescent="0.25">
      <c r="A496">
        <v>495</v>
      </c>
      <c r="B496" t="s">
        <v>23</v>
      </c>
      <c r="C496">
        <v>10</v>
      </c>
      <c r="D496" s="3">
        <v>30</v>
      </c>
      <c r="E496" s="3">
        <v>9</v>
      </c>
      <c r="F496">
        <v>23</v>
      </c>
      <c r="G496" s="1">
        <f>DATEVALUE(_xlfn.CONCAT(BBDD_Usiarios_Netflix[[#This Row],[Día Suscripción]],"/",BBDD_Usiarios_Netflix[[#This Row],[Mes Suscripción]],"/",BBDD_Usiarios_Netflix[[#This Row],[Año Suscripción]]))</f>
        <v>45199</v>
      </c>
      <c r="H496" s="1">
        <v>27</v>
      </c>
      <c r="I496" s="1">
        <v>6</v>
      </c>
      <c r="J496" s="1">
        <v>24</v>
      </c>
      <c r="K496" s="1" t="str">
        <f>TEXT(BBDD_Usiarios_Netflix[[#This Row],[Fecha Suscripción]],"dddd")</f>
        <v>sábado</v>
      </c>
      <c r="L496" s="1">
        <f>DATEVALUE(_xlfn.CONCAT(BBDD_Usiarios_Netflix[[#This Row],[Día Último Pago]],"/",BBDD_Usiarios_Netflix[[#This Row],[Mes Último Pago]],"/",BBDD_Usiarios_Netflix[[#This Row],[Año Último Pago]]))</f>
        <v>45470</v>
      </c>
      <c r="M496" s="4">
        <f>DATEDIF(BBDD_Usiarios_Netflix[[#This Row],[Fecha Suscripción]],BBDD_Usiarios_Netflix[[#This Row],[Fecha Último Pago]],"M")+1</f>
        <v>9</v>
      </c>
      <c r="N496" s="4">
        <f>BBDD_Usiarios_Netflix[[#This Row],[Ingresos Mensuales]]*BBDD_Usiarios_Netflix[[#This Row],[Meses contratados]]</f>
        <v>90</v>
      </c>
      <c r="O496" t="s">
        <v>42</v>
      </c>
      <c r="P496" t="str">
        <f>IF(BBDD_Usiarios_Netflix[[#This Row],[País]]="","Desconocido",BBDD_Usiarios_Netflix[[#This Row],[País]])</f>
        <v>Reino Unido</v>
      </c>
      <c r="Q496">
        <v>39</v>
      </c>
      <c r="R496" t="s">
        <v>25</v>
      </c>
      <c r="S496" t="s">
        <v>26</v>
      </c>
      <c r="T496" t="s">
        <v>27</v>
      </c>
      <c r="U496">
        <f>IF(IFERROR(VLOOKUP(BBDD_Usiarios_Netflix[[#This Row],[Identificador Usuario]],A497:$A$5870,1,FALSE),0)&lt;&gt;0,1,0)</f>
        <v>0</v>
      </c>
      <c r="V496" s="6" t="str">
        <f>IF(BBDD_Usiarios_Netflix[[#This Row],[Duración Plan]]="12 Meses",LEFT(BBDD_Usiarios_Netflix[[#This Row],[Duración Plan]],2),LEFT(BBDD_Usiarios_Netflix[[#This Row],[Duración Plan]],1))</f>
        <v>1</v>
      </c>
      <c r="W4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97" spans="1:23" x14ac:dyDescent="0.25">
      <c r="A497">
        <v>496</v>
      </c>
      <c r="B497" t="s">
        <v>28</v>
      </c>
      <c r="C497">
        <v>14</v>
      </c>
      <c r="D497" s="3">
        <v>30</v>
      </c>
      <c r="E497" s="3">
        <v>10</v>
      </c>
      <c r="F497">
        <v>23</v>
      </c>
      <c r="G497" s="1">
        <f>DATEVALUE(_xlfn.CONCAT(BBDD_Usiarios_Netflix[[#This Row],[Día Suscripción]],"/",BBDD_Usiarios_Netflix[[#This Row],[Mes Suscripción]],"/",BBDD_Usiarios_Netflix[[#This Row],[Año Suscripción]]))</f>
        <v>45229</v>
      </c>
      <c r="H497" s="1">
        <v>30</v>
      </c>
      <c r="I497" s="1">
        <v>6</v>
      </c>
      <c r="J497" s="1">
        <v>24</v>
      </c>
      <c r="K497" s="1" t="str">
        <f>TEXT(BBDD_Usiarios_Netflix[[#This Row],[Fecha Suscripción]],"dddd")</f>
        <v>lunes</v>
      </c>
      <c r="L497" s="1">
        <f>DATEVALUE(_xlfn.CONCAT(BBDD_Usiarios_Netflix[[#This Row],[Día Último Pago]],"/",BBDD_Usiarios_Netflix[[#This Row],[Mes Último Pago]],"/",BBDD_Usiarios_Netflix[[#This Row],[Año Último Pago]]))</f>
        <v>45473</v>
      </c>
      <c r="M497" s="4">
        <f>DATEDIF(BBDD_Usiarios_Netflix[[#This Row],[Fecha Suscripción]],BBDD_Usiarios_Netflix[[#This Row],[Fecha Último Pago]],"M")+1</f>
        <v>9</v>
      </c>
      <c r="N497" s="4">
        <f>BBDD_Usiarios_Netflix[[#This Row],[Ingresos Mensuales]]*BBDD_Usiarios_Netflix[[#This Row],[Meses contratados]]</f>
        <v>126</v>
      </c>
      <c r="O497" t="s">
        <v>44</v>
      </c>
      <c r="P497" t="str">
        <f>IF(BBDD_Usiarios_Netflix[[#This Row],[País]]="","Desconocido",BBDD_Usiarios_Netflix[[#This Row],[País]])</f>
        <v>Desconocido</v>
      </c>
      <c r="Q497">
        <v>51</v>
      </c>
      <c r="R497" t="s">
        <v>30</v>
      </c>
      <c r="S497" t="s">
        <v>36</v>
      </c>
      <c r="T497" t="s">
        <v>38</v>
      </c>
      <c r="U497">
        <f>IF(IFERROR(VLOOKUP(BBDD_Usiarios_Netflix[[#This Row],[Identificador Usuario]],A498:$A$5870,1,FALSE),0)&lt;&gt;0,1,0)</f>
        <v>0</v>
      </c>
      <c r="V497" s="6" t="str">
        <f>IF(BBDD_Usiarios_Netflix[[#This Row],[Duración Plan]]="12 Meses",LEFT(BBDD_Usiarios_Netflix[[#This Row],[Duración Plan]],2),LEFT(BBDD_Usiarios_Netflix[[#This Row],[Duración Plan]],1))</f>
        <v>3</v>
      </c>
      <c r="W4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498" spans="1:23" x14ac:dyDescent="0.25">
      <c r="A498">
        <v>497</v>
      </c>
      <c r="B498" t="s">
        <v>23</v>
      </c>
      <c r="C498">
        <v>10</v>
      </c>
      <c r="D498" s="3">
        <v>9</v>
      </c>
      <c r="E498" s="3">
        <v>11</v>
      </c>
      <c r="F498">
        <v>23</v>
      </c>
      <c r="G498" s="1">
        <f>DATEVALUE(_xlfn.CONCAT(BBDD_Usiarios_Netflix[[#This Row],[Día Suscripción]],"/",BBDD_Usiarios_Netflix[[#This Row],[Mes Suscripción]],"/",BBDD_Usiarios_Netflix[[#This Row],[Año Suscripción]]))</f>
        <v>45239</v>
      </c>
      <c r="H498" s="1">
        <v>29</v>
      </c>
      <c r="I498" s="1">
        <v>6</v>
      </c>
      <c r="J498" s="1">
        <v>24</v>
      </c>
      <c r="K498" s="1" t="str">
        <f>TEXT(BBDD_Usiarios_Netflix[[#This Row],[Fecha Suscripción]],"dddd")</f>
        <v>jueves</v>
      </c>
      <c r="L498" s="1">
        <f>DATEVALUE(_xlfn.CONCAT(BBDD_Usiarios_Netflix[[#This Row],[Día Último Pago]],"/",BBDD_Usiarios_Netflix[[#This Row],[Mes Último Pago]],"/",BBDD_Usiarios_Netflix[[#This Row],[Año Último Pago]]))</f>
        <v>45472</v>
      </c>
      <c r="M498" s="4">
        <f>DATEDIF(BBDD_Usiarios_Netflix[[#This Row],[Fecha Suscripción]],BBDD_Usiarios_Netflix[[#This Row],[Fecha Último Pago]],"M")+1</f>
        <v>8</v>
      </c>
      <c r="N498" s="4">
        <f>BBDD_Usiarios_Netflix[[#This Row],[Ingresos Mensuales]]*BBDD_Usiarios_Netflix[[#This Row],[Meses contratados]]</f>
        <v>80</v>
      </c>
      <c r="O498" t="s">
        <v>33</v>
      </c>
      <c r="P498" t="str">
        <f>IF(BBDD_Usiarios_Netflix[[#This Row],[País]]="","Desconocido",BBDD_Usiarios_Netflix[[#This Row],[País]])</f>
        <v>Francia</v>
      </c>
      <c r="Q498">
        <v>44</v>
      </c>
      <c r="R498" t="s">
        <v>25</v>
      </c>
      <c r="S498" t="s">
        <v>26</v>
      </c>
      <c r="T498" t="s">
        <v>27</v>
      </c>
      <c r="U498">
        <f>IF(IFERROR(VLOOKUP(BBDD_Usiarios_Netflix[[#This Row],[Identificador Usuario]],A499:$A$5870,1,FALSE),0)&lt;&gt;0,1,0)</f>
        <v>0</v>
      </c>
      <c r="V498" s="6" t="str">
        <f>IF(BBDD_Usiarios_Netflix[[#This Row],[Duración Plan]]="12 Meses",LEFT(BBDD_Usiarios_Netflix[[#This Row],[Duración Plan]],2),LEFT(BBDD_Usiarios_Netflix[[#This Row],[Duración Plan]],1))</f>
        <v>1</v>
      </c>
      <c r="W4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499" spans="1:23" x14ac:dyDescent="0.25">
      <c r="A499">
        <v>498</v>
      </c>
      <c r="B499" t="s">
        <v>32</v>
      </c>
      <c r="C499">
        <v>12</v>
      </c>
      <c r="D499" s="3">
        <v>17</v>
      </c>
      <c r="E499" s="3">
        <v>11</v>
      </c>
      <c r="F499">
        <v>23</v>
      </c>
      <c r="G499" s="1">
        <f>DATEVALUE(_xlfn.CONCAT(BBDD_Usiarios_Netflix[[#This Row],[Día Suscripción]],"/",BBDD_Usiarios_Netflix[[#This Row],[Mes Suscripción]],"/",BBDD_Usiarios_Netflix[[#This Row],[Año Suscripción]]))</f>
        <v>45247</v>
      </c>
      <c r="H499" s="1">
        <v>28</v>
      </c>
      <c r="I499" s="1">
        <v>6</v>
      </c>
      <c r="J499" s="1">
        <v>24</v>
      </c>
      <c r="K499" s="1" t="str">
        <f>TEXT(BBDD_Usiarios_Netflix[[#This Row],[Fecha Suscripción]],"dddd")</f>
        <v>viernes</v>
      </c>
      <c r="L499" s="1">
        <f>DATEVALUE(_xlfn.CONCAT(BBDD_Usiarios_Netflix[[#This Row],[Día Último Pago]],"/",BBDD_Usiarios_Netflix[[#This Row],[Mes Último Pago]],"/",BBDD_Usiarios_Netflix[[#This Row],[Año Último Pago]]))</f>
        <v>45471</v>
      </c>
      <c r="M499" s="4">
        <f>DATEDIF(BBDD_Usiarios_Netflix[[#This Row],[Fecha Suscripción]],BBDD_Usiarios_Netflix[[#This Row],[Fecha Último Pago]],"M")+1</f>
        <v>8</v>
      </c>
      <c r="N499" s="4">
        <f>BBDD_Usiarios_Netflix[[#This Row],[Ingresos Mensuales]]*BBDD_Usiarios_Netflix[[#This Row],[Meses contratados]]</f>
        <v>96</v>
      </c>
      <c r="O499" t="s">
        <v>43</v>
      </c>
      <c r="P499" t="str">
        <f>IF(BBDD_Usiarios_Netflix[[#This Row],[País]]="","Desconocido",BBDD_Usiarios_Netflix[[#This Row],[País]])</f>
        <v>Alemania</v>
      </c>
      <c r="Q499">
        <v>41</v>
      </c>
      <c r="R499" t="s">
        <v>30</v>
      </c>
      <c r="S499" t="s">
        <v>26</v>
      </c>
      <c r="T499" t="s">
        <v>27</v>
      </c>
      <c r="U499">
        <f>IF(IFERROR(VLOOKUP(BBDD_Usiarios_Netflix[[#This Row],[Identificador Usuario]],A500:$A$5870,1,FALSE),0)&lt;&gt;0,1,0)</f>
        <v>0</v>
      </c>
      <c r="V499" s="6" t="str">
        <f>IF(BBDD_Usiarios_Netflix[[#This Row],[Duración Plan]]="12 Meses",LEFT(BBDD_Usiarios_Netflix[[#This Row],[Duración Plan]],2),LEFT(BBDD_Usiarios_Netflix[[#This Row],[Duración Plan]],1))</f>
        <v>1</v>
      </c>
      <c r="W4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00" spans="1:23" x14ac:dyDescent="0.25">
      <c r="A500">
        <v>499</v>
      </c>
      <c r="B500" t="s">
        <v>28</v>
      </c>
      <c r="C500">
        <v>14</v>
      </c>
      <c r="D500" s="3">
        <v>18</v>
      </c>
      <c r="E500" s="3">
        <v>11</v>
      </c>
      <c r="F500">
        <v>23</v>
      </c>
      <c r="G500" s="1">
        <f>DATEVALUE(_xlfn.CONCAT(BBDD_Usiarios_Netflix[[#This Row],[Día Suscripción]],"/",BBDD_Usiarios_Netflix[[#This Row],[Mes Suscripción]],"/",BBDD_Usiarios_Netflix[[#This Row],[Año Suscripción]]))</f>
        <v>45248</v>
      </c>
      <c r="H500" s="1">
        <v>26</v>
      </c>
      <c r="I500" s="1">
        <v>6</v>
      </c>
      <c r="J500" s="1">
        <v>24</v>
      </c>
      <c r="K500" s="1" t="str">
        <f>TEXT(BBDD_Usiarios_Netflix[[#This Row],[Fecha Suscripción]],"dddd")</f>
        <v>sábado</v>
      </c>
      <c r="L500" s="1">
        <f>DATEVALUE(_xlfn.CONCAT(BBDD_Usiarios_Netflix[[#This Row],[Día Último Pago]],"/",BBDD_Usiarios_Netflix[[#This Row],[Mes Último Pago]],"/",BBDD_Usiarios_Netflix[[#This Row],[Año Último Pago]]))</f>
        <v>45469</v>
      </c>
      <c r="M500" s="4">
        <f>DATEDIF(BBDD_Usiarios_Netflix[[#This Row],[Fecha Suscripción]],BBDD_Usiarios_Netflix[[#This Row],[Fecha Último Pago]],"M")+1</f>
        <v>8</v>
      </c>
      <c r="N500" s="4">
        <f>BBDD_Usiarios_Netflix[[#This Row],[Ingresos Mensuales]]*BBDD_Usiarios_Netflix[[#This Row],[Meses contratados]]</f>
        <v>112</v>
      </c>
      <c r="O500" t="s">
        <v>43</v>
      </c>
      <c r="P500" t="str">
        <f>IF(BBDD_Usiarios_Netflix[[#This Row],[País]]="","Desconocido",BBDD_Usiarios_Netflix[[#This Row],[País]])</f>
        <v>Alemania</v>
      </c>
      <c r="Q500">
        <v>28</v>
      </c>
      <c r="R500" t="s">
        <v>30</v>
      </c>
      <c r="S500" t="s">
        <v>36</v>
      </c>
      <c r="T500" t="s">
        <v>27</v>
      </c>
      <c r="U500">
        <f>IF(IFERROR(VLOOKUP(BBDD_Usiarios_Netflix[[#This Row],[Identificador Usuario]],A501:$A$5870,1,FALSE),0)&lt;&gt;0,1,0)</f>
        <v>0</v>
      </c>
      <c r="V500" s="6" t="str">
        <f>IF(BBDD_Usiarios_Netflix[[#This Row],[Duración Plan]]="12 Meses",LEFT(BBDD_Usiarios_Netflix[[#This Row],[Duración Plan]],2),LEFT(BBDD_Usiarios_Netflix[[#This Row],[Duración Plan]],1))</f>
        <v>1</v>
      </c>
      <c r="W5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01" spans="1:23" x14ac:dyDescent="0.25">
      <c r="A501">
        <v>500</v>
      </c>
      <c r="B501" t="s">
        <v>23</v>
      </c>
      <c r="C501">
        <v>10</v>
      </c>
      <c r="D501" s="3">
        <v>22</v>
      </c>
      <c r="E501" s="3">
        <v>11</v>
      </c>
      <c r="F501">
        <v>23</v>
      </c>
      <c r="G501" s="1">
        <f>DATEVALUE(_xlfn.CONCAT(BBDD_Usiarios_Netflix[[#This Row],[Día Suscripción]],"/",BBDD_Usiarios_Netflix[[#This Row],[Mes Suscripción]],"/",BBDD_Usiarios_Netflix[[#This Row],[Año Suscripción]]))</f>
        <v>45252</v>
      </c>
      <c r="H501" s="1">
        <v>30</v>
      </c>
      <c r="I501" s="1">
        <v>6</v>
      </c>
      <c r="J501" s="1">
        <v>24</v>
      </c>
      <c r="K501" s="1" t="str">
        <f>TEXT(BBDD_Usiarios_Netflix[[#This Row],[Fecha Suscripción]],"dddd")</f>
        <v>miércoles</v>
      </c>
      <c r="L501" s="1">
        <f>DATEVALUE(_xlfn.CONCAT(BBDD_Usiarios_Netflix[[#This Row],[Día Último Pago]],"/",BBDD_Usiarios_Netflix[[#This Row],[Mes Último Pago]],"/",BBDD_Usiarios_Netflix[[#This Row],[Año Último Pago]]))</f>
        <v>45473</v>
      </c>
      <c r="M501" s="4">
        <f>DATEDIF(BBDD_Usiarios_Netflix[[#This Row],[Fecha Suscripción]],BBDD_Usiarios_Netflix[[#This Row],[Fecha Último Pago]],"M")+1</f>
        <v>8</v>
      </c>
      <c r="N501" s="4">
        <f>BBDD_Usiarios_Netflix[[#This Row],[Ingresos Mensuales]]*BBDD_Usiarios_Netflix[[#This Row],[Meses contratados]]</f>
        <v>80</v>
      </c>
      <c r="O501" t="s">
        <v>42</v>
      </c>
      <c r="P501" t="str">
        <f>IF(BBDD_Usiarios_Netflix[[#This Row],[País]]="","Desconocido",BBDD_Usiarios_Netflix[[#This Row],[País]])</f>
        <v>Reino Unido</v>
      </c>
      <c r="Q501">
        <v>38</v>
      </c>
      <c r="R501" t="s">
        <v>25</v>
      </c>
      <c r="S501" t="s">
        <v>36</v>
      </c>
      <c r="T501" t="s">
        <v>41</v>
      </c>
      <c r="U501">
        <f>IF(IFERROR(VLOOKUP(BBDD_Usiarios_Netflix[[#This Row],[Identificador Usuario]],A502:$A$5870,1,FALSE),0)&lt;&gt;0,1,0)</f>
        <v>0</v>
      </c>
      <c r="V501" s="6" t="str">
        <f>IF(BBDD_Usiarios_Netflix[[#This Row],[Duración Plan]]="12 Meses",LEFT(BBDD_Usiarios_Netflix[[#This Row],[Duración Plan]],2),LEFT(BBDD_Usiarios_Netflix[[#This Row],[Duración Plan]],1))</f>
        <v>12</v>
      </c>
      <c r="W5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02" spans="1:23" x14ac:dyDescent="0.25">
      <c r="A502">
        <v>501</v>
      </c>
      <c r="B502" t="s">
        <v>28</v>
      </c>
      <c r="C502">
        <v>14</v>
      </c>
      <c r="D502" s="3">
        <v>22</v>
      </c>
      <c r="E502" s="3">
        <v>11</v>
      </c>
      <c r="F502">
        <v>23</v>
      </c>
      <c r="G502" s="1">
        <f>DATEVALUE(_xlfn.CONCAT(BBDD_Usiarios_Netflix[[#This Row],[Día Suscripción]],"/",BBDD_Usiarios_Netflix[[#This Row],[Mes Suscripción]],"/",BBDD_Usiarios_Netflix[[#This Row],[Año Suscripción]]))</f>
        <v>45252</v>
      </c>
      <c r="H502" s="1">
        <v>28</v>
      </c>
      <c r="I502" s="1">
        <v>6</v>
      </c>
      <c r="J502" s="1">
        <v>24</v>
      </c>
      <c r="K502" s="1" t="str">
        <f>TEXT(BBDD_Usiarios_Netflix[[#This Row],[Fecha Suscripción]],"dddd")</f>
        <v>miércoles</v>
      </c>
      <c r="L502" s="1">
        <f>DATEVALUE(_xlfn.CONCAT(BBDD_Usiarios_Netflix[[#This Row],[Día Último Pago]],"/",BBDD_Usiarios_Netflix[[#This Row],[Mes Último Pago]],"/",BBDD_Usiarios_Netflix[[#This Row],[Año Último Pago]]))</f>
        <v>45471</v>
      </c>
      <c r="M502" s="4">
        <f>DATEDIF(BBDD_Usiarios_Netflix[[#This Row],[Fecha Suscripción]],BBDD_Usiarios_Netflix[[#This Row],[Fecha Último Pago]],"M")+1</f>
        <v>8</v>
      </c>
      <c r="N502" s="4">
        <f>BBDD_Usiarios_Netflix[[#This Row],[Ingresos Mensuales]]*BBDD_Usiarios_Netflix[[#This Row],[Meses contratados]]</f>
        <v>112</v>
      </c>
      <c r="O502" t="s">
        <v>39</v>
      </c>
      <c r="P502" t="str">
        <f>IF(BBDD_Usiarios_Netflix[[#This Row],[País]]="","Desconocido",BBDD_Usiarios_Netflix[[#This Row],[País]])</f>
        <v>Canadá</v>
      </c>
      <c r="Q502">
        <v>43</v>
      </c>
      <c r="R502" t="s">
        <v>25</v>
      </c>
      <c r="S502" t="s">
        <v>26</v>
      </c>
      <c r="T502" t="s">
        <v>27</v>
      </c>
      <c r="U502">
        <f>IF(IFERROR(VLOOKUP(BBDD_Usiarios_Netflix[[#This Row],[Identificador Usuario]],A503:$A$5870,1,FALSE),0)&lt;&gt;0,1,0)</f>
        <v>0</v>
      </c>
      <c r="V502" s="6" t="str">
        <f>IF(BBDD_Usiarios_Netflix[[#This Row],[Duración Plan]]="12 Meses",LEFT(BBDD_Usiarios_Netflix[[#This Row],[Duración Plan]],2),LEFT(BBDD_Usiarios_Netflix[[#This Row],[Duración Plan]],1))</f>
        <v>1</v>
      </c>
      <c r="W5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03" spans="1:23" x14ac:dyDescent="0.25">
      <c r="A503">
        <v>502</v>
      </c>
      <c r="B503" t="s">
        <v>23</v>
      </c>
      <c r="C503">
        <v>10</v>
      </c>
      <c r="D503" s="3">
        <v>21</v>
      </c>
      <c r="E503" s="3">
        <v>11</v>
      </c>
      <c r="F503">
        <v>23</v>
      </c>
      <c r="G503" s="1">
        <f>DATEVALUE(_xlfn.CONCAT(BBDD_Usiarios_Netflix[[#This Row],[Día Suscripción]],"/",BBDD_Usiarios_Netflix[[#This Row],[Mes Suscripción]],"/",BBDD_Usiarios_Netflix[[#This Row],[Año Suscripción]]))</f>
        <v>45251</v>
      </c>
      <c r="H503" s="1">
        <v>30</v>
      </c>
      <c r="I503" s="1">
        <v>6</v>
      </c>
      <c r="J503" s="1">
        <v>24</v>
      </c>
      <c r="K503" s="1" t="str">
        <f>TEXT(BBDD_Usiarios_Netflix[[#This Row],[Fecha Suscripción]],"dddd")</f>
        <v>martes</v>
      </c>
      <c r="L503" s="1">
        <f>DATEVALUE(_xlfn.CONCAT(BBDD_Usiarios_Netflix[[#This Row],[Día Último Pago]],"/",BBDD_Usiarios_Netflix[[#This Row],[Mes Último Pago]],"/",BBDD_Usiarios_Netflix[[#This Row],[Año Último Pago]]))</f>
        <v>45473</v>
      </c>
      <c r="M503" s="4">
        <f>DATEDIF(BBDD_Usiarios_Netflix[[#This Row],[Fecha Suscripción]],BBDD_Usiarios_Netflix[[#This Row],[Fecha Último Pago]],"M")+1</f>
        <v>8</v>
      </c>
      <c r="N503" s="4">
        <f>BBDD_Usiarios_Netflix[[#This Row],[Ingresos Mensuales]]*BBDD_Usiarios_Netflix[[#This Row],[Meses contratados]]</f>
        <v>80</v>
      </c>
      <c r="O503" t="s">
        <v>39</v>
      </c>
      <c r="P503" t="str">
        <f>IF(BBDD_Usiarios_Netflix[[#This Row],[País]]="","Desconocido",BBDD_Usiarios_Netflix[[#This Row],[País]])</f>
        <v>Canadá</v>
      </c>
      <c r="Q503">
        <v>38</v>
      </c>
      <c r="R503" t="s">
        <v>25</v>
      </c>
      <c r="S503" t="s">
        <v>26</v>
      </c>
      <c r="T503" t="s">
        <v>27</v>
      </c>
      <c r="U503">
        <f>IF(IFERROR(VLOOKUP(BBDD_Usiarios_Netflix[[#This Row],[Identificador Usuario]],A504:$A$5870,1,FALSE),0)&lt;&gt;0,1,0)</f>
        <v>0</v>
      </c>
      <c r="V503" s="6" t="str">
        <f>IF(BBDD_Usiarios_Netflix[[#This Row],[Duración Plan]]="12 Meses",LEFT(BBDD_Usiarios_Netflix[[#This Row],[Duración Plan]],2),LEFT(BBDD_Usiarios_Netflix[[#This Row],[Duración Plan]],1))</f>
        <v>1</v>
      </c>
      <c r="W5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04" spans="1:23" x14ac:dyDescent="0.25">
      <c r="A504">
        <v>503</v>
      </c>
      <c r="B504" t="s">
        <v>32</v>
      </c>
      <c r="C504">
        <v>12</v>
      </c>
      <c r="D504" s="3">
        <v>10</v>
      </c>
      <c r="E504" s="3">
        <v>11</v>
      </c>
      <c r="F504">
        <v>23</v>
      </c>
      <c r="G504" s="1">
        <f>DATEVALUE(_xlfn.CONCAT(BBDD_Usiarios_Netflix[[#This Row],[Día Suscripción]],"/",BBDD_Usiarios_Netflix[[#This Row],[Mes Suscripción]],"/",BBDD_Usiarios_Netflix[[#This Row],[Año Suscripción]]))</f>
        <v>45240</v>
      </c>
      <c r="H504" s="1">
        <v>26</v>
      </c>
      <c r="I504" s="1">
        <v>6</v>
      </c>
      <c r="J504" s="1">
        <v>24</v>
      </c>
      <c r="K504" s="1" t="str">
        <f>TEXT(BBDD_Usiarios_Netflix[[#This Row],[Fecha Suscripción]],"dddd")</f>
        <v>viernes</v>
      </c>
      <c r="L504" s="1">
        <f>DATEVALUE(_xlfn.CONCAT(BBDD_Usiarios_Netflix[[#This Row],[Día Último Pago]],"/",BBDD_Usiarios_Netflix[[#This Row],[Mes Último Pago]],"/",BBDD_Usiarios_Netflix[[#This Row],[Año Último Pago]]))</f>
        <v>45469</v>
      </c>
      <c r="M504" s="4">
        <f>DATEDIF(BBDD_Usiarios_Netflix[[#This Row],[Fecha Suscripción]],BBDD_Usiarios_Netflix[[#This Row],[Fecha Último Pago]],"M")+1</f>
        <v>8</v>
      </c>
      <c r="N504" s="4">
        <f>BBDD_Usiarios_Netflix[[#This Row],[Ingresos Mensuales]]*BBDD_Usiarios_Netflix[[#This Row],[Meses contratados]]</f>
        <v>96</v>
      </c>
      <c r="O504" t="s">
        <v>45</v>
      </c>
      <c r="P504" t="str">
        <f>IF(BBDD_Usiarios_Netflix[[#This Row],[País]]="","Desconocido",BBDD_Usiarios_Netflix[[#This Row],[País]])</f>
        <v>España</v>
      </c>
      <c r="Q504">
        <v>30</v>
      </c>
      <c r="R504" t="s">
        <v>25</v>
      </c>
      <c r="S504" t="s">
        <v>31</v>
      </c>
      <c r="T504" t="s">
        <v>35</v>
      </c>
      <c r="U504">
        <f>IF(IFERROR(VLOOKUP(BBDD_Usiarios_Netflix[[#This Row],[Identificador Usuario]],A505:$A$5870,1,FALSE),0)&lt;&gt;0,1,0)</f>
        <v>0</v>
      </c>
      <c r="V504" s="6" t="str">
        <f>IF(BBDD_Usiarios_Netflix[[#This Row],[Duración Plan]]="12 Meses",LEFT(BBDD_Usiarios_Netflix[[#This Row],[Duración Plan]],2),LEFT(BBDD_Usiarios_Netflix[[#This Row],[Duración Plan]],1))</f>
        <v>6</v>
      </c>
      <c r="W5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05" spans="1:23" x14ac:dyDescent="0.25">
      <c r="A505">
        <v>504</v>
      </c>
      <c r="B505" t="s">
        <v>32</v>
      </c>
      <c r="C505">
        <v>12</v>
      </c>
      <c r="D505" s="3">
        <v>21</v>
      </c>
      <c r="E505" s="3">
        <v>10</v>
      </c>
      <c r="F505">
        <v>23</v>
      </c>
      <c r="G505" s="1">
        <f>DATEVALUE(_xlfn.CONCAT(BBDD_Usiarios_Netflix[[#This Row],[Día Suscripción]],"/",BBDD_Usiarios_Netflix[[#This Row],[Mes Suscripción]],"/",BBDD_Usiarios_Netflix[[#This Row],[Año Suscripción]]))</f>
        <v>45220</v>
      </c>
      <c r="H505" s="1">
        <v>29</v>
      </c>
      <c r="I505" s="1">
        <v>6</v>
      </c>
      <c r="J505" s="1">
        <v>24</v>
      </c>
      <c r="K505" s="1" t="str">
        <f>TEXT(BBDD_Usiarios_Netflix[[#This Row],[Fecha Suscripción]],"dddd")</f>
        <v>sábado</v>
      </c>
      <c r="L505" s="1">
        <f>DATEVALUE(_xlfn.CONCAT(BBDD_Usiarios_Netflix[[#This Row],[Día Último Pago]],"/",BBDD_Usiarios_Netflix[[#This Row],[Mes Último Pago]],"/",BBDD_Usiarios_Netflix[[#This Row],[Año Último Pago]]))</f>
        <v>45472</v>
      </c>
      <c r="M505" s="4">
        <f>DATEDIF(BBDD_Usiarios_Netflix[[#This Row],[Fecha Suscripción]],BBDD_Usiarios_Netflix[[#This Row],[Fecha Último Pago]],"M")+1</f>
        <v>9</v>
      </c>
      <c r="N505" s="4">
        <f>BBDD_Usiarios_Netflix[[#This Row],[Ingresos Mensuales]]*BBDD_Usiarios_Netflix[[#This Row],[Meses contratados]]</f>
        <v>108</v>
      </c>
      <c r="O505" t="s">
        <v>39</v>
      </c>
      <c r="P505" t="str">
        <f>IF(BBDD_Usiarios_Netflix[[#This Row],[País]]="","Desconocido",BBDD_Usiarios_Netflix[[#This Row],[País]])</f>
        <v>Canadá</v>
      </c>
      <c r="Q505">
        <v>32</v>
      </c>
      <c r="R505" t="s">
        <v>30</v>
      </c>
      <c r="S505" t="s">
        <v>36</v>
      </c>
      <c r="T505" t="s">
        <v>41</v>
      </c>
      <c r="U505">
        <f>IF(IFERROR(VLOOKUP(BBDD_Usiarios_Netflix[[#This Row],[Identificador Usuario]],A506:$A$5870,1,FALSE),0)&lt;&gt;0,1,0)</f>
        <v>0</v>
      </c>
      <c r="V505" s="6" t="str">
        <f>IF(BBDD_Usiarios_Netflix[[#This Row],[Duración Plan]]="12 Meses",LEFT(BBDD_Usiarios_Netflix[[#This Row],[Duración Plan]],2),LEFT(BBDD_Usiarios_Netflix[[#This Row],[Duración Plan]],1))</f>
        <v>12</v>
      </c>
      <c r="W5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06" spans="1:23" x14ac:dyDescent="0.25">
      <c r="A506">
        <v>505</v>
      </c>
      <c r="B506" t="s">
        <v>23</v>
      </c>
      <c r="C506">
        <v>10</v>
      </c>
      <c r="D506" s="3">
        <v>21</v>
      </c>
      <c r="E506" s="3">
        <v>10</v>
      </c>
      <c r="F506">
        <v>23</v>
      </c>
      <c r="G506" s="1">
        <f>DATEVALUE(_xlfn.CONCAT(BBDD_Usiarios_Netflix[[#This Row],[Día Suscripción]],"/",BBDD_Usiarios_Netflix[[#This Row],[Mes Suscripción]],"/",BBDD_Usiarios_Netflix[[#This Row],[Año Suscripción]]))</f>
        <v>45220</v>
      </c>
      <c r="H506" s="1">
        <v>28</v>
      </c>
      <c r="I506" s="1">
        <v>6</v>
      </c>
      <c r="J506" s="1">
        <v>24</v>
      </c>
      <c r="K506" s="1" t="str">
        <f>TEXT(BBDD_Usiarios_Netflix[[#This Row],[Fecha Suscripción]],"dddd")</f>
        <v>sábado</v>
      </c>
      <c r="L506" s="1">
        <f>DATEVALUE(_xlfn.CONCAT(BBDD_Usiarios_Netflix[[#This Row],[Día Último Pago]],"/",BBDD_Usiarios_Netflix[[#This Row],[Mes Último Pago]],"/",BBDD_Usiarios_Netflix[[#This Row],[Año Último Pago]]))</f>
        <v>45471</v>
      </c>
      <c r="M506" s="4">
        <f>DATEDIF(BBDD_Usiarios_Netflix[[#This Row],[Fecha Suscripción]],BBDD_Usiarios_Netflix[[#This Row],[Fecha Último Pago]],"M")+1</f>
        <v>9</v>
      </c>
      <c r="N506" s="4">
        <f>BBDD_Usiarios_Netflix[[#This Row],[Ingresos Mensuales]]*BBDD_Usiarios_Netflix[[#This Row],[Meses contratados]]</f>
        <v>90</v>
      </c>
      <c r="O506" t="s">
        <v>33</v>
      </c>
      <c r="P506" t="str">
        <f>IF(BBDD_Usiarios_Netflix[[#This Row],[País]]="","Desconocido",BBDD_Usiarios_Netflix[[#This Row],[País]])</f>
        <v>Francia</v>
      </c>
      <c r="Q506">
        <v>35</v>
      </c>
      <c r="R506" t="s">
        <v>25</v>
      </c>
      <c r="S506" t="s">
        <v>26</v>
      </c>
      <c r="T506" t="s">
        <v>38</v>
      </c>
      <c r="U506">
        <f>IF(IFERROR(VLOOKUP(BBDD_Usiarios_Netflix[[#This Row],[Identificador Usuario]],A507:$A$5870,1,FALSE),0)&lt;&gt;0,1,0)</f>
        <v>0</v>
      </c>
      <c r="V506" s="6" t="str">
        <f>IF(BBDD_Usiarios_Netflix[[#This Row],[Duración Plan]]="12 Meses",LEFT(BBDD_Usiarios_Netflix[[#This Row],[Duración Plan]],2),LEFT(BBDD_Usiarios_Netflix[[#This Row],[Duración Plan]],1))</f>
        <v>3</v>
      </c>
      <c r="W5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07" spans="1:23" x14ac:dyDescent="0.25">
      <c r="A507">
        <v>506</v>
      </c>
      <c r="B507" t="s">
        <v>28</v>
      </c>
      <c r="C507">
        <v>14</v>
      </c>
      <c r="D507" s="3">
        <v>23</v>
      </c>
      <c r="E507" s="3">
        <v>10</v>
      </c>
      <c r="F507">
        <v>23</v>
      </c>
      <c r="G507" s="1">
        <f>DATEVALUE(_xlfn.CONCAT(BBDD_Usiarios_Netflix[[#This Row],[Día Suscripción]],"/",BBDD_Usiarios_Netflix[[#This Row],[Mes Suscripción]],"/",BBDD_Usiarios_Netflix[[#This Row],[Año Suscripción]]))</f>
        <v>45222</v>
      </c>
      <c r="H507" s="1">
        <v>29</v>
      </c>
      <c r="I507" s="1">
        <v>6</v>
      </c>
      <c r="J507" s="1">
        <v>24</v>
      </c>
      <c r="K507" s="1" t="str">
        <f>TEXT(BBDD_Usiarios_Netflix[[#This Row],[Fecha Suscripción]],"dddd")</f>
        <v>lunes</v>
      </c>
      <c r="L507" s="1">
        <f>DATEVALUE(_xlfn.CONCAT(BBDD_Usiarios_Netflix[[#This Row],[Día Último Pago]],"/",BBDD_Usiarios_Netflix[[#This Row],[Mes Último Pago]],"/",BBDD_Usiarios_Netflix[[#This Row],[Año Último Pago]]))</f>
        <v>45472</v>
      </c>
      <c r="M507" s="4">
        <f>DATEDIF(BBDD_Usiarios_Netflix[[#This Row],[Fecha Suscripción]],BBDD_Usiarios_Netflix[[#This Row],[Fecha Último Pago]],"M")+1</f>
        <v>9</v>
      </c>
      <c r="N507" s="4">
        <f>BBDD_Usiarios_Netflix[[#This Row],[Ingresos Mensuales]]*BBDD_Usiarios_Netflix[[#This Row],[Meses contratados]]</f>
        <v>126</v>
      </c>
      <c r="O507" t="s">
        <v>33</v>
      </c>
      <c r="P507" t="str">
        <f>IF(BBDD_Usiarios_Netflix[[#This Row],[País]]="","Desconocido",BBDD_Usiarios_Netflix[[#This Row],[País]])</f>
        <v>Francia</v>
      </c>
      <c r="Q507">
        <v>27</v>
      </c>
      <c r="R507" t="s">
        <v>25</v>
      </c>
      <c r="S507" t="s">
        <v>34</v>
      </c>
      <c r="T507" t="s">
        <v>27</v>
      </c>
      <c r="U507">
        <f>IF(IFERROR(VLOOKUP(BBDD_Usiarios_Netflix[[#This Row],[Identificador Usuario]],A508:$A$5870,1,FALSE),0)&lt;&gt;0,1,0)</f>
        <v>0</v>
      </c>
      <c r="V507" s="6" t="str">
        <f>IF(BBDD_Usiarios_Netflix[[#This Row],[Duración Plan]]="12 Meses",LEFT(BBDD_Usiarios_Netflix[[#This Row],[Duración Plan]],2),LEFT(BBDD_Usiarios_Netflix[[#This Row],[Duración Plan]],1))</f>
        <v>1</v>
      </c>
      <c r="W5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08" spans="1:23" x14ac:dyDescent="0.25">
      <c r="A508">
        <v>507</v>
      </c>
      <c r="B508" t="s">
        <v>23</v>
      </c>
      <c r="C508">
        <v>10</v>
      </c>
      <c r="D508" s="3">
        <v>24</v>
      </c>
      <c r="E508" s="3">
        <v>10</v>
      </c>
      <c r="F508">
        <v>23</v>
      </c>
      <c r="G508" s="1">
        <f>DATEVALUE(_xlfn.CONCAT(BBDD_Usiarios_Netflix[[#This Row],[Día Suscripción]],"/",BBDD_Usiarios_Netflix[[#This Row],[Mes Suscripción]],"/",BBDD_Usiarios_Netflix[[#This Row],[Año Suscripción]]))</f>
        <v>45223</v>
      </c>
      <c r="H508" s="1">
        <v>26</v>
      </c>
      <c r="I508" s="1">
        <v>6</v>
      </c>
      <c r="J508" s="1">
        <v>24</v>
      </c>
      <c r="K508" s="1" t="str">
        <f>TEXT(BBDD_Usiarios_Netflix[[#This Row],[Fecha Suscripción]],"dddd")</f>
        <v>martes</v>
      </c>
      <c r="L508" s="1">
        <f>DATEVALUE(_xlfn.CONCAT(BBDD_Usiarios_Netflix[[#This Row],[Día Último Pago]],"/",BBDD_Usiarios_Netflix[[#This Row],[Mes Último Pago]],"/",BBDD_Usiarios_Netflix[[#This Row],[Año Último Pago]]))</f>
        <v>45469</v>
      </c>
      <c r="M508" s="4">
        <f>DATEDIF(BBDD_Usiarios_Netflix[[#This Row],[Fecha Suscripción]],BBDD_Usiarios_Netflix[[#This Row],[Fecha Último Pago]],"M")+1</f>
        <v>9</v>
      </c>
      <c r="N508" s="4">
        <f>BBDD_Usiarios_Netflix[[#This Row],[Ingresos Mensuales]]*BBDD_Usiarios_Netflix[[#This Row],[Meses contratados]]</f>
        <v>90</v>
      </c>
      <c r="O508" t="s">
        <v>42</v>
      </c>
      <c r="P508" t="str">
        <f>IF(BBDD_Usiarios_Netflix[[#This Row],[País]]="","Desconocido",BBDD_Usiarios_Netflix[[#This Row],[País]])</f>
        <v>Reino Unido</v>
      </c>
      <c r="Q508">
        <v>49</v>
      </c>
      <c r="R508" t="s">
        <v>30</v>
      </c>
      <c r="S508" t="s">
        <v>31</v>
      </c>
      <c r="T508" t="s">
        <v>35</v>
      </c>
      <c r="U508">
        <f>IF(IFERROR(VLOOKUP(BBDD_Usiarios_Netflix[[#This Row],[Identificador Usuario]],A509:$A$5870,1,FALSE),0)&lt;&gt;0,1,0)</f>
        <v>0</v>
      </c>
      <c r="V508" s="6" t="str">
        <f>IF(BBDD_Usiarios_Netflix[[#This Row],[Duración Plan]]="12 Meses",LEFT(BBDD_Usiarios_Netflix[[#This Row],[Duración Plan]],2),LEFT(BBDD_Usiarios_Netflix[[#This Row],[Duración Plan]],1))</f>
        <v>6</v>
      </c>
      <c r="W5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09" spans="1:23" x14ac:dyDescent="0.25">
      <c r="A509">
        <v>508</v>
      </c>
      <c r="B509" t="s">
        <v>32</v>
      </c>
      <c r="C509">
        <v>12</v>
      </c>
      <c r="D509" s="3">
        <v>23</v>
      </c>
      <c r="E509" s="3">
        <v>10</v>
      </c>
      <c r="F509">
        <v>23</v>
      </c>
      <c r="G509" s="1">
        <f>DATEVALUE(_xlfn.CONCAT(BBDD_Usiarios_Netflix[[#This Row],[Día Suscripción]],"/",BBDD_Usiarios_Netflix[[#This Row],[Mes Suscripción]],"/",BBDD_Usiarios_Netflix[[#This Row],[Año Suscripción]]))</f>
        <v>45222</v>
      </c>
      <c r="H509" s="1">
        <v>28</v>
      </c>
      <c r="I509" s="1">
        <v>6</v>
      </c>
      <c r="J509" s="1">
        <v>24</v>
      </c>
      <c r="K509" s="1" t="str">
        <f>TEXT(BBDD_Usiarios_Netflix[[#This Row],[Fecha Suscripción]],"dddd")</f>
        <v>lunes</v>
      </c>
      <c r="L509" s="1">
        <f>DATEVALUE(_xlfn.CONCAT(BBDD_Usiarios_Netflix[[#This Row],[Día Último Pago]],"/",BBDD_Usiarios_Netflix[[#This Row],[Mes Último Pago]],"/",BBDD_Usiarios_Netflix[[#This Row],[Año Último Pago]]))</f>
        <v>45471</v>
      </c>
      <c r="M509" s="4">
        <f>DATEDIF(BBDD_Usiarios_Netflix[[#This Row],[Fecha Suscripción]],BBDD_Usiarios_Netflix[[#This Row],[Fecha Último Pago]],"M")+1</f>
        <v>9</v>
      </c>
      <c r="N509" s="4">
        <f>BBDD_Usiarios_Netflix[[#This Row],[Ingresos Mensuales]]*BBDD_Usiarios_Netflix[[#This Row],[Meses contratados]]</f>
        <v>108</v>
      </c>
      <c r="O509" t="s">
        <v>24</v>
      </c>
      <c r="P509" t="str">
        <f>IF(BBDD_Usiarios_Netflix[[#This Row],[País]]="","Desconocido",BBDD_Usiarios_Netflix[[#This Row],[País]])</f>
        <v>Australia</v>
      </c>
      <c r="Q509">
        <v>42</v>
      </c>
      <c r="R509" t="s">
        <v>30</v>
      </c>
      <c r="S509" t="s">
        <v>31</v>
      </c>
      <c r="T509" t="s">
        <v>27</v>
      </c>
      <c r="U509">
        <f>IF(IFERROR(VLOOKUP(BBDD_Usiarios_Netflix[[#This Row],[Identificador Usuario]],A510:$A$5870,1,FALSE),0)&lt;&gt;0,1,0)</f>
        <v>0</v>
      </c>
      <c r="V509" s="6" t="str">
        <f>IF(BBDD_Usiarios_Netflix[[#This Row],[Duración Plan]]="12 Meses",LEFT(BBDD_Usiarios_Netflix[[#This Row],[Duración Plan]],2),LEFT(BBDD_Usiarios_Netflix[[#This Row],[Duración Plan]],1))</f>
        <v>1</v>
      </c>
      <c r="W5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0" spans="1:23" x14ac:dyDescent="0.25">
      <c r="A510">
        <v>509</v>
      </c>
      <c r="B510" t="s">
        <v>28</v>
      </c>
      <c r="C510">
        <v>14</v>
      </c>
      <c r="D510" s="3">
        <v>21</v>
      </c>
      <c r="E510" s="3">
        <v>10</v>
      </c>
      <c r="F510">
        <v>23</v>
      </c>
      <c r="G510" s="1">
        <f>DATEVALUE(_xlfn.CONCAT(BBDD_Usiarios_Netflix[[#This Row],[Día Suscripción]],"/",BBDD_Usiarios_Netflix[[#This Row],[Mes Suscripción]],"/",BBDD_Usiarios_Netflix[[#This Row],[Año Suscripción]]))</f>
        <v>45220</v>
      </c>
      <c r="H510" s="1">
        <v>28</v>
      </c>
      <c r="I510" s="1">
        <v>6</v>
      </c>
      <c r="J510" s="1">
        <v>24</v>
      </c>
      <c r="K510" s="1" t="str">
        <f>TEXT(BBDD_Usiarios_Netflix[[#This Row],[Fecha Suscripción]],"dddd")</f>
        <v>sábado</v>
      </c>
      <c r="L510" s="1">
        <f>DATEVALUE(_xlfn.CONCAT(BBDD_Usiarios_Netflix[[#This Row],[Día Último Pago]],"/",BBDD_Usiarios_Netflix[[#This Row],[Mes Último Pago]],"/",BBDD_Usiarios_Netflix[[#This Row],[Año Último Pago]]))</f>
        <v>45471</v>
      </c>
      <c r="M510" s="4">
        <f>DATEDIF(BBDD_Usiarios_Netflix[[#This Row],[Fecha Suscripción]],BBDD_Usiarios_Netflix[[#This Row],[Fecha Último Pago]],"M")+1</f>
        <v>9</v>
      </c>
      <c r="N510" s="4">
        <f>BBDD_Usiarios_Netflix[[#This Row],[Ingresos Mensuales]]*BBDD_Usiarios_Netflix[[#This Row],[Meses contratados]]</f>
        <v>126</v>
      </c>
      <c r="O510" t="s">
        <v>37</v>
      </c>
      <c r="P510" t="str">
        <f>IF(BBDD_Usiarios_Netflix[[#This Row],[País]]="","Desconocido",BBDD_Usiarios_Netflix[[#This Row],[País]])</f>
        <v>Brasil</v>
      </c>
      <c r="Q510">
        <v>40</v>
      </c>
      <c r="R510" t="s">
        <v>25</v>
      </c>
      <c r="S510" t="s">
        <v>26</v>
      </c>
      <c r="T510" t="s">
        <v>27</v>
      </c>
      <c r="U510">
        <f>IF(IFERROR(VLOOKUP(BBDD_Usiarios_Netflix[[#This Row],[Identificador Usuario]],A511:$A$5870,1,FALSE),0)&lt;&gt;0,1,0)</f>
        <v>0</v>
      </c>
      <c r="V510" s="6" t="str">
        <f>IF(BBDD_Usiarios_Netflix[[#This Row],[Duración Plan]]="12 Meses",LEFT(BBDD_Usiarios_Netflix[[#This Row],[Duración Plan]],2),LEFT(BBDD_Usiarios_Netflix[[#This Row],[Duración Plan]],1))</f>
        <v>1</v>
      </c>
      <c r="W5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1" spans="1:23" x14ac:dyDescent="0.25">
      <c r="A511">
        <v>510</v>
      </c>
      <c r="B511" t="s">
        <v>23</v>
      </c>
      <c r="C511">
        <v>10</v>
      </c>
      <c r="D511" s="3">
        <v>6</v>
      </c>
      <c r="E511" s="3">
        <v>10</v>
      </c>
      <c r="F511">
        <v>23</v>
      </c>
      <c r="G511" s="1">
        <f>DATEVALUE(_xlfn.CONCAT(BBDD_Usiarios_Netflix[[#This Row],[Día Suscripción]],"/",BBDD_Usiarios_Netflix[[#This Row],[Mes Suscripción]],"/",BBDD_Usiarios_Netflix[[#This Row],[Año Suscripción]]))</f>
        <v>45205</v>
      </c>
      <c r="H511" s="1">
        <v>29</v>
      </c>
      <c r="I511" s="1">
        <v>6</v>
      </c>
      <c r="J511" s="1">
        <v>24</v>
      </c>
      <c r="K511" s="1" t="str">
        <f>TEXT(BBDD_Usiarios_Netflix[[#This Row],[Fecha Suscripción]],"dddd")</f>
        <v>viernes</v>
      </c>
      <c r="L511" s="1">
        <f>DATEVALUE(_xlfn.CONCAT(BBDD_Usiarios_Netflix[[#This Row],[Día Último Pago]],"/",BBDD_Usiarios_Netflix[[#This Row],[Mes Último Pago]],"/",BBDD_Usiarios_Netflix[[#This Row],[Año Último Pago]]))</f>
        <v>45472</v>
      </c>
      <c r="M511" s="4">
        <f>DATEDIF(BBDD_Usiarios_Netflix[[#This Row],[Fecha Suscripción]],BBDD_Usiarios_Netflix[[#This Row],[Fecha Último Pago]],"M")+1</f>
        <v>9</v>
      </c>
      <c r="N511" s="4">
        <f>BBDD_Usiarios_Netflix[[#This Row],[Ingresos Mensuales]]*BBDD_Usiarios_Netflix[[#This Row],[Meses contratados]]</f>
        <v>90</v>
      </c>
      <c r="O511" t="s">
        <v>29</v>
      </c>
      <c r="P511" t="str">
        <f>IF(BBDD_Usiarios_Netflix[[#This Row],[País]]="","Desconocido",BBDD_Usiarios_Netflix[[#This Row],[País]])</f>
        <v>EEUU</v>
      </c>
      <c r="Q511">
        <v>43</v>
      </c>
      <c r="R511" t="s">
        <v>30</v>
      </c>
      <c r="S511" t="s">
        <v>31</v>
      </c>
      <c r="T511" t="s">
        <v>27</v>
      </c>
      <c r="U511">
        <f>IF(IFERROR(VLOOKUP(BBDD_Usiarios_Netflix[[#This Row],[Identificador Usuario]],A512:$A$5870,1,FALSE),0)&lt;&gt;0,1,0)</f>
        <v>0</v>
      </c>
      <c r="V511" s="6" t="str">
        <f>IF(BBDD_Usiarios_Netflix[[#This Row],[Duración Plan]]="12 Meses",LEFT(BBDD_Usiarios_Netflix[[#This Row],[Duración Plan]],2),LEFT(BBDD_Usiarios_Netflix[[#This Row],[Duración Plan]],1))</f>
        <v>1</v>
      </c>
      <c r="W5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2" spans="1:23" x14ac:dyDescent="0.25">
      <c r="A512">
        <v>511</v>
      </c>
      <c r="B512" t="s">
        <v>28</v>
      </c>
      <c r="C512">
        <v>14</v>
      </c>
      <c r="D512" s="3">
        <v>26</v>
      </c>
      <c r="E512" s="3">
        <v>7</v>
      </c>
      <c r="F512">
        <v>23</v>
      </c>
      <c r="G512" s="1">
        <f>DATEVALUE(_xlfn.CONCAT(BBDD_Usiarios_Netflix[[#This Row],[Día Suscripción]],"/",BBDD_Usiarios_Netflix[[#This Row],[Mes Suscripción]],"/",BBDD_Usiarios_Netflix[[#This Row],[Año Suscripción]]))</f>
        <v>45133</v>
      </c>
      <c r="H512" s="1">
        <v>28</v>
      </c>
      <c r="I512" s="1">
        <v>6</v>
      </c>
      <c r="J512" s="1">
        <v>24</v>
      </c>
      <c r="K512" s="1" t="str">
        <f>TEXT(BBDD_Usiarios_Netflix[[#This Row],[Fecha Suscripción]],"dddd")</f>
        <v>miércoles</v>
      </c>
      <c r="L512" s="1">
        <f>DATEVALUE(_xlfn.CONCAT(BBDD_Usiarios_Netflix[[#This Row],[Día Último Pago]],"/",BBDD_Usiarios_Netflix[[#This Row],[Mes Último Pago]],"/",BBDD_Usiarios_Netflix[[#This Row],[Año Último Pago]]))</f>
        <v>45471</v>
      </c>
      <c r="M512" s="4">
        <f>DATEDIF(BBDD_Usiarios_Netflix[[#This Row],[Fecha Suscripción]],BBDD_Usiarios_Netflix[[#This Row],[Fecha Último Pago]],"M")+1</f>
        <v>12</v>
      </c>
      <c r="N512" s="4">
        <f>BBDD_Usiarios_Netflix[[#This Row],[Ingresos Mensuales]]*BBDD_Usiarios_Netflix[[#This Row],[Meses contratados]]</f>
        <v>168</v>
      </c>
      <c r="O512" t="s">
        <v>33</v>
      </c>
      <c r="P512" t="str">
        <f>IF(BBDD_Usiarios_Netflix[[#This Row],[País]]="","Desconocido",BBDD_Usiarios_Netflix[[#This Row],[País]])</f>
        <v>Francia</v>
      </c>
      <c r="Q512">
        <v>44</v>
      </c>
      <c r="R512" t="s">
        <v>30</v>
      </c>
      <c r="S512" t="s">
        <v>34</v>
      </c>
      <c r="T512" t="s">
        <v>27</v>
      </c>
      <c r="U512">
        <f>IF(IFERROR(VLOOKUP(BBDD_Usiarios_Netflix[[#This Row],[Identificador Usuario]],A513:$A$5870,1,FALSE),0)&lt;&gt;0,1,0)</f>
        <v>0</v>
      </c>
      <c r="V512" s="6" t="str">
        <f>IF(BBDD_Usiarios_Netflix[[#This Row],[Duración Plan]]="12 Meses",LEFT(BBDD_Usiarios_Netflix[[#This Row],[Duración Plan]],2),LEFT(BBDD_Usiarios_Netflix[[#This Row],[Duración Plan]],1))</f>
        <v>1</v>
      </c>
      <c r="W5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3" spans="1:23" x14ac:dyDescent="0.25">
      <c r="A513">
        <v>512</v>
      </c>
      <c r="B513" t="s">
        <v>23</v>
      </c>
      <c r="C513">
        <v>10</v>
      </c>
      <c r="D513" s="3">
        <v>13</v>
      </c>
      <c r="E513" s="3">
        <v>7</v>
      </c>
      <c r="F513">
        <v>23</v>
      </c>
      <c r="G513" s="1">
        <f>DATEVALUE(_xlfn.CONCAT(BBDD_Usiarios_Netflix[[#This Row],[Día Suscripción]],"/",BBDD_Usiarios_Netflix[[#This Row],[Mes Suscripción]],"/",BBDD_Usiarios_Netflix[[#This Row],[Año Suscripción]]))</f>
        <v>45120</v>
      </c>
      <c r="H513" s="1">
        <v>28</v>
      </c>
      <c r="I513" s="1">
        <v>6</v>
      </c>
      <c r="J513" s="1">
        <v>24</v>
      </c>
      <c r="K513" s="1" t="str">
        <f>TEXT(BBDD_Usiarios_Netflix[[#This Row],[Fecha Suscripción]],"dddd")</f>
        <v>jueves</v>
      </c>
      <c r="L513" s="1">
        <f>DATEVALUE(_xlfn.CONCAT(BBDD_Usiarios_Netflix[[#This Row],[Día Último Pago]],"/",BBDD_Usiarios_Netflix[[#This Row],[Mes Último Pago]],"/",BBDD_Usiarios_Netflix[[#This Row],[Año Último Pago]]))</f>
        <v>45471</v>
      </c>
      <c r="M513" s="4">
        <f>DATEDIF(BBDD_Usiarios_Netflix[[#This Row],[Fecha Suscripción]],BBDD_Usiarios_Netflix[[#This Row],[Fecha Último Pago]],"M")+1</f>
        <v>12</v>
      </c>
      <c r="N513" s="4">
        <f>BBDD_Usiarios_Netflix[[#This Row],[Ingresos Mensuales]]*BBDD_Usiarios_Netflix[[#This Row],[Meses contratados]]</f>
        <v>120</v>
      </c>
      <c r="O513" t="s">
        <v>42</v>
      </c>
      <c r="P513" t="str">
        <f>IF(BBDD_Usiarios_Netflix[[#This Row],[País]]="","Desconocido",BBDD_Usiarios_Netflix[[#This Row],[País]])</f>
        <v>Reino Unido</v>
      </c>
      <c r="Q513">
        <v>32</v>
      </c>
      <c r="R513" t="s">
        <v>25</v>
      </c>
      <c r="S513" t="s">
        <v>31</v>
      </c>
      <c r="T513" t="s">
        <v>27</v>
      </c>
      <c r="U513">
        <f>IF(IFERROR(VLOOKUP(BBDD_Usiarios_Netflix[[#This Row],[Identificador Usuario]],A514:$A$5870,1,FALSE),0)&lt;&gt;0,1,0)</f>
        <v>0</v>
      </c>
      <c r="V513" s="6" t="str">
        <f>IF(BBDD_Usiarios_Netflix[[#This Row],[Duración Plan]]="12 Meses",LEFT(BBDD_Usiarios_Netflix[[#This Row],[Duración Plan]],2),LEFT(BBDD_Usiarios_Netflix[[#This Row],[Duración Plan]],1))</f>
        <v>1</v>
      </c>
      <c r="W5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4" spans="1:23" x14ac:dyDescent="0.25">
      <c r="A514">
        <v>513</v>
      </c>
      <c r="B514" t="s">
        <v>32</v>
      </c>
      <c r="C514">
        <v>12</v>
      </c>
      <c r="D514" s="3">
        <v>6</v>
      </c>
      <c r="E514" s="3">
        <v>7</v>
      </c>
      <c r="F514">
        <v>23</v>
      </c>
      <c r="G514" s="1">
        <f>DATEVALUE(_xlfn.CONCAT(BBDD_Usiarios_Netflix[[#This Row],[Día Suscripción]],"/",BBDD_Usiarios_Netflix[[#This Row],[Mes Suscripción]],"/",BBDD_Usiarios_Netflix[[#This Row],[Año Suscripción]]))</f>
        <v>45113</v>
      </c>
      <c r="H514" s="1">
        <v>28</v>
      </c>
      <c r="I514" s="1">
        <v>6</v>
      </c>
      <c r="J514" s="1">
        <v>24</v>
      </c>
      <c r="K514" s="1" t="str">
        <f>TEXT(BBDD_Usiarios_Netflix[[#This Row],[Fecha Suscripción]],"dddd")</f>
        <v>jueves</v>
      </c>
      <c r="L514" s="1">
        <f>DATEVALUE(_xlfn.CONCAT(BBDD_Usiarios_Netflix[[#This Row],[Día Último Pago]],"/",BBDD_Usiarios_Netflix[[#This Row],[Mes Último Pago]],"/",BBDD_Usiarios_Netflix[[#This Row],[Año Último Pago]]))</f>
        <v>45471</v>
      </c>
      <c r="M514" s="4">
        <f>DATEDIF(BBDD_Usiarios_Netflix[[#This Row],[Fecha Suscripción]],BBDD_Usiarios_Netflix[[#This Row],[Fecha Último Pago]],"M")+1</f>
        <v>12</v>
      </c>
      <c r="N514" s="4">
        <f>BBDD_Usiarios_Netflix[[#This Row],[Ingresos Mensuales]]*BBDD_Usiarios_Netflix[[#This Row],[Meses contratados]]</f>
        <v>144</v>
      </c>
      <c r="O514" t="s">
        <v>24</v>
      </c>
      <c r="P514" t="str">
        <f>IF(BBDD_Usiarios_Netflix[[#This Row],[País]]="","Desconocido",BBDD_Usiarios_Netflix[[#This Row],[País]])</f>
        <v>Australia</v>
      </c>
      <c r="Q514">
        <v>50</v>
      </c>
      <c r="R514" t="s">
        <v>25</v>
      </c>
      <c r="S514" t="s">
        <v>31</v>
      </c>
      <c r="T514" t="s">
        <v>35</v>
      </c>
      <c r="U514">
        <f>IF(IFERROR(VLOOKUP(BBDD_Usiarios_Netflix[[#This Row],[Identificador Usuario]],A515:$A$5870,1,FALSE),0)&lt;&gt;0,1,0)</f>
        <v>0</v>
      </c>
      <c r="V514" s="6" t="str">
        <f>IF(BBDD_Usiarios_Netflix[[#This Row],[Duración Plan]]="12 Meses",LEFT(BBDD_Usiarios_Netflix[[#This Row],[Duración Plan]],2),LEFT(BBDD_Usiarios_Netflix[[#This Row],[Duración Plan]],1))</f>
        <v>6</v>
      </c>
      <c r="W5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15" spans="1:23" x14ac:dyDescent="0.25">
      <c r="A515">
        <v>514</v>
      </c>
      <c r="B515" t="s">
        <v>32</v>
      </c>
      <c r="C515">
        <v>12</v>
      </c>
      <c r="D515" s="3">
        <v>7</v>
      </c>
      <c r="E515" s="3">
        <v>7</v>
      </c>
      <c r="F515">
        <v>23</v>
      </c>
      <c r="G515" s="1">
        <f>DATEVALUE(_xlfn.CONCAT(BBDD_Usiarios_Netflix[[#This Row],[Día Suscripción]],"/",BBDD_Usiarios_Netflix[[#This Row],[Mes Suscripción]],"/",BBDD_Usiarios_Netflix[[#This Row],[Año Suscripción]]))</f>
        <v>45114</v>
      </c>
      <c r="H515" s="1">
        <v>28</v>
      </c>
      <c r="I515" s="1">
        <v>6</v>
      </c>
      <c r="J515" s="1">
        <v>24</v>
      </c>
      <c r="K515" s="1" t="str">
        <f>TEXT(BBDD_Usiarios_Netflix[[#This Row],[Fecha Suscripción]],"dddd")</f>
        <v>viernes</v>
      </c>
      <c r="L515" s="1">
        <f>DATEVALUE(_xlfn.CONCAT(BBDD_Usiarios_Netflix[[#This Row],[Día Último Pago]],"/",BBDD_Usiarios_Netflix[[#This Row],[Mes Último Pago]],"/",BBDD_Usiarios_Netflix[[#This Row],[Año Último Pago]]))</f>
        <v>45471</v>
      </c>
      <c r="M515" s="4">
        <f>DATEDIF(BBDD_Usiarios_Netflix[[#This Row],[Fecha Suscripción]],BBDD_Usiarios_Netflix[[#This Row],[Fecha Último Pago]],"M")+1</f>
        <v>12</v>
      </c>
      <c r="N515" s="4">
        <f>BBDD_Usiarios_Netflix[[#This Row],[Ingresos Mensuales]]*BBDD_Usiarios_Netflix[[#This Row],[Meses contratados]]</f>
        <v>144</v>
      </c>
      <c r="O515" t="s">
        <v>33</v>
      </c>
      <c r="P515" t="str">
        <f>IF(BBDD_Usiarios_Netflix[[#This Row],[País]]="","Desconocido",BBDD_Usiarios_Netflix[[#This Row],[País]])</f>
        <v>Francia</v>
      </c>
      <c r="Q515">
        <v>35</v>
      </c>
      <c r="R515" t="s">
        <v>25</v>
      </c>
      <c r="S515" t="s">
        <v>31</v>
      </c>
      <c r="T515" t="s">
        <v>27</v>
      </c>
      <c r="U515">
        <f>IF(IFERROR(VLOOKUP(BBDD_Usiarios_Netflix[[#This Row],[Identificador Usuario]],A516:$A$5870,1,FALSE),0)&lt;&gt;0,1,0)</f>
        <v>0</v>
      </c>
      <c r="V515" s="6" t="str">
        <f>IF(BBDD_Usiarios_Netflix[[#This Row],[Duración Plan]]="12 Meses",LEFT(BBDD_Usiarios_Netflix[[#This Row],[Duración Plan]],2),LEFT(BBDD_Usiarios_Netflix[[#This Row],[Duración Plan]],1))</f>
        <v>1</v>
      </c>
      <c r="W5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6" spans="1:23" x14ac:dyDescent="0.25">
      <c r="A516">
        <v>515</v>
      </c>
      <c r="B516" t="s">
        <v>23</v>
      </c>
      <c r="C516">
        <v>10</v>
      </c>
      <c r="D516" s="3">
        <v>1</v>
      </c>
      <c r="E516" s="3">
        <v>7</v>
      </c>
      <c r="F516">
        <v>23</v>
      </c>
      <c r="G516" s="1">
        <f>DATEVALUE(_xlfn.CONCAT(BBDD_Usiarios_Netflix[[#This Row],[Día Suscripción]],"/",BBDD_Usiarios_Netflix[[#This Row],[Mes Suscripción]],"/",BBDD_Usiarios_Netflix[[#This Row],[Año Suscripción]]))</f>
        <v>45108</v>
      </c>
      <c r="H516" s="1">
        <v>29</v>
      </c>
      <c r="I516" s="1">
        <v>6</v>
      </c>
      <c r="J516" s="1">
        <v>24</v>
      </c>
      <c r="K516" s="1" t="str">
        <f>TEXT(BBDD_Usiarios_Netflix[[#This Row],[Fecha Suscripción]],"dddd")</f>
        <v>sábado</v>
      </c>
      <c r="L516" s="1">
        <f>DATEVALUE(_xlfn.CONCAT(BBDD_Usiarios_Netflix[[#This Row],[Día Último Pago]],"/",BBDD_Usiarios_Netflix[[#This Row],[Mes Último Pago]],"/",BBDD_Usiarios_Netflix[[#This Row],[Año Último Pago]]))</f>
        <v>45472</v>
      </c>
      <c r="M516" s="4">
        <f>DATEDIF(BBDD_Usiarios_Netflix[[#This Row],[Fecha Suscripción]],BBDD_Usiarios_Netflix[[#This Row],[Fecha Último Pago]],"M")+1</f>
        <v>12</v>
      </c>
      <c r="N516" s="4">
        <f>BBDD_Usiarios_Netflix[[#This Row],[Ingresos Mensuales]]*BBDD_Usiarios_Netflix[[#This Row],[Meses contratados]]</f>
        <v>120</v>
      </c>
      <c r="O516" t="s">
        <v>33</v>
      </c>
      <c r="P516" t="str">
        <f>IF(BBDD_Usiarios_Netflix[[#This Row],[País]]="","Desconocido",BBDD_Usiarios_Netflix[[#This Row],[País]])</f>
        <v>Francia</v>
      </c>
      <c r="Q516">
        <v>44</v>
      </c>
      <c r="R516" t="s">
        <v>30</v>
      </c>
      <c r="S516" t="s">
        <v>36</v>
      </c>
      <c r="T516" t="s">
        <v>27</v>
      </c>
      <c r="U516">
        <f>IF(IFERROR(VLOOKUP(BBDD_Usiarios_Netflix[[#This Row],[Identificador Usuario]],A517:$A$5870,1,FALSE),0)&lt;&gt;0,1,0)</f>
        <v>0</v>
      </c>
      <c r="V516" s="6" t="str">
        <f>IF(BBDD_Usiarios_Netflix[[#This Row],[Duración Plan]]="12 Meses",LEFT(BBDD_Usiarios_Netflix[[#This Row],[Duración Plan]],2),LEFT(BBDD_Usiarios_Netflix[[#This Row],[Duración Plan]],1))</f>
        <v>1</v>
      </c>
      <c r="W5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17" spans="1:23" x14ac:dyDescent="0.25">
      <c r="A517">
        <v>516</v>
      </c>
      <c r="B517" t="s">
        <v>28</v>
      </c>
      <c r="C517">
        <v>14</v>
      </c>
      <c r="D517" s="3">
        <v>31</v>
      </c>
      <c r="E517" s="3">
        <v>7</v>
      </c>
      <c r="F517">
        <v>23</v>
      </c>
      <c r="G517" s="1">
        <f>DATEVALUE(_xlfn.CONCAT(BBDD_Usiarios_Netflix[[#This Row],[Día Suscripción]],"/",BBDD_Usiarios_Netflix[[#This Row],[Mes Suscripción]],"/",BBDD_Usiarios_Netflix[[#This Row],[Año Suscripción]]))</f>
        <v>45138</v>
      </c>
      <c r="H517" s="1">
        <v>28</v>
      </c>
      <c r="I517" s="1">
        <v>6</v>
      </c>
      <c r="J517" s="1">
        <v>24</v>
      </c>
      <c r="K517" s="1" t="str">
        <f>TEXT(BBDD_Usiarios_Netflix[[#This Row],[Fecha Suscripción]],"dddd")</f>
        <v>lunes</v>
      </c>
      <c r="L517" s="1">
        <f>DATEVALUE(_xlfn.CONCAT(BBDD_Usiarios_Netflix[[#This Row],[Día Último Pago]],"/",BBDD_Usiarios_Netflix[[#This Row],[Mes Último Pago]],"/",BBDD_Usiarios_Netflix[[#This Row],[Año Último Pago]]))</f>
        <v>45471</v>
      </c>
      <c r="M517" s="4">
        <f>DATEDIF(BBDD_Usiarios_Netflix[[#This Row],[Fecha Suscripción]],BBDD_Usiarios_Netflix[[#This Row],[Fecha Último Pago]],"M")+1</f>
        <v>11</v>
      </c>
      <c r="N517" s="4">
        <f>BBDD_Usiarios_Netflix[[#This Row],[Ingresos Mensuales]]*BBDD_Usiarios_Netflix[[#This Row],[Meses contratados]]</f>
        <v>154</v>
      </c>
      <c r="O517" t="s">
        <v>42</v>
      </c>
      <c r="P517" t="str">
        <f>IF(BBDD_Usiarios_Netflix[[#This Row],[País]]="","Desconocido",BBDD_Usiarios_Netflix[[#This Row],[País]])</f>
        <v>Reino Unido</v>
      </c>
      <c r="Q517">
        <v>42</v>
      </c>
      <c r="R517" t="s">
        <v>30</v>
      </c>
      <c r="S517" t="s">
        <v>34</v>
      </c>
      <c r="T517" t="s">
        <v>38</v>
      </c>
      <c r="U517">
        <f>IF(IFERROR(VLOOKUP(BBDD_Usiarios_Netflix[[#This Row],[Identificador Usuario]],A518:$A$5870,1,FALSE),0)&lt;&gt;0,1,0)</f>
        <v>0</v>
      </c>
      <c r="V517" s="6" t="str">
        <f>IF(BBDD_Usiarios_Netflix[[#This Row],[Duración Plan]]="12 Meses",LEFT(BBDD_Usiarios_Netflix[[#This Row],[Duración Plan]],2),LEFT(BBDD_Usiarios_Netflix[[#This Row],[Duración Plan]],1))</f>
        <v>3</v>
      </c>
      <c r="W5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18" spans="1:23" x14ac:dyDescent="0.25">
      <c r="A518">
        <v>517</v>
      </c>
      <c r="B518" t="s">
        <v>23</v>
      </c>
      <c r="C518">
        <v>10</v>
      </c>
      <c r="D518" s="3">
        <v>6</v>
      </c>
      <c r="E518" s="3">
        <v>8</v>
      </c>
      <c r="F518">
        <v>23</v>
      </c>
      <c r="G518" s="1">
        <f>DATEVALUE(_xlfn.CONCAT(BBDD_Usiarios_Netflix[[#This Row],[Día Suscripción]],"/",BBDD_Usiarios_Netflix[[#This Row],[Mes Suscripción]],"/",BBDD_Usiarios_Netflix[[#This Row],[Año Suscripción]]))</f>
        <v>45144</v>
      </c>
      <c r="H518" s="1">
        <v>28</v>
      </c>
      <c r="I518" s="1">
        <v>6</v>
      </c>
      <c r="J518" s="1">
        <v>24</v>
      </c>
      <c r="K518" s="1" t="str">
        <f>TEXT(BBDD_Usiarios_Netflix[[#This Row],[Fecha Suscripción]],"dddd")</f>
        <v>domingo</v>
      </c>
      <c r="L518" s="1">
        <f>DATEVALUE(_xlfn.CONCAT(BBDD_Usiarios_Netflix[[#This Row],[Día Último Pago]],"/",BBDD_Usiarios_Netflix[[#This Row],[Mes Último Pago]],"/",BBDD_Usiarios_Netflix[[#This Row],[Año Último Pago]]))</f>
        <v>45471</v>
      </c>
      <c r="M518" s="4">
        <f>DATEDIF(BBDD_Usiarios_Netflix[[#This Row],[Fecha Suscripción]],BBDD_Usiarios_Netflix[[#This Row],[Fecha Último Pago]],"M")+1</f>
        <v>11</v>
      </c>
      <c r="N518" s="4">
        <f>BBDD_Usiarios_Netflix[[#This Row],[Ingresos Mensuales]]*BBDD_Usiarios_Netflix[[#This Row],[Meses contratados]]</f>
        <v>110</v>
      </c>
      <c r="O518" t="s">
        <v>45</v>
      </c>
      <c r="P518" t="str">
        <f>IF(BBDD_Usiarios_Netflix[[#This Row],[País]]="","Desconocido",BBDD_Usiarios_Netflix[[#This Row],[País]])</f>
        <v>España</v>
      </c>
      <c r="Q518">
        <v>34</v>
      </c>
      <c r="R518" t="s">
        <v>30</v>
      </c>
      <c r="S518" t="s">
        <v>34</v>
      </c>
      <c r="T518" t="s">
        <v>38</v>
      </c>
      <c r="U518">
        <f>IF(IFERROR(VLOOKUP(BBDD_Usiarios_Netflix[[#This Row],[Identificador Usuario]],A519:$A$5870,1,FALSE),0)&lt;&gt;0,1,0)</f>
        <v>0</v>
      </c>
      <c r="V518" s="6" t="str">
        <f>IF(BBDD_Usiarios_Netflix[[#This Row],[Duración Plan]]="12 Meses",LEFT(BBDD_Usiarios_Netflix[[#This Row],[Duración Plan]],2),LEFT(BBDD_Usiarios_Netflix[[#This Row],[Duración Plan]],1))</f>
        <v>3</v>
      </c>
      <c r="W5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19" spans="1:23" x14ac:dyDescent="0.25">
      <c r="A519">
        <v>518</v>
      </c>
      <c r="B519" t="s">
        <v>32</v>
      </c>
      <c r="C519">
        <v>12</v>
      </c>
      <c r="D519" s="3">
        <v>7</v>
      </c>
      <c r="E519" s="3">
        <v>8</v>
      </c>
      <c r="F519">
        <v>23</v>
      </c>
      <c r="G519" s="1">
        <f>DATEVALUE(_xlfn.CONCAT(BBDD_Usiarios_Netflix[[#This Row],[Día Suscripción]],"/",BBDD_Usiarios_Netflix[[#This Row],[Mes Suscripción]],"/",BBDD_Usiarios_Netflix[[#This Row],[Año Suscripción]]))</f>
        <v>45145</v>
      </c>
      <c r="H519" s="1">
        <v>27</v>
      </c>
      <c r="I519" s="1">
        <v>6</v>
      </c>
      <c r="J519" s="1">
        <v>24</v>
      </c>
      <c r="K519" s="1" t="str">
        <f>TEXT(BBDD_Usiarios_Netflix[[#This Row],[Fecha Suscripción]],"dddd")</f>
        <v>lunes</v>
      </c>
      <c r="L519" s="1">
        <f>DATEVALUE(_xlfn.CONCAT(BBDD_Usiarios_Netflix[[#This Row],[Día Último Pago]],"/",BBDD_Usiarios_Netflix[[#This Row],[Mes Último Pago]],"/",BBDD_Usiarios_Netflix[[#This Row],[Año Último Pago]]))</f>
        <v>45470</v>
      </c>
      <c r="M519" s="4">
        <f>DATEDIF(BBDD_Usiarios_Netflix[[#This Row],[Fecha Suscripción]],BBDD_Usiarios_Netflix[[#This Row],[Fecha Último Pago]],"M")+1</f>
        <v>11</v>
      </c>
      <c r="N519" s="4">
        <f>BBDD_Usiarios_Netflix[[#This Row],[Ingresos Mensuales]]*BBDD_Usiarios_Netflix[[#This Row],[Meses contratados]]</f>
        <v>132</v>
      </c>
      <c r="O519" t="s">
        <v>42</v>
      </c>
      <c r="P519" t="str">
        <f>IF(BBDD_Usiarios_Netflix[[#This Row],[País]]="","Desconocido",BBDD_Usiarios_Netflix[[#This Row],[País]])</f>
        <v>Reino Unido</v>
      </c>
      <c r="Q519">
        <v>37</v>
      </c>
      <c r="R519" t="s">
        <v>30</v>
      </c>
      <c r="S519" t="s">
        <v>31</v>
      </c>
      <c r="T519" t="s">
        <v>41</v>
      </c>
      <c r="U519">
        <f>IF(IFERROR(VLOOKUP(BBDD_Usiarios_Netflix[[#This Row],[Identificador Usuario]],A520:$A$5870,1,FALSE),0)&lt;&gt;0,1,0)</f>
        <v>0</v>
      </c>
      <c r="V519" s="6" t="str">
        <f>IF(BBDD_Usiarios_Netflix[[#This Row],[Duración Plan]]="12 Meses",LEFT(BBDD_Usiarios_Netflix[[#This Row],[Duración Plan]],2),LEFT(BBDD_Usiarios_Netflix[[#This Row],[Duración Plan]],1))</f>
        <v>12</v>
      </c>
      <c r="W5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20" spans="1:23" x14ac:dyDescent="0.25">
      <c r="A520">
        <v>519</v>
      </c>
      <c r="B520" t="s">
        <v>28</v>
      </c>
      <c r="C520">
        <v>14</v>
      </c>
      <c r="D520" s="3">
        <v>6</v>
      </c>
      <c r="E520" s="3">
        <v>8</v>
      </c>
      <c r="F520">
        <v>23</v>
      </c>
      <c r="G520" s="1">
        <f>DATEVALUE(_xlfn.CONCAT(BBDD_Usiarios_Netflix[[#This Row],[Día Suscripción]],"/",BBDD_Usiarios_Netflix[[#This Row],[Mes Suscripción]],"/",BBDD_Usiarios_Netflix[[#This Row],[Año Suscripción]]))</f>
        <v>45144</v>
      </c>
      <c r="H520" s="1">
        <v>28</v>
      </c>
      <c r="I520" s="1">
        <v>6</v>
      </c>
      <c r="J520" s="1">
        <v>24</v>
      </c>
      <c r="K520" s="1" t="str">
        <f>TEXT(BBDD_Usiarios_Netflix[[#This Row],[Fecha Suscripción]],"dddd")</f>
        <v>domingo</v>
      </c>
      <c r="L520" s="1">
        <f>DATEVALUE(_xlfn.CONCAT(BBDD_Usiarios_Netflix[[#This Row],[Día Último Pago]],"/",BBDD_Usiarios_Netflix[[#This Row],[Mes Último Pago]],"/",BBDD_Usiarios_Netflix[[#This Row],[Año Último Pago]]))</f>
        <v>45471</v>
      </c>
      <c r="M520" s="4">
        <f>DATEDIF(BBDD_Usiarios_Netflix[[#This Row],[Fecha Suscripción]],BBDD_Usiarios_Netflix[[#This Row],[Fecha Último Pago]],"M")+1</f>
        <v>11</v>
      </c>
      <c r="N520" s="4">
        <f>BBDD_Usiarios_Netflix[[#This Row],[Ingresos Mensuales]]*BBDD_Usiarios_Netflix[[#This Row],[Meses contratados]]</f>
        <v>154</v>
      </c>
      <c r="O520" t="s">
        <v>39</v>
      </c>
      <c r="P520" t="str">
        <f>IF(BBDD_Usiarios_Netflix[[#This Row],[País]]="","Desconocido",BBDD_Usiarios_Netflix[[#This Row],[País]])</f>
        <v>Canadá</v>
      </c>
      <c r="Q520">
        <v>43</v>
      </c>
      <c r="R520" t="s">
        <v>25</v>
      </c>
      <c r="S520" t="s">
        <v>26</v>
      </c>
      <c r="T520" t="s">
        <v>35</v>
      </c>
      <c r="U520">
        <f>IF(IFERROR(VLOOKUP(BBDD_Usiarios_Netflix[[#This Row],[Identificador Usuario]],A521:$A$5870,1,FALSE),0)&lt;&gt;0,1,0)</f>
        <v>0</v>
      </c>
      <c r="V520" s="6" t="str">
        <f>IF(BBDD_Usiarios_Netflix[[#This Row],[Duración Plan]]="12 Meses",LEFT(BBDD_Usiarios_Netflix[[#This Row],[Duración Plan]],2),LEFT(BBDD_Usiarios_Netflix[[#This Row],[Duración Plan]],1))</f>
        <v>6</v>
      </c>
      <c r="W5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21" spans="1:23" x14ac:dyDescent="0.25">
      <c r="A521">
        <v>520</v>
      </c>
      <c r="B521" t="s">
        <v>23</v>
      </c>
      <c r="C521">
        <v>10</v>
      </c>
      <c r="D521" s="3">
        <v>3</v>
      </c>
      <c r="E521" s="3">
        <v>8</v>
      </c>
      <c r="F521">
        <v>23</v>
      </c>
      <c r="G521" s="1">
        <f>DATEVALUE(_xlfn.CONCAT(BBDD_Usiarios_Netflix[[#This Row],[Día Suscripción]],"/",BBDD_Usiarios_Netflix[[#This Row],[Mes Suscripción]],"/",BBDD_Usiarios_Netflix[[#This Row],[Año Suscripción]]))</f>
        <v>45141</v>
      </c>
      <c r="H521" s="1">
        <v>28</v>
      </c>
      <c r="I521" s="1">
        <v>6</v>
      </c>
      <c r="J521" s="1">
        <v>24</v>
      </c>
      <c r="K521" s="1" t="str">
        <f>TEXT(BBDD_Usiarios_Netflix[[#This Row],[Fecha Suscripción]],"dddd")</f>
        <v>jueves</v>
      </c>
      <c r="L521" s="1">
        <f>DATEVALUE(_xlfn.CONCAT(BBDD_Usiarios_Netflix[[#This Row],[Día Último Pago]],"/",BBDD_Usiarios_Netflix[[#This Row],[Mes Último Pago]],"/",BBDD_Usiarios_Netflix[[#This Row],[Año Último Pago]]))</f>
        <v>45471</v>
      </c>
      <c r="M521" s="4">
        <f>DATEDIF(BBDD_Usiarios_Netflix[[#This Row],[Fecha Suscripción]],BBDD_Usiarios_Netflix[[#This Row],[Fecha Último Pago]],"M")+1</f>
        <v>11</v>
      </c>
      <c r="N521" s="4">
        <f>BBDD_Usiarios_Netflix[[#This Row],[Ingresos Mensuales]]*BBDD_Usiarios_Netflix[[#This Row],[Meses contratados]]</f>
        <v>110</v>
      </c>
      <c r="O521" t="s">
        <v>44</v>
      </c>
      <c r="P521" t="str">
        <f>IF(BBDD_Usiarios_Netflix[[#This Row],[País]]="","Desconocido",BBDD_Usiarios_Netflix[[#This Row],[País]])</f>
        <v>Desconocido</v>
      </c>
      <c r="Q521">
        <v>32</v>
      </c>
      <c r="R521" t="s">
        <v>25</v>
      </c>
      <c r="S521" t="s">
        <v>34</v>
      </c>
      <c r="T521" t="s">
        <v>27</v>
      </c>
      <c r="U521">
        <f>IF(IFERROR(VLOOKUP(BBDD_Usiarios_Netflix[[#This Row],[Identificador Usuario]],A522:$A$5870,1,FALSE),0)&lt;&gt;0,1,0)</f>
        <v>0</v>
      </c>
      <c r="V521" s="6" t="str">
        <f>IF(BBDD_Usiarios_Netflix[[#This Row],[Duración Plan]]="12 Meses",LEFT(BBDD_Usiarios_Netflix[[#This Row],[Duración Plan]],2),LEFT(BBDD_Usiarios_Netflix[[#This Row],[Duración Plan]],1))</f>
        <v>1</v>
      </c>
      <c r="W5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22" spans="1:23" x14ac:dyDescent="0.25">
      <c r="A522">
        <v>521</v>
      </c>
      <c r="B522" t="s">
        <v>23</v>
      </c>
      <c r="C522">
        <v>10</v>
      </c>
      <c r="D522" s="3">
        <v>18</v>
      </c>
      <c r="E522" s="3">
        <v>6</v>
      </c>
      <c r="F522">
        <v>23</v>
      </c>
      <c r="G522" s="1">
        <f>DATEVALUE(_xlfn.CONCAT(BBDD_Usiarios_Netflix[[#This Row],[Día Suscripción]],"/",BBDD_Usiarios_Netflix[[#This Row],[Mes Suscripción]],"/",BBDD_Usiarios_Netflix[[#This Row],[Año Suscripción]]))</f>
        <v>45095</v>
      </c>
      <c r="H522" s="1">
        <v>28</v>
      </c>
      <c r="I522" s="1">
        <v>6</v>
      </c>
      <c r="J522" s="1">
        <v>24</v>
      </c>
      <c r="K522" s="1" t="str">
        <f>TEXT(BBDD_Usiarios_Netflix[[#This Row],[Fecha Suscripción]],"dddd")</f>
        <v>domingo</v>
      </c>
      <c r="L522" s="1">
        <f>DATEVALUE(_xlfn.CONCAT(BBDD_Usiarios_Netflix[[#This Row],[Día Último Pago]],"/",BBDD_Usiarios_Netflix[[#This Row],[Mes Último Pago]],"/",BBDD_Usiarios_Netflix[[#This Row],[Año Último Pago]]))</f>
        <v>45471</v>
      </c>
      <c r="M522" s="4">
        <f>DATEDIF(BBDD_Usiarios_Netflix[[#This Row],[Fecha Suscripción]],BBDD_Usiarios_Netflix[[#This Row],[Fecha Último Pago]],"M")+1</f>
        <v>13</v>
      </c>
      <c r="N522" s="4">
        <f>BBDD_Usiarios_Netflix[[#This Row],[Ingresos Mensuales]]*BBDD_Usiarios_Netflix[[#This Row],[Meses contratados]]</f>
        <v>130</v>
      </c>
      <c r="O522" t="s">
        <v>33</v>
      </c>
      <c r="P522" t="str">
        <f>IF(BBDD_Usiarios_Netflix[[#This Row],[País]]="","Desconocido",BBDD_Usiarios_Netflix[[#This Row],[País]])</f>
        <v>Francia</v>
      </c>
      <c r="Q522">
        <v>33</v>
      </c>
      <c r="R522" t="s">
        <v>30</v>
      </c>
      <c r="S522" t="s">
        <v>34</v>
      </c>
      <c r="T522" t="s">
        <v>38</v>
      </c>
      <c r="U522">
        <f>IF(IFERROR(VLOOKUP(BBDD_Usiarios_Netflix[[#This Row],[Identificador Usuario]],A523:$A$5870,1,FALSE),0)&lt;&gt;0,1,0)</f>
        <v>0</v>
      </c>
      <c r="V522" s="6" t="str">
        <f>IF(BBDD_Usiarios_Netflix[[#This Row],[Duración Plan]]="12 Meses",LEFT(BBDD_Usiarios_Netflix[[#This Row],[Duración Plan]],2),LEFT(BBDD_Usiarios_Netflix[[#This Row],[Duración Plan]],1))</f>
        <v>3</v>
      </c>
      <c r="W5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23" spans="1:23" x14ac:dyDescent="0.25">
      <c r="A523">
        <v>522</v>
      </c>
      <c r="B523" t="s">
        <v>23</v>
      </c>
      <c r="C523">
        <v>10</v>
      </c>
      <c r="D523" s="3">
        <v>17</v>
      </c>
      <c r="E523" s="3">
        <v>6</v>
      </c>
      <c r="F523">
        <v>23</v>
      </c>
      <c r="G523" s="1">
        <f>DATEVALUE(_xlfn.CONCAT(BBDD_Usiarios_Netflix[[#This Row],[Día Suscripción]],"/",BBDD_Usiarios_Netflix[[#This Row],[Mes Suscripción]],"/",BBDD_Usiarios_Netflix[[#This Row],[Año Suscripción]]))</f>
        <v>45094</v>
      </c>
      <c r="H523" s="1">
        <v>27</v>
      </c>
      <c r="I523" s="1">
        <v>6</v>
      </c>
      <c r="J523" s="1">
        <v>24</v>
      </c>
      <c r="K523" s="1" t="str">
        <f>TEXT(BBDD_Usiarios_Netflix[[#This Row],[Fecha Suscripción]],"dddd")</f>
        <v>sábado</v>
      </c>
      <c r="L523" s="1">
        <f>DATEVALUE(_xlfn.CONCAT(BBDD_Usiarios_Netflix[[#This Row],[Día Último Pago]],"/",BBDD_Usiarios_Netflix[[#This Row],[Mes Último Pago]],"/",BBDD_Usiarios_Netflix[[#This Row],[Año Último Pago]]))</f>
        <v>45470</v>
      </c>
      <c r="M523" s="4">
        <f>DATEDIF(BBDD_Usiarios_Netflix[[#This Row],[Fecha Suscripción]],BBDD_Usiarios_Netflix[[#This Row],[Fecha Último Pago]],"M")+1</f>
        <v>13</v>
      </c>
      <c r="N523" s="4">
        <f>BBDD_Usiarios_Netflix[[#This Row],[Ingresos Mensuales]]*BBDD_Usiarios_Netflix[[#This Row],[Meses contratados]]</f>
        <v>130</v>
      </c>
      <c r="O523" t="s">
        <v>33</v>
      </c>
      <c r="P523" t="str">
        <f>IF(BBDD_Usiarios_Netflix[[#This Row],[País]]="","Desconocido",BBDD_Usiarios_Netflix[[#This Row],[País]])</f>
        <v>Francia</v>
      </c>
      <c r="Q523">
        <v>32</v>
      </c>
      <c r="R523" t="s">
        <v>30</v>
      </c>
      <c r="S523" t="s">
        <v>31</v>
      </c>
      <c r="T523" t="s">
        <v>35</v>
      </c>
      <c r="U523">
        <f>IF(IFERROR(VLOOKUP(BBDD_Usiarios_Netflix[[#This Row],[Identificador Usuario]],A524:$A$5870,1,FALSE),0)&lt;&gt;0,1,0)</f>
        <v>0</v>
      </c>
      <c r="V523" s="6" t="str">
        <f>IF(BBDD_Usiarios_Netflix[[#This Row],[Duración Plan]]="12 Meses",LEFT(BBDD_Usiarios_Netflix[[#This Row],[Duración Plan]],2),LEFT(BBDD_Usiarios_Netflix[[#This Row],[Duración Plan]],1))</f>
        <v>6</v>
      </c>
      <c r="W5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24" spans="1:23" x14ac:dyDescent="0.25">
      <c r="A524">
        <v>523</v>
      </c>
      <c r="B524" t="s">
        <v>32</v>
      </c>
      <c r="C524">
        <v>12</v>
      </c>
      <c r="D524" s="3">
        <v>7</v>
      </c>
      <c r="E524" s="3">
        <v>6</v>
      </c>
      <c r="F524">
        <v>23</v>
      </c>
      <c r="G524" s="1">
        <f>DATEVALUE(_xlfn.CONCAT(BBDD_Usiarios_Netflix[[#This Row],[Día Suscripción]],"/",BBDD_Usiarios_Netflix[[#This Row],[Mes Suscripción]],"/",BBDD_Usiarios_Netflix[[#This Row],[Año Suscripción]]))</f>
        <v>45084</v>
      </c>
      <c r="H524" s="1">
        <v>29</v>
      </c>
      <c r="I524" s="1">
        <v>6</v>
      </c>
      <c r="J524" s="1">
        <v>24</v>
      </c>
      <c r="K524" s="1" t="str">
        <f>TEXT(BBDD_Usiarios_Netflix[[#This Row],[Fecha Suscripción]],"dddd")</f>
        <v>miércoles</v>
      </c>
      <c r="L524" s="1">
        <f>DATEVALUE(_xlfn.CONCAT(BBDD_Usiarios_Netflix[[#This Row],[Día Último Pago]],"/",BBDD_Usiarios_Netflix[[#This Row],[Mes Último Pago]],"/",BBDD_Usiarios_Netflix[[#This Row],[Año Último Pago]]))</f>
        <v>45472</v>
      </c>
      <c r="M524" s="4">
        <f>DATEDIF(BBDD_Usiarios_Netflix[[#This Row],[Fecha Suscripción]],BBDD_Usiarios_Netflix[[#This Row],[Fecha Último Pago]],"M")+1</f>
        <v>13</v>
      </c>
      <c r="N524" s="4">
        <f>BBDD_Usiarios_Netflix[[#This Row],[Ingresos Mensuales]]*BBDD_Usiarios_Netflix[[#This Row],[Meses contratados]]</f>
        <v>156</v>
      </c>
      <c r="O524" t="s">
        <v>40</v>
      </c>
      <c r="P524" t="str">
        <f>IF(BBDD_Usiarios_Netflix[[#This Row],[País]]="","Desconocido",BBDD_Usiarios_Netflix[[#This Row],[País]])</f>
        <v>Italia</v>
      </c>
      <c r="Q524">
        <v>41</v>
      </c>
      <c r="R524" t="s">
        <v>25</v>
      </c>
      <c r="S524" t="s">
        <v>26</v>
      </c>
      <c r="T524" t="s">
        <v>38</v>
      </c>
      <c r="U524">
        <f>IF(IFERROR(VLOOKUP(BBDD_Usiarios_Netflix[[#This Row],[Identificador Usuario]],A525:$A$5870,1,FALSE),0)&lt;&gt;0,1,0)</f>
        <v>0</v>
      </c>
      <c r="V524" s="6" t="str">
        <f>IF(BBDD_Usiarios_Netflix[[#This Row],[Duración Plan]]="12 Meses",LEFT(BBDD_Usiarios_Netflix[[#This Row],[Duración Plan]],2),LEFT(BBDD_Usiarios_Netflix[[#This Row],[Duración Plan]],1))</f>
        <v>3</v>
      </c>
      <c r="W5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25" spans="1:23" x14ac:dyDescent="0.25">
      <c r="A525">
        <v>524</v>
      </c>
      <c r="B525" t="s">
        <v>28</v>
      </c>
      <c r="C525">
        <v>14</v>
      </c>
      <c r="D525" s="3">
        <v>6</v>
      </c>
      <c r="E525" s="3">
        <v>6</v>
      </c>
      <c r="F525">
        <v>23</v>
      </c>
      <c r="G525" s="1">
        <f>DATEVALUE(_xlfn.CONCAT(BBDD_Usiarios_Netflix[[#This Row],[Día Suscripción]],"/",BBDD_Usiarios_Netflix[[#This Row],[Mes Suscripción]],"/",BBDD_Usiarios_Netflix[[#This Row],[Año Suscripción]]))</f>
        <v>45083</v>
      </c>
      <c r="H525" s="1">
        <v>28</v>
      </c>
      <c r="I525" s="1">
        <v>6</v>
      </c>
      <c r="J525" s="1">
        <v>24</v>
      </c>
      <c r="K525" s="1" t="str">
        <f>TEXT(BBDD_Usiarios_Netflix[[#This Row],[Fecha Suscripción]],"dddd")</f>
        <v>martes</v>
      </c>
      <c r="L525" s="1">
        <f>DATEVALUE(_xlfn.CONCAT(BBDD_Usiarios_Netflix[[#This Row],[Día Último Pago]],"/",BBDD_Usiarios_Netflix[[#This Row],[Mes Último Pago]],"/",BBDD_Usiarios_Netflix[[#This Row],[Año Último Pago]]))</f>
        <v>45471</v>
      </c>
      <c r="M525" s="4">
        <f>DATEDIF(BBDD_Usiarios_Netflix[[#This Row],[Fecha Suscripción]],BBDD_Usiarios_Netflix[[#This Row],[Fecha Último Pago]],"M")+1</f>
        <v>13</v>
      </c>
      <c r="N525" s="4">
        <f>BBDD_Usiarios_Netflix[[#This Row],[Ingresos Mensuales]]*BBDD_Usiarios_Netflix[[#This Row],[Meses contratados]]</f>
        <v>182</v>
      </c>
      <c r="O525" t="s">
        <v>39</v>
      </c>
      <c r="P525" t="str">
        <f>IF(BBDD_Usiarios_Netflix[[#This Row],[País]]="","Desconocido",BBDD_Usiarios_Netflix[[#This Row],[País]])</f>
        <v>Canadá</v>
      </c>
      <c r="Q525">
        <v>31</v>
      </c>
      <c r="R525" t="s">
        <v>25</v>
      </c>
      <c r="S525" t="s">
        <v>31</v>
      </c>
      <c r="T525" t="s">
        <v>35</v>
      </c>
      <c r="U525">
        <f>IF(IFERROR(VLOOKUP(BBDD_Usiarios_Netflix[[#This Row],[Identificador Usuario]],A526:$A$5870,1,FALSE),0)&lt;&gt;0,1,0)</f>
        <v>0</v>
      </c>
      <c r="V525" s="6" t="str">
        <f>IF(BBDD_Usiarios_Netflix[[#This Row],[Duración Plan]]="12 Meses",LEFT(BBDD_Usiarios_Netflix[[#This Row],[Duración Plan]],2),LEFT(BBDD_Usiarios_Netflix[[#This Row],[Duración Plan]],1))</f>
        <v>6</v>
      </c>
      <c r="W5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26" spans="1:23" x14ac:dyDescent="0.25">
      <c r="A526">
        <v>525</v>
      </c>
      <c r="B526" t="s">
        <v>23</v>
      </c>
      <c r="C526">
        <v>10</v>
      </c>
      <c r="D526" s="3">
        <v>4</v>
      </c>
      <c r="E526" s="3">
        <v>6</v>
      </c>
      <c r="F526">
        <v>23</v>
      </c>
      <c r="G526" s="1">
        <f>DATEVALUE(_xlfn.CONCAT(BBDD_Usiarios_Netflix[[#This Row],[Día Suscripción]],"/",BBDD_Usiarios_Netflix[[#This Row],[Mes Suscripción]],"/",BBDD_Usiarios_Netflix[[#This Row],[Año Suscripción]]))</f>
        <v>45081</v>
      </c>
      <c r="H526" s="1">
        <v>27</v>
      </c>
      <c r="I526" s="1">
        <v>6</v>
      </c>
      <c r="J526" s="1">
        <v>24</v>
      </c>
      <c r="K526" s="1" t="str">
        <f>TEXT(BBDD_Usiarios_Netflix[[#This Row],[Fecha Suscripción]],"dddd")</f>
        <v>domingo</v>
      </c>
      <c r="L526" s="1">
        <f>DATEVALUE(_xlfn.CONCAT(BBDD_Usiarios_Netflix[[#This Row],[Día Último Pago]],"/",BBDD_Usiarios_Netflix[[#This Row],[Mes Último Pago]],"/",BBDD_Usiarios_Netflix[[#This Row],[Año Último Pago]]))</f>
        <v>45470</v>
      </c>
      <c r="M526" s="4">
        <f>DATEDIF(BBDD_Usiarios_Netflix[[#This Row],[Fecha Suscripción]],BBDD_Usiarios_Netflix[[#This Row],[Fecha Último Pago]],"M")+1</f>
        <v>13</v>
      </c>
      <c r="N526" s="4">
        <f>BBDD_Usiarios_Netflix[[#This Row],[Ingresos Mensuales]]*BBDD_Usiarios_Netflix[[#This Row],[Meses contratados]]</f>
        <v>130</v>
      </c>
      <c r="O526" t="s">
        <v>42</v>
      </c>
      <c r="P526" t="str">
        <f>IF(BBDD_Usiarios_Netflix[[#This Row],[País]]="","Desconocido",BBDD_Usiarios_Netflix[[#This Row],[País]])</f>
        <v>Reino Unido</v>
      </c>
      <c r="Q526">
        <v>44</v>
      </c>
      <c r="R526" t="s">
        <v>25</v>
      </c>
      <c r="S526" t="s">
        <v>31</v>
      </c>
      <c r="T526" t="s">
        <v>27</v>
      </c>
      <c r="U526">
        <f>IF(IFERROR(VLOOKUP(BBDD_Usiarios_Netflix[[#This Row],[Identificador Usuario]],A527:$A$5870,1,FALSE),0)&lt;&gt;0,1,0)</f>
        <v>0</v>
      </c>
      <c r="V526" s="6" t="str">
        <f>IF(BBDD_Usiarios_Netflix[[#This Row],[Duración Plan]]="12 Meses",LEFT(BBDD_Usiarios_Netflix[[#This Row],[Duración Plan]],2),LEFT(BBDD_Usiarios_Netflix[[#This Row],[Duración Plan]],1))</f>
        <v>1</v>
      </c>
      <c r="W5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27" spans="1:23" x14ac:dyDescent="0.25">
      <c r="A527">
        <v>526</v>
      </c>
      <c r="B527" t="s">
        <v>23</v>
      </c>
      <c r="C527">
        <v>10</v>
      </c>
      <c r="D527" s="3">
        <v>20</v>
      </c>
      <c r="E527" s="3">
        <v>6</v>
      </c>
      <c r="F527">
        <v>23</v>
      </c>
      <c r="G527" s="1">
        <f>DATEVALUE(_xlfn.CONCAT(BBDD_Usiarios_Netflix[[#This Row],[Día Suscripción]],"/",BBDD_Usiarios_Netflix[[#This Row],[Mes Suscripción]],"/",BBDD_Usiarios_Netflix[[#This Row],[Año Suscripción]]))</f>
        <v>45097</v>
      </c>
      <c r="H527" s="1">
        <v>28</v>
      </c>
      <c r="I527" s="1">
        <v>6</v>
      </c>
      <c r="J527" s="1">
        <v>24</v>
      </c>
      <c r="K527" s="1" t="str">
        <f>TEXT(BBDD_Usiarios_Netflix[[#This Row],[Fecha Suscripción]],"dddd")</f>
        <v>martes</v>
      </c>
      <c r="L527" s="1">
        <f>DATEVALUE(_xlfn.CONCAT(BBDD_Usiarios_Netflix[[#This Row],[Día Último Pago]],"/",BBDD_Usiarios_Netflix[[#This Row],[Mes Último Pago]],"/",BBDD_Usiarios_Netflix[[#This Row],[Año Último Pago]]))</f>
        <v>45471</v>
      </c>
      <c r="M527" s="4">
        <f>DATEDIF(BBDD_Usiarios_Netflix[[#This Row],[Fecha Suscripción]],BBDD_Usiarios_Netflix[[#This Row],[Fecha Último Pago]],"M")+1</f>
        <v>13</v>
      </c>
      <c r="N527" s="4">
        <f>BBDD_Usiarios_Netflix[[#This Row],[Ingresos Mensuales]]*BBDD_Usiarios_Netflix[[#This Row],[Meses contratados]]</f>
        <v>130</v>
      </c>
      <c r="O527" t="s">
        <v>46</v>
      </c>
      <c r="P527" t="str">
        <f>IF(BBDD_Usiarios_Netflix[[#This Row],[País]]="","Desconocido",BBDD_Usiarios_Netflix[[#This Row],[País]])</f>
        <v>Méjico</v>
      </c>
      <c r="Q527">
        <v>49</v>
      </c>
      <c r="R527" t="s">
        <v>25</v>
      </c>
      <c r="S527" t="s">
        <v>36</v>
      </c>
      <c r="T527" t="s">
        <v>27</v>
      </c>
      <c r="U527">
        <f>IF(IFERROR(VLOOKUP(BBDD_Usiarios_Netflix[[#This Row],[Identificador Usuario]],A528:$A$5870,1,FALSE),0)&lt;&gt;0,1,0)</f>
        <v>0</v>
      </c>
      <c r="V527" s="6" t="str">
        <f>IF(BBDD_Usiarios_Netflix[[#This Row],[Duración Plan]]="12 Meses",LEFT(BBDD_Usiarios_Netflix[[#This Row],[Duración Plan]],2),LEFT(BBDD_Usiarios_Netflix[[#This Row],[Duración Plan]],1))</f>
        <v>1</v>
      </c>
      <c r="W5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28" spans="1:23" x14ac:dyDescent="0.25">
      <c r="A528">
        <v>527</v>
      </c>
      <c r="B528" t="s">
        <v>28</v>
      </c>
      <c r="C528">
        <v>14</v>
      </c>
      <c r="D528" s="3">
        <v>10</v>
      </c>
      <c r="E528" s="3">
        <v>7</v>
      </c>
      <c r="F528">
        <v>23</v>
      </c>
      <c r="G528" s="1">
        <f>DATEVALUE(_xlfn.CONCAT(BBDD_Usiarios_Netflix[[#This Row],[Día Suscripción]],"/",BBDD_Usiarios_Netflix[[#This Row],[Mes Suscripción]],"/",BBDD_Usiarios_Netflix[[#This Row],[Año Suscripción]]))</f>
        <v>45117</v>
      </c>
      <c r="H528" s="1">
        <v>28</v>
      </c>
      <c r="I528" s="1">
        <v>6</v>
      </c>
      <c r="J528" s="1">
        <v>24</v>
      </c>
      <c r="K528" s="1" t="str">
        <f>TEXT(BBDD_Usiarios_Netflix[[#This Row],[Fecha Suscripción]],"dddd")</f>
        <v>lunes</v>
      </c>
      <c r="L528" s="1">
        <f>DATEVALUE(_xlfn.CONCAT(BBDD_Usiarios_Netflix[[#This Row],[Día Último Pago]],"/",BBDD_Usiarios_Netflix[[#This Row],[Mes Último Pago]],"/",BBDD_Usiarios_Netflix[[#This Row],[Año Último Pago]]))</f>
        <v>45471</v>
      </c>
      <c r="M528" s="4">
        <f>DATEDIF(BBDD_Usiarios_Netflix[[#This Row],[Fecha Suscripción]],BBDD_Usiarios_Netflix[[#This Row],[Fecha Último Pago]],"M")+1</f>
        <v>12</v>
      </c>
      <c r="N528" s="4">
        <f>BBDD_Usiarios_Netflix[[#This Row],[Ingresos Mensuales]]*BBDD_Usiarios_Netflix[[#This Row],[Meses contratados]]</f>
        <v>168</v>
      </c>
      <c r="O528" t="s">
        <v>39</v>
      </c>
      <c r="P528" t="str">
        <f>IF(BBDD_Usiarios_Netflix[[#This Row],[País]]="","Desconocido",BBDD_Usiarios_Netflix[[#This Row],[País]])</f>
        <v>Canadá</v>
      </c>
      <c r="Q528">
        <v>48</v>
      </c>
      <c r="R528" t="s">
        <v>30</v>
      </c>
      <c r="S528" t="s">
        <v>31</v>
      </c>
      <c r="T528" t="s">
        <v>35</v>
      </c>
      <c r="U528">
        <f>IF(IFERROR(VLOOKUP(BBDD_Usiarios_Netflix[[#This Row],[Identificador Usuario]],A529:$A$5870,1,FALSE),0)&lt;&gt;0,1,0)</f>
        <v>0</v>
      </c>
      <c r="V528" s="6" t="str">
        <f>IF(BBDD_Usiarios_Netflix[[#This Row],[Duración Plan]]="12 Meses",LEFT(BBDD_Usiarios_Netflix[[#This Row],[Duración Plan]],2),LEFT(BBDD_Usiarios_Netflix[[#This Row],[Duración Plan]],1))</f>
        <v>6</v>
      </c>
      <c r="W5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29" spans="1:23" x14ac:dyDescent="0.25">
      <c r="A529">
        <v>528</v>
      </c>
      <c r="B529" t="s">
        <v>32</v>
      </c>
      <c r="C529">
        <v>12</v>
      </c>
      <c r="D529" s="3">
        <v>13</v>
      </c>
      <c r="E529" s="3">
        <v>7</v>
      </c>
      <c r="F529">
        <v>23</v>
      </c>
      <c r="G529" s="1">
        <f>DATEVALUE(_xlfn.CONCAT(BBDD_Usiarios_Netflix[[#This Row],[Día Suscripción]],"/",BBDD_Usiarios_Netflix[[#This Row],[Mes Suscripción]],"/",BBDD_Usiarios_Netflix[[#This Row],[Año Suscripción]]))</f>
        <v>45120</v>
      </c>
      <c r="H529" s="1">
        <v>29</v>
      </c>
      <c r="I529" s="1">
        <v>6</v>
      </c>
      <c r="J529" s="1">
        <v>24</v>
      </c>
      <c r="K529" s="1" t="str">
        <f>TEXT(BBDD_Usiarios_Netflix[[#This Row],[Fecha Suscripción]],"dddd")</f>
        <v>jueves</v>
      </c>
      <c r="L529" s="1">
        <f>DATEVALUE(_xlfn.CONCAT(BBDD_Usiarios_Netflix[[#This Row],[Día Último Pago]],"/",BBDD_Usiarios_Netflix[[#This Row],[Mes Último Pago]],"/",BBDD_Usiarios_Netflix[[#This Row],[Año Último Pago]]))</f>
        <v>45472</v>
      </c>
      <c r="M529" s="4">
        <f>DATEDIF(BBDD_Usiarios_Netflix[[#This Row],[Fecha Suscripción]],BBDD_Usiarios_Netflix[[#This Row],[Fecha Último Pago]],"M")+1</f>
        <v>12</v>
      </c>
      <c r="N529" s="4">
        <f>BBDD_Usiarios_Netflix[[#This Row],[Ingresos Mensuales]]*BBDD_Usiarios_Netflix[[#This Row],[Meses contratados]]</f>
        <v>144</v>
      </c>
      <c r="O529" t="s">
        <v>45</v>
      </c>
      <c r="P529" t="str">
        <f>IF(BBDD_Usiarios_Netflix[[#This Row],[País]]="","Desconocido",BBDD_Usiarios_Netflix[[#This Row],[País]])</f>
        <v>España</v>
      </c>
      <c r="Q529">
        <v>42</v>
      </c>
      <c r="R529" t="s">
        <v>30</v>
      </c>
      <c r="S529" t="s">
        <v>26</v>
      </c>
      <c r="T529" t="s">
        <v>27</v>
      </c>
      <c r="U529">
        <f>IF(IFERROR(VLOOKUP(BBDD_Usiarios_Netflix[[#This Row],[Identificador Usuario]],A530:$A$5870,1,FALSE),0)&lt;&gt;0,1,0)</f>
        <v>0</v>
      </c>
      <c r="V529" s="6" t="str">
        <f>IF(BBDD_Usiarios_Netflix[[#This Row],[Duración Plan]]="12 Meses",LEFT(BBDD_Usiarios_Netflix[[#This Row],[Duración Plan]],2),LEFT(BBDD_Usiarios_Netflix[[#This Row],[Duración Plan]],1))</f>
        <v>1</v>
      </c>
      <c r="W5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0" spans="1:23" x14ac:dyDescent="0.25">
      <c r="A530">
        <v>529</v>
      </c>
      <c r="B530" t="s">
        <v>32</v>
      </c>
      <c r="C530">
        <v>12</v>
      </c>
      <c r="D530" s="3">
        <v>7</v>
      </c>
      <c r="E530" s="3">
        <v>7</v>
      </c>
      <c r="F530">
        <v>23</v>
      </c>
      <c r="G530" s="1">
        <f>DATEVALUE(_xlfn.CONCAT(BBDD_Usiarios_Netflix[[#This Row],[Día Suscripción]],"/",BBDD_Usiarios_Netflix[[#This Row],[Mes Suscripción]],"/",BBDD_Usiarios_Netflix[[#This Row],[Año Suscripción]]))</f>
        <v>45114</v>
      </c>
      <c r="H530" s="1">
        <v>27</v>
      </c>
      <c r="I530" s="1">
        <v>6</v>
      </c>
      <c r="J530" s="1">
        <v>24</v>
      </c>
      <c r="K530" s="1" t="str">
        <f>TEXT(BBDD_Usiarios_Netflix[[#This Row],[Fecha Suscripción]],"dddd")</f>
        <v>viernes</v>
      </c>
      <c r="L530" s="1">
        <f>DATEVALUE(_xlfn.CONCAT(BBDD_Usiarios_Netflix[[#This Row],[Día Último Pago]],"/",BBDD_Usiarios_Netflix[[#This Row],[Mes Último Pago]],"/",BBDD_Usiarios_Netflix[[#This Row],[Año Último Pago]]))</f>
        <v>45470</v>
      </c>
      <c r="M530" s="4">
        <f>DATEDIF(BBDD_Usiarios_Netflix[[#This Row],[Fecha Suscripción]],BBDD_Usiarios_Netflix[[#This Row],[Fecha Último Pago]],"M")+1</f>
        <v>12</v>
      </c>
      <c r="N530" s="4">
        <f>BBDD_Usiarios_Netflix[[#This Row],[Ingresos Mensuales]]*BBDD_Usiarios_Netflix[[#This Row],[Meses contratados]]</f>
        <v>144</v>
      </c>
      <c r="O530" t="s">
        <v>24</v>
      </c>
      <c r="P530" t="str">
        <f>IF(BBDD_Usiarios_Netflix[[#This Row],[País]]="","Desconocido",BBDD_Usiarios_Netflix[[#This Row],[País]])</f>
        <v>Australia</v>
      </c>
      <c r="Q530">
        <v>50</v>
      </c>
      <c r="R530" t="s">
        <v>30</v>
      </c>
      <c r="S530" t="s">
        <v>36</v>
      </c>
      <c r="T530" t="s">
        <v>27</v>
      </c>
      <c r="U530">
        <f>IF(IFERROR(VLOOKUP(BBDD_Usiarios_Netflix[[#This Row],[Identificador Usuario]],A531:$A$5870,1,FALSE),0)&lt;&gt;0,1,0)</f>
        <v>0</v>
      </c>
      <c r="V530" s="6" t="str">
        <f>IF(BBDD_Usiarios_Netflix[[#This Row],[Duración Plan]]="12 Meses",LEFT(BBDD_Usiarios_Netflix[[#This Row],[Duración Plan]],2),LEFT(BBDD_Usiarios_Netflix[[#This Row],[Duración Plan]],1))</f>
        <v>1</v>
      </c>
      <c r="W5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1" spans="1:23" x14ac:dyDescent="0.25">
      <c r="A531">
        <v>530</v>
      </c>
      <c r="B531" t="s">
        <v>23</v>
      </c>
      <c r="C531">
        <v>10</v>
      </c>
      <c r="D531" s="3">
        <v>22</v>
      </c>
      <c r="E531" s="3">
        <v>6</v>
      </c>
      <c r="F531">
        <v>23</v>
      </c>
      <c r="G531" s="1">
        <f>DATEVALUE(_xlfn.CONCAT(BBDD_Usiarios_Netflix[[#This Row],[Día Suscripción]],"/",BBDD_Usiarios_Netflix[[#This Row],[Mes Suscripción]],"/",BBDD_Usiarios_Netflix[[#This Row],[Año Suscripción]]))</f>
        <v>45099</v>
      </c>
      <c r="H531" s="1">
        <v>28</v>
      </c>
      <c r="I531" s="1">
        <v>6</v>
      </c>
      <c r="J531" s="1">
        <v>24</v>
      </c>
      <c r="K531" s="1" t="str">
        <f>TEXT(BBDD_Usiarios_Netflix[[#This Row],[Fecha Suscripción]],"dddd")</f>
        <v>jueves</v>
      </c>
      <c r="L531" s="1">
        <f>DATEVALUE(_xlfn.CONCAT(BBDD_Usiarios_Netflix[[#This Row],[Día Último Pago]],"/",BBDD_Usiarios_Netflix[[#This Row],[Mes Último Pago]],"/",BBDD_Usiarios_Netflix[[#This Row],[Año Último Pago]]))</f>
        <v>45471</v>
      </c>
      <c r="M531" s="4">
        <f>DATEDIF(BBDD_Usiarios_Netflix[[#This Row],[Fecha Suscripción]],BBDD_Usiarios_Netflix[[#This Row],[Fecha Último Pago]],"M")+1</f>
        <v>13</v>
      </c>
      <c r="N531" s="4">
        <f>BBDD_Usiarios_Netflix[[#This Row],[Ingresos Mensuales]]*BBDD_Usiarios_Netflix[[#This Row],[Meses contratados]]</f>
        <v>130</v>
      </c>
      <c r="O531" t="s">
        <v>42</v>
      </c>
      <c r="P531" t="str">
        <f>IF(BBDD_Usiarios_Netflix[[#This Row],[País]]="","Desconocido",BBDD_Usiarios_Netflix[[#This Row],[País]])</f>
        <v>Reino Unido</v>
      </c>
      <c r="Q531">
        <v>49</v>
      </c>
      <c r="R531" t="s">
        <v>30</v>
      </c>
      <c r="S531" t="s">
        <v>34</v>
      </c>
      <c r="T531" t="s">
        <v>41</v>
      </c>
      <c r="U531">
        <f>IF(IFERROR(VLOOKUP(BBDD_Usiarios_Netflix[[#This Row],[Identificador Usuario]],A532:$A$5870,1,FALSE),0)&lt;&gt;0,1,0)</f>
        <v>0</v>
      </c>
      <c r="V531" s="6" t="str">
        <f>IF(BBDD_Usiarios_Netflix[[#This Row],[Duración Plan]]="12 Meses",LEFT(BBDD_Usiarios_Netflix[[#This Row],[Duración Plan]],2),LEFT(BBDD_Usiarios_Netflix[[#This Row],[Duración Plan]],1))</f>
        <v>12</v>
      </c>
      <c r="W5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32" spans="1:23" x14ac:dyDescent="0.25">
      <c r="A532">
        <v>531</v>
      </c>
      <c r="B532" t="s">
        <v>28</v>
      </c>
      <c r="C532">
        <v>14</v>
      </c>
      <c r="D532" s="3">
        <v>15</v>
      </c>
      <c r="E532" s="3">
        <v>6</v>
      </c>
      <c r="F532">
        <v>23</v>
      </c>
      <c r="G532" s="1">
        <f>DATEVALUE(_xlfn.CONCAT(BBDD_Usiarios_Netflix[[#This Row],[Día Suscripción]],"/",BBDD_Usiarios_Netflix[[#This Row],[Mes Suscripción]],"/",BBDD_Usiarios_Netflix[[#This Row],[Año Suscripción]]))</f>
        <v>45092</v>
      </c>
      <c r="H532" s="1">
        <v>27</v>
      </c>
      <c r="I532" s="1">
        <v>6</v>
      </c>
      <c r="J532" s="1">
        <v>24</v>
      </c>
      <c r="K532" s="1" t="str">
        <f>TEXT(BBDD_Usiarios_Netflix[[#This Row],[Fecha Suscripción]],"dddd")</f>
        <v>jueves</v>
      </c>
      <c r="L532" s="1">
        <f>DATEVALUE(_xlfn.CONCAT(BBDD_Usiarios_Netflix[[#This Row],[Día Último Pago]],"/",BBDD_Usiarios_Netflix[[#This Row],[Mes Último Pago]],"/",BBDD_Usiarios_Netflix[[#This Row],[Año Último Pago]]))</f>
        <v>45470</v>
      </c>
      <c r="M532" s="4">
        <f>DATEDIF(BBDD_Usiarios_Netflix[[#This Row],[Fecha Suscripción]],BBDD_Usiarios_Netflix[[#This Row],[Fecha Último Pago]],"M")+1</f>
        <v>13</v>
      </c>
      <c r="N532" s="4">
        <f>BBDD_Usiarios_Netflix[[#This Row],[Ingresos Mensuales]]*BBDD_Usiarios_Netflix[[#This Row],[Meses contratados]]</f>
        <v>182</v>
      </c>
      <c r="O532" t="s">
        <v>29</v>
      </c>
      <c r="P532" t="str">
        <f>IF(BBDD_Usiarios_Netflix[[#This Row],[País]]="","Desconocido",BBDD_Usiarios_Netflix[[#This Row],[País]])</f>
        <v>EEUU</v>
      </c>
      <c r="Q532">
        <v>30</v>
      </c>
      <c r="R532" t="s">
        <v>30</v>
      </c>
      <c r="S532" t="s">
        <v>36</v>
      </c>
      <c r="T532" t="s">
        <v>27</v>
      </c>
      <c r="U532">
        <f>IF(IFERROR(VLOOKUP(BBDD_Usiarios_Netflix[[#This Row],[Identificador Usuario]],A533:$A$5870,1,FALSE),0)&lt;&gt;0,1,0)</f>
        <v>0</v>
      </c>
      <c r="V532" s="6" t="str">
        <f>IF(BBDD_Usiarios_Netflix[[#This Row],[Duración Plan]]="12 Meses",LEFT(BBDD_Usiarios_Netflix[[#This Row],[Duración Plan]],2),LEFT(BBDD_Usiarios_Netflix[[#This Row],[Duración Plan]],1))</f>
        <v>1</v>
      </c>
      <c r="W5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3" spans="1:23" x14ac:dyDescent="0.25">
      <c r="A533">
        <v>532</v>
      </c>
      <c r="B533" t="s">
        <v>32</v>
      </c>
      <c r="C533">
        <v>12</v>
      </c>
      <c r="D533" s="3">
        <v>3</v>
      </c>
      <c r="E533" s="3">
        <v>6</v>
      </c>
      <c r="F533">
        <v>23</v>
      </c>
      <c r="G533" s="1">
        <f>DATEVALUE(_xlfn.CONCAT(BBDD_Usiarios_Netflix[[#This Row],[Día Suscripción]],"/",BBDD_Usiarios_Netflix[[#This Row],[Mes Suscripción]],"/",BBDD_Usiarios_Netflix[[#This Row],[Año Suscripción]]))</f>
        <v>45080</v>
      </c>
      <c r="H533" s="1">
        <v>28</v>
      </c>
      <c r="I533" s="1">
        <v>6</v>
      </c>
      <c r="J533" s="1">
        <v>24</v>
      </c>
      <c r="K533" s="1" t="str">
        <f>TEXT(BBDD_Usiarios_Netflix[[#This Row],[Fecha Suscripción]],"dddd")</f>
        <v>sábado</v>
      </c>
      <c r="L533" s="1">
        <f>DATEVALUE(_xlfn.CONCAT(BBDD_Usiarios_Netflix[[#This Row],[Día Último Pago]],"/",BBDD_Usiarios_Netflix[[#This Row],[Mes Último Pago]],"/",BBDD_Usiarios_Netflix[[#This Row],[Año Último Pago]]))</f>
        <v>45471</v>
      </c>
      <c r="M533" s="4">
        <f>DATEDIF(BBDD_Usiarios_Netflix[[#This Row],[Fecha Suscripción]],BBDD_Usiarios_Netflix[[#This Row],[Fecha Último Pago]],"M")+1</f>
        <v>13</v>
      </c>
      <c r="N533" s="4">
        <f>BBDD_Usiarios_Netflix[[#This Row],[Ingresos Mensuales]]*BBDD_Usiarios_Netflix[[#This Row],[Meses contratados]]</f>
        <v>156</v>
      </c>
      <c r="O533" t="s">
        <v>24</v>
      </c>
      <c r="P533" t="str">
        <f>IF(BBDD_Usiarios_Netflix[[#This Row],[País]]="","Desconocido",BBDD_Usiarios_Netflix[[#This Row],[País]])</f>
        <v>Australia</v>
      </c>
      <c r="Q533">
        <v>38</v>
      </c>
      <c r="R533" t="s">
        <v>25</v>
      </c>
      <c r="S533" t="s">
        <v>36</v>
      </c>
      <c r="T533" t="s">
        <v>27</v>
      </c>
      <c r="U533">
        <f>IF(IFERROR(VLOOKUP(BBDD_Usiarios_Netflix[[#This Row],[Identificador Usuario]],A534:$A$5870,1,FALSE),0)&lt;&gt;0,1,0)</f>
        <v>0</v>
      </c>
      <c r="V533" s="6" t="str">
        <f>IF(BBDD_Usiarios_Netflix[[#This Row],[Duración Plan]]="12 Meses",LEFT(BBDD_Usiarios_Netflix[[#This Row],[Duración Plan]],2),LEFT(BBDD_Usiarios_Netflix[[#This Row],[Duración Plan]],1))</f>
        <v>1</v>
      </c>
      <c r="W5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4" spans="1:23" x14ac:dyDescent="0.25">
      <c r="A534">
        <v>533</v>
      </c>
      <c r="B534" t="s">
        <v>23</v>
      </c>
      <c r="C534">
        <v>10</v>
      </c>
      <c r="D534" s="3">
        <v>4</v>
      </c>
      <c r="E534" s="3">
        <v>6</v>
      </c>
      <c r="F534">
        <v>23</v>
      </c>
      <c r="G534" s="1">
        <f>DATEVALUE(_xlfn.CONCAT(BBDD_Usiarios_Netflix[[#This Row],[Día Suscripción]],"/",BBDD_Usiarios_Netflix[[#This Row],[Mes Suscripción]],"/",BBDD_Usiarios_Netflix[[#This Row],[Año Suscripción]]))</f>
        <v>45081</v>
      </c>
      <c r="H534" s="1">
        <v>27</v>
      </c>
      <c r="I534" s="1">
        <v>6</v>
      </c>
      <c r="J534" s="1">
        <v>24</v>
      </c>
      <c r="K534" s="1" t="str">
        <f>TEXT(BBDD_Usiarios_Netflix[[#This Row],[Fecha Suscripción]],"dddd")</f>
        <v>domingo</v>
      </c>
      <c r="L534" s="1">
        <f>DATEVALUE(_xlfn.CONCAT(BBDD_Usiarios_Netflix[[#This Row],[Día Último Pago]],"/",BBDD_Usiarios_Netflix[[#This Row],[Mes Último Pago]],"/",BBDD_Usiarios_Netflix[[#This Row],[Año Último Pago]]))</f>
        <v>45470</v>
      </c>
      <c r="M534" s="4">
        <f>DATEDIF(BBDD_Usiarios_Netflix[[#This Row],[Fecha Suscripción]],BBDD_Usiarios_Netflix[[#This Row],[Fecha Último Pago]],"M")+1</f>
        <v>13</v>
      </c>
      <c r="N534" s="4">
        <f>BBDD_Usiarios_Netflix[[#This Row],[Ingresos Mensuales]]*BBDD_Usiarios_Netflix[[#This Row],[Meses contratados]]</f>
        <v>130</v>
      </c>
      <c r="O534" t="s">
        <v>40</v>
      </c>
      <c r="P534" t="str">
        <f>IF(BBDD_Usiarios_Netflix[[#This Row],[País]]="","Desconocido",BBDD_Usiarios_Netflix[[#This Row],[País]])</f>
        <v>Italia</v>
      </c>
      <c r="Q534">
        <v>38</v>
      </c>
      <c r="R534" t="s">
        <v>25</v>
      </c>
      <c r="S534" t="s">
        <v>26</v>
      </c>
      <c r="T534" t="s">
        <v>35</v>
      </c>
      <c r="U534">
        <f>IF(IFERROR(VLOOKUP(BBDD_Usiarios_Netflix[[#This Row],[Identificador Usuario]],A535:$A$5870,1,FALSE),0)&lt;&gt;0,1,0)</f>
        <v>0</v>
      </c>
      <c r="V534" s="6" t="str">
        <f>IF(BBDD_Usiarios_Netflix[[#This Row],[Duración Plan]]="12 Meses",LEFT(BBDD_Usiarios_Netflix[[#This Row],[Duración Plan]],2),LEFT(BBDD_Usiarios_Netflix[[#This Row],[Duración Plan]],1))</f>
        <v>6</v>
      </c>
      <c r="W5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35" spans="1:23" x14ac:dyDescent="0.25">
      <c r="A535">
        <v>534</v>
      </c>
      <c r="B535" t="s">
        <v>32</v>
      </c>
      <c r="C535">
        <v>12</v>
      </c>
      <c r="D535" s="3">
        <v>5</v>
      </c>
      <c r="E535" s="3">
        <v>6</v>
      </c>
      <c r="F535">
        <v>23</v>
      </c>
      <c r="G535" s="1">
        <f>DATEVALUE(_xlfn.CONCAT(BBDD_Usiarios_Netflix[[#This Row],[Día Suscripción]],"/",BBDD_Usiarios_Netflix[[#This Row],[Mes Suscripción]],"/",BBDD_Usiarios_Netflix[[#This Row],[Año Suscripción]]))</f>
        <v>45082</v>
      </c>
      <c r="H535" s="1">
        <v>28</v>
      </c>
      <c r="I535" s="1">
        <v>6</v>
      </c>
      <c r="J535" s="1">
        <v>24</v>
      </c>
      <c r="K535" s="1" t="str">
        <f>TEXT(BBDD_Usiarios_Netflix[[#This Row],[Fecha Suscripción]],"dddd")</f>
        <v>lunes</v>
      </c>
      <c r="L535" s="1">
        <f>DATEVALUE(_xlfn.CONCAT(BBDD_Usiarios_Netflix[[#This Row],[Día Último Pago]],"/",BBDD_Usiarios_Netflix[[#This Row],[Mes Último Pago]],"/",BBDD_Usiarios_Netflix[[#This Row],[Año Último Pago]]))</f>
        <v>45471</v>
      </c>
      <c r="M535" s="4">
        <f>DATEDIF(BBDD_Usiarios_Netflix[[#This Row],[Fecha Suscripción]],BBDD_Usiarios_Netflix[[#This Row],[Fecha Último Pago]],"M")+1</f>
        <v>13</v>
      </c>
      <c r="N535" s="4">
        <f>BBDD_Usiarios_Netflix[[#This Row],[Ingresos Mensuales]]*BBDD_Usiarios_Netflix[[#This Row],[Meses contratados]]</f>
        <v>156</v>
      </c>
      <c r="O535" t="s">
        <v>44</v>
      </c>
      <c r="P535" t="str">
        <f>IF(BBDD_Usiarios_Netflix[[#This Row],[País]]="","Desconocido",BBDD_Usiarios_Netflix[[#This Row],[País]])</f>
        <v>Desconocido</v>
      </c>
      <c r="Q535">
        <v>39</v>
      </c>
      <c r="R535" t="s">
        <v>30</v>
      </c>
      <c r="S535" t="s">
        <v>34</v>
      </c>
      <c r="T535" t="s">
        <v>27</v>
      </c>
      <c r="U535">
        <f>IF(IFERROR(VLOOKUP(BBDD_Usiarios_Netflix[[#This Row],[Identificador Usuario]],A536:$A$5870,1,FALSE),0)&lt;&gt;0,1,0)</f>
        <v>0</v>
      </c>
      <c r="V535" s="6" t="str">
        <f>IF(BBDD_Usiarios_Netflix[[#This Row],[Duración Plan]]="12 Meses",LEFT(BBDD_Usiarios_Netflix[[#This Row],[Duración Plan]],2),LEFT(BBDD_Usiarios_Netflix[[#This Row],[Duración Plan]],1))</f>
        <v>1</v>
      </c>
      <c r="W5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6" spans="1:23" x14ac:dyDescent="0.25">
      <c r="A536">
        <v>535</v>
      </c>
      <c r="B536" t="s">
        <v>28</v>
      </c>
      <c r="C536">
        <v>14</v>
      </c>
      <c r="D536" s="3">
        <v>7</v>
      </c>
      <c r="E536" s="3">
        <v>6</v>
      </c>
      <c r="F536">
        <v>23</v>
      </c>
      <c r="G536" s="1">
        <f>DATEVALUE(_xlfn.CONCAT(BBDD_Usiarios_Netflix[[#This Row],[Día Suscripción]],"/",BBDD_Usiarios_Netflix[[#This Row],[Mes Suscripción]],"/",BBDD_Usiarios_Netflix[[#This Row],[Año Suscripción]]))</f>
        <v>45084</v>
      </c>
      <c r="H536" s="1">
        <v>29</v>
      </c>
      <c r="I536" s="1">
        <v>6</v>
      </c>
      <c r="J536" s="1">
        <v>24</v>
      </c>
      <c r="K536" s="1" t="str">
        <f>TEXT(BBDD_Usiarios_Netflix[[#This Row],[Fecha Suscripción]],"dddd")</f>
        <v>miércoles</v>
      </c>
      <c r="L536" s="1">
        <f>DATEVALUE(_xlfn.CONCAT(BBDD_Usiarios_Netflix[[#This Row],[Día Último Pago]],"/",BBDD_Usiarios_Netflix[[#This Row],[Mes Último Pago]],"/",BBDD_Usiarios_Netflix[[#This Row],[Año Último Pago]]))</f>
        <v>45472</v>
      </c>
      <c r="M536" s="4">
        <f>DATEDIF(BBDD_Usiarios_Netflix[[#This Row],[Fecha Suscripción]],BBDD_Usiarios_Netflix[[#This Row],[Fecha Último Pago]],"M")+1</f>
        <v>13</v>
      </c>
      <c r="N536" s="4">
        <f>BBDD_Usiarios_Netflix[[#This Row],[Ingresos Mensuales]]*BBDD_Usiarios_Netflix[[#This Row],[Meses contratados]]</f>
        <v>182</v>
      </c>
      <c r="O536" t="s">
        <v>29</v>
      </c>
      <c r="P536" t="str">
        <f>IF(BBDD_Usiarios_Netflix[[#This Row],[País]]="","Desconocido",BBDD_Usiarios_Netflix[[#This Row],[País]])</f>
        <v>EEUU</v>
      </c>
      <c r="Q536">
        <v>42</v>
      </c>
      <c r="R536" t="s">
        <v>30</v>
      </c>
      <c r="S536" t="s">
        <v>36</v>
      </c>
      <c r="T536" t="s">
        <v>27</v>
      </c>
      <c r="U536">
        <f>IF(IFERROR(VLOOKUP(BBDD_Usiarios_Netflix[[#This Row],[Identificador Usuario]],A537:$A$5870,1,FALSE),0)&lt;&gt;0,1,0)</f>
        <v>0</v>
      </c>
      <c r="V536" s="6" t="str">
        <f>IF(BBDD_Usiarios_Netflix[[#This Row],[Duración Plan]]="12 Meses",LEFT(BBDD_Usiarios_Netflix[[#This Row],[Duración Plan]],2),LEFT(BBDD_Usiarios_Netflix[[#This Row],[Duración Plan]],1))</f>
        <v>1</v>
      </c>
      <c r="W5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7" spans="1:23" x14ac:dyDescent="0.25">
      <c r="A537">
        <v>536</v>
      </c>
      <c r="B537" t="s">
        <v>23</v>
      </c>
      <c r="C537">
        <v>10</v>
      </c>
      <c r="D537" s="3">
        <v>14</v>
      </c>
      <c r="E537" s="3">
        <v>6</v>
      </c>
      <c r="F537">
        <v>23</v>
      </c>
      <c r="G537" s="1">
        <f>DATEVALUE(_xlfn.CONCAT(BBDD_Usiarios_Netflix[[#This Row],[Día Suscripción]],"/",BBDD_Usiarios_Netflix[[#This Row],[Mes Suscripción]],"/",BBDD_Usiarios_Netflix[[#This Row],[Año Suscripción]]))</f>
        <v>45091</v>
      </c>
      <c r="H537" s="1">
        <v>29</v>
      </c>
      <c r="I537" s="1">
        <v>6</v>
      </c>
      <c r="J537" s="1">
        <v>24</v>
      </c>
      <c r="K537" s="1" t="str">
        <f>TEXT(BBDD_Usiarios_Netflix[[#This Row],[Fecha Suscripción]],"dddd")</f>
        <v>miércoles</v>
      </c>
      <c r="L537" s="1">
        <f>DATEVALUE(_xlfn.CONCAT(BBDD_Usiarios_Netflix[[#This Row],[Día Último Pago]],"/",BBDD_Usiarios_Netflix[[#This Row],[Mes Último Pago]],"/",BBDD_Usiarios_Netflix[[#This Row],[Año Último Pago]]))</f>
        <v>45472</v>
      </c>
      <c r="M537" s="4">
        <f>DATEDIF(BBDD_Usiarios_Netflix[[#This Row],[Fecha Suscripción]],BBDD_Usiarios_Netflix[[#This Row],[Fecha Último Pago]],"M")+1</f>
        <v>13</v>
      </c>
      <c r="N537" s="4">
        <f>BBDD_Usiarios_Netflix[[#This Row],[Ingresos Mensuales]]*BBDD_Usiarios_Netflix[[#This Row],[Meses contratados]]</f>
        <v>130</v>
      </c>
      <c r="O537" t="s">
        <v>39</v>
      </c>
      <c r="P537" t="str">
        <f>IF(BBDD_Usiarios_Netflix[[#This Row],[País]]="","Desconocido",BBDD_Usiarios_Netflix[[#This Row],[País]])</f>
        <v>Canadá</v>
      </c>
      <c r="Q537">
        <v>28</v>
      </c>
      <c r="R537" t="s">
        <v>25</v>
      </c>
      <c r="S537" t="s">
        <v>34</v>
      </c>
      <c r="T537" t="s">
        <v>27</v>
      </c>
      <c r="U537">
        <f>IF(IFERROR(VLOOKUP(BBDD_Usiarios_Netflix[[#This Row],[Identificador Usuario]],A538:$A$5870,1,FALSE),0)&lt;&gt;0,1,0)</f>
        <v>0</v>
      </c>
      <c r="V537" s="6" t="str">
        <f>IF(BBDD_Usiarios_Netflix[[#This Row],[Duración Plan]]="12 Meses",LEFT(BBDD_Usiarios_Netflix[[#This Row],[Duración Plan]],2),LEFT(BBDD_Usiarios_Netflix[[#This Row],[Duración Plan]],1))</f>
        <v>1</v>
      </c>
      <c r="W5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38" spans="1:23" x14ac:dyDescent="0.25">
      <c r="A538">
        <v>537</v>
      </c>
      <c r="B538" t="s">
        <v>28</v>
      </c>
      <c r="C538">
        <v>14</v>
      </c>
      <c r="D538" s="3">
        <v>17</v>
      </c>
      <c r="E538" s="3">
        <v>6</v>
      </c>
      <c r="F538">
        <v>23</v>
      </c>
      <c r="G538" s="1">
        <f>DATEVALUE(_xlfn.CONCAT(BBDD_Usiarios_Netflix[[#This Row],[Día Suscripción]],"/",BBDD_Usiarios_Netflix[[#This Row],[Mes Suscripción]],"/",BBDD_Usiarios_Netflix[[#This Row],[Año Suscripción]]))</f>
        <v>45094</v>
      </c>
      <c r="H538" s="1">
        <v>27</v>
      </c>
      <c r="I538" s="1">
        <v>6</v>
      </c>
      <c r="J538" s="1">
        <v>24</v>
      </c>
      <c r="K538" s="1" t="str">
        <f>TEXT(BBDD_Usiarios_Netflix[[#This Row],[Fecha Suscripción]],"dddd")</f>
        <v>sábado</v>
      </c>
      <c r="L538" s="1">
        <f>DATEVALUE(_xlfn.CONCAT(BBDD_Usiarios_Netflix[[#This Row],[Día Último Pago]],"/",BBDD_Usiarios_Netflix[[#This Row],[Mes Último Pago]],"/",BBDD_Usiarios_Netflix[[#This Row],[Año Último Pago]]))</f>
        <v>45470</v>
      </c>
      <c r="M538" s="4">
        <f>DATEDIF(BBDD_Usiarios_Netflix[[#This Row],[Fecha Suscripción]],BBDD_Usiarios_Netflix[[#This Row],[Fecha Último Pago]],"M")+1</f>
        <v>13</v>
      </c>
      <c r="N538" s="4">
        <f>BBDD_Usiarios_Netflix[[#This Row],[Ingresos Mensuales]]*BBDD_Usiarios_Netflix[[#This Row],[Meses contratados]]</f>
        <v>182</v>
      </c>
      <c r="O538" t="s">
        <v>40</v>
      </c>
      <c r="P538" t="str">
        <f>IF(BBDD_Usiarios_Netflix[[#This Row],[País]]="","Desconocido",BBDD_Usiarios_Netflix[[#This Row],[País]])</f>
        <v>Italia</v>
      </c>
      <c r="Q538">
        <v>38</v>
      </c>
      <c r="R538" t="s">
        <v>25</v>
      </c>
      <c r="S538" t="s">
        <v>26</v>
      </c>
      <c r="T538" t="s">
        <v>41</v>
      </c>
      <c r="U538">
        <f>IF(IFERROR(VLOOKUP(BBDD_Usiarios_Netflix[[#This Row],[Identificador Usuario]],A539:$A$5870,1,FALSE),0)&lt;&gt;0,1,0)</f>
        <v>0</v>
      </c>
      <c r="V538" s="6" t="str">
        <f>IF(BBDD_Usiarios_Netflix[[#This Row],[Duración Plan]]="12 Meses",LEFT(BBDD_Usiarios_Netflix[[#This Row],[Duración Plan]],2),LEFT(BBDD_Usiarios_Netflix[[#This Row],[Duración Plan]],1))</f>
        <v>12</v>
      </c>
      <c r="W5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39" spans="1:23" x14ac:dyDescent="0.25">
      <c r="A539">
        <v>538</v>
      </c>
      <c r="B539" t="s">
        <v>32</v>
      </c>
      <c r="C539">
        <v>12</v>
      </c>
      <c r="D539" s="3">
        <v>19</v>
      </c>
      <c r="E539" s="3">
        <v>6</v>
      </c>
      <c r="F539">
        <v>23</v>
      </c>
      <c r="G539" s="1">
        <f>DATEVALUE(_xlfn.CONCAT(BBDD_Usiarios_Netflix[[#This Row],[Día Suscripción]],"/",BBDD_Usiarios_Netflix[[#This Row],[Mes Suscripción]],"/",BBDD_Usiarios_Netflix[[#This Row],[Año Suscripción]]))</f>
        <v>45096</v>
      </c>
      <c r="H539" s="1">
        <v>28</v>
      </c>
      <c r="I539" s="1">
        <v>6</v>
      </c>
      <c r="J539" s="1">
        <v>24</v>
      </c>
      <c r="K539" s="1" t="str">
        <f>TEXT(BBDD_Usiarios_Netflix[[#This Row],[Fecha Suscripción]],"dddd")</f>
        <v>lunes</v>
      </c>
      <c r="L539" s="1">
        <f>DATEVALUE(_xlfn.CONCAT(BBDD_Usiarios_Netflix[[#This Row],[Día Último Pago]],"/",BBDD_Usiarios_Netflix[[#This Row],[Mes Último Pago]],"/",BBDD_Usiarios_Netflix[[#This Row],[Año Último Pago]]))</f>
        <v>45471</v>
      </c>
      <c r="M539" s="4">
        <f>DATEDIF(BBDD_Usiarios_Netflix[[#This Row],[Fecha Suscripción]],BBDD_Usiarios_Netflix[[#This Row],[Fecha Último Pago]],"M")+1</f>
        <v>13</v>
      </c>
      <c r="N539" s="4">
        <f>BBDD_Usiarios_Netflix[[#This Row],[Ingresos Mensuales]]*BBDD_Usiarios_Netflix[[#This Row],[Meses contratados]]</f>
        <v>156</v>
      </c>
      <c r="O539" t="s">
        <v>42</v>
      </c>
      <c r="P539" t="str">
        <f>IF(BBDD_Usiarios_Netflix[[#This Row],[País]]="","Desconocido",BBDD_Usiarios_Netflix[[#This Row],[País]])</f>
        <v>Reino Unido</v>
      </c>
      <c r="Q539">
        <v>40</v>
      </c>
      <c r="R539" t="s">
        <v>30</v>
      </c>
      <c r="S539" t="s">
        <v>31</v>
      </c>
      <c r="T539" t="s">
        <v>27</v>
      </c>
      <c r="U539">
        <f>IF(IFERROR(VLOOKUP(BBDD_Usiarios_Netflix[[#This Row],[Identificador Usuario]],A540:$A$5870,1,FALSE),0)&lt;&gt;0,1,0)</f>
        <v>0</v>
      </c>
      <c r="V539" s="6" t="str">
        <f>IF(BBDD_Usiarios_Netflix[[#This Row],[Duración Plan]]="12 Meses",LEFT(BBDD_Usiarios_Netflix[[#This Row],[Duración Plan]],2),LEFT(BBDD_Usiarios_Netflix[[#This Row],[Duración Plan]],1))</f>
        <v>1</v>
      </c>
      <c r="W5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40" spans="1:23" x14ac:dyDescent="0.25">
      <c r="A540">
        <v>539</v>
      </c>
      <c r="B540" t="s">
        <v>23</v>
      </c>
      <c r="C540">
        <v>10</v>
      </c>
      <c r="D540" s="3">
        <v>2</v>
      </c>
      <c r="E540" s="3">
        <v>7</v>
      </c>
      <c r="F540">
        <v>23</v>
      </c>
      <c r="G540" s="1">
        <f>DATEVALUE(_xlfn.CONCAT(BBDD_Usiarios_Netflix[[#This Row],[Día Suscripción]],"/",BBDD_Usiarios_Netflix[[#This Row],[Mes Suscripción]],"/",BBDD_Usiarios_Netflix[[#This Row],[Año Suscripción]]))</f>
        <v>45109</v>
      </c>
      <c r="H540" s="1">
        <v>29</v>
      </c>
      <c r="I540" s="1">
        <v>6</v>
      </c>
      <c r="J540" s="1">
        <v>24</v>
      </c>
      <c r="K540" s="1" t="str">
        <f>TEXT(BBDD_Usiarios_Netflix[[#This Row],[Fecha Suscripción]],"dddd")</f>
        <v>domingo</v>
      </c>
      <c r="L540" s="1">
        <f>DATEVALUE(_xlfn.CONCAT(BBDD_Usiarios_Netflix[[#This Row],[Día Último Pago]],"/",BBDD_Usiarios_Netflix[[#This Row],[Mes Último Pago]],"/",BBDD_Usiarios_Netflix[[#This Row],[Año Último Pago]]))</f>
        <v>45472</v>
      </c>
      <c r="M540" s="4">
        <f>DATEDIF(BBDD_Usiarios_Netflix[[#This Row],[Fecha Suscripción]],BBDD_Usiarios_Netflix[[#This Row],[Fecha Último Pago]],"M")+1</f>
        <v>12</v>
      </c>
      <c r="N540" s="4">
        <f>BBDD_Usiarios_Netflix[[#This Row],[Ingresos Mensuales]]*BBDD_Usiarios_Netflix[[#This Row],[Meses contratados]]</f>
        <v>120</v>
      </c>
      <c r="O540" t="s">
        <v>33</v>
      </c>
      <c r="P540" t="str">
        <f>IF(BBDD_Usiarios_Netflix[[#This Row],[País]]="","Desconocido",BBDD_Usiarios_Netflix[[#This Row],[País]])</f>
        <v>Francia</v>
      </c>
      <c r="Q540">
        <v>30</v>
      </c>
      <c r="R540" t="s">
        <v>30</v>
      </c>
      <c r="S540" t="s">
        <v>31</v>
      </c>
      <c r="T540" t="s">
        <v>27</v>
      </c>
      <c r="U540">
        <f>IF(IFERROR(VLOOKUP(BBDD_Usiarios_Netflix[[#This Row],[Identificador Usuario]],A541:$A$5870,1,FALSE),0)&lt;&gt;0,1,0)</f>
        <v>0</v>
      </c>
      <c r="V540" s="6" t="str">
        <f>IF(BBDD_Usiarios_Netflix[[#This Row],[Duración Plan]]="12 Meses",LEFT(BBDD_Usiarios_Netflix[[#This Row],[Duración Plan]],2),LEFT(BBDD_Usiarios_Netflix[[#This Row],[Duración Plan]],1))</f>
        <v>1</v>
      </c>
      <c r="W5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41" spans="1:23" x14ac:dyDescent="0.25">
      <c r="A541">
        <v>540</v>
      </c>
      <c r="B541" t="s">
        <v>32</v>
      </c>
      <c r="C541">
        <v>12</v>
      </c>
      <c r="D541" s="3">
        <v>3</v>
      </c>
      <c r="E541" s="3">
        <v>7</v>
      </c>
      <c r="F541">
        <v>23</v>
      </c>
      <c r="G541" s="1">
        <f>DATEVALUE(_xlfn.CONCAT(BBDD_Usiarios_Netflix[[#This Row],[Día Suscripción]],"/",BBDD_Usiarios_Netflix[[#This Row],[Mes Suscripción]],"/",BBDD_Usiarios_Netflix[[#This Row],[Año Suscripción]]))</f>
        <v>45110</v>
      </c>
      <c r="H541" s="1">
        <v>29</v>
      </c>
      <c r="I541" s="1">
        <v>6</v>
      </c>
      <c r="J541" s="1">
        <v>24</v>
      </c>
      <c r="K541" s="1" t="str">
        <f>TEXT(BBDD_Usiarios_Netflix[[#This Row],[Fecha Suscripción]],"dddd")</f>
        <v>lunes</v>
      </c>
      <c r="L541" s="1">
        <f>DATEVALUE(_xlfn.CONCAT(BBDD_Usiarios_Netflix[[#This Row],[Día Último Pago]],"/",BBDD_Usiarios_Netflix[[#This Row],[Mes Último Pago]],"/",BBDD_Usiarios_Netflix[[#This Row],[Año Último Pago]]))</f>
        <v>45472</v>
      </c>
      <c r="M541" s="4">
        <f>DATEDIF(BBDD_Usiarios_Netflix[[#This Row],[Fecha Suscripción]],BBDD_Usiarios_Netflix[[#This Row],[Fecha Último Pago]],"M")+1</f>
        <v>12</v>
      </c>
      <c r="N541" s="4">
        <f>BBDD_Usiarios_Netflix[[#This Row],[Ingresos Mensuales]]*BBDD_Usiarios_Netflix[[#This Row],[Meses contratados]]</f>
        <v>144</v>
      </c>
      <c r="O541" t="s">
        <v>45</v>
      </c>
      <c r="P541" t="str">
        <f>IF(BBDD_Usiarios_Netflix[[#This Row],[País]]="","Desconocido",BBDD_Usiarios_Netflix[[#This Row],[País]])</f>
        <v>España</v>
      </c>
      <c r="Q541">
        <v>40</v>
      </c>
      <c r="R541" t="s">
        <v>25</v>
      </c>
      <c r="S541" t="s">
        <v>26</v>
      </c>
      <c r="T541" t="s">
        <v>38</v>
      </c>
      <c r="U541">
        <f>IF(IFERROR(VLOOKUP(BBDD_Usiarios_Netflix[[#This Row],[Identificador Usuario]],A542:$A$5870,1,FALSE),0)&lt;&gt;0,1,0)</f>
        <v>0</v>
      </c>
      <c r="V541" s="6" t="str">
        <f>IF(BBDD_Usiarios_Netflix[[#This Row],[Duración Plan]]="12 Meses",LEFT(BBDD_Usiarios_Netflix[[#This Row],[Duración Plan]],2),LEFT(BBDD_Usiarios_Netflix[[#This Row],[Duración Plan]],1))</f>
        <v>3</v>
      </c>
      <c r="W5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42" spans="1:23" x14ac:dyDescent="0.25">
      <c r="A542">
        <v>541</v>
      </c>
      <c r="B542" t="s">
        <v>28</v>
      </c>
      <c r="C542">
        <v>14</v>
      </c>
      <c r="D542" s="3">
        <v>13</v>
      </c>
      <c r="E542" s="3">
        <v>7</v>
      </c>
      <c r="F542">
        <v>23</v>
      </c>
      <c r="G542" s="1">
        <f>DATEVALUE(_xlfn.CONCAT(BBDD_Usiarios_Netflix[[#This Row],[Día Suscripción]],"/",BBDD_Usiarios_Netflix[[#This Row],[Mes Suscripción]],"/",BBDD_Usiarios_Netflix[[#This Row],[Año Suscripción]]))</f>
        <v>45120</v>
      </c>
      <c r="H542" s="1">
        <v>27</v>
      </c>
      <c r="I542" s="1">
        <v>6</v>
      </c>
      <c r="J542" s="1">
        <v>24</v>
      </c>
      <c r="K542" s="1" t="str">
        <f>TEXT(BBDD_Usiarios_Netflix[[#This Row],[Fecha Suscripción]],"dddd")</f>
        <v>jueves</v>
      </c>
      <c r="L542" s="1">
        <f>DATEVALUE(_xlfn.CONCAT(BBDD_Usiarios_Netflix[[#This Row],[Día Último Pago]],"/",BBDD_Usiarios_Netflix[[#This Row],[Mes Último Pago]],"/",BBDD_Usiarios_Netflix[[#This Row],[Año Último Pago]]))</f>
        <v>45470</v>
      </c>
      <c r="M542" s="4">
        <f>DATEDIF(BBDD_Usiarios_Netflix[[#This Row],[Fecha Suscripción]],BBDD_Usiarios_Netflix[[#This Row],[Fecha Último Pago]],"M")+1</f>
        <v>12</v>
      </c>
      <c r="N542" s="4">
        <f>BBDD_Usiarios_Netflix[[#This Row],[Ingresos Mensuales]]*BBDD_Usiarios_Netflix[[#This Row],[Meses contratados]]</f>
        <v>168</v>
      </c>
      <c r="O542" t="s">
        <v>24</v>
      </c>
      <c r="P542" t="str">
        <f>IF(BBDD_Usiarios_Netflix[[#This Row],[País]]="","Desconocido",BBDD_Usiarios_Netflix[[#This Row],[País]])</f>
        <v>Australia</v>
      </c>
      <c r="Q542">
        <v>31</v>
      </c>
      <c r="R542" t="s">
        <v>25</v>
      </c>
      <c r="S542" t="s">
        <v>34</v>
      </c>
      <c r="T542" t="s">
        <v>35</v>
      </c>
      <c r="U542">
        <f>IF(IFERROR(VLOOKUP(BBDD_Usiarios_Netflix[[#This Row],[Identificador Usuario]],A543:$A$5870,1,FALSE),0)&lt;&gt;0,1,0)</f>
        <v>0</v>
      </c>
      <c r="V542" s="6" t="str">
        <f>IF(BBDD_Usiarios_Netflix[[#This Row],[Duración Plan]]="12 Meses",LEFT(BBDD_Usiarios_Netflix[[#This Row],[Duración Plan]],2),LEFT(BBDD_Usiarios_Netflix[[#This Row],[Duración Plan]],1))</f>
        <v>6</v>
      </c>
      <c r="W5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43" spans="1:23" x14ac:dyDescent="0.25">
      <c r="A543">
        <v>542</v>
      </c>
      <c r="B543" t="s">
        <v>23</v>
      </c>
      <c r="C543">
        <v>10</v>
      </c>
      <c r="D543" s="3">
        <v>26</v>
      </c>
      <c r="E543" s="3">
        <v>7</v>
      </c>
      <c r="F543">
        <v>23</v>
      </c>
      <c r="G543" s="1">
        <f>DATEVALUE(_xlfn.CONCAT(BBDD_Usiarios_Netflix[[#This Row],[Día Suscripción]],"/",BBDD_Usiarios_Netflix[[#This Row],[Mes Suscripción]],"/",BBDD_Usiarios_Netflix[[#This Row],[Año Suscripción]]))</f>
        <v>45133</v>
      </c>
      <c r="H543" s="1">
        <v>27</v>
      </c>
      <c r="I543" s="1">
        <v>6</v>
      </c>
      <c r="J543" s="1">
        <v>24</v>
      </c>
      <c r="K543" s="1" t="str">
        <f>TEXT(BBDD_Usiarios_Netflix[[#This Row],[Fecha Suscripción]],"dddd")</f>
        <v>miércoles</v>
      </c>
      <c r="L543" s="1">
        <f>DATEVALUE(_xlfn.CONCAT(BBDD_Usiarios_Netflix[[#This Row],[Día Último Pago]],"/",BBDD_Usiarios_Netflix[[#This Row],[Mes Último Pago]],"/",BBDD_Usiarios_Netflix[[#This Row],[Año Último Pago]]))</f>
        <v>45470</v>
      </c>
      <c r="M543" s="4">
        <f>DATEDIF(BBDD_Usiarios_Netflix[[#This Row],[Fecha Suscripción]],BBDD_Usiarios_Netflix[[#This Row],[Fecha Último Pago]],"M")+1</f>
        <v>12</v>
      </c>
      <c r="N543" s="4">
        <f>BBDD_Usiarios_Netflix[[#This Row],[Ingresos Mensuales]]*BBDD_Usiarios_Netflix[[#This Row],[Meses contratados]]</f>
        <v>120</v>
      </c>
      <c r="O543" t="s">
        <v>24</v>
      </c>
      <c r="P543" t="str">
        <f>IF(BBDD_Usiarios_Netflix[[#This Row],[País]]="","Desconocido",BBDD_Usiarios_Netflix[[#This Row],[País]])</f>
        <v>Australia</v>
      </c>
      <c r="Q543">
        <v>41</v>
      </c>
      <c r="R543" t="s">
        <v>25</v>
      </c>
      <c r="S543" t="s">
        <v>26</v>
      </c>
      <c r="T543" t="s">
        <v>27</v>
      </c>
      <c r="U543">
        <f>IF(IFERROR(VLOOKUP(BBDD_Usiarios_Netflix[[#This Row],[Identificador Usuario]],A544:$A$5870,1,FALSE),0)&lt;&gt;0,1,0)</f>
        <v>0</v>
      </c>
      <c r="V543" s="6" t="str">
        <f>IF(BBDD_Usiarios_Netflix[[#This Row],[Duración Plan]]="12 Meses",LEFT(BBDD_Usiarios_Netflix[[#This Row],[Duración Plan]],2),LEFT(BBDD_Usiarios_Netflix[[#This Row],[Duración Plan]],1))</f>
        <v>1</v>
      </c>
      <c r="W5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44" spans="1:23" x14ac:dyDescent="0.25">
      <c r="A544">
        <v>543</v>
      </c>
      <c r="B544" t="s">
        <v>32</v>
      </c>
      <c r="C544">
        <v>12</v>
      </c>
      <c r="D544" s="3">
        <v>27</v>
      </c>
      <c r="E544" s="3">
        <v>7</v>
      </c>
      <c r="F544">
        <v>23</v>
      </c>
      <c r="G544" s="1">
        <f>DATEVALUE(_xlfn.CONCAT(BBDD_Usiarios_Netflix[[#This Row],[Día Suscripción]],"/",BBDD_Usiarios_Netflix[[#This Row],[Mes Suscripción]],"/",BBDD_Usiarios_Netflix[[#This Row],[Año Suscripción]]))</f>
        <v>45134</v>
      </c>
      <c r="H544" s="1">
        <v>28</v>
      </c>
      <c r="I544" s="1">
        <v>6</v>
      </c>
      <c r="J544" s="1">
        <v>24</v>
      </c>
      <c r="K544" s="1" t="str">
        <f>TEXT(BBDD_Usiarios_Netflix[[#This Row],[Fecha Suscripción]],"dddd")</f>
        <v>jueves</v>
      </c>
      <c r="L544" s="1">
        <f>DATEVALUE(_xlfn.CONCAT(BBDD_Usiarios_Netflix[[#This Row],[Día Último Pago]],"/",BBDD_Usiarios_Netflix[[#This Row],[Mes Último Pago]],"/",BBDD_Usiarios_Netflix[[#This Row],[Año Último Pago]]))</f>
        <v>45471</v>
      </c>
      <c r="M544" s="4">
        <f>DATEDIF(BBDD_Usiarios_Netflix[[#This Row],[Fecha Suscripción]],BBDD_Usiarios_Netflix[[#This Row],[Fecha Último Pago]],"M")+1</f>
        <v>12</v>
      </c>
      <c r="N544" s="4">
        <f>BBDD_Usiarios_Netflix[[#This Row],[Ingresos Mensuales]]*BBDD_Usiarios_Netflix[[#This Row],[Meses contratados]]</f>
        <v>144</v>
      </c>
      <c r="O544" t="s">
        <v>42</v>
      </c>
      <c r="P544" t="str">
        <f>IF(BBDD_Usiarios_Netflix[[#This Row],[País]]="","Desconocido",BBDD_Usiarios_Netflix[[#This Row],[País]])</f>
        <v>Reino Unido</v>
      </c>
      <c r="Q544">
        <v>37</v>
      </c>
      <c r="R544" t="s">
        <v>25</v>
      </c>
      <c r="S544" t="s">
        <v>26</v>
      </c>
      <c r="T544" t="s">
        <v>41</v>
      </c>
      <c r="U544">
        <f>IF(IFERROR(VLOOKUP(BBDD_Usiarios_Netflix[[#This Row],[Identificador Usuario]],A545:$A$5870,1,FALSE),0)&lt;&gt;0,1,0)</f>
        <v>0</v>
      </c>
      <c r="V544" s="6" t="str">
        <f>IF(BBDD_Usiarios_Netflix[[#This Row],[Duración Plan]]="12 Meses",LEFT(BBDD_Usiarios_Netflix[[#This Row],[Duración Plan]],2),LEFT(BBDD_Usiarios_Netflix[[#This Row],[Duración Plan]],1))</f>
        <v>12</v>
      </c>
      <c r="W5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45" spans="1:23" x14ac:dyDescent="0.25">
      <c r="A545">
        <v>544</v>
      </c>
      <c r="B545" t="s">
        <v>28</v>
      </c>
      <c r="C545">
        <v>14</v>
      </c>
      <c r="D545" s="3">
        <v>8</v>
      </c>
      <c r="E545" s="3">
        <v>8</v>
      </c>
      <c r="F545">
        <v>23</v>
      </c>
      <c r="G545" s="1">
        <f>DATEVALUE(_xlfn.CONCAT(BBDD_Usiarios_Netflix[[#This Row],[Día Suscripción]],"/",BBDD_Usiarios_Netflix[[#This Row],[Mes Suscripción]],"/",BBDD_Usiarios_Netflix[[#This Row],[Año Suscripción]]))</f>
        <v>45146</v>
      </c>
      <c r="H545" s="1">
        <v>28</v>
      </c>
      <c r="I545" s="1">
        <v>6</v>
      </c>
      <c r="J545" s="1">
        <v>24</v>
      </c>
      <c r="K545" s="1" t="str">
        <f>TEXT(BBDD_Usiarios_Netflix[[#This Row],[Fecha Suscripción]],"dddd")</f>
        <v>martes</v>
      </c>
      <c r="L545" s="1">
        <f>DATEVALUE(_xlfn.CONCAT(BBDD_Usiarios_Netflix[[#This Row],[Día Último Pago]],"/",BBDD_Usiarios_Netflix[[#This Row],[Mes Último Pago]],"/",BBDD_Usiarios_Netflix[[#This Row],[Año Último Pago]]))</f>
        <v>45471</v>
      </c>
      <c r="M545" s="4">
        <f>DATEDIF(BBDD_Usiarios_Netflix[[#This Row],[Fecha Suscripción]],BBDD_Usiarios_Netflix[[#This Row],[Fecha Último Pago]],"M")+1</f>
        <v>11</v>
      </c>
      <c r="N545" s="4">
        <f>BBDD_Usiarios_Netflix[[#This Row],[Ingresos Mensuales]]*BBDD_Usiarios_Netflix[[#This Row],[Meses contratados]]</f>
        <v>154</v>
      </c>
      <c r="O545" t="s">
        <v>39</v>
      </c>
      <c r="P545" t="str">
        <f>IF(BBDD_Usiarios_Netflix[[#This Row],[País]]="","Desconocido",BBDD_Usiarios_Netflix[[#This Row],[País]])</f>
        <v>Canadá</v>
      </c>
      <c r="Q545">
        <v>49</v>
      </c>
      <c r="R545" t="s">
        <v>25</v>
      </c>
      <c r="S545" t="s">
        <v>31</v>
      </c>
      <c r="T545" t="s">
        <v>41</v>
      </c>
      <c r="U545">
        <f>IF(IFERROR(VLOOKUP(BBDD_Usiarios_Netflix[[#This Row],[Identificador Usuario]],A546:$A$5870,1,FALSE),0)&lt;&gt;0,1,0)</f>
        <v>0</v>
      </c>
      <c r="V545" s="6" t="str">
        <f>IF(BBDD_Usiarios_Netflix[[#This Row],[Duración Plan]]="12 Meses",LEFT(BBDD_Usiarios_Netflix[[#This Row],[Duración Plan]],2),LEFT(BBDD_Usiarios_Netflix[[#This Row],[Duración Plan]],1))</f>
        <v>12</v>
      </c>
      <c r="W5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46" spans="1:23" x14ac:dyDescent="0.25">
      <c r="A546">
        <v>545</v>
      </c>
      <c r="B546" t="s">
        <v>23</v>
      </c>
      <c r="C546">
        <v>10</v>
      </c>
      <c r="D546" s="3">
        <v>17</v>
      </c>
      <c r="E546" s="3">
        <v>8</v>
      </c>
      <c r="F546">
        <v>23</v>
      </c>
      <c r="G546" s="1">
        <f>DATEVALUE(_xlfn.CONCAT(BBDD_Usiarios_Netflix[[#This Row],[Día Suscripción]],"/",BBDD_Usiarios_Netflix[[#This Row],[Mes Suscripción]],"/",BBDD_Usiarios_Netflix[[#This Row],[Año Suscripción]]))</f>
        <v>45155</v>
      </c>
      <c r="H546" s="1">
        <v>27</v>
      </c>
      <c r="I546" s="1">
        <v>6</v>
      </c>
      <c r="J546" s="1">
        <v>24</v>
      </c>
      <c r="K546" s="1" t="str">
        <f>TEXT(BBDD_Usiarios_Netflix[[#This Row],[Fecha Suscripción]],"dddd")</f>
        <v>jueves</v>
      </c>
      <c r="L546" s="1">
        <f>DATEVALUE(_xlfn.CONCAT(BBDD_Usiarios_Netflix[[#This Row],[Día Último Pago]],"/",BBDD_Usiarios_Netflix[[#This Row],[Mes Último Pago]],"/",BBDD_Usiarios_Netflix[[#This Row],[Año Último Pago]]))</f>
        <v>45470</v>
      </c>
      <c r="M546" s="4">
        <f>DATEDIF(BBDD_Usiarios_Netflix[[#This Row],[Fecha Suscripción]],BBDD_Usiarios_Netflix[[#This Row],[Fecha Último Pago]],"M")+1</f>
        <v>11</v>
      </c>
      <c r="N546" s="4">
        <f>BBDD_Usiarios_Netflix[[#This Row],[Ingresos Mensuales]]*BBDD_Usiarios_Netflix[[#This Row],[Meses contratados]]</f>
        <v>110</v>
      </c>
      <c r="O546" t="s">
        <v>29</v>
      </c>
      <c r="P546" t="str">
        <f>IF(BBDD_Usiarios_Netflix[[#This Row],[País]]="","Desconocido",BBDD_Usiarios_Netflix[[#This Row],[País]])</f>
        <v>EEUU</v>
      </c>
      <c r="Q546">
        <v>29</v>
      </c>
      <c r="R546" t="s">
        <v>25</v>
      </c>
      <c r="S546" t="s">
        <v>34</v>
      </c>
      <c r="T546" t="s">
        <v>27</v>
      </c>
      <c r="U546">
        <f>IF(IFERROR(VLOOKUP(BBDD_Usiarios_Netflix[[#This Row],[Identificador Usuario]],A547:$A$5870,1,FALSE),0)&lt;&gt;0,1,0)</f>
        <v>0</v>
      </c>
      <c r="V546" s="6" t="str">
        <f>IF(BBDD_Usiarios_Netflix[[#This Row],[Duración Plan]]="12 Meses",LEFT(BBDD_Usiarios_Netflix[[#This Row],[Duración Plan]],2),LEFT(BBDD_Usiarios_Netflix[[#This Row],[Duración Plan]],1))</f>
        <v>1</v>
      </c>
      <c r="W5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47" spans="1:23" x14ac:dyDescent="0.25">
      <c r="A547">
        <v>546</v>
      </c>
      <c r="B547" t="s">
        <v>28</v>
      </c>
      <c r="C547">
        <v>14</v>
      </c>
      <c r="D547" s="3">
        <v>20</v>
      </c>
      <c r="E547" s="3">
        <v>8</v>
      </c>
      <c r="F547">
        <v>23</v>
      </c>
      <c r="G547" s="1">
        <f>DATEVALUE(_xlfn.CONCAT(BBDD_Usiarios_Netflix[[#This Row],[Día Suscripción]],"/",BBDD_Usiarios_Netflix[[#This Row],[Mes Suscripción]],"/",BBDD_Usiarios_Netflix[[#This Row],[Año Suscripción]]))</f>
        <v>45158</v>
      </c>
      <c r="H547" s="1">
        <v>26</v>
      </c>
      <c r="I547" s="1">
        <v>6</v>
      </c>
      <c r="J547" s="1">
        <v>24</v>
      </c>
      <c r="K547" s="1" t="str">
        <f>TEXT(BBDD_Usiarios_Netflix[[#This Row],[Fecha Suscripción]],"dddd")</f>
        <v>domingo</v>
      </c>
      <c r="L547" s="1">
        <f>DATEVALUE(_xlfn.CONCAT(BBDD_Usiarios_Netflix[[#This Row],[Día Último Pago]],"/",BBDD_Usiarios_Netflix[[#This Row],[Mes Último Pago]],"/",BBDD_Usiarios_Netflix[[#This Row],[Año Último Pago]]))</f>
        <v>45469</v>
      </c>
      <c r="M547" s="4">
        <f>DATEDIF(BBDD_Usiarios_Netflix[[#This Row],[Fecha Suscripción]],BBDD_Usiarios_Netflix[[#This Row],[Fecha Último Pago]],"M")+1</f>
        <v>11</v>
      </c>
      <c r="N547" s="4">
        <f>BBDD_Usiarios_Netflix[[#This Row],[Ingresos Mensuales]]*BBDD_Usiarios_Netflix[[#This Row],[Meses contratados]]</f>
        <v>154</v>
      </c>
      <c r="O547" t="s">
        <v>24</v>
      </c>
      <c r="P547" t="str">
        <f>IF(BBDD_Usiarios_Netflix[[#This Row],[País]]="","Desconocido",BBDD_Usiarios_Netflix[[#This Row],[País]])</f>
        <v>Australia</v>
      </c>
      <c r="Q547">
        <v>31</v>
      </c>
      <c r="R547" t="s">
        <v>25</v>
      </c>
      <c r="S547" t="s">
        <v>34</v>
      </c>
      <c r="T547" t="s">
        <v>27</v>
      </c>
      <c r="U547">
        <f>IF(IFERROR(VLOOKUP(BBDD_Usiarios_Netflix[[#This Row],[Identificador Usuario]],A548:$A$5870,1,FALSE),0)&lt;&gt;0,1,0)</f>
        <v>0</v>
      </c>
      <c r="V547" s="6" t="str">
        <f>IF(BBDD_Usiarios_Netflix[[#This Row],[Duración Plan]]="12 Meses",LEFT(BBDD_Usiarios_Netflix[[#This Row],[Duración Plan]],2),LEFT(BBDD_Usiarios_Netflix[[#This Row],[Duración Plan]],1))</f>
        <v>1</v>
      </c>
      <c r="W5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48" spans="1:23" x14ac:dyDescent="0.25">
      <c r="A548">
        <v>547</v>
      </c>
      <c r="B548" t="s">
        <v>23</v>
      </c>
      <c r="C548">
        <v>10</v>
      </c>
      <c r="D548" s="3">
        <v>5</v>
      </c>
      <c r="E548" s="3">
        <v>9</v>
      </c>
      <c r="F548">
        <v>23</v>
      </c>
      <c r="G548" s="1">
        <f>DATEVALUE(_xlfn.CONCAT(BBDD_Usiarios_Netflix[[#This Row],[Día Suscripción]],"/",BBDD_Usiarios_Netflix[[#This Row],[Mes Suscripción]],"/",BBDD_Usiarios_Netflix[[#This Row],[Año Suscripción]]))</f>
        <v>45174</v>
      </c>
      <c r="H548" s="1">
        <v>27</v>
      </c>
      <c r="I548" s="1">
        <v>6</v>
      </c>
      <c r="J548" s="1">
        <v>24</v>
      </c>
      <c r="K548" s="1" t="str">
        <f>TEXT(BBDD_Usiarios_Netflix[[#This Row],[Fecha Suscripción]],"dddd")</f>
        <v>martes</v>
      </c>
      <c r="L548" s="1">
        <f>DATEVALUE(_xlfn.CONCAT(BBDD_Usiarios_Netflix[[#This Row],[Día Último Pago]],"/",BBDD_Usiarios_Netflix[[#This Row],[Mes Último Pago]],"/",BBDD_Usiarios_Netflix[[#This Row],[Año Último Pago]]))</f>
        <v>45470</v>
      </c>
      <c r="M548" s="4">
        <f>DATEDIF(BBDD_Usiarios_Netflix[[#This Row],[Fecha Suscripción]],BBDD_Usiarios_Netflix[[#This Row],[Fecha Último Pago]],"M")+1</f>
        <v>10</v>
      </c>
      <c r="N548" s="4">
        <f>BBDD_Usiarios_Netflix[[#This Row],[Ingresos Mensuales]]*BBDD_Usiarios_Netflix[[#This Row],[Meses contratados]]</f>
        <v>100</v>
      </c>
      <c r="O548" t="s">
        <v>24</v>
      </c>
      <c r="P548" t="str">
        <f>IF(BBDD_Usiarios_Netflix[[#This Row],[País]]="","Desconocido",BBDD_Usiarios_Netflix[[#This Row],[País]])</f>
        <v>Australia</v>
      </c>
      <c r="Q548">
        <v>39</v>
      </c>
      <c r="R548" t="s">
        <v>25</v>
      </c>
      <c r="S548" t="s">
        <v>31</v>
      </c>
      <c r="T548" t="s">
        <v>38</v>
      </c>
      <c r="U548">
        <f>IF(IFERROR(VLOOKUP(BBDD_Usiarios_Netflix[[#This Row],[Identificador Usuario]],A549:$A$5870,1,FALSE),0)&lt;&gt;0,1,0)</f>
        <v>0</v>
      </c>
      <c r="V548" s="6" t="str">
        <f>IF(BBDD_Usiarios_Netflix[[#This Row],[Duración Plan]]="12 Meses",LEFT(BBDD_Usiarios_Netflix[[#This Row],[Duración Plan]],2),LEFT(BBDD_Usiarios_Netflix[[#This Row],[Duración Plan]],1))</f>
        <v>3</v>
      </c>
      <c r="W5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49" spans="1:23" x14ac:dyDescent="0.25">
      <c r="A549">
        <v>548</v>
      </c>
      <c r="B549" t="s">
        <v>32</v>
      </c>
      <c r="C549">
        <v>12</v>
      </c>
      <c r="D549" s="3">
        <v>5</v>
      </c>
      <c r="E549" s="3">
        <v>9</v>
      </c>
      <c r="F549">
        <v>23</v>
      </c>
      <c r="G549" s="1">
        <f>DATEVALUE(_xlfn.CONCAT(BBDD_Usiarios_Netflix[[#This Row],[Día Suscripción]],"/",BBDD_Usiarios_Netflix[[#This Row],[Mes Suscripción]],"/",BBDD_Usiarios_Netflix[[#This Row],[Año Suscripción]]))</f>
        <v>45174</v>
      </c>
      <c r="H549" s="1">
        <v>27</v>
      </c>
      <c r="I549" s="1">
        <v>6</v>
      </c>
      <c r="J549" s="1">
        <v>24</v>
      </c>
      <c r="K549" s="1" t="str">
        <f>TEXT(BBDD_Usiarios_Netflix[[#This Row],[Fecha Suscripción]],"dddd")</f>
        <v>martes</v>
      </c>
      <c r="L549" s="1">
        <f>DATEVALUE(_xlfn.CONCAT(BBDD_Usiarios_Netflix[[#This Row],[Día Último Pago]],"/",BBDD_Usiarios_Netflix[[#This Row],[Mes Último Pago]],"/",BBDD_Usiarios_Netflix[[#This Row],[Año Último Pago]]))</f>
        <v>45470</v>
      </c>
      <c r="M549" s="4">
        <f>DATEDIF(BBDD_Usiarios_Netflix[[#This Row],[Fecha Suscripción]],BBDD_Usiarios_Netflix[[#This Row],[Fecha Último Pago]],"M")+1</f>
        <v>10</v>
      </c>
      <c r="N549" s="4">
        <f>BBDD_Usiarios_Netflix[[#This Row],[Ingresos Mensuales]]*BBDD_Usiarios_Netflix[[#This Row],[Meses contratados]]</f>
        <v>120</v>
      </c>
      <c r="O549" t="s">
        <v>43</v>
      </c>
      <c r="P549" t="str">
        <f>IF(BBDD_Usiarios_Netflix[[#This Row],[País]]="","Desconocido",BBDD_Usiarios_Netflix[[#This Row],[País]])</f>
        <v>Alemania</v>
      </c>
      <c r="Q549">
        <v>51</v>
      </c>
      <c r="R549" t="s">
        <v>30</v>
      </c>
      <c r="S549" t="s">
        <v>26</v>
      </c>
      <c r="T549" t="s">
        <v>27</v>
      </c>
      <c r="U549">
        <f>IF(IFERROR(VLOOKUP(BBDD_Usiarios_Netflix[[#This Row],[Identificador Usuario]],A550:$A$5870,1,FALSE),0)&lt;&gt;0,1,0)</f>
        <v>0</v>
      </c>
      <c r="V549" s="6" t="str">
        <f>IF(BBDD_Usiarios_Netflix[[#This Row],[Duración Plan]]="12 Meses",LEFT(BBDD_Usiarios_Netflix[[#This Row],[Duración Plan]],2),LEFT(BBDD_Usiarios_Netflix[[#This Row],[Duración Plan]],1))</f>
        <v>1</v>
      </c>
      <c r="W5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0" spans="1:23" x14ac:dyDescent="0.25">
      <c r="A550">
        <v>549</v>
      </c>
      <c r="B550" t="s">
        <v>32</v>
      </c>
      <c r="C550">
        <v>12</v>
      </c>
      <c r="D550" s="3">
        <v>5</v>
      </c>
      <c r="E550" s="3">
        <v>9</v>
      </c>
      <c r="F550">
        <v>23</v>
      </c>
      <c r="G550" s="1">
        <f>DATEVALUE(_xlfn.CONCAT(BBDD_Usiarios_Netflix[[#This Row],[Día Suscripción]],"/",BBDD_Usiarios_Netflix[[#This Row],[Mes Suscripción]],"/",BBDD_Usiarios_Netflix[[#This Row],[Año Suscripción]]))</f>
        <v>45174</v>
      </c>
      <c r="H550" s="1">
        <v>27</v>
      </c>
      <c r="I550" s="1">
        <v>6</v>
      </c>
      <c r="J550" s="1">
        <v>24</v>
      </c>
      <c r="K550" s="1" t="str">
        <f>TEXT(BBDD_Usiarios_Netflix[[#This Row],[Fecha Suscripción]],"dddd")</f>
        <v>martes</v>
      </c>
      <c r="L550" s="1">
        <f>DATEVALUE(_xlfn.CONCAT(BBDD_Usiarios_Netflix[[#This Row],[Día Último Pago]],"/",BBDD_Usiarios_Netflix[[#This Row],[Mes Último Pago]],"/",BBDD_Usiarios_Netflix[[#This Row],[Año Último Pago]]))</f>
        <v>45470</v>
      </c>
      <c r="M550" s="4">
        <f>DATEDIF(BBDD_Usiarios_Netflix[[#This Row],[Fecha Suscripción]],BBDD_Usiarios_Netflix[[#This Row],[Fecha Último Pago]],"M")+1</f>
        <v>10</v>
      </c>
      <c r="N550" s="4">
        <f>BBDD_Usiarios_Netflix[[#This Row],[Ingresos Mensuales]]*BBDD_Usiarios_Netflix[[#This Row],[Meses contratados]]</f>
        <v>120</v>
      </c>
      <c r="O550" t="s">
        <v>33</v>
      </c>
      <c r="P550" t="str">
        <f>IF(BBDD_Usiarios_Netflix[[#This Row],[País]]="","Desconocido",BBDD_Usiarios_Netflix[[#This Row],[País]])</f>
        <v>Francia</v>
      </c>
      <c r="Q550">
        <v>38</v>
      </c>
      <c r="R550" t="s">
        <v>30</v>
      </c>
      <c r="S550" t="s">
        <v>26</v>
      </c>
      <c r="T550" t="s">
        <v>38</v>
      </c>
      <c r="U550">
        <f>IF(IFERROR(VLOOKUP(BBDD_Usiarios_Netflix[[#This Row],[Identificador Usuario]],A551:$A$5870,1,FALSE),0)&lt;&gt;0,1,0)</f>
        <v>0</v>
      </c>
      <c r="V550" s="6" t="str">
        <f>IF(BBDD_Usiarios_Netflix[[#This Row],[Duración Plan]]="12 Meses",LEFT(BBDD_Usiarios_Netflix[[#This Row],[Duración Plan]],2),LEFT(BBDD_Usiarios_Netflix[[#This Row],[Duración Plan]],1))</f>
        <v>3</v>
      </c>
      <c r="W5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51" spans="1:23" x14ac:dyDescent="0.25">
      <c r="A551">
        <v>550</v>
      </c>
      <c r="B551" t="s">
        <v>23</v>
      </c>
      <c r="C551">
        <v>10</v>
      </c>
      <c r="D551" s="3">
        <v>6</v>
      </c>
      <c r="E551" s="3">
        <v>9</v>
      </c>
      <c r="F551">
        <v>23</v>
      </c>
      <c r="G551" s="1">
        <f>DATEVALUE(_xlfn.CONCAT(BBDD_Usiarios_Netflix[[#This Row],[Día Suscripción]],"/",BBDD_Usiarios_Netflix[[#This Row],[Mes Suscripción]],"/",BBDD_Usiarios_Netflix[[#This Row],[Año Suscripción]]))</f>
        <v>45175</v>
      </c>
      <c r="H551" s="1">
        <v>27</v>
      </c>
      <c r="I551" s="1">
        <v>6</v>
      </c>
      <c r="J551" s="1">
        <v>24</v>
      </c>
      <c r="K551" s="1" t="str">
        <f>TEXT(BBDD_Usiarios_Netflix[[#This Row],[Fecha Suscripción]],"dddd")</f>
        <v>miércoles</v>
      </c>
      <c r="L551" s="1">
        <f>DATEVALUE(_xlfn.CONCAT(BBDD_Usiarios_Netflix[[#This Row],[Día Último Pago]],"/",BBDD_Usiarios_Netflix[[#This Row],[Mes Último Pago]],"/",BBDD_Usiarios_Netflix[[#This Row],[Año Último Pago]]))</f>
        <v>45470</v>
      </c>
      <c r="M551" s="4">
        <f>DATEDIF(BBDD_Usiarios_Netflix[[#This Row],[Fecha Suscripción]],BBDD_Usiarios_Netflix[[#This Row],[Fecha Último Pago]],"M")+1</f>
        <v>10</v>
      </c>
      <c r="N551" s="4">
        <f>BBDD_Usiarios_Netflix[[#This Row],[Ingresos Mensuales]]*BBDD_Usiarios_Netflix[[#This Row],[Meses contratados]]</f>
        <v>100</v>
      </c>
      <c r="O551" t="s">
        <v>33</v>
      </c>
      <c r="P551" t="str">
        <f>IF(BBDD_Usiarios_Netflix[[#This Row],[País]]="","Desconocido",BBDD_Usiarios_Netflix[[#This Row],[País]])</f>
        <v>Francia</v>
      </c>
      <c r="Q551">
        <v>29</v>
      </c>
      <c r="R551" t="s">
        <v>30</v>
      </c>
      <c r="S551" t="s">
        <v>31</v>
      </c>
      <c r="T551" t="s">
        <v>27</v>
      </c>
      <c r="U551">
        <f>IF(IFERROR(VLOOKUP(BBDD_Usiarios_Netflix[[#This Row],[Identificador Usuario]],A552:$A$5870,1,FALSE),0)&lt;&gt;0,1,0)</f>
        <v>0</v>
      </c>
      <c r="V551" s="6" t="str">
        <f>IF(BBDD_Usiarios_Netflix[[#This Row],[Duración Plan]]="12 Meses",LEFT(BBDD_Usiarios_Netflix[[#This Row],[Duración Plan]],2),LEFT(BBDD_Usiarios_Netflix[[#This Row],[Duración Plan]],1))</f>
        <v>1</v>
      </c>
      <c r="W5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2" spans="1:23" x14ac:dyDescent="0.25">
      <c r="A552">
        <v>551</v>
      </c>
      <c r="B552" t="s">
        <v>28</v>
      </c>
      <c r="C552">
        <v>14</v>
      </c>
      <c r="D552" s="3">
        <v>3</v>
      </c>
      <c r="E552" s="3">
        <v>9</v>
      </c>
      <c r="F552">
        <v>23</v>
      </c>
      <c r="G552" s="1">
        <f>DATEVALUE(_xlfn.CONCAT(BBDD_Usiarios_Netflix[[#This Row],[Día Suscripción]],"/",BBDD_Usiarios_Netflix[[#This Row],[Mes Suscripción]],"/",BBDD_Usiarios_Netflix[[#This Row],[Año Suscripción]]))</f>
        <v>45172</v>
      </c>
      <c r="H552" s="1">
        <v>28</v>
      </c>
      <c r="I552" s="1">
        <v>6</v>
      </c>
      <c r="J552" s="1">
        <v>24</v>
      </c>
      <c r="K552" s="1" t="str">
        <f>TEXT(BBDD_Usiarios_Netflix[[#This Row],[Fecha Suscripción]],"dddd")</f>
        <v>domingo</v>
      </c>
      <c r="L552" s="1">
        <f>DATEVALUE(_xlfn.CONCAT(BBDD_Usiarios_Netflix[[#This Row],[Día Último Pago]],"/",BBDD_Usiarios_Netflix[[#This Row],[Mes Último Pago]],"/",BBDD_Usiarios_Netflix[[#This Row],[Año Último Pago]]))</f>
        <v>45471</v>
      </c>
      <c r="M552" s="4">
        <f>DATEDIF(BBDD_Usiarios_Netflix[[#This Row],[Fecha Suscripción]],BBDD_Usiarios_Netflix[[#This Row],[Fecha Último Pago]],"M")+1</f>
        <v>10</v>
      </c>
      <c r="N552" s="4">
        <f>BBDD_Usiarios_Netflix[[#This Row],[Ingresos Mensuales]]*BBDD_Usiarios_Netflix[[#This Row],[Meses contratados]]</f>
        <v>140</v>
      </c>
      <c r="O552" t="s">
        <v>42</v>
      </c>
      <c r="P552" t="str">
        <f>IF(BBDD_Usiarios_Netflix[[#This Row],[País]]="","Desconocido",BBDD_Usiarios_Netflix[[#This Row],[País]])</f>
        <v>Reino Unido</v>
      </c>
      <c r="Q552">
        <v>41</v>
      </c>
      <c r="R552" t="s">
        <v>30</v>
      </c>
      <c r="S552" t="s">
        <v>36</v>
      </c>
      <c r="T552" t="s">
        <v>41</v>
      </c>
      <c r="U552">
        <f>IF(IFERROR(VLOOKUP(BBDD_Usiarios_Netflix[[#This Row],[Identificador Usuario]],A553:$A$5870,1,FALSE),0)&lt;&gt;0,1,0)</f>
        <v>0</v>
      </c>
      <c r="V552" s="6" t="str">
        <f>IF(BBDD_Usiarios_Netflix[[#This Row],[Duración Plan]]="12 Meses",LEFT(BBDD_Usiarios_Netflix[[#This Row],[Duración Plan]],2),LEFT(BBDD_Usiarios_Netflix[[#This Row],[Duración Plan]],1))</f>
        <v>12</v>
      </c>
      <c r="W5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53" spans="1:23" x14ac:dyDescent="0.25">
      <c r="A553">
        <v>552</v>
      </c>
      <c r="B553" t="s">
        <v>23</v>
      </c>
      <c r="C553">
        <v>10</v>
      </c>
      <c r="D553" s="3">
        <v>29</v>
      </c>
      <c r="E553" s="3">
        <v>8</v>
      </c>
      <c r="F553">
        <v>23</v>
      </c>
      <c r="G553" s="1">
        <f>DATEVALUE(_xlfn.CONCAT(BBDD_Usiarios_Netflix[[#This Row],[Día Suscripción]],"/",BBDD_Usiarios_Netflix[[#This Row],[Mes Suscripción]],"/",BBDD_Usiarios_Netflix[[#This Row],[Año Suscripción]]))</f>
        <v>45167</v>
      </c>
      <c r="H553" s="1">
        <v>27</v>
      </c>
      <c r="I553" s="1">
        <v>6</v>
      </c>
      <c r="J553" s="1">
        <v>24</v>
      </c>
      <c r="K553" s="1" t="str">
        <f>TEXT(BBDD_Usiarios_Netflix[[#This Row],[Fecha Suscripción]],"dddd")</f>
        <v>martes</v>
      </c>
      <c r="L553" s="1">
        <f>DATEVALUE(_xlfn.CONCAT(BBDD_Usiarios_Netflix[[#This Row],[Día Último Pago]],"/",BBDD_Usiarios_Netflix[[#This Row],[Mes Último Pago]],"/",BBDD_Usiarios_Netflix[[#This Row],[Año Último Pago]]))</f>
        <v>45470</v>
      </c>
      <c r="M553" s="4">
        <f>DATEDIF(BBDD_Usiarios_Netflix[[#This Row],[Fecha Suscripción]],BBDD_Usiarios_Netflix[[#This Row],[Fecha Último Pago]],"M")+1</f>
        <v>10</v>
      </c>
      <c r="N553" s="4">
        <f>BBDD_Usiarios_Netflix[[#This Row],[Ingresos Mensuales]]*BBDD_Usiarios_Netflix[[#This Row],[Meses contratados]]</f>
        <v>100</v>
      </c>
      <c r="O553" t="s">
        <v>39</v>
      </c>
      <c r="P553" t="str">
        <f>IF(BBDD_Usiarios_Netflix[[#This Row],[País]]="","Desconocido",BBDD_Usiarios_Netflix[[#This Row],[País]])</f>
        <v>Canadá</v>
      </c>
      <c r="Q553">
        <v>48</v>
      </c>
      <c r="R553" t="s">
        <v>30</v>
      </c>
      <c r="S553" t="s">
        <v>31</v>
      </c>
      <c r="T553" t="s">
        <v>38</v>
      </c>
      <c r="U553">
        <f>IF(IFERROR(VLOOKUP(BBDD_Usiarios_Netflix[[#This Row],[Identificador Usuario]],A554:$A$5870,1,FALSE),0)&lt;&gt;0,1,0)</f>
        <v>0</v>
      </c>
      <c r="V553" s="6" t="str">
        <f>IF(BBDD_Usiarios_Netflix[[#This Row],[Duración Plan]]="12 Meses",LEFT(BBDD_Usiarios_Netflix[[#This Row],[Duración Plan]],2),LEFT(BBDD_Usiarios_Netflix[[#This Row],[Duración Plan]],1))</f>
        <v>3</v>
      </c>
      <c r="W5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54" spans="1:23" x14ac:dyDescent="0.25">
      <c r="A554">
        <v>553</v>
      </c>
      <c r="B554" t="s">
        <v>32</v>
      </c>
      <c r="C554">
        <v>12</v>
      </c>
      <c r="D554" s="3">
        <v>27</v>
      </c>
      <c r="E554" s="3">
        <v>8</v>
      </c>
      <c r="F554">
        <v>23</v>
      </c>
      <c r="G554" s="1">
        <f>DATEVALUE(_xlfn.CONCAT(BBDD_Usiarios_Netflix[[#This Row],[Día Suscripción]],"/",BBDD_Usiarios_Netflix[[#This Row],[Mes Suscripción]],"/",BBDD_Usiarios_Netflix[[#This Row],[Año Suscripción]]))</f>
        <v>45165</v>
      </c>
      <c r="H554" s="1">
        <v>28</v>
      </c>
      <c r="I554" s="1">
        <v>6</v>
      </c>
      <c r="J554" s="1">
        <v>24</v>
      </c>
      <c r="K554" s="1" t="str">
        <f>TEXT(BBDD_Usiarios_Netflix[[#This Row],[Fecha Suscripción]],"dddd")</f>
        <v>domingo</v>
      </c>
      <c r="L554" s="1">
        <f>DATEVALUE(_xlfn.CONCAT(BBDD_Usiarios_Netflix[[#This Row],[Día Último Pago]],"/",BBDD_Usiarios_Netflix[[#This Row],[Mes Último Pago]],"/",BBDD_Usiarios_Netflix[[#This Row],[Año Último Pago]]))</f>
        <v>45471</v>
      </c>
      <c r="M554" s="4">
        <f>DATEDIF(BBDD_Usiarios_Netflix[[#This Row],[Fecha Suscripción]],BBDD_Usiarios_Netflix[[#This Row],[Fecha Último Pago]],"M")+1</f>
        <v>11</v>
      </c>
      <c r="N554" s="4">
        <f>BBDD_Usiarios_Netflix[[#This Row],[Ingresos Mensuales]]*BBDD_Usiarios_Netflix[[#This Row],[Meses contratados]]</f>
        <v>132</v>
      </c>
      <c r="O554" t="s">
        <v>33</v>
      </c>
      <c r="P554" t="str">
        <f>IF(BBDD_Usiarios_Netflix[[#This Row],[País]]="","Desconocido",BBDD_Usiarios_Netflix[[#This Row],[País]])</f>
        <v>Francia</v>
      </c>
      <c r="Q554">
        <v>39</v>
      </c>
      <c r="R554" t="s">
        <v>25</v>
      </c>
      <c r="S554" t="s">
        <v>34</v>
      </c>
      <c r="T554" t="s">
        <v>27</v>
      </c>
      <c r="U554">
        <f>IF(IFERROR(VLOOKUP(BBDD_Usiarios_Netflix[[#This Row],[Identificador Usuario]],A555:$A$5870,1,FALSE),0)&lt;&gt;0,1,0)</f>
        <v>0</v>
      </c>
      <c r="V554" s="6" t="str">
        <f>IF(BBDD_Usiarios_Netflix[[#This Row],[Duración Plan]]="12 Meses",LEFT(BBDD_Usiarios_Netflix[[#This Row],[Duración Plan]],2),LEFT(BBDD_Usiarios_Netflix[[#This Row],[Duración Plan]],1))</f>
        <v>1</v>
      </c>
      <c r="W5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5" spans="1:23" x14ac:dyDescent="0.25">
      <c r="A555">
        <v>554</v>
      </c>
      <c r="B555" t="s">
        <v>28</v>
      </c>
      <c r="C555">
        <v>14</v>
      </c>
      <c r="D555" s="3">
        <v>29</v>
      </c>
      <c r="E555" s="3">
        <v>8</v>
      </c>
      <c r="F555">
        <v>23</v>
      </c>
      <c r="G555" s="1">
        <f>DATEVALUE(_xlfn.CONCAT(BBDD_Usiarios_Netflix[[#This Row],[Día Suscripción]],"/",BBDD_Usiarios_Netflix[[#This Row],[Mes Suscripción]],"/",BBDD_Usiarios_Netflix[[#This Row],[Año Suscripción]]))</f>
        <v>45167</v>
      </c>
      <c r="H555" s="1">
        <v>29</v>
      </c>
      <c r="I555" s="1">
        <v>6</v>
      </c>
      <c r="J555" s="1">
        <v>24</v>
      </c>
      <c r="K555" s="1" t="str">
        <f>TEXT(BBDD_Usiarios_Netflix[[#This Row],[Fecha Suscripción]],"dddd")</f>
        <v>martes</v>
      </c>
      <c r="L555" s="1">
        <f>DATEVALUE(_xlfn.CONCAT(BBDD_Usiarios_Netflix[[#This Row],[Día Último Pago]],"/",BBDD_Usiarios_Netflix[[#This Row],[Mes Último Pago]],"/",BBDD_Usiarios_Netflix[[#This Row],[Año Último Pago]]))</f>
        <v>45472</v>
      </c>
      <c r="M555" s="4">
        <f>DATEDIF(BBDD_Usiarios_Netflix[[#This Row],[Fecha Suscripción]],BBDD_Usiarios_Netflix[[#This Row],[Fecha Último Pago]],"M")+1</f>
        <v>11</v>
      </c>
      <c r="N555" s="4">
        <f>BBDD_Usiarios_Netflix[[#This Row],[Ingresos Mensuales]]*BBDD_Usiarios_Netflix[[#This Row],[Meses contratados]]</f>
        <v>154</v>
      </c>
      <c r="O555" t="s">
        <v>43</v>
      </c>
      <c r="P555" t="str">
        <f>IF(BBDD_Usiarios_Netflix[[#This Row],[País]]="","Desconocido",BBDD_Usiarios_Netflix[[#This Row],[País]])</f>
        <v>Alemania</v>
      </c>
      <c r="Q555">
        <v>37</v>
      </c>
      <c r="R555" t="s">
        <v>25</v>
      </c>
      <c r="S555" t="s">
        <v>26</v>
      </c>
      <c r="T555" t="s">
        <v>27</v>
      </c>
      <c r="U555">
        <f>IF(IFERROR(VLOOKUP(BBDD_Usiarios_Netflix[[#This Row],[Identificador Usuario]],A556:$A$5870,1,FALSE),0)&lt;&gt;0,1,0)</f>
        <v>0</v>
      </c>
      <c r="V555" s="6" t="str">
        <f>IF(BBDD_Usiarios_Netflix[[#This Row],[Duración Plan]]="12 Meses",LEFT(BBDD_Usiarios_Netflix[[#This Row],[Duración Plan]],2),LEFT(BBDD_Usiarios_Netflix[[#This Row],[Duración Plan]],1))</f>
        <v>1</v>
      </c>
      <c r="W5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6" spans="1:23" x14ac:dyDescent="0.25">
      <c r="A556">
        <v>555</v>
      </c>
      <c r="B556" t="s">
        <v>23</v>
      </c>
      <c r="C556">
        <v>10</v>
      </c>
      <c r="D556" s="3">
        <v>13</v>
      </c>
      <c r="E556" s="3">
        <v>9</v>
      </c>
      <c r="F556">
        <v>23</v>
      </c>
      <c r="G556" s="1">
        <f>DATEVALUE(_xlfn.CONCAT(BBDD_Usiarios_Netflix[[#This Row],[Día Suscripción]],"/",BBDD_Usiarios_Netflix[[#This Row],[Mes Suscripción]],"/",BBDD_Usiarios_Netflix[[#This Row],[Año Suscripción]]))</f>
        <v>45182</v>
      </c>
      <c r="H556" s="1">
        <v>28</v>
      </c>
      <c r="I556" s="1">
        <v>6</v>
      </c>
      <c r="J556" s="1">
        <v>24</v>
      </c>
      <c r="K556" s="1" t="str">
        <f>TEXT(BBDD_Usiarios_Netflix[[#This Row],[Fecha Suscripción]],"dddd")</f>
        <v>miércoles</v>
      </c>
      <c r="L556" s="1">
        <f>DATEVALUE(_xlfn.CONCAT(BBDD_Usiarios_Netflix[[#This Row],[Día Último Pago]],"/",BBDD_Usiarios_Netflix[[#This Row],[Mes Último Pago]],"/",BBDD_Usiarios_Netflix[[#This Row],[Año Último Pago]]))</f>
        <v>45471</v>
      </c>
      <c r="M556" s="4">
        <f>DATEDIF(BBDD_Usiarios_Netflix[[#This Row],[Fecha Suscripción]],BBDD_Usiarios_Netflix[[#This Row],[Fecha Último Pago]],"M")+1</f>
        <v>10</v>
      </c>
      <c r="N556" s="4">
        <f>BBDD_Usiarios_Netflix[[#This Row],[Ingresos Mensuales]]*BBDD_Usiarios_Netflix[[#This Row],[Meses contratados]]</f>
        <v>100</v>
      </c>
      <c r="O556" t="s">
        <v>33</v>
      </c>
      <c r="P556" t="str">
        <f>IF(BBDD_Usiarios_Netflix[[#This Row],[País]]="","Desconocido",BBDD_Usiarios_Netflix[[#This Row],[País]])</f>
        <v>Francia</v>
      </c>
      <c r="Q556">
        <v>37</v>
      </c>
      <c r="R556" t="s">
        <v>30</v>
      </c>
      <c r="S556" t="s">
        <v>26</v>
      </c>
      <c r="T556" t="s">
        <v>27</v>
      </c>
      <c r="U556">
        <f>IF(IFERROR(VLOOKUP(BBDD_Usiarios_Netflix[[#This Row],[Identificador Usuario]],A557:$A$5870,1,FALSE),0)&lt;&gt;0,1,0)</f>
        <v>0</v>
      </c>
      <c r="V556" s="6" t="str">
        <f>IF(BBDD_Usiarios_Netflix[[#This Row],[Duración Plan]]="12 Meses",LEFT(BBDD_Usiarios_Netflix[[#This Row],[Duración Plan]],2),LEFT(BBDD_Usiarios_Netflix[[#This Row],[Duración Plan]],1))</f>
        <v>1</v>
      </c>
      <c r="W5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7" spans="1:23" x14ac:dyDescent="0.25">
      <c r="A557">
        <v>556</v>
      </c>
      <c r="B557" t="s">
        <v>28</v>
      </c>
      <c r="C557">
        <v>14</v>
      </c>
      <c r="D557" s="3">
        <v>24</v>
      </c>
      <c r="E557" s="3">
        <v>9</v>
      </c>
      <c r="F557">
        <v>23</v>
      </c>
      <c r="G557" s="1">
        <f>DATEVALUE(_xlfn.CONCAT(BBDD_Usiarios_Netflix[[#This Row],[Día Suscripción]],"/",BBDD_Usiarios_Netflix[[#This Row],[Mes Suscripción]],"/",BBDD_Usiarios_Netflix[[#This Row],[Año Suscripción]]))</f>
        <v>45193</v>
      </c>
      <c r="H557" s="1">
        <v>27</v>
      </c>
      <c r="I557" s="1">
        <v>6</v>
      </c>
      <c r="J557" s="1">
        <v>24</v>
      </c>
      <c r="K557" s="1" t="str">
        <f>TEXT(BBDD_Usiarios_Netflix[[#This Row],[Fecha Suscripción]],"dddd")</f>
        <v>domingo</v>
      </c>
      <c r="L557" s="1">
        <f>DATEVALUE(_xlfn.CONCAT(BBDD_Usiarios_Netflix[[#This Row],[Día Último Pago]],"/",BBDD_Usiarios_Netflix[[#This Row],[Mes Último Pago]],"/",BBDD_Usiarios_Netflix[[#This Row],[Año Último Pago]]))</f>
        <v>45470</v>
      </c>
      <c r="M557" s="4">
        <f>DATEDIF(BBDD_Usiarios_Netflix[[#This Row],[Fecha Suscripción]],BBDD_Usiarios_Netflix[[#This Row],[Fecha Último Pago]],"M")+1</f>
        <v>10</v>
      </c>
      <c r="N557" s="4">
        <f>BBDD_Usiarios_Netflix[[#This Row],[Ingresos Mensuales]]*BBDD_Usiarios_Netflix[[#This Row],[Meses contratados]]</f>
        <v>140</v>
      </c>
      <c r="O557" t="s">
        <v>46</v>
      </c>
      <c r="P557" t="str">
        <f>IF(BBDD_Usiarios_Netflix[[#This Row],[País]]="","Desconocido",BBDD_Usiarios_Netflix[[#This Row],[País]])</f>
        <v>Méjico</v>
      </c>
      <c r="Q557">
        <v>34</v>
      </c>
      <c r="R557" t="s">
        <v>25</v>
      </c>
      <c r="S557" t="s">
        <v>26</v>
      </c>
      <c r="T557" t="s">
        <v>41</v>
      </c>
      <c r="U557">
        <f>IF(IFERROR(VLOOKUP(BBDD_Usiarios_Netflix[[#This Row],[Identificador Usuario]],A558:$A$5870,1,FALSE),0)&lt;&gt;0,1,0)</f>
        <v>0</v>
      </c>
      <c r="V557" s="6" t="str">
        <f>IF(BBDD_Usiarios_Netflix[[#This Row],[Duración Plan]]="12 Meses",LEFT(BBDD_Usiarios_Netflix[[#This Row],[Duración Plan]],2),LEFT(BBDD_Usiarios_Netflix[[#This Row],[Duración Plan]],1))</f>
        <v>12</v>
      </c>
      <c r="W5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58" spans="1:23" x14ac:dyDescent="0.25">
      <c r="A558">
        <v>557</v>
      </c>
      <c r="B558" t="s">
        <v>23</v>
      </c>
      <c r="C558">
        <v>10</v>
      </c>
      <c r="D558" s="3">
        <v>5</v>
      </c>
      <c r="E558" s="3">
        <v>10</v>
      </c>
      <c r="F558">
        <v>23</v>
      </c>
      <c r="G558" s="1">
        <f>DATEVALUE(_xlfn.CONCAT(BBDD_Usiarios_Netflix[[#This Row],[Día Suscripción]],"/",BBDD_Usiarios_Netflix[[#This Row],[Mes Suscripción]],"/",BBDD_Usiarios_Netflix[[#This Row],[Año Suscripción]]))</f>
        <v>45204</v>
      </c>
      <c r="H558" s="1">
        <v>29</v>
      </c>
      <c r="I558" s="1">
        <v>6</v>
      </c>
      <c r="J558" s="1">
        <v>24</v>
      </c>
      <c r="K558" s="1" t="str">
        <f>TEXT(BBDD_Usiarios_Netflix[[#This Row],[Fecha Suscripción]],"dddd")</f>
        <v>jueves</v>
      </c>
      <c r="L558" s="1">
        <f>DATEVALUE(_xlfn.CONCAT(BBDD_Usiarios_Netflix[[#This Row],[Día Último Pago]],"/",BBDD_Usiarios_Netflix[[#This Row],[Mes Último Pago]],"/",BBDD_Usiarios_Netflix[[#This Row],[Año Último Pago]]))</f>
        <v>45472</v>
      </c>
      <c r="M558" s="4">
        <f>DATEDIF(BBDD_Usiarios_Netflix[[#This Row],[Fecha Suscripción]],BBDD_Usiarios_Netflix[[#This Row],[Fecha Último Pago]],"M")+1</f>
        <v>9</v>
      </c>
      <c r="N558" s="4">
        <f>BBDD_Usiarios_Netflix[[#This Row],[Ingresos Mensuales]]*BBDD_Usiarios_Netflix[[#This Row],[Meses contratados]]</f>
        <v>90</v>
      </c>
      <c r="O558" t="s">
        <v>44</v>
      </c>
      <c r="P558" t="str">
        <f>IF(BBDD_Usiarios_Netflix[[#This Row],[País]]="","Desconocido",BBDD_Usiarios_Netflix[[#This Row],[País]])</f>
        <v>Desconocido</v>
      </c>
      <c r="Q558">
        <v>37</v>
      </c>
      <c r="R558" t="s">
        <v>25</v>
      </c>
      <c r="S558" t="s">
        <v>26</v>
      </c>
      <c r="T558" t="s">
        <v>27</v>
      </c>
      <c r="U558">
        <f>IF(IFERROR(VLOOKUP(BBDD_Usiarios_Netflix[[#This Row],[Identificador Usuario]],A559:$A$5870,1,FALSE),0)&lt;&gt;0,1,0)</f>
        <v>0</v>
      </c>
      <c r="V558" s="6" t="str">
        <f>IF(BBDD_Usiarios_Netflix[[#This Row],[Duración Plan]]="12 Meses",LEFT(BBDD_Usiarios_Netflix[[#This Row],[Duración Plan]],2),LEFT(BBDD_Usiarios_Netflix[[#This Row],[Duración Plan]],1))</f>
        <v>1</v>
      </c>
      <c r="W5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59" spans="1:23" x14ac:dyDescent="0.25">
      <c r="A559">
        <v>558</v>
      </c>
      <c r="B559" t="s">
        <v>32</v>
      </c>
      <c r="C559">
        <v>12</v>
      </c>
      <c r="D559" s="3">
        <v>18</v>
      </c>
      <c r="E559" s="3">
        <v>10</v>
      </c>
      <c r="F559">
        <v>23</v>
      </c>
      <c r="G559" s="1">
        <f>DATEVALUE(_xlfn.CONCAT(BBDD_Usiarios_Netflix[[#This Row],[Día Suscripción]],"/",BBDD_Usiarios_Netflix[[#This Row],[Mes Suscripción]],"/",BBDD_Usiarios_Netflix[[#This Row],[Año Suscripción]]))</f>
        <v>45217</v>
      </c>
      <c r="H559" s="1">
        <v>30</v>
      </c>
      <c r="I559" s="1">
        <v>6</v>
      </c>
      <c r="J559" s="1">
        <v>24</v>
      </c>
      <c r="K559" s="1" t="str">
        <f>TEXT(BBDD_Usiarios_Netflix[[#This Row],[Fecha Suscripción]],"dddd")</f>
        <v>miércoles</v>
      </c>
      <c r="L559" s="1">
        <f>DATEVALUE(_xlfn.CONCAT(BBDD_Usiarios_Netflix[[#This Row],[Día Último Pago]],"/",BBDD_Usiarios_Netflix[[#This Row],[Mes Último Pago]],"/",BBDD_Usiarios_Netflix[[#This Row],[Año Último Pago]]))</f>
        <v>45473</v>
      </c>
      <c r="M559" s="4">
        <f>DATEDIF(BBDD_Usiarios_Netflix[[#This Row],[Fecha Suscripción]],BBDD_Usiarios_Netflix[[#This Row],[Fecha Último Pago]],"M")+1</f>
        <v>9</v>
      </c>
      <c r="N559" s="4">
        <f>BBDD_Usiarios_Netflix[[#This Row],[Ingresos Mensuales]]*BBDD_Usiarios_Netflix[[#This Row],[Meses contratados]]</f>
        <v>108</v>
      </c>
      <c r="O559" t="s">
        <v>42</v>
      </c>
      <c r="P559" t="str">
        <f>IF(BBDD_Usiarios_Netflix[[#This Row],[País]]="","Desconocido",BBDD_Usiarios_Netflix[[#This Row],[País]])</f>
        <v>Reino Unido</v>
      </c>
      <c r="Q559">
        <v>37</v>
      </c>
      <c r="R559" t="s">
        <v>30</v>
      </c>
      <c r="S559" t="s">
        <v>34</v>
      </c>
      <c r="T559" t="s">
        <v>38</v>
      </c>
      <c r="U559">
        <f>IF(IFERROR(VLOOKUP(BBDD_Usiarios_Netflix[[#This Row],[Identificador Usuario]],A560:$A$5870,1,FALSE),0)&lt;&gt;0,1,0)</f>
        <v>0</v>
      </c>
      <c r="V559" s="6" t="str">
        <f>IF(BBDD_Usiarios_Netflix[[#This Row],[Duración Plan]]="12 Meses",LEFT(BBDD_Usiarios_Netflix[[#This Row],[Duración Plan]],2),LEFT(BBDD_Usiarios_Netflix[[#This Row],[Duración Plan]],1))</f>
        <v>3</v>
      </c>
      <c r="W5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60" spans="1:23" x14ac:dyDescent="0.25">
      <c r="A560">
        <v>559</v>
      </c>
      <c r="B560" t="s">
        <v>32</v>
      </c>
      <c r="C560">
        <v>12</v>
      </c>
      <c r="D560" s="3">
        <v>19</v>
      </c>
      <c r="E560" s="3">
        <v>10</v>
      </c>
      <c r="F560">
        <v>23</v>
      </c>
      <c r="G560" s="1">
        <f>DATEVALUE(_xlfn.CONCAT(BBDD_Usiarios_Netflix[[#This Row],[Día Suscripción]],"/",BBDD_Usiarios_Netflix[[#This Row],[Mes Suscripción]],"/",BBDD_Usiarios_Netflix[[#This Row],[Año Suscripción]]))</f>
        <v>45218</v>
      </c>
      <c r="H560" s="1">
        <v>28</v>
      </c>
      <c r="I560" s="1">
        <v>6</v>
      </c>
      <c r="J560" s="1">
        <v>24</v>
      </c>
      <c r="K560" s="1" t="str">
        <f>TEXT(BBDD_Usiarios_Netflix[[#This Row],[Fecha Suscripción]],"dddd")</f>
        <v>jueves</v>
      </c>
      <c r="L560" s="1">
        <f>DATEVALUE(_xlfn.CONCAT(BBDD_Usiarios_Netflix[[#This Row],[Día Último Pago]],"/",BBDD_Usiarios_Netflix[[#This Row],[Mes Último Pago]],"/",BBDD_Usiarios_Netflix[[#This Row],[Año Último Pago]]))</f>
        <v>45471</v>
      </c>
      <c r="M560" s="4">
        <f>DATEDIF(BBDD_Usiarios_Netflix[[#This Row],[Fecha Suscripción]],BBDD_Usiarios_Netflix[[#This Row],[Fecha Último Pago]],"M")+1</f>
        <v>9</v>
      </c>
      <c r="N560" s="4">
        <f>BBDD_Usiarios_Netflix[[#This Row],[Ingresos Mensuales]]*BBDD_Usiarios_Netflix[[#This Row],[Meses contratados]]</f>
        <v>108</v>
      </c>
      <c r="O560" t="s">
        <v>42</v>
      </c>
      <c r="P560" t="str">
        <f>IF(BBDD_Usiarios_Netflix[[#This Row],[País]]="","Desconocido",BBDD_Usiarios_Netflix[[#This Row],[País]])</f>
        <v>Reino Unido</v>
      </c>
      <c r="Q560">
        <v>51</v>
      </c>
      <c r="R560" t="s">
        <v>30</v>
      </c>
      <c r="S560" t="s">
        <v>31</v>
      </c>
      <c r="T560" t="s">
        <v>27</v>
      </c>
      <c r="U560">
        <f>IF(IFERROR(VLOOKUP(BBDD_Usiarios_Netflix[[#This Row],[Identificador Usuario]],A561:$A$5870,1,FALSE),0)&lt;&gt;0,1,0)</f>
        <v>0</v>
      </c>
      <c r="V560" s="6" t="str">
        <f>IF(BBDD_Usiarios_Netflix[[#This Row],[Duración Plan]]="12 Meses",LEFT(BBDD_Usiarios_Netflix[[#This Row],[Duración Plan]],2),LEFT(BBDD_Usiarios_Netflix[[#This Row],[Duración Plan]],1))</f>
        <v>1</v>
      </c>
      <c r="W5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1" spans="1:23" x14ac:dyDescent="0.25">
      <c r="A561">
        <v>560</v>
      </c>
      <c r="B561" t="s">
        <v>23</v>
      </c>
      <c r="C561">
        <v>10</v>
      </c>
      <c r="D561" s="3">
        <v>14</v>
      </c>
      <c r="E561" s="3">
        <v>10</v>
      </c>
      <c r="F561">
        <v>23</v>
      </c>
      <c r="G561" s="1">
        <f>DATEVALUE(_xlfn.CONCAT(BBDD_Usiarios_Netflix[[#This Row],[Día Suscripción]],"/",BBDD_Usiarios_Netflix[[#This Row],[Mes Suscripción]],"/",BBDD_Usiarios_Netflix[[#This Row],[Año Suscripción]]))</f>
        <v>45213</v>
      </c>
      <c r="H561" s="1">
        <v>29</v>
      </c>
      <c r="I561" s="1">
        <v>6</v>
      </c>
      <c r="J561" s="1">
        <v>24</v>
      </c>
      <c r="K561" s="1" t="str">
        <f>TEXT(BBDD_Usiarios_Netflix[[#This Row],[Fecha Suscripción]],"dddd")</f>
        <v>sábado</v>
      </c>
      <c r="L561" s="1">
        <f>DATEVALUE(_xlfn.CONCAT(BBDD_Usiarios_Netflix[[#This Row],[Día Último Pago]],"/",BBDD_Usiarios_Netflix[[#This Row],[Mes Último Pago]],"/",BBDD_Usiarios_Netflix[[#This Row],[Año Último Pago]]))</f>
        <v>45472</v>
      </c>
      <c r="M561" s="4">
        <f>DATEDIF(BBDD_Usiarios_Netflix[[#This Row],[Fecha Suscripción]],BBDD_Usiarios_Netflix[[#This Row],[Fecha Último Pago]],"M")+1</f>
        <v>9</v>
      </c>
      <c r="N561" s="4">
        <f>BBDD_Usiarios_Netflix[[#This Row],[Ingresos Mensuales]]*BBDD_Usiarios_Netflix[[#This Row],[Meses contratados]]</f>
        <v>90</v>
      </c>
      <c r="O561" t="s">
        <v>40</v>
      </c>
      <c r="P561" t="str">
        <f>IF(BBDD_Usiarios_Netflix[[#This Row],[País]]="","Desconocido",BBDD_Usiarios_Netflix[[#This Row],[País]])</f>
        <v>Italia</v>
      </c>
      <c r="Q561">
        <v>45</v>
      </c>
      <c r="R561" t="s">
        <v>25</v>
      </c>
      <c r="S561" t="s">
        <v>36</v>
      </c>
      <c r="T561" t="s">
        <v>27</v>
      </c>
      <c r="U561">
        <f>IF(IFERROR(VLOOKUP(BBDD_Usiarios_Netflix[[#This Row],[Identificador Usuario]],A562:$A$5870,1,FALSE),0)&lt;&gt;0,1,0)</f>
        <v>0</v>
      </c>
      <c r="V561" s="6" t="str">
        <f>IF(BBDD_Usiarios_Netflix[[#This Row],[Duración Plan]]="12 Meses",LEFT(BBDD_Usiarios_Netflix[[#This Row],[Duración Plan]],2),LEFT(BBDD_Usiarios_Netflix[[#This Row],[Duración Plan]],1))</f>
        <v>1</v>
      </c>
      <c r="W5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2" spans="1:23" x14ac:dyDescent="0.25">
      <c r="A562">
        <v>561</v>
      </c>
      <c r="B562" t="s">
        <v>28</v>
      </c>
      <c r="C562">
        <v>14</v>
      </c>
      <c r="D562" s="3">
        <v>30</v>
      </c>
      <c r="E562" s="3">
        <v>9</v>
      </c>
      <c r="F562">
        <v>23</v>
      </c>
      <c r="G562" s="1">
        <f>DATEVALUE(_xlfn.CONCAT(BBDD_Usiarios_Netflix[[#This Row],[Día Suscripción]],"/",BBDD_Usiarios_Netflix[[#This Row],[Mes Suscripción]],"/",BBDD_Usiarios_Netflix[[#This Row],[Año Suscripción]]))</f>
        <v>45199</v>
      </c>
      <c r="H562" s="1">
        <v>28</v>
      </c>
      <c r="I562" s="1">
        <v>6</v>
      </c>
      <c r="J562" s="1">
        <v>24</v>
      </c>
      <c r="K562" s="1" t="str">
        <f>TEXT(BBDD_Usiarios_Netflix[[#This Row],[Fecha Suscripción]],"dddd")</f>
        <v>sábado</v>
      </c>
      <c r="L562" s="1">
        <f>DATEVALUE(_xlfn.CONCAT(BBDD_Usiarios_Netflix[[#This Row],[Día Último Pago]],"/",BBDD_Usiarios_Netflix[[#This Row],[Mes Último Pago]],"/",BBDD_Usiarios_Netflix[[#This Row],[Año Último Pago]]))</f>
        <v>45471</v>
      </c>
      <c r="M562" s="4">
        <f>DATEDIF(BBDD_Usiarios_Netflix[[#This Row],[Fecha Suscripción]],BBDD_Usiarios_Netflix[[#This Row],[Fecha Último Pago]],"M")+1</f>
        <v>9</v>
      </c>
      <c r="N562" s="4">
        <f>BBDD_Usiarios_Netflix[[#This Row],[Ingresos Mensuales]]*BBDD_Usiarios_Netflix[[#This Row],[Meses contratados]]</f>
        <v>126</v>
      </c>
      <c r="O562" t="s">
        <v>40</v>
      </c>
      <c r="P562" t="str">
        <f>IF(BBDD_Usiarios_Netflix[[#This Row],[País]]="","Desconocido",BBDD_Usiarios_Netflix[[#This Row],[País]])</f>
        <v>Italia</v>
      </c>
      <c r="Q562">
        <v>29</v>
      </c>
      <c r="R562" t="s">
        <v>30</v>
      </c>
      <c r="S562" t="s">
        <v>36</v>
      </c>
      <c r="T562" t="s">
        <v>38</v>
      </c>
      <c r="U562">
        <f>IF(IFERROR(VLOOKUP(BBDD_Usiarios_Netflix[[#This Row],[Identificador Usuario]],A563:$A$5870,1,FALSE),0)&lt;&gt;0,1,0)</f>
        <v>0</v>
      </c>
      <c r="V562" s="6" t="str">
        <f>IF(BBDD_Usiarios_Netflix[[#This Row],[Duración Plan]]="12 Meses",LEFT(BBDD_Usiarios_Netflix[[#This Row],[Duración Plan]],2),LEFT(BBDD_Usiarios_Netflix[[#This Row],[Duración Plan]],1))</f>
        <v>3</v>
      </c>
      <c r="W5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63" spans="1:23" x14ac:dyDescent="0.25">
      <c r="A563">
        <v>562</v>
      </c>
      <c r="B563" t="s">
        <v>23</v>
      </c>
      <c r="C563">
        <v>10</v>
      </c>
      <c r="D563" s="3">
        <v>19</v>
      </c>
      <c r="E563" s="3">
        <v>9</v>
      </c>
      <c r="F563">
        <v>23</v>
      </c>
      <c r="G563" s="1">
        <f>DATEVALUE(_xlfn.CONCAT(BBDD_Usiarios_Netflix[[#This Row],[Día Suscripción]],"/",BBDD_Usiarios_Netflix[[#This Row],[Mes Suscripción]],"/",BBDD_Usiarios_Netflix[[#This Row],[Año Suscripción]]))</f>
        <v>45188</v>
      </c>
      <c r="H563" s="1">
        <v>30</v>
      </c>
      <c r="I563" s="1">
        <v>6</v>
      </c>
      <c r="J563" s="1">
        <v>24</v>
      </c>
      <c r="K563" s="1" t="str">
        <f>TEXT(BBDD_Usiarios_Netflix[[#This Row],[Fecha Suscripción]],"dddd")</f>
        <v>martes</v>
      </c>
      <c r="L563" s="1">
        <f>DATEVALUE(_xlfn.CONCAT(BBDD_Usiarios_Netflix[[#This Row],[Día Último Pago]],"/",BBDD_Usiarios_Netflix[[#This Row],[Mes Último Pago]],"/",BBDD_Usiarios_Netflix[[#This Row],[Año Último Pago]]))</f>
        <v>45473</v>
      </c>
      <c r="M563" s="4">
        <f>DATEDIF(BBDD_Usiarios_Netflix[[#This Row],[Fecha Suscripción]],BBDD_Usiarios_Netflix[[#This Row],[Fecha Último Pago]],"M")+1</f>
        <v>10</v>
      </c>
      <c r="N563" s="4">
        <f>BBDD_Usiarios_Netflix[[#This Row],[Ingresos Mensuales]]*BBDD_Usiarios_Netflix[[#This Row],[Meses contratados]]</f>
        <v>100</v>
      </c>
      <c r="O563" t="s">
        <v>33</v>
      </c>
      <c r="P563" t="str">
        <f>IF(BBDD_Usiarios_Netflix[[#This Row],[País]]="","Desconocido",BBDD_Usiarios_Netflix[[#This Row],[País]])</f>
        <v>Francia</v>
      </c>
      <c r="Q563">
        <v>37</v>
      </c>
      <c r="R563" t="s">
        <v>25</v>
      </c>
      <c r="S563" t="s">
        <v>36</v>
      </c>
      <c r="T563" t="s">
        <v>27</v>
      </c>
      <c r="U563">
        <f>IF(IFERROR(VLOOKUP(BBDD_Usiarios_Netflix[[#This Row],[Identificador Usuario]],A564:$A$5870,1,FALSE),0)&lt;&gt;0,1,0)</f>
        <v>0</v>
      </c>
      <c r="V563" s="6" t="str">
        <f>IF(BBDD_Usiarios_Netflix[[#This Row],[Duración Plan]]="12 Meses",LEFT(BBDD_Usiarios_Netflix[[#This Row],[Duración Plan]],2),LEFT(BBDD_Usiarios_Netflix[[#This Row],[Duración Plan]],1))</f>
        <v>1</v>
      </c>
      <c r="W5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4" spans="1:23" x14ac:dyDescent="0.25">
      <c r="A564">
        <v>563</v>
      </c>
      <c r="B564" t="s">
        <v>32</v>
      </c>
      <c r="C564">
        <v>12</v>
      </c>
      <c r="D564" s="3">
        <v>24</v>
      </c>
      <c r="E564" s="3">
        <v>9</v>
      </c>
      <c r="F564">
        <v>23</v>
      </c>
      <c r="G564" s="1">
        <f>DATEVALUE(_xlfn.CONCAT(BBDD_Usiarios_Netflix[[#This Row],[Día Suscripción]],"/",BBDD_Usiarios_Netflix[[#This Row],[Mes Suscripción]],"/",BBDD_Usiarios_Netflix[[#This Row],[Año Suscripción]]))</f>
        <v>45193</v>
      </c>
      <c r="H564" s="1">
        <v>29</v>
      </c>
      <c r="I564" s="1">
        <v>6</v>
      </c>
      <c r="J564" s="1">
        <v>24</v>
      </c>
      <c r="K564" s="1" t="str">
        <f>TEXT(BBDD_Usiarios_Netflix[[#This Row],[Fecha Suscripción]],"dddd")</f>
        <v>domingo</v>
      </c>
      <c r="L564" s="1">
        <f>DATEVALUE(_xlfn.CONCAT(BBDD_Usiarios_Netflix[[#This Row],[Día Último Pago]],"/",BBDD_Usiarios_Netflix[[#This Row],[Mes Último Pago]],"/",BBDD_Usiarios_Netflix[[#This Row],[Año Último Pago]]))</f>
        <v>45472</v>
      </c>
      <c r="M564" s="4">
        <f>DATEDIF(BBDD_Usiarios_Netflix[[#This Row],[Fecha Suscripción]],BBDD_Usiarios_Netflix[[#This Row],[Fecha Último Pago]],"M")+1</f>
        <v>10</v>
      </c>
      <c r="N564" s="4">
        <f>BBDD_Usiarios_Netflix[[#This Row],[Ingresos Mensuales]]*BBDD_Usiarios_Netflix[[#This Row],[Meses contratados]]</f>
        <v>120</v>
      </c>
      <c r="O564" t="s">
        <v>33</v>
      </c>
      <c r="P564" t="str">
        <f>IF(BBDD_Usiarios_Netflix[[#This Row],[País]]="","Desconocido",BBDD_Usiarios_Netflix[[#This Row],[País]])</f>
        <v>Francia</v>
      </c>
      <c r="Q564">
        <v>34</v>
      </c>
      <c r="R564" t="s">
        <v>25</v>
      </c>
      <c r="S564" t="s">
        <v>31</v>
      </c>
      <c r="T564" t="s">
        <v>38</v>
      </c>
      <c r="U564">
        <f>IF(IFERROR(VLOOKUP(BBDD_Usiarios_Netflix[[#This Row],[Identificador Usuario]],A565:$A$5870,1,FALSE),0)&lt;&gt;0,1,0)</f>
        <v>0</v>
      </c>
      <c r="V564" s="6" t="str">
        <f>IF(BBDD_Usiarios_Netflix[[#This Row],[Duración Plan]]="12 Meses",LEFT(BBDD_Usiarios_Netflix[[#This Row],[Duración Plan]],2),LEFT(BBDD_Usiarios_Netflix[[#This Row],[Duración Plan]],1))</f>
        <v>3</v>
      </c>
      <c r="W5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65" spans="1:23" x14ac:dyDescent="0.25">
      <c r="A565">
        <v>564</v>
      </c>
      <c r="B565" t="s">
        <v>28</v>
      </c>
      <c r="C565">
        <v>14</v>
      </c>
      <c r="D565" s="3">
        <v>28</v>
      </c>
      <c r="E565" s="3">
        <v>9</v>
      </c>
      <c r="F565">
        <v>23</v>
      </c>
      <c r="G565" s="1">
        <f>DATEVALUE(_xlfn.CONCAT(BBDD_Usiarios_Netflix[[#This Row],[Día Suscripción]],"/",BBDD_Usiarios_Netflix[[#This Row],[Mes Suscripción]],"/",BBDD_Usiarios_Netflix[[#This Row],[Año Suscripción]]))</f>
        <v>45197</v>
      </c>
      <c r="H565" s="1">
        <v>29</v>
      </c>
      <c r="I565" s="1">
        <v>6</v>
      </c>
      <c r="J565" s="1">
        <v>24</v>
      </c>
      <c r="K565" s="1" t="str">
        <f>TEXT(BBDD_Usiarios_Netflix[[#This Row],[Fecha Suscripción]],"dddd")</f>
        <v>jueves</v>
      </c>
      <c r="L565" s="1">
        <f>DATEVALUE(_xlfn.CONCAT(BBDD_Usiarios_Netflix[[#This Row],[Día Último Pago]],"/",BBDD_Usiarios_Netflix[[#This Row],[Mes Último Pago]],"/",BBDD_Usiarios_Netflix[[#This Row],[Año Último Pago]]))</f>
        <v>45472</v>
      </c>
      <c r="M565" s="4">
        <f>DATEDIF(BBDD_Usiarios_Netflix[[#This Row],[Fecha Suscripción]],BBDD_Usiarios_Netflix[[#This Row],[Fecha Último Pago]],"M")+1</f>
        <v>10</v>
      </c>
      <c r="N565" s="4">
        <f>BBDD_Usiarios_Netflix[[#This Row],[Ingresos Mensuales]]*BBDD_Usiarios_Netflix[[#This Row],[Meses contratados]]</f>
        <v>140</v>
      </c>
      <c r="O565" t="s">
        <v>24</v>
      </c>
      <c r="P565" t="str">
        <f>IF(BBDD_Usiarios_Netflix[[#This Row],[País]]="","Desconocido",BBDD_Usiarios_Netflix[[#This Row],[País]])</f>
        <v>Australia</v>
      </c>
      <c r="Q565">
        <v>35</v>
      </c>
      <c r="R565" t="s">
        <v>25</v>
      </c>
      <c r="S565" t="s">
        <v>26</v>
      </c>
      <c r="T565" t="s">
        <v>35</v>
      </c>
      <c r="U565">
        <f>IF(IFERROR(VLOOKUP(BBDD_Usiarios_Netflix[[#This Row],[Identificador Usuario]],A566:$A$5870,1,FALSE),0)&lt;&gt;0,1,0)</f>
        <v>0</v>
      </c>
      <c r="V565" s="6" t="str">
        <f>IF(BBDD_Usiarios_Netflix[[#This Row],[Duración Plan]]="12 Meses",LEFT(BBDD_Usiarios_Netflix[[#This Row],[Duración Plan]],2),LEFT(BBDD_Usiarios_Netflix[[#This Row],[Duración Plan]],1))</f>
        <v>6</v>
      </c>
      <c r="W5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66" spans="1:23" x14ac:dyDescent="0.25">
      <c r="A566">
        <v>565</v>
      </c>
      <c r="B566" t="s">
        <v>23</v>
      </c>
      <c r="C566">
        <v>10</v>
      </c>
      <c r="D566" s="3">
        <v>29</v>
      </c>
      <c r="E566" s="3">
        <v>9</v>
      </c>
      <c r="F566">
        <v>23</v>
      </c>
      <c r="G566" s="1">
        <f>DATEVALUE(_xlfn.CONCAT(BBDD_Usiarios_Netflix[[#This Row],[Día Suscripción]],"/",BBDD_Usiarios_Netflix[[#This Row],[Mes Suscripción]],"/",BBDD_Usiarios_Netflix[[#This Row],[Año Suscripción]]))</f>
        <v>45198</v>
      </c>
      <c r="H566" s="1">
        <v>27</v>
      </c>
      <c r="I566" s="1">
        <v>6</v>
      </c>
      <c r="J566" s="1">
        <v>24</v>
      </c>
      <c r="K566" s="1" t="str">
        <f>TEXT(BBDD_Usiarios_Netflix[[#This Row],[Fecha Suscripción]],"dddd")</f>
        <v>viernes</v>
      </c>
      <c r="L566" s="1">
        <f>DATEVALUE(_xlfn.CONCAT(BBDD_Usiarios_Netflix[[#This Row],[Día Último Pago]],"/",BBDD_Usiarios_Netflix[[#This Row],[Mes Último Pago]],"/",BBDD_Usiarios_Netflix[[#This Row],[Año Último Pago]]))</f>
        <v>45470</v>
      </c>
      <c r="M566" s="4">
        <f>DATEDIF(BBDD_Usiarios_Netflix[[#This Row],[Fecha Suscripción]],BBDD_Usiarios_Netflix[[#This Row],[Fecha Último Pago]],"M")+1</f>
        <v>9</v>
      </c>
      <c r="N566" s="4">
        <f>BBDD_Usiarios_Netflix[[#This Row],[Ingresos Mensuales]]*BBDD_Usiarios_Netflix[[#This Row],[Meses contratados]]</f>
        <v>90</v>
      </c>
      <c r="O566" t="s">
        <v>42</v>
      </c>
      <c r="P566" t="str">
        <f>IF(BBDD_Usiarios_Netflix[[#This Row],[País]]="","Desconocido",BBDD_Usiarios_Netflix[[#This Row],[País]])</f>
        <v>Reino Unido</v>
      </c>
      <c r="Q566">
        <v>29</v>
      </c>
      <c r="R566" t="s">
        <v>25</v>
      </c>
      <c r="S566" t="s">
        <v>36</v>
      </c>
      <c r="T566" t="s">
        <v>27</v>
      </c>
      <c r="U566">
        <f>IF(IFERROR(VLOOKUP(BBDD_Usiarios_Netflix[[#This Row],[Identificador Usuario]],A567:$A$5870,1,FALSE),0)&lt;&gt;0,1,0)</f>
        <v>0</v>
      </c>
      <c r="V566" s="6" t="str">
        <f>IF(BBDD_Usiarios_Netflix[[#This Row],[Duración Plan]]="12 Meses",LEFT(BBDD_Usiarios_Netflix[[#This Row],[Duración Plan]],2),LEFT(BBDD_Usiarios_Netflix[[#This Row],[Duración Plan]],1))</f>
        <v>1</v>
      </c>
      <c r="W5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7" spans="1:23" x14ac:dyDescent="0.25">
      <c r="A567">
        <v>566</v>
      </c>
      <c r="B567" t="s">
        <v>28</v>
      </c>
      <c r="C567">
        <v>14</v>
      </c>
      <c r="D567" s="3">
        <v>11</v>
      </c>
      <c r="E567" s="3">
        <v>10</v>
      </c>
      <c r="F567">
        <v>23</v>
      </c>
      <c r="G567" s="1">
        <f>DATEVALUE(_xlfn.CONCAT(BBDD_Usiarios_Netflix[[#This Row],[Día Suscripción]],"/",BBDD_Usiarios_Netflix[[#This Row],[Mes Suscripción]],"/",BBDD_Usiarios_Netflix[[#This Row],[Año Suscripción]]))</f>
        <v>45210</v>
      </c>
      <c r="H567" s="1">
        <v>1</v>
      </c>
      <c r="I567" s="1">
        <v>7</v>
      </c>
      <c r="J567" s="1">
        <v>24</v>
      </c>
      <c r="K567" s="1" t="str">
        <f>TEXT(BBDD_Usiarios_Netflix[[#This Row],[Fecha Suscripción]],"dddd")</f>
        <v>miércoles</v>
      </c>
      <c r="L567" s="1">
        <f>DATEVALUE(_xlfn.CONCAT(BBDD_Usiarios_Netflix[[#This Row],[Día Último Pago]],"/",BBDD_Usiarios_Netflix[[#This Row],[Mes Último Pago]],"/",BBDD_Usiarios_Netflix[[#This Row],[Año Último Pago]]))</f>
        <v>45474</v>
      </c>
      <c r="M567" s="4">
        <f>DATEDIF(BBDD_Usiarios_Netflix[[#This Row],[Fecha Suscripción]],BBDD_Usiarios_Netflix[[#This Row],[Fecha Último Pago]],"M")+1</f>
        <v>9</v>
      </c>
      <c r="N567" s="4">
        <f>BBDD_Usiarios_Netflix[[#This Row],[Ingresos Mensuales]]*BBDD_Usiarios_Netflix[[#This Row],[Meses contratados]]</f>
        <v>126</v>
      </c>
      <c r="O567" t="s">
        <v>39</v>
      </c>
      <c r="P567" t="str">
        <f>IF(BBDD_Usiarios_Netflix[[#This Row],[País]]="","Desconocido",BBDD_Usiarios_Netflix[[#This Row],[País]])</f>
        <v>Canadá</v>
      </c>
      <c r="Q567">
        <v>45</v>
      </c>
      <c r="R567" t="s">
        <v>25</v>
      </c>
      <c r="S567" t="s">
        <v>31</v>
      </c>
      <c r="T567" t="s">
        <v>27</v>
      </c>
      <c r="U567">
        <f>IF(IFERROR(VLOOKUP(BBDD_Usiarios_Netflix[[#This Row],[Identificador Usuario]],A568:$A$5870,1,FALSE),0)&lt;&gt;0,1,0)</f>
        <v>0</v>
      </c>
      <c r="V567" s="6" t="str">
        <f>IF(BBDD_Usiarios_Netflix[[#This Row],[Duración Plan]]="12 Meses",LEFT(BBDD_Usiarios_Netflix[[#This Row],[Duración Plan]],2),LEFT(BBDD_Usiarios_Netflix[[#This Row],[Duración Plan]],1))</f>
        <v>1</v>
      </c>
      <c r="W5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8" spans="1:23" x14ac:dyDescent="0.25">
      <c r="A568">
        <v>567</v>
      </c>
      <c r="B568" t="s">
        <v>23</v>
      </c>
      <c r="C568">
        <v>10</v>
      </c>
      <c r="D568" s="3">
        <v>8</v>
      </c>
      <c r="E568" s="3">
        <v>11</v>
      </c>
      <c r="F568">
        <v>23</v>
      </c>
      <c r="G568" s="1">
        <f>DATEVALUE(_xlfn.CONCAT(BBDD_Usiarios_Netflix[[#This Row],[Día Suscripción]],"/",BBDD_Usiarios_Netflix[[#This Row],[Mes Suscripción]],"/",BBDD_Usiarios_Netflix[[#This Row],[Año Suscripción]]))</f>
        <v>45238</v>
      </c>
      <c r="H568" s="1">
        <v>29</v>
      </c>
      <c r="I568" s="1">
        <v>6</v>
      </c>
      <c r="J568" s="1">
        <v>24</v>
      </c>
      <c r="K568" s="1" t="str">
        <f>TEXT(BBDD_Usiarios_Netflix[[#This Row],[Fecha Suscripción]],"dddd")</f>
        <v>miércoles</v>
      </c>
      <c r="L568" s="1">
        <f>DATEVALUE(_xlfn.CONCAT(BBDD_Usiarios_Netflix[[#This Row],[Día Último Pago]],"/",BBDD_Usiarios_Netflix[[#This Row],[Mes Último Pago]],"/",BBDD_Usiarios_Netflix[[#This Row],[Año Último Pago]]))</f>
        <v>45472</v>
      </c>
      <c r="M568" s="4">
        <f>DATEDIF(BBDD_Usiarios_Netflix[[#This Row],[Fecha Suscripción]],BBDD_Usiarios_Netflix[[#This Row],[Fecha Último Pago]],"M")+1</f>
        <v>8</v>
      </c>
      <c r="N568" s="4">
        <f>BBDD_Usiarios_Netflix[[#This Row],[Ingresos Mensuales]]*BBDD_Usiarios_Netflix[[#This Row],[Meses contratados]]</f>
        <v>80</v>
      </c>
      <c r="O568" t="s">
        <v>42</v>
      </c>
      <c r="P568" t="str">
        <f>IF(BBDD_Usiarios_Netflix[[#This Row],[País]]="","Desconocido",BBDD_Usiarios_Netflix[[#This Row],[País]])</f>
        <v>Reino Unido</v>
      </c>
      <c r="Q568">
        <v>36</v>
      </c>
      <c r="R568" t="s">
        <v>25</v>
      </c>
      <c r="S568" t="s">
        <v>34</v>
      </c>
      <c r="T568" t="s">
        <v>27</v>
      </c>
      <c r="U568">
        <f>IF(IFERROR(VLOOKUP(BBDD_Usiarios_Netflix[[#This Row],[Identificador Usuario]],A569:$A$5870,1,FALSE),0)&lt;&gt;0,1,0)</f>
        <v>0</v>
      </c>
      <c r="V568" s="6" t="str">
        <f>IF(BBDD_Usiarios_Netflix[[#This Row],[Duración Plan]]="12 Meses",LEFT(BBDD_Usiarios_Netflix[[#This Row],[Duración Plan]],2),LEFT(BBDD_Usiarios_Netflix[[#This Row],[Duración Plan]],1))</f>
        <v>1</v>
      </c>
      <c r="W5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69" spans="1:23" x14ac:dyDescent="0.25">
      <c r="A569">
        <v>568</v>
      </c>
      <c r="B569" t="s">
        <v>32</v>
      </c>
      <c r="C569">
        <v>12</v>
      </c>
      <c r="D569" s="3">
        <v>16</v>
      </c>
      <c r="E569" s="3">
        <v>11</v>
      </c>
      <c r="F569">
        <v>23</v>
      </c>
      <c r="G569" s="1">
        <f>DATEVALUE(_xlfn.CONCAT(BBDD_Usiarios_Netflix[[#This Row],[Día Suscripción]],"/",BBDD_Usiarios_Netflix[[#This Row],[Mes Suscripción]],"/",BBDD_Usiarios_Netflix[[#This Row],[Año Suscripción]]))</f>
        <v>45246</v>
      </c>
      <c r="H569" s="1">
        <v>28</v>
      </c>
      <c r="I569" s="1">
        <v>6</v>
      </c>
      <c r="J569" s="1">
        <v>24</v>
      </c>
      <c r="K569" s="1" t="str">
        <f>TEXT(BBDD_Usiarios_Netflix[[#This Row],[Fecha Suscripción]],"dddd")</f>
        <v>jueves</v>
      </c>
      <c r="L569" s="1">
        <f>DATEVALUE(_xlfn.CONCAT(BBDD_Usiarios_Netflix[[#This Row],[Día Último Pago]],"/",BBDD_Usiarios_Netflix[[#This Row],[Mes Último Pago]],"/",BBDD_Usiarios_Netflix[[#This Row],[Año Último Pago]]))</f>
        <v>45471</v>
      </c>
      <c r="M569" s="4">
        <f>DATEDIF(BBDD_Usiarios_Netflix[[#This Row],[Fecha Suscripción]],BBDD_Usiarios_Netflix[[#This Row],[Fecha Último Pago]],"M")+1</f>
        <v>8</v>
      </c>
      <c r="N569" s="4">
        <f>BBDD_Usiarios_Netflix[[#This Row],[Ingresos Mensuales]]*BBDD_Usiarios_Netflix[[#This Row],[Meses contratados]]</f>
        <v>96</v>
      </c>
      <c r="O569" t="s">
        <v>44</v>
      </c>
      <c r="P569" t="str">
        <f>IF(BBDD_Usiarios_Netflix[[#This Row],[País]]="","Desconocido",BBDD_Usiarios_Netflix[[#This Row],[País]])</f>
        <v>Desconocido</v>
      </c>
      <c r="Q569">
        <v>27</v>
      </c>
      <c r="R569" t="s">
        <v>30</v>
      </c>
      <c r="S569" t="s">
        <v>36</v>
      </c>
      <c r="T569" t="s">
        <v>38</v>
      </c>
      <c r="U569">
        <f>IF(IFERROR(VLOOKUP(BBDD_Usiarios_Netflix[[#This Row],[Identificador Usuario]],A570:$A$5870,1,FALSE),0)&lt;&gt;0,1,0)</f>
        <v>0</v>
      </c>
      <c r="V569" s="6" t="str">
        <f>IF(BBDD_Usiarios_Netflix[[#This Row],[Duración Plan]]="12 Meses",LEFT(BBDD_Usiarios_Netflix[[#This Row],[Duración Plan]],2),LEFT(BBDD_Usiarios_Netflix[[#This Row],[Duración Plan]],1))</f>
        <v>3</v>
      </c>
      <c r="W5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70" spans="1:23" x14ac:dyDescent="0.25">
      <c r="A570">
        <v>569</v>
      </c>
      <c r="B570" t="s">
        <v>32</v>
      </c>
      <c r="C570">
        <v>12</v>
      </c>
      <c r="D570" s="3">
        <v>17</v>
      </c>
      <c r="E570" s="3">
        <v>11</v>
      </c>
      <c r="F570">
        <v>23</v>
      </c>
      <c r="G570" s="1">
        <f>DATEVALUE(_xlfn.CONCAT(BBDD_Usiarios_Netflix[[#This Row],[Día Suscripción]],"/",BBDD_Usiarios_Netflix[[#This Row],[Mes Suscripción]],"/",BBDD_Usiarios_Netflix[[#This Row],[Año Suscripción]]))</f>
        <v>45247</v>
      </c>
      <c r="H570" s="1">
        <v>26</v>
      </c>
      <c r="I570" s="1">
        <v>6</v>
      </c>
      <c r="J570" s="1">
        <v>24</v>
      </c>
      <c r="K570" s="1" t="str">
        <f>TEXT(BBDD_Usiarios_Netflix[[#This Row],[Fecha Suscripción]],"dddd")</f>
        <v>viernes</v>
      </c>
      <c r="L570" s="1">
        <f>DATEVALUE(_xlfn.CONCAT(BBDD_Usiarios_Netflix[[#This Row],[Día Último Pago]],"/",BBDD_Usiarios_Netflix[[#This Row],[Mes Último Pago]],"/",BBDD_Usiarios_Netflix[[#This Row],[Año Último Pago]]))</f>
        <v>45469</v>
      </c>
      <c r="M570" s="4">
        <f>DATEDIF(BBDD_Usiarios_Netflix[[#This Row],[Fecha Suscripción]],BBDD_Usiarios_Netflix[[#This Row],[Fecha Último Pago]],"M")+1</f>
        <v>8</v>
      </c>
      <c r="N570" s="4">
        <f>BBDD_Usiarios_Netflix[[#This Row],[Ingresos Mensuales]]*BBDD_Usiarios_Netflix[[#This Row],[Meses contratados]]</f>
        <v>96</v>
      </c>
      <c r="O570" t="s">
        <v>42</v>
      </c>
      <c r="P570" t="str">
        <f>IF(BBDD_Usiarios_Netflix[[#This Row],[País]]="","Desconocido",BBDD_Usiarios_Netflix[[#This Row],[País]])</f>
        <v>Reino Unido</v>
      </c>
      <c r="Q570">
        <v>31</v>
      </c>
      <c r="R570" t="s">
        <v>30</v>
      </c>
      <c r="S570" t="s">
        <v>36</v>
      </c>
      <c r="T570" t="s">
        <v>27</v>
      </c>
      <c r="U570">
        <f>IF(IFERROR(VLOOKUP(BBDD_Usiarios_Netflix[[#This Row],[Identificador Usuario]],A571:$A$5870,1,FALSE),0)&lt;&gt;0,1,0)</f>
        <v>0</v>
      </c>
      <c r="V570" s="6" t="str">
        <f>IF(BBDD_Usiarios_Netflix[[#This Row],[Duración Plan]]="12 Meses",LEFT(BBDD_Usiarios_Netflix[[#This Row],[Duración Plan]],2),LEFT(BBDD_Usiarios_Netflix[[#This Row],[Duración Plan]],1))</f>
        <v>1</v>
      </c>
      <c r="W5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71" spans="1:23" x14ac:dyDescent="0.25">
      <c r="A571">
        <v>570</v>
      </c>
      <c r="B571" t="s">
        <v>23</v>
      </c>
      <c r="C571">
        <v>10</v>
      </c>
      <c r="D571" s="3">
        <v>20</v>
      </c>
      <c r="E571" s="3">
        <v>11</v>
      </c>
      <c r="F571">
        <v>23</v>
      </c>
      <c r="G571" s="1">
        <f>DATEVALUE(_xlfn.CONCAT(BBDD_Usiarios_Netflix[[#This Row],[Día Suscripción]],"/",BBDD_Usiarios_Netflix[[#This Row],[Mes Suscripción]],"/",BBDD_Usiarios_Netflix[[#This Row],[Año Suscripción]]))</f>
        <v>45250</v>
      </c>
      <c r="H571" s="1">
        <v>30</v>
      </c>
      <c r="I571" s="1">
        <v>6</v>
      </c>
      <c r="J571" s="1">
        <v>24</v>
      </c>
      <c r="K571" s="1" t="str">
        <f>TEXT(BBDD_Usiarios_Netflix[[#This Row],[Fecha Suscripción]],"dddd")</f>
        <v>lunes</v>
      </c>
      <c r="L571" s="1">
        <f>DATEVALUE(_xlfn.CONCAT(BBDD_Usiarios_Netflix[[#This Row],[Día Último Pago]],"/",BBDD_Usiarios_Netflix[[#This Row],[Mes Último Pago]],"/",BBDD_Usiarios_Netflix[[#This Row],[Año Último Pago]]))</f>
        <v>45473</v>
      </c>
      <c r="M571" s="4">
        <f>DATEDIF(BBDD_Usiarios_Netflix[[#This Row],[Fecha Suscripción]],BBDD_Usiarios_Netflix[[#This Row],[Fecha Último Pago]],"M")+1</f>
        <v>8</v>
      </c>
      <c r="N571" s="4">
        <f>BBDD_Usiarios_Netflix[[#This Row],[Ingresos Mensuales]]*BBDD_Usiarios_Netflix[[#This Row],[Meses contratados]]</f>
        <v>80</v>
      </c>
      <c r="O571" t="s">
        <v>33</v>
      </c>
      <c r="P571" t="str">
        <f>IF(BBDD_Usiarios_Netflix[[#This Row],[País]]="","Desconocido",BBDD_Usiarios_Netflix[[#This Row],[País]])</f>
        <v>Francia</v>
      </c>
      <c r="Q571">
        <v>41</v>
      </c>
      <c r="R571" t="s">
        <v>30</v>
      </c>
      <c r="S571" t="s">
        <v>36</v>
      </c>
      <c r="T571" t="s">
        <v>27</v>
      </c>
      <c r="U571">
        <f>IF(IFERROR(VLOOKUP(BBDD_Usiarios_Netflix[[#This Row],[Identificador Usuario]],A572:$A$5870,1,FALSE),0)&lt;&gt;0,1,0)</f>
        <v>0</v>
      </c>
      <c r="V571" s="6" t="str">
        <f>IF(BBDD_Usiarios_Netflix[[#This Row],[Duración Plan]]="12 Meses",LEFT(BBDD_Usiarios_Netflix[[#This Row],[Duración Plan]],2),LEFT(BBDD_Usiarios_Netflix[[#This Row],[Duración Plan]],1))</f>
        <v>1</v>
      </c>
      <c r="W5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72" spans="1:23" x14ac:dyDescent="0.25">
      <c r="A572">
        <v>571</v>
      </c>
      <c r="B572" t="s">
        <v>28</v>
      </c>
      <c r="C572">
        <v>14</v>
      </c>
      <c r="D572" s="3">
        <v>21</v>
      </c>
      <c r="E572" s="3">
        <v>11</v>
      </c>
      <c r="F572">
        <v>23</v>
      </c>
      <c r="G572" s="1">
        <f>DATEVALUE(_xlfn.CONCAT(BBDD_Usiarios_Netflix[[#This Row],[Día Suscripción]],"/",BBDD_Usiarios_Netflix[[#This Row],[Mes Suscripción]],"/",BBDD_Usiarios_Netflix[[#This Row],[Año Suscripción]]))</f>
        <v>45251</v>
      </c>
      <c r="H572" s="1">
        <v>29</v>
      </c>
      <c r="I572" s="1">
        <v>6</v>
      </c>
      <c r="J572" s="1">
        <v>24</v>
      </c>
      <c r="K572" s="1" t="str">
        <f>TEXT(BBDD_Usiarios_Netflix[[#This Row],[Fecha Suscripción]],"dddd")</f>
        <v>martes</v>
      </c>
      <c r="L572" s="1">
        <f>DATEVALUE(_xlfn.CONCAT(BBDD_Usiarios_Netflix[[#This Row],[Día Último Pago]],"/",BBDD_Usiarios_Netflix[[#This Row],[Mes Último Pago]],"/",BBDD_Usiarios_Netflix[[#This Row],[Año Último Pago]]))</f>
        <v>45472</v>
      </c>
      <c r="M572" s="4">
        <f>DATEDIF(BBDD_Usiarios_Netflix[[#This Row],[Fecha Suscripción]],BBDD_Usiarios_Netflix[[#This Row],[Fecha Último Pago]],"M")+1</f>
        <v>8</v>
      </c>
      <c r="N572" s="4">
        <f>BBDD_Usiarios_Netflix[[#This Row],[Ingresos Mensuales]]*BBDD_Usiarios_Netflix[[#This Row],[Meses contratados]]</f>
        <v>112</v>
      </c>
      <c r="O572" t="s">
        <v>29</v>
      </c>
      <c r="P572" t="str">
        <f>IF(BBDD_Usiarios_Netflix[[#This Row],[País]]="","Desconocido",BBDD_Usiarios_Netflix[[#This Row],[País]])</f>
        <v>EEUU</v>
      </c>
      <c r="Q572">
        <v>37</v>
      </c>
      <c r="R572" t="s">
        <v>25</v>
      </c>
      <c r="S572" t="s">
        <v>34</v>
      </c>
      <c r="T572" t="s">
        <v>38</v>
      </c>
      <c r="U572">
        <f>IF(IFERROR(VLOOKUP(BBDD_Usiarios_Netflix[[#This Row],[Identificador Usuario]],A573:$A$5870,1,FALSE),0)&lt;&gt;0,1,0)</f>
        <v>0</v>
      </c>
      <c r="V572" s="6" t="str">
        <f>IF(BBDD_Usiarios_Netflix[[#This Row],[Duración Plan]]="12 Meses",LEFT(BBDD_Usiarios_Netflix[[#This Row],[Duración Plan]],2),LEFT(BBDD_Usiarios_Netflix[[#This Row],[Duración Plan]],1))</f>
        <v>3</v>
      </c>
      <c r="W5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73" spans="1:23" x14ac:dyDescent="0.25">
      <c r="A573">
        <v>572</v>
      </c>
      <c r="B573" t="s">
        <v>23</v>
      </c>
      <c r="C573">
        <v>10</v>
      </c>
      <c r="D573" s="3">
        <v>21</v>
      </c>
      <c r="E573" s="3">
        <v>11</v>
      </c>
      <c r="F573">
        <v>23</v>
      </c>
      <c r="G573" s="1">
        <f>DATEVALUE(_xlfn.CONCAT(BBDD_Usiarios_Netflix[[#This Row],[Día Suscripción]],"/",BBDD_Usiarios_Netflix[[#This Row],[Mes Suscripción]],"/",BBDD_Usiarios_Netflix[[#This Row],[Año Suscripción]]))</f>
        <v>45251</v>
      </c>
      <c r="H573" s="1">
        <v>30</v>
      </c>
      <c r="I573" s="1">
        <v>6</v>
      </c>
      <c r="J573" s="1">
        <v>24</v>
      </c>
      <c r="K573" s="1" t="str">
        <f>TEXT(BBDD_Usiarios_Netflix[[#This Row],[Fecha Suscripción]],"dddd")</f>
        <v>martes</v>
      </c>
      <c r="L573" s="1">
        <f>DATEVALUE(_xlfn.CONCAT(BBDD_Usiarios_Netflix[[#This Row],[Día Último Pago]],"/",BBDD_Usiarios_Netflix[[#This Row],[Mes Último Pago]],"/",BBDD_Usiarios_Netflix[[#This Row],[Año Último Pago]]))</f>
        <v>45473</v>
      </c>
      <c r="M573" s="4">
        <f>DATEDIF(BBDD_Usiarios_Netflix[[#This Row],[Fecha Suscripción]],BBDD_Usiarios_Netflix[[#This Row],[Fecha Último Pago]],"M")+1</f>
        <v>8</v>
      </c>
      <c r="N573" s="4">
        <f>BBDD_Usiarios_Netflix[[#This Row],[Ingresos Mensuales]]*BBDD_Usiarios_Netflix[[#This Row],[Meses contratados]]</f>
        <v>80</v>
      </c>
      <c r="O573" t="s">
        <v>40</v>
      </c>
      <c r="P573" t="str">
        <f>IF(BBDD_Usiarios_Netflix[[#This Row],[País]]="","Desconocido",BBDD_Usiarios_Netflix[[#This Row],[País]])</f>
        <v>Italia</v>
      </c>
      <c r="Q573">
        <v>49</v>
      </c>
      <c r="R573" t="s">
        <v>30</v>
      </c>
      <c r="S573" t="s">
        <v>31</v>
      </c>
      <c r="T573" t="s">
        <v>35</v>
      </c>
      <c r="U573">
        <f>IF(IFERROR(VLOOKUP(BBDD_Usiarios_Netflix[[#This Row],[Identificador Usuario]],A574:$A$5870,1,FALSE),0)&lt;&gt;0,1,0)</f>
        <v>0</v>
      </c>
      <c r="V573" s="6" t="str">
        <f>IF(BBDD_Usiarios_Netflix[[#This Row],[Duración Plan]]="12 Meses",LEFT(BBDD_Usiarios_Netflix[[#This Row],[Duración Plan]],2),LEFT(BBDD_Usiarios_Netflix[[#This Row],[Duración Plan]],1))</f>
        <v>6</v>
      </c>
      <c r="W5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74" spans="1:23" x14ac:dyDescent="0.25">
      <c r="A574">
        <v>573</v>
      </c>
      <c r="B574" t="s">
        <v>32</v>
      </c>
      <c r="C574">
        <v>12</v>
      </c>
      <c r="D574" s="3">
        <v>18</v>
      </c>
      <c r="E574" s="3">
        <v>11</v>
      </c>
      <c r="F574">
        <v>23</v>
      </c>
      <c r="G574" s="1">
        <f>DATEVALUE(_xlfn.CONCAT(BBDD_Usiarios_Netflix[[#This Row],[Día Suscripción]],"/",BBDD_Usiarios_Netflix[[#This Row],[Mes Suscripción]],"/",BBDD_Usiarios_Netflix[[#This Row],[Año Suscripción]]))</f>
        <v>45248</v>
      </c>
      <c r="H574" s="1">
        <v>27</v>
      </c>
      <c r="I574" s="1">
        <v>6</v>
      </c>
      <c r="J574" s="1">
        <v>24</v>
      </c>
      <c r="K574" s="1" t="str">
        <f>TEXT(BBDD_Usiarios_Netflix[[#This Row],[Fecha Suscripción]],"dddd")</f>
        <v>sábado</v>
      </c>
      <c r="L574" s="1">
        <f>DATEVALUE(_xlfn.CONCAT(BBDD_Usiarios_Netflix[[#This Row],[Día Último Pago]],"/",BBDD_Usiarios_Netflix[[#This Row],[Mes Último Pago]],"/",BBDD_Usiarios_Netflix[[#This Row],[Año Último Pago]]))</f>
        <v>45470</v>
      </c>
      <c r="M574" s="4">
        <f>DATEDIF(BBDD_Usiarios_Netflix[[#This Row],[Fecha Suscripción]],BBDD_Usiarios_Netflix[[#This Row],[Fecha Último Pago]],"M")+1</f>
        <v>8</v>
      </c>
      <c r="N574" s="4">
        <f>BBDD_Usiarios_Netflix[[#This Row],[Ingresos Mensuales]]*BBDD_Usiarios_Netflix[[#This Row],[Meses contratados]]</f>
        <v>96</v>
      </c>
      <c r="O574" t="s">
        <v>45</v>
      </c>
      <c r="P574" t="str">
        <f>IF(BBDD_Usiarios_Netflix[[#This Row],[País]]="","Desconocido",BBDD_Usiarios_Netflix[[#This Row],[País]])</f>
        <v>España</v>
      </c>
      <c r="Q574">
        <v>37</v>
      </c>
      <c r="R574" t="s">
        <v>30</v>
      </c>
      <c r="S574" t="s">
        <v>34</v>
      </c>
      <c r="T574" t="s">
        <v>35</v>
      </c>
      <c r="U574">
        <f>IF(IFERROR(VLOOKUP(BBDD_Usiarios_Netflix[[#This Row],[Identificador Usuario]],A575:$A$5870,1,FALSE),0)&lt;&gt;0,1,0)</f>
        <v>0</v>
      </c>
      <c r="V574" s="6" t="str">
        <f>IF(BBDD_Usiarios_Netflix[[#This Row],[Duración Plan]]="12 Meses",LEFT(BBDD_Usiarios_Netflix[[#This Row],[Duración Plan]],2),LEFT(BBDD_Usiarios_Netflix[[#This Row],[Duración Plan]],1))</f>
        <v>6</v>
      </c>
      <c r="W5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75" spans="1:23" x14ac:dyDescent="0.25">
      <c r="A575">
        <v>574</v>
      </c>
      <c r="B575" t="s">
        <v>28</v>
      </c>
      <c r="C575">
        <v>14</v>
      </c>
      <c r="D575" s="3">
        <v>26</v>
      </c>
      <c r="E575" s="3">
        <v>10</v>
      </c>
      <c r="F575">
        <v>23</v>
      </c>
      <c r="G575" s="1">
        <f>DATEVALUE(_xlfn.CONCAT(BBDD_Usiarios_Netflix[[#This Row],[Día Suscripción]],"/",BBDD_Usiarios_Netflix[[#This Row],[Mes Suscripción]],"/",BBDD_Usiarios_Netflix[[#This Row],[Año Suscripción]]))</f>
        <v>45225</v>
      </c>
      <c r="H575" s="1">
        <v>29</v>
      </c>
      <c r="I575" s="1">
        <v>6</v>
      </c>
      <c r="J575" s="1">
        <v>24</v>
      </c>
      <c r="K575" s="1" t="str">
        <f>TEXT(BBDD_Usiarios_Netflix[[#This Row],[Fecha Suscripción]],"dddd")</f>
        <v>jueves</v>
      </c>
      <c r="L575" s="1">
        <f>DATEVALUE(_xlfn.CONCAT(BBDD_Usiarios_Netflix[[#This Row],[Día Último Pago]],"/",BBDD_Usiarios_Netflix[[#This Row],[Mes Último Pago]],"/",BBDD_Usiarios_Netflix[[#This Row],[Año Último Pago]]))</f>
        <v>45472</v>
      </c>
      <c r="M575" s="4">
        <f>DATEDIF(BBDD_Usiarios_Netflix[[#This Row],[Fecha Suscripción]],BBDD_Usiarios_Netflix[[#This Row],[Fecha Último Pago]],"M")+1</f>
        <v>9</v>
      </c>
      <c r="N575" s="4">
        <f>BBDD_Usiarios_Netflix[[#This Row],[Ingresos Mensuales]]*BBDD_Usiarios_Netflix[[#This Row],[Meses contratados]]</f>
        <v>126</v>
      </c>
      <c r="O575" t="s">
        <v>42</v>
      </c>
      <c r="P575" t="str">
        <f>IF(BBDD_Usiarios_Netflix[[#This Row],[País]]="","Desconocido",BBDD_Usiarios_Netflix[[#This Row],[País]])</f>
        <v>Reino Unido</v>
      </c>
      <c r="Q575">
        <v>36</v>
      </c>
      <c r="R575" t="s">
        <v>30</v>
      </c>
      <c r="S575" t="s">
        <v>26</v>
      </c>
      <c r="T575" t="s">
        <v>27</v>
      </c>
      <c r="U575">
        <f>IF(IFERROR(VLOOKUP(BBDD_Usiarios_Netflix[[#This Row],[Identificador Usuario]],A576:$A$5870,1,FALSE),0)&lt;&gt;0,1,0)</f>
        <v>0</v>
      </c>
      <c r="V575" s="6" t="str">
        <f>IF(BBDD_Usiarios_Netflix[[#This Row],[Duración Plan]]="12 Meses",LEFT(BBDD_Usiarios_Netflix[[#This Row],[Duración Plan]],2),LEFT(BBDD_Usiarios_Netflix[[#This Row],[Duración Plan]],1))</f>
        <v>1</v>
      </c>
      <c r="W5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76" spans="1:23" x14ac:dyDescent="0.25">
      <c r="A576">
        <v>575</v>
      </c>
      <c r="B576" t="s">
        <v>23</v>
      </c>
      <c r="C576">
        <v>10</v>
      </c>
      <c r="D576" s="3">
        <v>25</v>
      </c>
      <c r="E576" s="3">
        <v>10</v>
      </c>
      <c r="F576">
        <v>23</v>
      </c>
      <c r="G576" s="1">
        <f>DATEVALUE(_xlfn.CONCAT(BBDD_Usiarios_Netflix[[#This Row],[Día Suscripción]],"/",BBDD_Usiarios_Netflix[[#This Row],[Mes Suscripción]],"/",BBDD_Usiarios_Netflix[[#This Row],[Año Suscripción]]))</f>
        <v>45224</v>
      </c>
      <c r="H576" s="1">
        <v>28</v>
      </c>
      <c r="I576" s="1">
        <v>6</v>
      </c>
      <c r="J576" s="1">
        <v>24</v>
      </c>
      <c r="K576" s="1" t="str">
        <f>TEXT(BBDD_Usiarios_Netflix[[#This Row],[Fecha Suscripción]],"dddd")</f>
        <v>miércoles</v>
      </c>
      <c r="L576" s="1">
        <f>DATEVALUE(_xlfn.CONCAT(BBDD_Usiarios_Netflix[[#This Row],[Día Último Pago]],"/",BBDD_Usiarios_Netflix[[#This Row],[Mes Último Pago]],"/",BBDD_Usiarios_Netflix[[#This Row],[Año Último Pago]]))</f>
        <v>45471</v>
      </c>
      <c r="M576" s="4">
        <f>DATEDIF(BBDD_Usiarios_Netflix[[#This Row],[Fecha Suscripción]],BBDD_Usiarios_Netflix[[#This Row],[Fecha Último Pago]],"M")+1</f>
        <v>9</v>
      </c>
      <c r="N576" s="4">
        <f>BBDD_Usiarios_Netflix[[#This Row],[Ingresos Mensuales]]*BBDD_Usiarios_Netflix[[#This Row],[Meses contratados]]</f>
        <v>90</v>
      </c>
      <c r="O576" t="s">
        <v>42</v>
      </c>
      <c r="P576" t="str">
        <f>IF(BBDD_Usiarios_Netflix[[#This Row],[País]]="","Desconocido",BBDD_Usiarios_Netflix[[#This Row],[País]])</f>
        <v>Reino Unido</v>
      </c>
      <c r="Q576">
        <v>38</v>
      </c>
      <c r="R576" t="s">
        <v>30</v>
      </c>
      <c r="S576" t="s">
        <v>34</v>
      </c>
      <c r="T576" t="s">
        <v>27</v>
      </c>
      <c r="U576">
        <f>IF(IFERROR(VLOOKUP(BBDD_Usiarios_Netflix[[#This Row],[Identificador Usuario]],A577:$A$5870,1,FALSE),0)&lt;&gt;0,1,0)</f>
        <v>0</v>
      </c>
      <c r="V576" s="6" t="str">
        <f>IF(BBDD_Usiarios_Netflix[[#This Row],[Duración Plan]]="12 Meses",LEFT(BBDD_Usiarios_Netflix[[#This Row],[Duración Plan]],2),LEFT(BBDD_Usiarios_Netflix[[#This Row],[Duración Plan]],1))</f>
        <v>1</v>
      </c>
      <c r="W5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77" spans="1:23" x14ac:dyDescent="0.25">
      <c r="A577">
        <v>576</v>
      </c>
      <c r="B577" t="s">
        <v>28</v>
      </c>
      <c r="C577">
        <v>14</v>
      </c>
      <c r="D577" s="3">
        <v>26</v>
      </c>
      <c r="E577" s="3">
        <v>10</v>
      </c>
      <c r="F577">
        <v>23</v>
      </c>
      <c r="G577" s="1">
        <f>DATEVALUE(_xlfn.CONCAT(BBDD_Usiarios_Netflix[[#This Row],[Día Suscripción]],"/",BBDD_Usiarios_Netflix[[#This Row],[Mes Suscripción]],"/",BBDD_Usiarios_Netflix[[#This Row],[Año Suscripción]]))</f>
        <v>45225</v>
      </c>
      <c r="H577" s="1">
        <v>30</v>
      </c>
      <c r="I577" s="1">
        <v>6</v>
      </c>
      <c r="J577" s="1">
        <v>24</v>
      </c>
      <c r="K577" s="1" t="str">
        <f>TEXT(BBDD_Usiarios_Netflix[[#This Row],[Fecha Suscripción]],"dddd")</f>
        <v>jueves</v>
      </c>
      <c r="L577" s="1">
        <f>DATEVALUE(_xlfn.CONCAT(BBDD_Usiarios_Netflix[[#This Row],[Día Último Pago]],"/",BBDD_Usiarios_Netflix[[#This Row],[Mes Último Pago]],"/",BBDD_Usiarios_Netflix[[#This Row],[Año Último Pago]]))</f>
        <v>45473</v>
      </c>
      <c r="M577" s="4">
        <f>DATEDIF(BBDD_Usiarios_Netflix[[#This Row],[Fecha Suscripción]],BBDD_Usiarios_Netflix[[#This Row],[Fecha Último Pago]],"M")+1</f>
        <v>9</v>
      </c>
      <c r="N577" s="4">
        <f>BBDD_Usiarios_Netflix[[#This Row],[Ingresos Mensuales]]*BBDD_Usiarios_Netflix[[#This Row],[Meses contratados]]</f>
        <v>126</v>
      </c>
      <c r="O577" t="s">
        <v>24</v>
      </c>
      <c r="P577" t="str">
        <f>IF(BBDD_Usiarios_Netflix[[#This Row],[País]]="","Desconocido",BBDD_Usiarios_Netflix[[#This Row],[País]])</f>
        <v>Australia</v>
      </c>
      <c r="Q577">
        <v>49</v>
      </c>
      <c r="R577" t="s">
        <v>30</v>
      </c>
      <c r="S577" t="s">
        <v>31</v>
      </c>
      <c r="T577" t="s">
        <v>41</v>
      </c>
      <c r="U577">
        <f>IF(IFERROR(VLOOKUP(BBDD_Usiarios_Netflix[[#This Row],[Identificador Usuario]],A578:$A$5870,1,FALSE),0)&lt;&gt;0,1,0)</f>
        <v>0</v>
      </c>
      <c r="V577" s="6" t="str">
        <f>IF(BBDD_Usiarios_Netflix[[#This Row],[Duración Plan]]="12 Meses",LEFT(BBDD_Usiarios_Netflix[[#This Row],[Duración Plan]],2),LEFT(BBDD_Usiarios_Netflix[[#This Row],[Duración Plan]],1))</f>
        <v>12</v>
      </c>
      <c r="W5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78" spans="1:23" x14ac:dyDescent="0.25">
      <c r="A578">
        <v>577</v>
      </c>
      <c r="B578" t="s">
        <v>23</v>
      </c>
      <c r="C578">
        <v>10</v>
      </c>
      <c r="D578" s="3">
        <v>23</v>
      </c>
      <c r="E578" s="3">
        <v>10</v>
      </c>
      <c r="F578">
        <v>23</v>
      </c>
      <c r="G578" s="1">
        <f>DATEVALUE(_xlfn.CONCAT(BBDD_Usiarios_Netflix[[#This Row],[Día Suscripción]],"/",BBDD_Usiarios_Netflix[[#This Row],[Mes Suscripción]],"/",BBDD_Usiarios_Netflix[[#This Row],[Año Suscripción]]))</f>
        <v>45222</v>
      </c>
      <c r="H578" s="1">
        <v>26</v>
      </c>
      <c r="I578" s="1">
        <v>6</v>
      </c>
      <c r="J578" s="1">
        <v>24</v>
      </c>
      <c r="K578" s="1" t="str">
        <f>TEXT(BBDD_Usiarios_Netflix[[#This Row],[Fecha Suscripción]],"dddd")</f>
        <v>lunes</v>
      </c>
      <c r="L578" s="1">
        <f>DATEVALUE(_xlfn.CONCAT(BBDD_Usiarios_Netflix[[#This Row],[Día Último Pago]],"/",BBDD_Usiarios_Netflix[[#This Row],[Mes Último Pago]],"/",BBDD_Usiarios_Netflix[[#This Row],[Año Último Pago]]))</f>
        <v>45469</v>
      </c>
      <c r="M578" s="4">
        <f>DATEDIF(BBDD_Usiarios_Netflix[[#This Row],[Fecha Suscripción]],BBDD_Usiarios_Netflix[[#This Row],[Fecha Último Pago]],"M")+1</f>
        <v>9</v>
      </c>
      <c r="N578" s="4">
        <f>BBDD_Usiarios_Netflix[[#This Row],[Ingresos Mensuales]]*BBDD_Usiarios_Netflix[[#This Row],[Meses contratados]]</f>
        <v>90</v>
      </c>
      <c r="O578" t="s">
        <v>45</v>
      </c>
      <c r="P578" t="str">
        <f>IF(BBDD_Usiarios_Netflix[[#This Row],[País]]="","Desconocido",BBDD_Usiarios_Netflix[[#This Row],[País]])</f>
        <v>España</v>
      </c>
      <c r="Q578">
        <v>31</v>
      </c>
      <c r="R578" t="s">
        <v>25</v>
      </c>
      <c r="S578" t="s">
        <v>36</v>
      </c>
      <c r="T578" t="s">
        <v>27</v>
      </c>
      <c r="U578">
        <f>IF(IFERROR(VLOOKUP(BBDD_Usiarios_Netflix[[#This Row],[Identificador Usuario]],A579:$A$5870,1,FALSE),0)&lt;&gt;0,1,0)</f>
        <v>0</v>
      </c>
      <c r="V578" s="6" t="str">
        <f>IF(BBDD_Usiarios_Netflix[[#This Row],[Duración Plan]]="12 Meses",LEFT(BBDD_Usiarios_Netflix[[#This Row],[Duración Plan]],2),LEFT(BBDD_Usiarios_Netflix[[#This Row],[Duración Plan]],1))</f>
        <v>1</v>
      </c>
      <c r="W5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79" spans="1:23" x14ac:dyDescent="0.25">
      <c r="A579">
        <v>578</v>
      </c>
      <c r="B579" t="s">
        <v>32</v>
      </c>
      <c r="C579">
        <v>12</v>
      </c>
      <c r="D579" s="3">
        <v>23</v>
      </c>
      <c r="E579" s="3">
        <v>10</v>
      </c>
      <c r="F579">
        <v>23</v>
      </c>
      <c r="G579" s="1">
        <f>DATEVALUE(_xlfn.CONCAT(BBDD_Usiarios_Netflix[[#This Row],[Día Suscripción]],"/",BBDD_Usiarios_Netflix[[#This Row],[Mes Suscripción]],"/",BBDD_Usiarios_Netflix[[#This Row],[Año Suscripción]]))</f>
        <v>45222</v>
      </c>
      <c r="H579" s="1">
        <v>28</v>
      </c>
      <c r="I579" s="1">
        <v>6</v>
      </c>
      <c r="J579" s="1">
        <v>24</v>
      </c>
      <c r="K579" s="1" t="str">
        <f>TEXT(BBDD_Usiarios_Netflix[[#This Row],[Fecha Suscripción]],"dddd")</f>
        <v>lunes</v>
      </c>
      <c r="L579" s="1">
        <f>DATEVALUE(_xlfn.CONCAT(BBDD_Usiarios_Netflix[[#This Row],[Día Último Pago]],"/",BBDD_Usiarios_Netflix[[#This Row],[Mes Último Pago]],"/",BBDD_Usiarios_Netflix[[#This Row],[Año Último Pago]]))</f>
        <v>45471</v>
      </c>
      <c r="M579" s="4">
        <f>DATEDIF(BBDD_Usiarios_Netflix[[#This Row],[Fecha Suscripción]],BBDD_Usiarios_Netflix[[#This Row],[Fecha Último Pago]],"M")+1</f>
        <v>9</v>
      </c>
      <c r="N579" s="4">
        <f>BBDD_Usiarios_Netflix[[#This Row],[Ingresos Mensuales]]*BBDD_Usiarios_Netflix[[#This Row],[Meses contratados]]</f>
        <v>108</v>
      </c>
      <c r="O579" t="s">
        <v>44</v>
      </c>
      <c r="P579" t="str">
        <f>IF(BBDD_Usiarios_Netflix[[#This Row],[País]]="","Desconocido",BBDD_Usiarios_Netflix[[#This Row],[País]])</f>
        <v>Desconocido</v>
      </c>
      <c r="Q579">
        <v>29</v>
      </c>
      <c r="R579" t="s">
        <v>30</v>
      </c>
      <c r="S579" t="s">
        <v>36</v>
      </c>
      <c r="T579" t="s">
        <v>27</v>
      </c>
      <c r="U579">
        <f>IF(IFERROR(VLOOKUP(BBDD_Usiarios_Netflix[[#This Row],[Identificador Usuario]],A580:$A$5870,1,FALSE),0)&lt;&gt;0,1,0)</f>
        <v>0</v>
      </c>
      <c r="V579" s="6" t="str">
        <f>IF(BBDD_Usiarios_Netflix[[#This Row],[Duración Plan]]="12 Meses",LEFT(BBDD_Usiarios_Netflix[[#This Row],[Duración Plan]],2),LEFT(BBDD_Usiarios_Netflix[[#This Row],[Duración Plan]],1))</f>
        <v>1</v>
      </c>
      <c r="W5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80" spans="1:23" x14ac:dyDescent="0.25">
      <c r="A580">
        <v>579</v>
      </c>
      <c r="B580" t="s">
        <v>32</v>
      </c>
      <c r="C580">
        <v>12</v>
      </c>
      <c r="D580" s="3">
        <v>16</v>
      </c>
      <c r="E580" s="3">
        <v>10</v>
      </c>
      <c r="F580">
        <v>23</v>
      </c>
      <c r="G580" s="1">
        <f>DATEVALUE(_xlfn.CONCAT(BBDD_Usiarios_Netflix[[#This Row],[Día Suscripción]],"/",BBDD_Usiarios_Netflix[[#This Row],[Mes Suscripción]],"/",BBDD_Usiarios_Netflix[[#This Row],[Año Suscripción]]))</f>
        <v>45215</v>
      </c>
      <c r="H580" s="1">
        <v>28</v>
      </c>
      <c r="I580" s="1">
        <v>6</v>
      </c>
      <c r="J580" s="1">
        <v>24</v>
      </c>
      <c r="K580" s="1" t="str">
        <f>TEXT(BBDD_Usiarios_Netflix[[#This Row],[Fecha Suscripción]],"dddd")</f>
        <v>lunes</v>
      </c>
      <c r="L580" s="1">
        <f>DATEVALUE(_xlfn.CONCAT(BBDD_Usiarios_Netflix[[#This Row],[Día Último Pago]],"/",BBDD_Usiarios_Netflix[[#This Row],[Mes Último Pago]],"/",BBDD_Usiarios_Netflix[[#This Row],[Año Último Pago]]))</f>
        <v>45471</v>
      </c>
      <c r="M580" s="4">
        <f>DATEDIF(BBDD_Usiarios_Netflix[[#This Row],[Fecha Suscripción]],BBDD_Usiarios_Netflix[[#This Row],[Fecha Último Pago]],"M")+1</f>
        <v>9</v>
      </c>
      <c r="N580" s="4">
        <f>BBDD_Usiarios_Netflix[[#This Row],[Ingresos Mensuales]]*BBDD_Usiarios_Netflix[[#This Row],[Meses contratados]]</f>
        <v>108</v>
      </c>
      <c r="O580" t="s">
        <v>24</v>
      </c>
      <c r="P580" t="str">
        <f>IF(BBDD_Usiarios_Netflix[[#This Row],[País]]="","Desconocido",BBDD_Usiarios_Netflix[[#This Row],[País]])</f>
        <v>Australia</v>
      </c>
      <c r="Q580">
        <v>35</v>
      </c>
      <c r="R580" t="s">
        <v>30</v>
      </c>
      <c r="S580" t="s">
        <v>31</v>
      </c>
      <c r="T580" t="s">
        <v>27</v>
      </c>
      <c r="U580">
        <f>IF(IFERROR(VLOOKUP(BBDD_Usiarios_Netflix[[#This Row],[Identificador Usuario]],A581:$A$5870,1,FALSE),0)&lt;&gt;0,1,0)</f>
        <v>0</v>
      </c>
      <c r="V580" s="6" t="str">
        <f>IF(BBDD_Usiarios_Netflix[[#This Row],[Duración Plan]]="12 Meses",LEFT(BBDD_Usiarios_Netflix[[#This Row],[Duración Plan]],2),LEFT(BBDD_Usiarios_Netflix[[#This Row],[Duración Plan]],1))</f>
        <v>1</v>
      </c>
      <c r="W5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81" spans="1:23" x14ac:dyDescent="0.25">
      <c r="A581">
        <v>580</v>
      </c>
      <c r="B581" t="s">
        <v>23</v>
      </c>
      <c r="C581">
        <v>10</v>
      </c>
      <c r="D581" s="3">
        <v>9</v>
      </c>
      <c r="E581" s="3">
        <v>8</v>
      </c>
      <c r="F581">
        <v>23</v>
      </c>
      <c r="G581" s="1">
        <f>DATEVALUE(_xlfn.CONCAT(BBDD_Usiarios_Netflix[[#This Row],[Día Suscripción]],"/",BBDD_Usiarios_Netflix[[#This Row],[Mes Suscripción]],"/",BBDD_Usiarios_Netflix[[#This Row],[Año Suscripción]]))</f>
        <v>45147</v>
      </c>
      <c r="H581" s="1">
        <v>29</v>
      </c>
      <c r="I581" s="1">
        <v>6</v>
      </c>
      <c r="J581" s="1">
        <v>24</v>
      </c>
      <c r="K581" s="1" t="str">
        <f>TEXT(BBDD_Usiarios_Netflix[[#This Row],[Fecha Suscripción]],"dddd")</f>
        <v>miércoles</v>
      </c>
      <c r="L581" s="1">
        <f>DATEVALUE(_xlfn.CONCAT(BBDD_Usiarios_Netflix[[#This Row],[Día Último Pago]],"/",BBDD_Usiarios_Netflix[[#This Row],[Mes Último Pago]],"/",BBDD_Usiarios_Netflix[[#This Row],[Año Último Pago]]))</f>
        <v>45472</v>
      </c>
      <c r="M581" s="4">
        <f>DATEDIF(BBDD_Usiarios_Netflix[[#This Row],[Fecha Suscripción]],BBDD_Usiarios_Netflix[[#This Row],[Fecha Último Pago]],"M")+1</f>
        <v>11</v>
      </c>
      <c r="N581" s="4">
        <f>BBDD_Usiarios_Netflix[[#This Row],[Ingresos Mensuales]]*BBDD_Usiarios_Netflix[[#This Row],[Meses contratados]]</f>
        <v>110</v>
      </c>
      <c r="O581" t="s">
        <v>33</v>
      </c>
      <c r="P581" t="str">
        <f>IF(BBDD_Usiarios_Netflix[[#This Row],[País]]="","Desconocido",BBDD_Usiarios_Netflix[[#This Row],[País]])</f>
        <v>Francia</v>
      </c>
      <c r="Q581">
        <v>46</v>
      </c>
      <c r="R581" t="s">
        <v>30</v>
      </c>
      <c r="S581" t="s">
        <v>31</v>
      </c>
      <c r="T581" t="s">
        <v>27</v>
      </c>
      <c r="U581">
        <f>IF(IFERROR(VLOOKUP(BBDD_Usiarios_Netflix[[#This Row],[Identificador Usuario]],A582:$A$5870,1,FALSE),0)&lt;&gt;0,1,0)</f>
        <v>0</v>
      </c>
      <c r="V581" s="6" t="str">
        <f>IF(BBDD_Usiarios_Netflix[[#This Row],[Duración Plan]]="12 Meses",LEFT(BBDD_Usiarios_Netflix[[#This Row],[Duración Plan]],2),LEFT(BBDD_Usiarios_Netflix[[#This Row],[Duración Plan]],1))</f>
        <v>1</v>
      </c>
      <c r="W5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82" spans="1:23" x14ac:dyDescent="0.25">
      <c r="A582">
        <v>581</v>
      </c>
      <c r="B582" t="s">
        <v>28</v>
      </c>
      <c r="C582">
        <v>14</v>
      </c>
      <c r="D582" s="3">
        <v>2</v>
      </c>
      <c r="E582" s="3">
        <v>8</v>
      </c>
      <c r="F582">
        <v>23</v>
      </c>
      <c r="G582" s="1">
        <f>DATEVALUE(_xlfn.CONCAT(BBDD_Usiarios_Netflix[[#This Row],[Día Suscripción]],"/",BBDD_Usiarios_Netflix[[#This Row],[Mes Suscripción]],"/",BBDD_Usiarios_Netflix[[#This Row],[Año Suscripción]]))</f>
        <v>45140</v>
      </c>
      <c r="H582" s="1">
        <v>29</v>
      </c>
      <c r="I582" s="1">
        <v>6</v>
      </c>
      <c r="J582" s="1">
        <v>24</v>
      </c>
      <c r="K582" s="1" t="str">
        <f>TEXT(BBDD_Usiarios_Netflix[[#This Row],[Fecha Suscripción]],"dddd")</f>
        <v>miércoles</v>
      </c>
      <c r="L582" s="1">
        <f>DATEVALUE(_xlfn.CONCAT(BBDD_Usiarios_Netflix[[#This Row],[Día Último Pago]],"/",BBDD_Usiarios_Netflix[[#This Row],[Mes Último Pago]],"/",BBDD_Usiarios_Netflix[[#This Row],[Año Último Pago]]))</f>
        <v>45472</v>
      </c>
      <c r="M582" s="4">
        <f>DATEDIF(BBDD_Usiarios_Netflix[[#This Row],[Fecha Suscripción]],BBDD_Usiarios_Netflix[[#This Row],[Fecha Último Pago]],"M")+1</f>
        <v>11</v>
      </c>
      <c r="N582" s="4">
        <f>BBDD_Usiarios_Netflix[[#This Row],[Ingresos Mensuales]]*BBDD_Usiarios_Netflix[[#This Row],[Meses contratados]]</f>
        <v>154</v>
      </c>
      <c r="O582" t="s">
        <v>29</v>
      </c>
      <c r="P582" t="str">
        <f>IF(BBDD_Usiarios_Netflix[[#This Row],[País]]="","Desconocido",BBDD_Usiarios_Netflix[[#This Row],[País]])</f>
        <v>EEUU</v>
      </c>
      <c r="Q582">
        <v>29</v>
      </c>
      <c r="R582" t="s">
        <v>30</v>
      </c>
      <c r="S582" t="s">
        <v>36</v>
      </c>
      <c r="T582" t="s">
        <v>38</v>
      </c>
      <c r="U582">
        <f>IF(IFERROR(VLOOKUP(BBDD_Usiarios_Netflix[[#This Row],[Identificador Usuario]],A583:$A$5870,1,FALSE),0)&lt;&gt;0,1,0)</f>
        <v>0</v>
      </c>
      <c r="V582" s="6" t="str">
        <f>IF(BBDD_Usiarios_Netflix[[#This Row],[Duración Plan]]="12 Meses",LEFT(BBDD_Usiarios_Netflix[[#This Row],[Duración Plan]],2),LEFT(BBDD_Usiarios_Netflix[[#This Row],[Duración Plan]],1))</f>
        <v>3</v>
      </c>
      <c r="W5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83" spans="1:23" x14ac:dyDescent="0.25">
      <c r="A583">
        <v>582</v>
      </c>
      <c r="B583" t="s">
        <v>23</v>
      </c>
      <c r="C583">
        <v>10</v>
      </c>
      <c r="D583" s="3">
        <v>16</v>
      </c>
      <c r="E583" s="3">
        <v>7</v>
      </c>
      <c r="F583">
        <v>23</v>
      </c>
      <c r="G583" s="1">
        <f>DATEVALUE(_xlfn.CONCAT(BBDD_Usiarios_Netflix[[#This Row],[Día Suscripción]],"/",BBDD_Usiarios_Netflix[[#This Row],[Mes Suscripción]],"/",BBDD_Usiarios_Netflix[[#This Row],[Año Suscripción]]))</f>
        <v>45123</v>
      </c>
      <c r="H583" s="1">
        <v>28</v>
      </c>
      <c r="I583" s="1">
        <v>6</v>
      </c>
      <c r="J583" s="1">
        <v>24</v>
      </c>
      <c r="K583" s="1" t="str">
        <f>TEXT(BBDD_Usiarios_Netflix[[#This Row],[Fecha Suscripción]],"dddd")</f>
        <v>domingo</v>
      </c>
      <c r="L583" s="1">
        <f>DATEVALUE(_xlfn.CONCAT(BBDD_Usiarios_Netflix[[#This Row],[Día Último Pago]],"/",BBDD_Usiarios_Netflix[[#This Row],[Mes Último Pago]],"/",BBDD_Usiarios_Netflix[[#This Row],[Año Último Pago]]))</f>
        <v>45471</v>
      </c>
      <c r="M583" s="4">
        <f>DATEDIF(BBDD_Usiarios_Netflix[[#This Row],[Fecha Suscripción]],BBDD_Usiarios_Netflix[[#This Row],[Fecha Último Pago]],"M")+1</f>
        <v>12</v>
      </c>
      <c r="N583" s="4">
        <f>BBDD_Usiarios_Netflix[[#This Row],[Ingresos Mensuales]]*BBDD_Usiarios_Netflix[[#This Row],[Meses contratados]]</f>
        <v>120</v>
      </c>
      <c r="O583" t="s">
        <v>24</v>
      </c>
      <c r="P583" t="str">
        <f>IF(BBDD_Usiarios_Netflix[[#This Row],[País]]="","Desconocido",BBDD_Usiarios_Netflix[[#This Row],[País]])</f>
        <v>Australia</v>
      </c>
      <c r="Q583">
        <v>43</v>
      </c>
      <c r="R583" t="s">
        <v>30</v>
      </c>
      <c r="S583" t="s">
        <v>36</v>
      </c>
      <c r="T583" t="s">
        <v>27</v>
      </c>
      <c r="U583">
        <f>IF(IFERROR(VLOOKUP(BBDD_Usiarios_Netflix[[#This Row],[Identificador Usuario]],A584:$A$5870,1,FALSE),0)&lt;&gt;0,1,0)</f>
        <v>0</v>
      </c>
      <c r="V583" s="6" t="str">
        <f>IF(BBDD_Usiarios_Netflix[[#This Row],[Duración Plan]]="12 Meses",LEFT(BBDD_Usiarios_Netflix[[#This Row],[Duración Plan]],2),LEFT(BBDD_Usiarios_Netflix[[#This Row],[Duración Plan]],1))</f>
        <v>1</v>
      </c>
      <c r="W5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84" spans="1:23" x14ac:dyDescent="0.25">
      <c r="A584">
        <v>583</v>
      </c>
      <c r="B584" t="s">
        <v>32</v>
      </c>
      <c r="C584">
        <v>12</v>
      </c>
      <c r="D584" s="3">
        <v>17</v>
      </c>
      <c r="E584" s="3">
        <v>7</v>
      </c>
      <c r="F584">
        <v>23</v>
      </c>
      <c r="G584" s="1">
        <f>DATEVALUE(_xlfn.CONCAT(BBDD_Usiarios_Netflix[[#This Row],[Día Suscripción]],"/",BBDD_Usiarios_Netflix[[#This Row],[Mes Suscripción]],"/",BBDD_Usiarios_Netflix[[#This Row],[Año Suscripción]]))</f>
        <v>45124</v>
      </c>
      <c r="H584" s="1">
        <v>28</v>
      </c>
      <c r="I584" s="1">
        <v>6</v>
      </c>
      <c r="J584" s="1">
        <v>24</v>
      </c>
      <c r="K584" s="1" t="str">
        <f>TEXT(BBDD_Usiarios_Netflix[[#This Row],[Fecha Suscripción]],"dddd")</f>
        <v>lunes</v>
      </c>
      <c r="L584" s="1">
        <f>DATEVALUE(_xlfn.CONCAT(BBDD_Usiarios_Netflix[[#This Row],[Día Último Pago]],"/",BBDD_Usiarios_Netflix[[#This Row],[Mes Último Pago]],"/",BBDD_Usiarios_Netflix[[#This Row],[Año Último Pago]]))</f>
        <v>45471</v>
      </c>
      <c r="M584" s="4">
        <f>DATEDIF(BBDD_Usiarios_Netflix[[#This Row],[Fecha Suscripción]],BBDD_Usiarios_Netflix[[#This Row],[Fecha Último Pago]],"M")+1</f>
        <v>12</v>
      </c>
      <c r="N584" s="4">
        <f>BBDD_Usiarios_Netflix[[#This Row],[Ingresos Mensuales]]*BBDD_Usiarios_Netflix[[#This Row],[Meses contratados]]</f>
        <v>144</v>
      </c>
      <c r="O584" t="s">
        <v>43</v>
      </c>
      <c r="P584" t="str">
        <f>IF(BBDD_Usiarios_Netflix[[#This Row],[País]]="","Desconocido",BBDD_Usiarios_Netflix[[#This Row],[País]])</f>
        <v>Alemania</v>
      </c>
      <c r="Q584">
        <v>38</v>
      </c>
      <c r="R584" t="s">
        <v>30</v>
      </c>
      <c r="S584" t="s">
        <v>31</v>
      </c>
      <c r="T584" t="s">
        <v>27</v>
      </c>
      <c r="U584">
        <f>IF(IFERROR(VLOOKUP(BBDD_Usiarios_Netflix[[#This Row],[Identificador Usuario]],A585:$A$5870,1,FALSE),0)&lt;&gt;0,1,0)</f>
        <v>0</v>
      </c>
      <c r="V584" s="6" t="str">
        <f>IF(BBDD_Usiarios_Netflix[[#This Row],[Duración Plan]]="12 Meses",LEFT(BBDD_Usiarios_Netflix[[#This Row],[Duración Plan]],2),LEFT(BBDD_Usiarios_Netflix[[#This Row],[Duración Plan]],1))</f>
        <v>1</v>
      </c>
      <c r="W5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85" spans="1:23" x14ac:dyDescent="0.25">
      <c r="A585">
        <v>584</v>
      </c>
      <c r="B585" t="s">
        <v>28</v>
      </c>
      <c r="C585">
        <v>14</v>
      </c>
      <c r="D585" s="3">
        <v>14</v>
      </c>
      <c r="E585" s="3">
        <v>7</v>
      </c>
      <c r="F585">
        <v>23</v>
      </c>
      <c r="G585" s="1">
        <f>DATEVALUE(_xlfn.CONCAT(BBDD_Usiarios_Netflix[[#This Row],[Día Suscripción]],"/",BBDD_Usiarios_Netflix[[#This Row],[Mes Suscripción]],"/",BBDD_Usiarios_Netflix[[#This Row],[Año Suscripción]]))</f>
        <v>45121</v>
      </c>
      <c r="H585" s="1">
        <v>28</v>
      </c>
      <c r="I585" s="1">
        <v>6</v>
      </c>
      <c r="J585" s="1">
        <v>24</v>
      </c>
      <c r="K585" s="1" t="str">
        <f>TEXT(BBDD_Usiarios_Netflix[[#This Row],[Fecha Suscripción]],"dddd")</f>
        <v>viernes</v>
      </c>
      <c r="L585" s="1">
        <f>DATEVALUE(_xlfn.CONCAT(BBDD_Usiarios_Netflix[[#This Row],[Día Último Pago]],"/",BBDD_Usiarios_Netflix[[#This Row],[Mes Último Pago]],"/",BBDD_Usiarios_Netflix[[#This Row],[Año Último Pago]]))</f>
        <v>45471</v>
      </c>
      <c r="M585" s="4">
        <f>DATEDIF(BBDD_Usiarios_Netflix[[#This Row],[Fecha Suscripción]],BBDD_Usiarios_Netflix[[#This Row],[Fecha Último Pago]],"M")+1</f>
        <v>12</v>
      </c>
      <c r="N585" s="4">
        <f>BBDD_Usiarios_Netflix[[#This Row],[Ingresos Mensuales]]*BBDD_Usiarios_Netflix[[#This Row],[Meses contratados]]</f>
        <v>168</v>
      </c>
      <c r="O585" t="s">
        <v>43</v>
      </c>
      <c r="P585" t="str">
        <f>IF(BBDD_Usiarios_Netflix[[#This Row],[País]]="","Desconocido",BBDD_Usiarios_Netflix[[#This Row],[País]])</f>
        <v>Alemania</v>
      </c>
      <c r="Q585">
        <v>48</v>
      </c>
      <c r="R585" t="s">
        <v>30</v>
      </c>
      <c r="S585" t="s">
        <v>34</v>
      </c>
      <c r="T585" t="s">
        <v>41</v>
      </c>
      <c r="U585">
        <f>IF(IFERROR(VLOOKUP(BBDD_Usiarios_Netflix[[#This Row],[Identificador Usuario]],A586:$A$5870,1,FALSE),0)&lt;&gt;0,1,0)</f>
        <v>0</v>
      </c>
      <c r="V585" s="6" t="str">
        <f>IF(BBDD_Usiarios_Netflix[[#This Row],[Duración Plan]]="12 Meses",LEFT(BBDD_Usiarios_Netflix[[#This Row],[Duración Plan]],2),LEFT(BBDD_Usiarios_Netflix[[#This Row],[Duración Plan]],1))</f>
        <v>12</v>
      </c>
      <c r="W5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86" spans="1:23" x14ac:dyDescent="0.25">
      <c r="A586">
        <v>585</v>
      </c>
      <c r="B586" t="s">
        <v>23</v>
      </c>
      <c r="C586">
        <v>10</v>
      </c>
      <c r="D586" s="3">
        <v>16</v>
      </c>
      <c r="E586" s="3">
        <v>7</v>
      </c>
      <c r="F586">
        <v>23</v>
      </c>
      <c r="G586" s="1">
        <f>DATEVALUE(_xlfn.CONCAT(BBDD_Usiarios_Netflix[[#This Row],[Día Suscripción]],"/",BBDD_Usiarios_Netflix[[#This Row],[Mes Suscripción]],"/",BBDD_Usiarios_Netflix[[#This Row],[Año Suscripción]]))</f>
        <v>45123</v>
      </c>
      <c r="H586" s="1">
        <v>29</v>
      </c>
      <c r="I586" s="1">
        <v>6</v>
      </c>
      <c r="J586" s="1">
        <v>24</v>
      </c>
      <c r="K586" s="1" t="str">
        <f>TEXT(BBDD_Usiarios_Netflix[[#This Row],[Fecha Suscripción]],"dddd")</f>
        <v>domingo</v>
      </c>
      <c r="L586" s="1">
        <f>DATEVALUE(_xlfn.CONCAT(BBDD_Usiarios_Netflix[[#This Row],[Día Último Pago]],"/",BBDD_Usiarios_Netflix[[#This Row],[Mes Último Pago]],"/",BBDD_Usiarios_Netflix[[#This Row],[Año Último Pago]]))</f>
        <v>45472</v>
      </c>
      <c r="M586" s="4">
        <f>DATEDIF(BBDD_Usiarios_Netflix[[#This Row],[Fecha Suscripción]],BBDD_Usiarios_Netflix[[#This Row],[Fecha Último Pago]],"M")+1</f>
        <v>12</v>
      </c>
      <c r="N586" s="4">
        <f>BBDD_Usiarios_Netflix[[#This Row],[Ingresos Mensuales]]*BBDD_Usiarios_Netflix[[#This Row],[Meses contratados]]</f>
        <v>120</v>
      </c>
      <c r="O586" t="s">
        <v>39</v>
      </c>
      <c r="P586" t="str">
        <f>IF(BBDD_Usiarios_Netflix[[#This Row],[País]]="","Desconocido",BBDD_Usiarios_Netflix[[#This Row],[País]])</f>
        <v>Canadá</v>
      </c>
      <c r="Q586">
        <v>41</v>
      </c>
      <c r="R586" t="s">
        <v>25</v>
      </c>
      <c r="S586" t="s">
        <v>36</v>
      </c>
      <c r="T586" t="s">
        <v>35</v>
      </c>
      <c r="U586">
        <f>IF(IFERROR(VLOOKUP(BBDD_Usiarios_Netflix[[#This Row],[Identificador Usuario]],A587:$A$5870,1,FALSE),0)&lt;&gt;0,1,0)</f>
        <v>0</v>
      </c>
      <c r="V586" s="6" t="str">
        <f>IF(BBDD_Usiarios_Netflix[[#This Row],[Duración Plan]]="12 Meses",LEFT(BBDD_Usiarios_Netflix[[#This Row],[Duración Plan]],2),LEFT(BBDD_Usiarios_Netflix[[#This Row],[Duración Plan]],1))</f>
        <v>6</v>
      </c>
      <c r="W5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87" spans="1:23" x14ac:dyDescent="0.25">
      <c r="A587">
        <v>586</v>
      </c>
      <c r="B587" t="s">
        <v>28</v>
      </c>
      <c r="C587">
        <v>14</v>
      </c>
      <c r="D587" s="3">
        <v>6</v>
      </c>
      <c r="E587" s="3">
        <v>8</v>
      </c>
      <c r="F587">
        <v>23</v>
      </c>
      <c r="G587" s="1">
        <f>DATEVALUE(_xlfn.CONCAT(BBDD_Usiarios_Netflix[[#This Row],[Día Suscripción]],"/",BBDD_Usiarios_Netflix[[#This Row],[Mes Suscripción]],"/",BBDD_Usiarios_Netflix[[#This Row],[Año Suscripción]]))</f>
        <v>45144</v>
      </c>
      <c r="H587" s="1">
        <v>29</v>
      </c>
      <c r="I587" s="1">
        <v>6</v>
      </c>
      <c r="J587" s="1">
        <v>24</v>
      </c>
      <c r="K587" s="1" t="str">
        <f>TEXT(BBDD_Usiarios_Netflix[[#This Row],[Fecha Suscripción]],"dddd")</f>
        <v>domingo</v>
      </c>
      <c r="L587" s="1">
        <f>DATEVALUE(_xlfn.CONCAT(BBDD_Usiarios_Netflix[[#This Row],[Día Último Pago]],"/",BBDD_Usiarios_Netflix[[#This Row],[Mes Último Pago]],"/",BBDD_Usiarios_Netflix[[#This Row],[Año Último Pago]]))</f>
        <v>45472</v>
      </c>
      <c r="M587" s="4">
        <f>DATEDIF(BBDD_Usiarios_Netflix[[#This Row],[Fecha Suscripción]],BBDD_Usiarios_Netflix[[#This Row],[Fecha Último Pago]],"M")+1</f>
        <v>11</v>
      </c>
      <c r="N587" s="4">
        <f>BBDD_Usiarios_Netflix[[#This Row],[Ingresos Mensuales]]*BBDD_Usiarios_Netflix[[#This Row],[Meses contratados]]</f>
        <v>154</v>
      </c>
      <c r="O587" t="s">
        <v>42</v>
      </c>
      <c r="P587" t="str">
        <f>IF(BBDD_Usiarios_Netflix[[#This Row],[País]]="","Desconocido",BBDD_Usiarios_Netflix[[#This Row],[País]])</f>
        <v>Reino Unido</v>
      </c>
      <c r="Q587">
        <v>51</v>
      </c>
      <c r="R587" t="s">
        <v>30</v>
      </c>
      <c r="S587" t="s">
        <v>36</v>
      </c>
      <c r="T587" t="s">
        <v>41</v>
      </c>
      <c r="U587">
        <f>IF(IFERROR(VLOOKUP(BBDD_Usiarios_Netflix[[#This Row],[Identificador Usuario]],A588:$A$5870,1,FALSE),0)&lt;&gt;0,1,0)</f>
        <v>0</v>
      </c>
      <c r="V587" s="6" t="str">
        <f>IF(BBDD_Usiarios_Netflix[[#This Row],[Duración Plan]]="12 Meses",LEFT(BBDD_Usiarios_Netflix[[#This Row],[Duración Plan]],2),LEFT(BBDD_Usiarios_Netflix[[#This Row],[Duración Plan]],1))</f>
        <v>12</v>
      </c>
      <c r="W5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88" spans="1:23" x14ac:dyDescent="0.25">
      <c r="A588">
        <v>587</v>
      </c>
      <c r="B588" t="s">
        <v>23</v>
      </c>
      <c r="C588">
        <v>10</v>
      </c>
      <c r="D588" s="3">
        <v>7</v>
      </c>
      <c r="E588" s="3">
        <v>8</v>
      </c>
      <c r="F588">
        <v>23</v>
      </c>
      <c r="G588" s="1">
        <f>DATEVALUE(_xlfn.CONCAT(BBDD_Usiarios_Netflix[[#This Row],[Día Suscripción]],"/",BBDD_Usiarios_Netflix[[#This Row],[Mes Suscripción]],"/",BBDD_Usiarios_Netflix[[#This Row],[Año Suscripción]]))</f>
        <v>45145</v>
      </c>
      <c r="H588" s="1">
        <v>28</v>
      </c>
      <c r="I588" s="1">
        <v>6</v>
      </c>
      <c r="J588" s="1">
        <v>24</v>
      </c>
      <c r="K588" s="1" t="str">
        <f>TEXT(BBDD_Usiarios_Netflix[[#This Row],[Fecha Suscripción]],"dddd")</f>
        <v>lunes</v>
      </c>
      <c r="L588" s="1">
        <f>DATEVALUE(_xlfn.CONCAT(BBDD_Usiarios_Netflix[[#This Row],[Día Último Pago]],"/",BBDD_Usiarios_Netflix[[#This Row],[Mes Último Pago]],"/",BBDD_Usiarios_Netflix[[#This Row],[Año Último Pago]]))</f>
        <v>45471</v>
      </c>
      <c r="M588" s="4">
        <f>DATEDIF(BBDD_Usiarios_Netflix[[#This Row],[Fecha Suscripción]],BBDD_Usiarios_Netflix[[#This Row],[Fecha Último Pago]],"M")+1</f>
        <v>11</v>
      </c>
      <c r="N588" s="4">
        <f>BBDD_Usiarios_Netflix[[#This Row],[Ingresos Mensuales]]*BBDD_Usiarios_Netflix[[#This Row],[Meses contratados]]</f>
        <v>110</v>
      </c>
      <c r="O588" t="s">
        <v>42</v>
      </c>
      <c r="P588" t="str">
        <f>IF(BBDD_Usiarios_Netflix[[#This Row],[País]]="","Desconocido",BBDD_Usiarios_Netflix[[#This Row],[País]])</f>
        <v>Reino Unido</v>
      </c>
      <c r="Q588">
        <v>39</v>
      </c>
      <c r="R588" t="s">
        <v>25</v>
      </c>
      <c r="S588" t="s">
        <v>34</v>
      </c>
      <c r="T588" t="s">
        <v>35</v>
      </c>
      <c r="U588">
        <f>IF(IFERROR(VLOOKUP(BBDD_Usiarios_Netflix[[#This Row],[Identificador Usuario]],A589:$A$5870,1,FALSE),0)&lt;&gt;0,1,0)</f>
        <v>0</v>
      </c>
      <c r="V588" s="6" t="str">
        <f>IF(BBDD_Usiarios_Netflix[[#This Row],[Duración Plan]]="12 Meses",LEFT(BBDD_Usiarios_Netflix[[#This Row],[Duración Plan]],2),LEFT(BBDD_Usiarios_Netflix[[#This Row],[Duración Plan]],1))</f>
        <v>6</v>
      </c>
      <c r="W5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89" spans="1:23" x14ac:dyDescent="0.25">
      <c r="A589">
        <v>588</v>
      </c>
      <c r="B589" t="s">
        <v>32</v>
      </c>
      <c r="C589">
        <v>12</v>
      </c>
      <c r="D589" s="3">
        <v>7</v>
      </c>
      <c r="E589" s="3">
        <v>8</v>
      </c>
      <c r="F589">
        <v>23</v>
      </c>
      <c r="G589" s="1">
        <f>DATEVALUE(_xlfn.CONCAT(BBDD_Usiarios_Netflix[[#This Row],[Día Suscripción]],"/",BBDD_Usiarios_Netflix[[#This Row],[Mes Suscripción]],"/",BBDD_Usiarios_Netflix[[#This Row],[Año Suscripción]]))</f>
        <v>45145</v>
      </c>
      <c r="H589" s="1">
        <v>27</v>
      </c>
      <c r="I589" s="1">
        <v>6</v>
      </c>
      <c r="J589" s="1">
        <v>24</v>
      </c>
      <c r="K589" s="1" t="str">
        <f>TEXT(BBDD_Usiarios_Netflix[[#This Row],[Fecha Suscripción]],"dddd")</f>
        <v>lunes</v>
      </c>
      <c r="L589" s="1">
        <f>DATEVALUE(_xlfn.CONCAT(BBDD_Usiarios_Netflix[[#This Row],[Día Último Pago]],"/",BBDD_Usiarios_Netflix[[#This Row],[Mes Último Pago]],"/",BBDD_Usiarios_Netflix[[#This Row],[Año Último Pago]]))</f>
        <v>45470</v>
      </c>
      <c r="M589" s="4">
        <f>DATEDIF(BBDD_Usiarios_Netflix[[#This Row],[Fecha Suscripción]],BBDD_Usiarios_Netflix[[#This Row],[Fecha Último Pago]],"M")+1</f>
        <v>11</v>
      </c>
      <c r="N589" s="4">
        <f>BBDD_Usiarios_Netflix[[#This Row],[Ingresos Mensuales]]*BBDD_Usiarios_Netflix[[#This Row],[Meses contratados]]</f>
        <v>132</v>
      </c>
      <c r="O589" t="s">
        <v>43</v>
      </c>
      <c r="P589" t="str">
        <f>IF(BBDD_Usiarios_Netflix[[#This Row],[País]]="","Desconocido",BBDD_Usiarios_Netflix[[#This Row],[País]])</f>
        <v>Alemania</v>
      </c>
      <c r="Q589">
        <v>31</v>
      </c>
      <c r="R589" t="s">
        <v>25</v>
      </c>
      <c r="S589" t="s">
        <v>26</v>
      </c>
      <c r="T589" t="s">
        <v>27</v>
      </c>
      <c r="U589">
        <f>IF(IFERROR(VLOOKUP(BBDD_Usiarios_Netflix[[#This Row],[Identificador Usuario]],A590:$A$5870,1,FALSE),0)&lt;&gt;0,1,0)</f>
        <v>0</v>
      </c>
      <c r="V589" s="6" t="str">
        <f>IF(BBDD_Usiarios_Netflix[[#This Row],[Duración Plan]]="12 Meses",LEFT(BBDD_Usiarios_Netflix[[#This Row],[Duración Plan]],2),LEFT(BBDD_Usiarios_Netflix[[#This Row],[Duración Plan]],1))</f>
        <v>1</v>
      </c>
      <c r="W5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90" spans="1:23" x14ac:dyDescent="0.25">
      <c r="A590">
        <v>589</v>
      </c>
      <c r="B590" t="s">
        <v>32</v>
      </c>
      <c r="C590">
        <v>12</v>
      </c>
      <c r="D590" s="3">
        <v>4</v>
      </c>
      <c r="E590" s="3">
        <v>8</v>
      </c>
      <c r="F590">
        <v>23</v>
      </c>
      <c r="G590" s="1">
        <f>DATEVALUE(_xlfn.CONCAT(BBDD_Usiarios_Netflix[[#This Row],[Día Suscripción]],"/",BBDD_Usiarios_Netflix[[#This Row],[Mes Suscripción]],"/",BBDD_Usiarios_Netflix[[#This Row],[Año Suscripción]]))</f>
        <v>45142</v>
      </c>
      <c r="H590" s="1">
        <v>29</v>
      </c>
      <c r="I590" s="1">
        <v>6</v>
      </c>
      <c r="J590" s="1">
        <v>24</v>
      </c>
      <c r="K590" s="1" t="str">
        <f>TEXT(BBDD_Usiarios_Netflix[[#This Row],[Fecha Suscripción]],"dddd")</f>
        <v>viernes</v>
      </c>
      <c r="L590" s="1">
        <f>DATEVALUE(_xlfn.CONCAT(BBDD_Usiarios_Netflix[[#This Row],[Día Último Pago]],"/",BBDD_Usiarios_Netflix[[#This Row],[Mes Último Pago]],"/",BBDD_Usiarios_Netflix[[#This Row],[Año Último Pago]]))</f>
        <v>45472</v>
      </c>
      <c r="M590" s="4">
        <f>DATEDIF(BBDD_Usiarios_Netflix[[#This Row],[Fecha Suscripción]],BBDD_Usiarios_Netflix[[#This Row],[Fecha Último Pago]],"M")+1</f>
        <v>11</v>
      </c>
      <c r="N590" s="4">
        <f>BBDD_Usiarios_Netflix[[#This Row],[Ingresos Mensuales]]*BBDD_Usiarios_Netflix[[#This Row],[Meses contratados]]</f>
        <v>132</v>
      </c>
      <c r="O590" t="s">
        <v>39</v>
      </c>
      <c r="P590" t="str">
        <f>IF(BBDD_Usiarios_Netflix[[#This Row],[País]]="","Desconocido",BBDD_Usiarios_Netflix[[#This Row],[País]])</f>
        <v>Canadá</v>
      </c>
      <c r="Q590">
        <v>28</v>
      </c>
      <c r="R590" t="s">
        <v>25</v>
      </c>
      <c r="S590" t="s">
        <v>36</v>
      </c>
      <c r="T590" t="s">
        <v>41</v>
      </c>
      <c r="U590">
        <f>IF(IFERROR(VLOOKUP(BBDD_Usiarios_Netflix[[#This Row],[Identificador Usuario]],A591:$A$5870,1,FALSE),0)&lt;&gt;0,1,0)</f>
        <v>0</v>
      </c>
      <c r="V590" s="6" t="str">
        <f>IF(BBDD_Usiarios_Netflix[[#This Row],[Duración Plan]]="12 Meses",LEFT(BBDD_Usiarios_Netflix[[#This Row],[Duración Plan]],2),LEFT(BBDD_Usiarios_Netflix[[#This Row],[Duración Plan]],1))</f>
        <v>12</v>
      </c>
      <c r="W5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91" spans="1:23" x14ac:dyDescent="0.25">
      <c r="A591">
        <v>590</v>
      </c>
      <c r="B591" t="s">
        <v>23</v>
      </c>
      <c r="C591">
        <v>10</v>
      </c>
      <c r="D591" s="3">
        <v>29</v>
      </c>
      <c r="E591" s="3">
        <v>7</v>
      </c>
      <c r="F591">
        <v>23</v>
      </c>
      <c r="G591" s="1">
        <f>DATEVALUE(_xlfn.CONCAT(BBDD_Usiarios_Netflix[[#This Row],[Día Suscripción]],"/",BBDD_Usiarios_Netflix[[#This Row],[Mes Suscripción]],"/",BBDD_Usiarios_Netflix[[#This Row],[Año Suscripción]]))</f>
        <v>45136</v>
      </c>
      <c r="H591" s="1">
        <v>29</v>
      </c>
      <c r="I591" s="1">
        <v>6</v>
      </c>
      <c r="J591" s="1">
        <v>24</v>
      </c>
      <c r="K591" s="1" t="str">
        <f>TEXT(BBDD_Usiarios_Netflix[[#This Row],[Fecha Suscripción]],"dddd")</f>
        <v>sábado</v>
      </c>
      <c r="L591" s="1">
        <f>DATEVALUE(_xlfn.CONCAT(BBDD_Usiarios_Netflix[[#This Row],[Día Último Pago]],"/",BBDD_Usiarios_Netflix[[#This Row],[Mes Último Pago]],"/",BBDD_Usiarios_Netflix[[#This Row],[Año Último Pago]]))</f>
        <v>45472</v>
      </c>
      <c r="M591" s="4">
        <f>DATEDIF(BBDD_Usiarios_Netflix[[#This Row],[Fecha Suscripción]],BBDD_Usiarios_Netflix[[#This Row],[Fecha Último Pago]],"M")+1</f>
        <v>12</v>
      </c>
      <c r="N591" s="4">
        <f>BBDD_Usiarios_Netflix[[#This Row],[Ingresos Mensuales]]*BBDD_Usiarios_Netflix[[#This Row],[Meses contratados]]</f>
        <v>120</v>
      </c>
      <c r="O591" t="s">
        <v>33</v>
      </c>
      <c r="P591" t="str">
        <f>IF(BBDD_Usiarios_Netflix[[#This Row],[País]]="","Desconocido",BBDD_Usiarios_Netflix[[#This Row],[País]])</f>
        <v>Francia</v>
      </c>
      <c r="Q591">
        <v>47</v>
      </c>
      <c r="R591" t="s">
        <v>25</v>
      </c>
      <c r="S591" t="s">
        <v>36</v>
      </c>
      <c r="T591" t="s">
        <v>27</v>
      </c>
      <c r="U591">
        <f>IF(IFERROR(VLOOKUP(BBDD_Usiarios_Netflix[[#This Row],[Identificador Usuario]],A592:$A$5870,1,FALSE),0)&lt;&gt;0,1,0)</f>
        <v>0</v>
      </c>
      <c r="V591" s="6" t="str">
        <f>IF(BBDD_Usiarios_Netflix[[#This Row],[Duración Plan]]="12 Meses",LEFT(BBDD_Usiarios_Netflix[[#This Row],[Duración Plan]],2),LEFT(BBDD_Usiarios_Netflix[[#This Row],[Duración Plan]],1))</f>
        <v>1</v>
      </c>
      <c r="W5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92" spans="1:23" x14ac:dyDescent="0.25">
      <c r="A592">
        <v>591</v>
      </c>
      <c r="B592" t="s">
        <v>28</v>
      </c>
      <c r="C592">
        <v>14</v>
      </c>
      <c r="D592" s="3">
        <v>19</v>
      </c>
      <c r="E592" s="3">
        <v>6</v>
      </c>
      <c r="F592">
        <v>23</v>
      </c>
      <c r="G592" s="1">
        <f>DATEVALUE(_xlfn.CONCAT(BBDD_Usiarios_Netflix[[#This Row],[Día Suscripción]],"/",BBDD_Usiarios_Netflix[[#This Row],[Mes Suscripción]],"/",BBDD_Usiarios_Netflix[[#This Row],[Año Suscripción]]))</f>
        <v>45096</v>
      </c>
      <c r="H592" s="1">
        <v>28</v>
      </c>
      <c r="I592" s="1">
        <v>6</v>
      </c>
      <c r="J592" s="1">
        <v>24</v>
      </c>
      <c r="K592" s="1" t="str">
        <f>TEXT(BBDD_Usiarios_Netflix[[#This Row],[Fecha Suscripción]],"dddd")</f>
        <v>lunes</v>
      </c>
      <c r="L592" s="1">
        <f>DATEVALUE(_xlfn.CONCAT(BBDD_Usiarios_Netflix[[#This Row],[Día Último Pago]],"/",BBDD_Usiarios_Netflix[[#This Row],[Mes Último Pago]],"/",BBDD_Usiarios_Netflix[[#This Row],[Año Último Pago]]))</f>
        <v>45471</v>
      </c>
      <c r="M592" s="4">
        <f>DATEDIF(BBDD_Usiarios_Netflix[[#This Row],[Fecha Suscripción]],BBDD_Usiarios_Netflix[[#This Row],[Fecha Último Pago]],"M")+1</f>
        <v>13</v>
      </c>
      <c r="N592" s="4">
        <f>BBDD_Usiarios_Netflix[[#This Row],[Ingresos Mensuales]]*BBDD_Usiarios_Netflix[[#This Row],[Meses contratados]]</f>
        <v>182</v>
      </c>
      <c r="O592" t="s">
        <v>45</v>
      </c>
      <c r="P592" t="str">
        <f>IF(BBDD_Usiarios_Netflix[[#This Row],[País]]="","Desconocido",BBDD_Usiarios_Netflix[[#This Row],[País]])</f>
        <v>España</v>
      </c>
      <c r="Q592">
        <v>35</v>
      </c>
      <c r="R592" t="s">
        <v>30</v>
      </c>
      <c r="S592" t="s">
        <v>34</v>
      </c>
      <c r="T592" t="s">
        <v>38</v>
      </c>
      <c r="U592">
        <f>IF(IFERROR(VLOOKUP(BBDD_Usiarios_Netflix[[#This Row],[Identificador Usuario]],A593:$A$5870,1,FALSE),0)&lt;&gt;0,1,0)</f>
        <v>0</v>
      </c>
      <c r="V592" s="6" t="str">
        <f>IF(BBDD_Usiarios_Netflix[[#This Row],[Duración Plan]]="12 Meses",LEFT(BBDD_Usiarios_Netflix[[#This Row],[Duración Plan]],2),LEFT(BBDD_Usiarios_Netflix[[#This Row],[Duración Plan]],1))</f>
        <v>3</v>
      </c>
      <c r="W5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93" spans="1:23" x14ac:dyDescent="0.25">
      <c r="A593">
        <v>592</v>
      </c>
      <c r="B593" t="s">
        <v>23</v>
      </c>
      <c r="C593">
        <v>10</v>
      </c>
      <c r="D593" s="3">
        <v>9</v>
      </c>
      <c r="E593" s="3">
        <v>6</v>
      </c>
      <c r="F593">
        <v>23</v>
      </c>
      <c r="G593" s="1">
        <f>DATEVALUE(_xlfn.CONCAT(BBDD_Usiarios_Netflix[[#This Row],[Día Suscripción]],"/",BBDD_Usiarios_Netflix[[#This Row],[Mes Suscripción]],"/",BBDD_Usiarios_Netflix[[#This Row],[Año Suscripción]]))</f>
        <v>45086</v>
      </c>
      <c r="H593" s="1">
        <v>29</v>
      </c>
      <c r="I593" s="1">
        <v>6</v>
      </c>
      <c r="J593" s="1">
        <v>24</v>
      </c>
      <c r="K593" s="1" t="str">
        <f>TEXT(BBDD_Usiarios_Netflix[[#This Row],[Fecha Suscripción]],"dddd")</f>
        <v>viernes</v>
      </c>
      <c r="L593" s="1">
        <f>DATEVALUE(_xlfn.CONCAT(BBDD_Usiarios_Netflix[[#This Row],[Día Último Pago]],"/",BBDD_Usiarios_Netflix[[#This Row],[Mes Último Pago]],"/",BBDD_Usiarios_Netflix[[#This Row],[Año Último Pago]]))</f>
        <v>45472</v>
      </c>
      <c r="M593" s="4">
        <f>DATEDIF(BBDD_Usiarios_Netflix[[#This Row],[Fecha Suscripción]],BBDD_Usiarios_Netflix[[#This Row],[Fecha Último Pago]],"M")+1</f>
        <v>13</v>
      </c>
      <c r="N593" s="4">
        <f>BBDD_Usiarios_Netflix[[#This Row],[Ingresos Mensuales]]*BBDD_Usiarios_Netflix[[#This Row],[Meses contratados]]</f>
        <v>130</v>
      </c>
      <c r="O593" t="s">
        <v>29</v>
      </c>
      <c r="P593" t="str">
        <f>IF(BBDD_Usiarios_Netflix[[#This Row],[País]]="","Desconocido",BBDD_Usiarios_Netflix[[#This Row],[País]])</f>
        <v>EEUU</v>
      </c>
      <c r="Q593">
        <v>33</v>
      </c>
      <c r="R593" t="s">
        <v>25</v>
      </c>
      <c r="S593" t="s">
        <v>26</v>
      </c>
      <c r="T593" t="s">
        <v>38</v>
      </c>
      <c r="U593">
        <f>IF(IFERROR(VLOOKUP(BBDD_Usiarios_Netflix[[#This Row],[Identificador Usuario]],A594:$A$5870,1,FALSE),0)&lt;&gt;0,1,0)</f>
        <v>0</v>
      </c>
      <c r="V593" s="6" t="str">
        <f>IF(BBDD_Usiarios_Netflix[[#This Row],[Duración Plan]]="12 Meses",LEFT(BBDD_Usiarios_Netflix[[#This Row],[Duración Plan]],2),LEFT(BBDD_Usiarios_Netflix[[#This Row],[Duración Plan]],1))</f>
        <v>3</v>
      </c>
      <c r="W5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594" spans="1:23" x14ac:dyDescent="0.25">
      <c r="A594">
        <v>593</v>
      </c>
      <c r="B594" t="s">
        <v>32</v>
      </c>
      <c r="C594">
        <v>12</v>
      </c>
      <c r="D594" s="3">
        <v>6</v>
      </c>
      <c r="E594" s="3">
        <v>6</v>
      </c>
      <c r="F594">
        <v>23</v>
      </c>
      <c r="G594" s="1">
        <f>DATEVALUE(_xlfn.CONCAT(BBDD_Usiarios_Netflix[[#This Row],[Día Suscripción]],"/",BBDD_Usiarios_Netflix[[#This Row],[Mes Suscripción]],"/",BBDD_Usiarios_Netflix[[#This Row],[Año Suscripción]]))</f>
        <v>45083</v>
      </c>
      <c r="H594" s="1">
        <v>29</v>
      </c>
      <c r="I594" s="1">
        <v>6</v>
      </c>
      <c r="J594" s="1">
        <v>24</v>
      </c>
      <c r="K594" s="1" t="str">
        <f>TEXT(BBDD_Usiarios_Netflix[[#This Row],[Fecha Suscripción]],"dddd")</f>
        <v>martes</v>
      </c>
      <c r="L594" s="1">
        <f>DATEVALUE(_xlfn.CONCAT(BBDD_Usiarios_Netflix[[#This Row],[Día Último Pago]],"/",BBDD_Usiarios_Netflix[[#This Row],[Mes Último Pago]],"/",BBDD_Usiarios_Netflix[[#This Row],[Año Último Pago]]))</f>
        <v>45472</v>
      </c>
      <c r="M594" s="4">
        <f>DATEDIF(BBDD_Usiarios_Netflix[[#This Row],[Fecha Suscripción]],BBDD_Usiarios_Netflix[[#This Row],[Fecha Último Pago]],"M")+1</f>
        <v>13</v>
      </c>
      <c r="N594" s="4">
        <f>BBDD_Usiarios_Netflix[[#This Row],[Ingresos Mensuales]]*BBDD_Usiarios_Netflix[[#This Row],[Meses contratados]]</f>
        <v>156</v>
      </c>
      <c r="O594" t="s">
        <v>37</v>
      </c>
      <c r="P594" t="str">
        <f>IF(BBDD_Usiarios_Netflix[[#This Row],[País]]="","Desconocido",BBDD_Usiarios_Netflix[[#This Row],[País]])</f>
        <v>Brasil</v>
      </c>
      <c r="Q594">
        <v>41</v>
      </c>
      <c r="R594" t="s">
        <v>25</v>
      </c>
      <c r="S594" t="s">
        <v>26</v>
      </c>
      <c r="T594" t="s">
        <v>41</v>
      </c>
      <c r="U594">
        <f>IF(IFERROR(VLOOKUP(BBDD_Usiarios_Netflix[[#This Row],[Identificador Usuario]],A595:$A$5870,1,FALSE),0)&lt;&gt;0,1,0)</f>
        <v>0</v>
      </c>
      <c r="V594" s="6" t="str">
        <f>IF(BBDD_Usiarios_Netflix[[#This Row],[Duración Plan]]="12 Meses",LEFT(BBDD_Usiarios_Netflix[[#This Row],[Duración Plan]],2),LEFT(BBDD_Usiarios_Netflix[[#This Row],[Duración Plan]],1))</f>
        <v>12</v>
      </c>
      <c r="W5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95" spans="1:23" x14ac:dyDescent="0.25">
      <c r="A595">
        <v>594</v>
      </c>
      <c r="B595" t="s">
        <v>28</v>
      </c>
      <c r="C595">
        <v>14</v>
      </c>
      <c r="D595" s="3">
        <v>6</v>
      </c>
      <c r="E595" s="3">
        <v>6</v>
      </c>
      <c r="F595">
        <v>23</v>
      </c>
      <c r="G595" s="1">
        <f>DATEVALUE(_xlfn.CONCAT(BBDD_Usiarios_Netflix[[#This Row],[Día Suscripción]],"/",BBDD_Usiarios_Netflix[[#This Row],[Mes Suscripción]],"/",BBDD_Usiarios_Netflix[[#This Row],[Año Suscripción]]))</f>
        <v>45083</v>
      </c>
      <c r="H595" s="1">
        <v>30</v>
      </c>
      <c r="I595" s="1">
        <v>6</v>
      </c>
      <c r="J595" s="1">
        <v>24</v>
      </c>
      <c r="K595" s="1" t="str">
        <f>TEXT(BBDD_Usiarios_Netflix[[#This Row],[Fecha Suscripción]],"dddd")</f>
        <v>martes</v>
      </c>
      <c r="L595" s="1">
        <f>DATEVALUE(_xlfn.CONCAT(BBDD_Usiarios_Netflix[[#This Row],[Día Último Pago]],"/",BBDD_Usiarios_Netflix[[#This Row],[Mes Último Pago]],"/",BBDD_Usiarios_Netflix[[#This Row],[Año Último Pago]]))</f>
        <v>45473</v>
      </c>
      <c r="M595" s="4">
        <f>DATEDIF(BBDD_Usiarios_Netflix[[#This Row],[Fecha Suscripción]],BBDD_Usiarios_Netflix[[#This Row],[Fecha Último Pago]],"M")+1</f>
        <v>13</v>
      </c>
      <c r="N595" s="4">
        <f>BBDD_Usiarios_Netflix[[#This Row],[Ingresos Mensuales]]*BBDD_Usiarios_Netflix[[#This Row],[Meses contratados]]</f>
        <v>182</v>
      </c>
      <c r="O595" t="s">
        <v>24</v>
      </c>
      <c r="P595" t="str">
        <f>IF(BBDD_Usiarios_Netflix[[#This Row],[País]]="","Desconocido",BBDD_Usiarios_Netflix[[#This Row],[País]])</f>
        <v>Australia</v>
      </c>
      <c r="Q595">
        <v>38</v>
      </c>
      <c r="R595" t="s">
        <v>30</v>
      </c>
      <c r="S595" t="s">
        <v>34</v>
      </c>
      <c r="T595" t="s">
        <v>41</v>
      </c>
      <c r="U595">
        <f>IF(IFERROR(VLOOKUP(BBDD_Usiarios_Netflix[[#This Row],[Identificador Usuario]],A596:$A$5870,1,FALSE),0)&lt;&gt;0,1,0)</f>
        <v>0</v>
      </c>
      <c r="V595" s="6" t="str">
        <f>IF(BBDD_Usiarios_Netflix[[#This Row],[Duración Plan]]="12 Meses",LEFT(BBDD_Usiarios_Netflix[[#This Row],[Duración Plan]],2),LEFT(BBDD_Usiarios_Netflix[[#This Row],[Duración Plan]],1))</f>
        <v>12</v>
      </c>
      <c r="W5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596" spans="1:23" x14ac:dyDescent="0.25">
      <c r="A596">
        <v>595</v>
      </c>
      <c r="B596" t="s">
        <v>23</v>
      </c>
      <c r="C596">
        <v>10</v>
      </c>
      <c r="D596" s="3">
        <v>11</v>
      </c>
      <c r="E596" s="3">
        <v>6</v>
      </c>
      <c r="F596">
        <v>23</v>
      </c>
      <c r="G596" s="1">
        <f>DATEVALUE(_xlfn.CONCAT(BBDD_Usiarios_Netflix[[#This Row],[Día Suscripción]],"/",BBDD_Usiarios_Netflix[[#This Row],[Mes Suscripción]],"/",BBDD_Usiarios_Netflix[[#This Row],[Año Suscripción]]))</f>
        <v>45088</v>
      </c>
      <c r="H596" s="1">
        <v>28</v>
      </c>
      <c r="I596" s="1">
        <v>6</v>
      </c>
      <c r="J596" s="1">
        <v>24</v>
      </c>
      <c r="K596" s="1" t="str">
        <f>TEXT(BBDD_Usiarios_Netflix[[#This Row],[Fecha Suscripción]],"dddd")</f>
        <v>domingo</v>
      </c>
      <c r="L596" s="1">
        <f>DATEVALUE(_xlfn.CONCAT(BBDD_Usiarios_Netflix[[#This Row],[Día Último Pago]],"/",BBDD_Usiarios_Netflix[[#This Row],[Mes Último Pago]],"/",BBDD_Usiarios_Netflix[[#This Row],[Año Último Pago]]))</f>
        <v>45471</v>
      </c>
      <c r="M596" s="4">
        <f>DATEDIF(BBDD_Usiarios_Netflix[[#This Row],[Fecha Suscripción]],BBDD_Usiarios_Netflix[[#This Row],[Fecha Último Pago]],"M")+1</f>
        <v>13</v>
      </c>
      <c r="N596" s="4">
        <f>BBDD_Usiarios_Netflix[[#This Row],[Ingresos Mensuales]]*BBDD_Usiarios_Netflix[[#This Row],[Meses contratados]]</f>
        <v>130</v>
      </c>
      <c r="O596" t="s">
        <v>29</v>
      </c>
      <c r="P596" t="str">
        <f>IF(BBDD_Usiarios_Netflix[[#This Row],[País]]="","Desconocido",BBDD_Usiarios_Netflix[[#This Row],[País]])</f>
        <v>EEUU</v>
      </c>
      <c r="Q596">
        <v>49</v>
      </c>
      <c r="R596" t="s">
        <v>25</v>
      </c>
      <c r="S596" t="s">
        <v>36</v>
      </c>
      <c r="T596" t="s">
        <v>35</v>
      </c>
      <c r="U596">
        <f>IF(IFERROR(VLOOKUP(BBDD_Usiarios_Netflix[[#This Row],[Identificador Usuario]],A597:$A$5870,1,FALSE),0)&lt;&gt;0,1,0)</f>
        <v>0</v>
      </c>
      <c r="V596" s="6" t="str">
        <f>IF(BBDD_Usiarios_Netflix[[#This Row],[Duración Plan]]="12 Meses",LEFT(BBDD_Usiarios_Netflix[[#This Row],[Duración Plan]],2),LEFT(BBDD_Usiarios_Netflix[[#This Row],[Duración Plan]],1))</f>
        <v>6</v>
      </c>
      <c r="W5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97" spans="1:23" x14ac:dyDescent="0.25">
      <c r="A597">
        <v>596</v>
      </c>
      <c r="B597" t="s">
        <v>23</v>
      </c>
      <c r="C597">
        <v>10</v>
      </c>
      <c r="D597" s="3">
        <v>18</v>
      </c>
      <c r="E597" s="3">
        <v>6</v>
      </c>
      <c r="F597">
        <v>23</v>
      </c>
      <c r="G597" s="1">
        <f>DATEVALUE(_xlfn.CONCAT(BBDD_Usiarios_Netflix[[#This Row],[Día Suscripción]],"/",BBDD_Usiarios_Netflix[[#This Row],[Mes Suscripción]],"/",BBDD_Usiarios_Netflix[[#This Row],[Año Suscripción]]))</f>
        <v>45095</v>
      </c>
      <c r="H597" s="1">
        <v>28</v>
      </c>
      <c r="I597" s="1">
        <v>6</v>
      </c>
      <c r="J597" s="1">
        <v>24</v>
      </c>
      <c r="K597" s="1" t="str">
        <f>TEXT(BBDD_Usiarios_Netflix[[#This Row],[Fecha Suscripción]],"dddd")</f>
        <v>domingo</v>
      </c>
      <c r="L597" s="1">
        <f>DATEVALUE(_xlfn.CONCAT(BBDD_Usiarios_Netflix[[#This Row],[Día Último Pago]],"/",BBDD_Usiarios_Netflix[[#This Row],[Mes Último Pago]],"/",BBDD_Usiarios_Netflix[[#This Row],[Año Último Pago]]))</f>
        <v>45471</v>
      </c>
      <c r="M597" s="4">
        <f>DATEDIF(BBDD_Usiarios_Netflix[[#This Row],[Fecha Suscripción]],BBDD_Usiarios_Netflix[[#This Row],[Fecha Último Pago]],"M")+1</f>
        <v>13</v>
      </c>
      <c r="N597" s="4">
        <f>BBDD_Usiarios_Netflix[[#This Row],[Ingresos Mensuales]]*BBDD_Usiarios_Netflix[[#This Row],[Meses contratados]]</f>
        <v>130</v>
      </c>
      <c r="O597" t="s">
        <v>43</v>
      </c>
      <c r="P597" t="str">
        <f>IF(BBDD_Usiarios_Netflix[[#This Row],[País]]="","Desconocido",BBDD_Usiarios_Netflix[[#This Row],[País]])</f>
        <v>Alemania</v>
      </c>
      <c r="Q597">
        <v>29</v>
      </c>
      <c r="R597" t="s">
        <v>30</v>
      </c>
      <c r="S597" t="s">
        <v>34</v>
      </c>
      <c r="T597" t="s">
        <v>35</v>
      </c>
      <c r="U597">
        <f>IF(IFERROR(VLOOKUP(BBDD_Usiarios_Netflix[[#This Row],[Identificador Usuario]],A598:$A$5870,1,FALSE),0)&lt;&gt;0,1,0)</f>
        <v>0</v>
      </c>
      <c r="V597" s="6" t="str">
        <f>IF(BBDD_Usiarios_Netflix[[#This Row],[Duración Plan]]="12 Meses",LEFT(BBDD_Usiarios_Netflix[[#This Row],[Duración Plan]],2),LEFT(BBDD_Usiarios_Netflix[[#This Row],[Duración Plan]],1))</f>
        <v>6</v>
      </c>
      <c r="W5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598" spans="1:23" x14ac:dyDescent="0.25">
      <c r="A598">
        <v>597</v>
      </c>
      <c r="B598" t="s">
        <v>23</v>
      </c>
      <c r="C598">
        <v>10</v>
      </c>
      <c r="D598" s="3">
        <v>27</v>
      </c>
      <c r="E598" s="3">
        <v>6</v>
      </c>
      <c r="F598">
        <v>23</v>
      </c>
      <c r="G598" s="1">
        <f>DATEVALUE(_xlfn.CONCAT(BBDD_Usiarios_Netflix[[#This Row],[Día Suscripción]],"/",BBDD_Usiarios_Netflix[[#This Row],[Mes Suscripción]],"/",BBDD_Usiarios_Netflix[[#This Row],[Año Suscripción]]))</f>
        <v>45104</v>
      </c>
      <c r="H598" s="1">
        <v>28</v>
      </c>
      <c r="I598" s="1">
        <v>6</v>
      </c>
      <c r="J598" s="1">
        <v>24</v>
      </c>
      <c r="K598" s="1" t="str">
        <f>TEXT(BBDD_Usiarios_Netflix[[#This Row],[Fecha Suscripción]],"dddd")</f>
        <v>martes</v>
      </c>
      <c r="L598" s="1">
        <f>DATEVALUE(_xlfn.CONCAT(BBDD_Usiarios_Netflix[[#This Row],[Día Último Pago]],"/",BBDD_Usiarios_Netflix[[#This Row],[Mes Último Pago]],"/",BBDD_Usiarios_Netflix[[#This Row],[Año Último Pago]]))</f>
        <v>45471</v>
      </c>
      <c r="M598" s="4">
        <f>DATEDIF(BBDD_Usiarios_Netflix[[#This Row],[Fecha Suscripción]],BBDD_Usiarios_Netflix[[#This Row],[Fecha Último Pago]],"M")+1</f>
        <v>13</v>
      </c>
      <c r="N598" s="4">
        <f>BBDD_Usiarios_Netflix[[#This Row],[Ingresos Mensuales]]*BBDD_Usiarios_Netflix[[#This Row],[Meses contratados]]</f>
        <v>130</v>
      </c>
      <c r="O598" t="s">
        <v>44</v>
      </c>
      <c r="P598" t="str">
        <f>IF(BBDD_Usiarios_Netflix[[#This Row],[País]]="","Desconocido",BBDD_Usiarios_Netflix[[#This Row],[País]])</f>
        <v>Desconocido</v>
      </c>
      <c r="Q598">
        <v>50</v>
      </c>
      <c r="R598" t="s">
        <v>25</v>
      </c>
      <c r="S598" t="s">
        <v>36</v>
      </c>
      <c r="T598" t="s">
        <v>27</v>
      </c>
      <c r="U598">
        <f>IF(IFERROR(VLOOKUP(BBDD_Usiarios_Netflix[[#This Row],[Identificador Usuario]],A599:$A$5870,1,FALSE),0)&lt;&gt;0,1,0)</f>
        <v>0</v>
      </c>
      <c r="V598" s="6" t="str">
        <f>IF(BBDD_Usiarios_Netflix[[#This Row],[Duración Plan]]="12 Meses",LEFT(BBDD_Usiarios_Netflix[[#This Row],[Duración Plan]],2),LEFT(BBDD_Usiarios_Netflix[[#This Row],[Duración Plan]],1))</f>
        <v>1</v>
      </c>
      <c r="W5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599" spans="1:23" x14ac:dyDescent="0.25">
      <c r="A599">
        <v>598</v>
      </c>
      <c r="B599" t="s">
        <v>32</v>
      </c>
      <c r="C599">
        <v>12</v>
      </c>
      <c r="D599" s="3">
        <v>5</v>
      </c>
      <c r="E599" s="3">
        <v>7</v>
      </c>
      <c r="F599">
        <v>23</v>
      </c>
      <c r="G599" s="1">
        <f>DATEVALUE(_xlfn.CONCAT(BBDD_Usiarios_Netflix[[#This Row],[Día Suscripción]],"/",BBDD_Usiarios_Netflix[[#This Row],[Mes Suscripción]],"/",BBDD_Usiarios_Netflix[[#This Row],[Año Suscripción]]))</f>
        <v>45112</v>
      </c>
      <c r="H599" s="1">
        <v>29</v>
      </c>
      <c r="I599" s="1">
        <v>6</v>
      </c>
      <c r="J599" s="1">
        <v>24</v>
      </c>
      <c r="K599" s="1" t="str">
        <f>TEXT(BBDD_Usiarios_Netflix[[#This Row],[Fecha Suscripción]],"dddd")</f>
        <v>miércoles</v>
      </c>
      <c r="L599" s="1">
        <f>DATEVALUE(_xlfn.CONCAT(BBDD_Usiarios_Netflix[[#This Row],[Día Último Pago]],"/",BBDD_Usiarios_Netflix[[#This Row],[Mes Último Pago]],"/",BBDD_Usiarios_Netflix[[#This Row],[Año Último Pago]]))</f>
        <v>45472</v>
      </c>
      <c r="M599" s="4">
        <f>DATEDIF(BBDD_Usiarios_Netflix[[#This Row],[Fecha Suscripción]],BBDD_Usiarios_Netflix[[#This Row],[Fecha Último Pago]],"M")+1</f>
        <v>12</v>
      </c>
      <c r="N599" s="4">
        <f>BBDD_Usiarios_Netflix[[#This Row],[Ingresos Mensuales]]*BBDD_Usiarios_Netflix[[#This Row],[Meses contratados]]</f>
        <v>144</v>
      </c>
      <c r="O599" t="s">
        <v>40</v>
      </c>
      <c r="P599" t="str">
        <f>IF(BBDD_Usiarios_Netflix[[#This Row],[País]]="","Desconocido",BBDD_Usiarios_Netflix[[#This Row],[País]])</f>
        <v>Italia</v>
      </c>
      <c r="Q599">
        <v>29</v>
      </c>
      <c r="R599" t="s">
        <v>30</v>
      </c>
      <c r="S599" t="s">
        <v>31</v>
      </c>
      <c r="T599" t="s">
        <v>27</v>
      </c>
      <c r="U599">
        <f>IF(IFERROR(VLOOKUP(BBDD_Usiarios_Netflix[[#This Row],[Identificador Usuario]],A600:$A$5870,1,FALSE),0)&lt;&gt;0,1,0)</f>
        <v>0</v>
      </c>
      <c r="V599" s="6" t="str">
        <f>IF(BBDD_Usiarios_Netflix[[#This Row],[Duración Plan]]="12 Meses",LEFT(BBDD_Usiarios_Netflix[[#This Row],[Duración Plan]],2),LEFT(BBDD_Usiarios_Netflix[[#This Row],[Duración Plan]],1))</f>
        <v>1</v>
      </c>
      <c r="W5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0" spans="1:23" x14ac:dyDescent="0.25">
      <c r="A600">
        <v>599</v>
      </c>
      <c r="B600" t="s">
        <v>28</v>
      </c>
      <c r="C600">
        <v>14</v>
      </c>
      <c r="D600" s="3">
        <v>6</v>
      </c>
      <c r="E600" s="3">
        <v>7</v>
      </c>
      <c r="F600">
        <v>23</v>
      </c>
      <c r="G600" s="1">
        <f>DATEVALUE(_xlfn.CONCAT(BBDD_Usiarios_Netflix[[#This Row],[Día Suscripción]],"/",BBDD_Usiarios_Netflix[[#This Row],[Mes Suscripción]],"/",BBDD_Usiarios_Netflix[[#This Row],[Año Suscripción]]))</f>
        <v>45113</v>
      </c>
      <c r="H600" s="1">
        <v>27</v>
      </c>
      <c r="I600" s="1">
        <v>6</v>
      </c>
      <c r="J600" s="1">
        <v>24</v>
      </c>
      <c r="K600" s="1" t="str">
        <f>TEXT(BBDD_Usiarios_Netflix[[#This Row],[Fecha Suscripción]],"dddd")</f>
        <v>jueves</v>
      </c>
      <c r="L600" s="1">
        <f>DATEVALUE(_xlfn.CONCAT(BBDD_Usiarios_Netflix[[#This Row],[Día Último Pago]],"/",BBDD_Usiarios_Netflix[[#This Row],[Mes Último Pago]],"/",BBDD_Usiarios_Netflix[[#This Row],[Año Último Pago]]))</f>
        <v>45470</v>
      </c>
      <c r="M600" s="4">
        <f>DATEDIF(BBDD_Usiarios_Netflix[[#This Row],[Fecha Suscripción]],BBDD_Usiarios_Netflix[[#This Row],[Fecha Último Pago]],"M")+1</f>
        <v>12</v>
      </c>
      <c r="N600" s="4">
        <f>BBDD_Usiarios_Netflix[[#This Row],[Ingresos Mensuales]]*BBDD_Usiarios_Netflix[[#This Row],[Meses contratados]]</f>
        <v>168</v>
      </c>
      <c r="O600" t="s">
        <v>40</v>
      </c>
      <c r="P600" t="str">
        <f>IF(BBDD_Usiarios_Netflix[[#This Row],[País]]="","Desconocido",BBDD_Usiarios_Netflix[[#This Row],[País]])</f>
        <v>Italia</v>
      </c>
      <c r="Q600">
        <v>44</v>
      </c>
      <c r="R600" t="s">
        <v>25</v>
      </c>
      <c r="S600" t="s">
        <v>34</v>
      </c>
      <c r="T600" t="s">
        <v>27</v>
      </c>
      <c r="U600">
        <f>IF(IFERROR(VLOOKUP(BBDD_Usiarios_Netflix[[#This Row],[Identificador Usuario]],A601:$A$5870,1,FALSE),0)&lt;&gt;0,1,0)</f>
        <v>0</v>
      </c>
      <c r="V600" s="6" t="str">
        <f>IF(BBDD_Usiarios_Netflix[[#This Row],[Duración Plan]]="12 Meses",LEFT(BBDD_Usiarios_Netflix[[#This Row],[Duración Plan]],2),LEFT(BBDD_Usiarios_Netflix[[#This Row],[Duración Plan]],1))</f>
        <v>1</v>
      </c>
      <c r="W6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1" spans="1:23" x14ac:dyDescent="0.25">
      <c r="A601">
        <v>600</v>
      </c>
      <c r="B601" t="s">
        <v>23</v>
      </c>
      <c r="C601">
        <v>10</v>
      </c>
      <c r="D601" s="3">
        <v>16</v>
      </c>
      <c r="E601" s="3">
        <v>6</v>
      </c>
      <c r="F601">
        <v>23</v>
      </c>
      <c r="G601" s="1">
        <f>DATEVALUE(_xlfn.CONCAT(BBDD_Usiarios_Netflix[[#This Row],[Día Suscripción]],"/",BBDD_Usiarios_Netflix[[#This Row],[Mes Suscripción]],"/",BBDD_Usiarios_Netflix[[#This Row],[Año Suscripción]]))</f>
        <v>45093</v>
      </c>
      <c r="H601" s="1">
        <v>29</v>
      </c>
      <c r="I601" s="1">
        <v>6</v>
      </c>
      <c r="J601" s="1">
        <v>24</v>
      </c>
      <c r="K601" s="1" t="str">
        <f>TEXT(BBDD_Usiarios_Netflix[[#This Row],[Fecha Suscripción]],"dddd")</f>
        <v>viernes</v>
      </c>
      <c r="L601" s="1">
        <f>DATEVALUE(_xlfn.CONCAT(BBDD_Usiarios_Netflix[[#This Row],[Día Último Pago]],"/",BBDD_Usiarios_Netflix[[#This Row],[Mes Último Pago]],"/",BBDD_Usiarios_Netflix[[#This Row],[Año Último Pago]]))</f>
        <v>45472</v>
      </c>
      <c r="M601" s="4">
        <f>DATEDIF(BBDD_Usiarios_Netflix[[#This Row],[Fecha Suscripción]],BBDD_Usiarios_Netflix[[#This Row],[Fecha Último Pago]],"M")+1</f>
        <v>13</v>
      </c>
      <c r="N601" s="4">
        <f>BBDD_Usiarios_Netflix[[#This Row],[Ingresos Mensuales]]*BBDD_Usiarios_Netflix[[#This Row],[Meses contratados]]</f>
        <v>130</v>
      </c>
      <c r="O601" t="s">
        <v>29</v>
      </c>
      <c r="P601" t="str">
        <f>IF(BBDD_Usiarios_Netflix[[#This Row],[País]]="","Desconocido",BBDD_Usiarios_Netflix[[#This Row],[País]])</f>
        <v>EEUU</v>
      </c>
      <c r="Q601">
        <v>36</v>
      </c>
      <c r="R601" t="s">
        <v>30</v>
      </c>
      <c r="S601" t="s">
        <v>34</v>
      </c>
      <c r="T601" t="s">
        <v>27</v>
      </c>
      <c r="U601">
        <f>IF(IFERROR(VLOOKUP(BBDD_Usiarios_Netflix[[#This Row],[Identificador Usuario]],A602:$A$5870,1,FALSE),0)&lt;&gt;0,1,0)</f>
        <v>0</v>
      </c>
      <c r="V601" s="6" t="str">
        <f>IF(BBDD_Usiarios_Netflix[[#This Row],[Duración Plan]]="12 Meses",LEFT(BBDD_Usiarios_Netflix[[#This Row],[Duración Plan]],2),LEFT(BBDD_Usiarios_Netflix[[#This Row],[Duración Plan]],1))</f>
        <v>1</v>
      </c>
      <c r="W6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2" spans="1:23" x14ac:dyDescent="0.25">
      <c r="A602">
        <v>601</v>
      </c>
      <c r="B602" t="s">
        <v>23</v>
      </c>
      <c r="C602">
        <v>10</v>
      </c>
      <c r="D602" s="3">
        <v>5</v>
      </c>
      <c r="E602" s="3">
        <v>6</v>
      </c>
      <c r="F602">
        <v>23</v>
      </c>
      <c r="G602" s="1">
        <f>DATEVALUE(_xlfn.CONCAT(BBDD_Usiarios_Netflix[[#This Row],[Día Suscripción]],"/",BBDD_Usiarios_Netflix[[#This Row],[Mes Suscripción]],"/",BBDD_Usiarios_Netflix[[#This Row],[Año Suscripción]]))</f>
        <v>45082</v>
      </c>
      <c r="H602" s="1">
        <v>30</v>
      </c>
      <c r="I602" s="1">
        <v>6</v>
      </c>
      <c r="J602" s="1">
        <v>24</v>
      </c>
      <c r="K602" s="1" t="str">
        <f>TEXT(BBDD_Usiarios_Netflix[[#This Row],[Fecha Suscripción]],"dddd")</f>
        <v>lunes</v>
      </c>
      <c r="L602" s="1">
        <f>DATEVALUE(_xlfn.CONCAT(BBDD_Usiarios_Netflix[[#This Row],[Día Último Pago]],"/",BBDD_Usiarios_Netflix[[#This Row],[Mes Último Pago]],"/",BBDD_Usiarios_Netflix[[#This Row],[Año Último Pago]]))</f>
        <v>45473</v>
      </c>
      <c r="M602" s="4">
        <f>DATEDIF(BBDD_Usiarios_Netflix[[#This Row],[Fecha Suscripción]],BBDD_Usiarios_Netflix[[#This Row],[Fecha Último Pago]],"M")+1</f>
        <v>13</v>
      </c>
      <c r="N602" s="4">
        <f>BBDD_Usiarios_Netflix[[#This Row],[Ingresos Mensuales]]*BBDD_Usiarios_Netflix[[#This Row],[Meses contratados]]</f>
        <v>130</v>
      </c>
      <c r="O602" t="s">
        <v>29</v>
      </c>
      <c r="P602" t="str">
        <f>IF(BBDD_Usiarios_Netflix[[#This Row],[País]]="","Desconocido",BBDD_Usiarios_Netflix[[#This Row],[País]])</f>
        <v>EEUU</v>
      </c>
      <c r="Q602">
        <v>46</v>
      </c>
      <c r="R602" t="s">
        <v>30</v>
      </c>
      <c r="S602" t="s">
        <v>34</v>
      </c>
      <c r="T602" t="s">
        <v>35</v>
      </c>
      <c r="U602">
        <f>IF(IFERROR(VLOOKUP(BBDD_Usiarios_Netflix[[#This Row],[Identificador Usuario]],A603:$A$5870,1,FALSE),0)&lt;&gt;0,1,0)</f>
        <v>0</v>
      </c>
      <c r="V602" s="6" t="str">
        <f>IF(BBDD_Usiarios_Netflix[[#This Row],[Duración Plan]]="12 Meses",LEFT(BBDD_Usiarios_Netflix[[#This Row],[Duración Plan]],2),LEFT(BBDD_Usiarios_Netflix[[#This Row],[Duración Plan]],1))</f>
        <v>6</v>
      </c>
      <c r="W6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03" spans="1:23" x14ac:dyDescent="0.25">
      <c r="A603">
        <v>602</v>
      </c>
      <c r="B603" t="s">
        <v>28</v>
      </c>
      <c r="C603">
        <v>14</v>
      </c>
      <c r="D603" s="3">
        <v>5</v>
      </c>
      <c r="E603" s="3">
        <v>6</v>
      </c>
      <c r="F603">
        <v>23</v>
      </c>
      <c r="G603" s="1">
        <f>DATEVALUE(_xlfn.CONCAT(BBDD_Usiarios_Netflix[[#This Row],[Día Suscripción]],"/",BBDD_Usiarios_Netflix[[#This Row],[Mes Suscripción]],"/",BBDD_Usiarios_Netflix[[#This Row],[Año Suscripción]]))</f>
        <v>45082</v>
      </c>
      <c r="H603" s="1">
        <v>29</v>
      </c>
      <c r="I603" s="1">
        <v>6</v>
      </c>
      <c r="J603" s="1">
        <v>24</v>
      </c>
      <c r="K603" s="1" t="str">
        <f>TEXT(BBDD_Usiarios_Netflix[[#This Row],[Fecha Suscripción]],"dddd")</f>
        <v>lunes</v>
      </c>
      <c r="L603" s="1">
        <f>DATEVALUE(_xlfn.CONCAT(BBDD_Usiarios_Netflix[[#This Row],[Día Último Pago]],"/",BBDD_Usiarios_Netflix[[#This Row],[Mes Último Pago]],"/",BBDD_Usiarios_Netflix[[#This Row],[Año Último Pago]]))</f>
        <v>45472</v>
      </c>
      <c r="M603" s="4">
        <f>DATEDIF(BBDD_Usiarios_Netflix[[#This Row],[Fecha Suscripción]],BBDD_Usiarios_Netflix[[#This Row],[Fecha Último Pago]],"M")+1</f>
        <v>13</v>
      </c>
      <c r="N603" s="4">
        <f>BBDD_Usiarios_Netflix[[#This Row],[Ingresos Mensuales]]*BBDD_Usiarios_Netflix[[#This Row],[Meses contratados]]</f>
        <v>182</v>
      </c>
      <c r="O603" t="s">
        <v>42</v>
      </c>
      <c r="P603" t="str">
        <f>IF(BBDD_Usiarios_Netflix[[#This Row],[País]]="","Desconocido",BBDD_Usiarios_Netflix[[#This Row],[País]])</f>
        <v>Reino Unido</v>
      </c>
      <c r="Q603">
        <v>30</v>
      </c>
      <c r="R603" t="s">
        <v>25</v>
      </c>
      <c r="S603" t="s">
        <v>26</v>
      </c>
      <c r="T603" t="s">
        <v>27</v>
      </c>
      <c r="U603">
        <f>IF(IFERROR(VLOOKUP(BBDD_Usiarios_Netflix[[#This Row],[Identificador Usuario]],A604:$A$5870,1,FALSE),0)&lt;&gt;0,1,0)</f>
        <v>0</v>
      </c>
      <c r="V603" s="6" t="str">
        <f>IF(BBDD_Usiarios_Netflix[[#This Row],[Duración Plan]]="12 Meses",LEFT(BBDD_Usiarios_Netflix[[#This Row],[Duración Plan]],2),LEFT(BBDD_Usiarios_Netflix[[#This Row],[Duración Plan]],1))</f>
        <v>1</v>
      </c>
      <c r="W6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4" spans="1:23" x14ac:dyDescent="0.25">
      <c r="A604">
        <v>603</v>
      </c>
      <c r="B604" t="s">
        <v>32</v>
      </c>
      <c r="C604">
        <v>12</v>
      </c>
      <c r="D604" s="3">
        <v>6</v>
      </c>
      <c r="E604" s="3">
        <v>6</v>
      </c>
      <c r="F604">
        <v>23</v>
      </c>
      <c r="G604" s="1">
        <f>DATEVALUE(_xlfn.CONCAT(BBDD_Usiarios_Netflix[[#This Row],[Día Suscripción]],"/",BBDD_Usiarios_Netflix[[#This Row],[Mes Suscripción]],"/",BBDD_Usiarios_Netflix[[#This Row],[Año Suscripción]]))</f>
        <v>45083</v>
      </c>
      <c r="H604" s="1">
        <v>27</v>
      </c>
      <c r="I604" s="1">
        <v>6</v>
      </c>
      <c r="J604" s="1">
        <v>24</v>
      </c>
      <c r="K604" s="1" t="str">
        <f>TEXT(BBDD_Usiarios_Netflix[[#This Row],[Fecha Suscripción]],"dddd")</f>
        <v>martes</v>
      </c>
      <c r="L604" s="1">
        <f>DATEVALUE(_xlfn.CONCAT(BBDD_Usiarios_Netflix[[#This Row],[Día Último Pago]],"/",BBDD_Usiarios_Netflix[[#This Row],[Mes Último Pago]],"/",BBDD_Usiarios_Netflix[[#This Row],[Año Último Pago]]))</f>
        <v>45470</v>
      </c>
      <c r="M604" s="4">
        <f>DATEDIF(BBDD_Usiarios_Netflix[[#This Row],[Fecha Suscripción]],BBDD_Usiarios_Netflix[[#This Row],[Fecha Último Pago]],"M")+1</f>
        <v>13</v>
      </c>
      <c r="N604" s="4">
        <f>BBDD_Usiarios_Netflix[[#This Row],[Ingresos Mensuales]]*BBDD_Usiarios_Netflix[[#This Row],[Meses contratados]]</f>
        <v>156</v>
      </c>
      <c r="O604" t="s">
        <v>42</v>
      </c>
      <c r="P604" t="str">
        <f>IF(BBDD_Usiarios_Netflix[[#This Row],[País]]="","Desconocido",BBDD_Usiarios_Netflix[[#This Row],[País]])</f>
        <v>Reino Unido</v>
      </c>
      <c r="Q604">
        <v>46</v>
      </c>
      <c r="R604" t="s">
        <v>30</v>
      </c>
      <c r="S604" t="s">
        <v>31</v>
      </c>
      <c r="T604" t="s">
        <v>27</v>
      </c>
      <c r="U604">
        <f>IF(IFERROR(VLOOKUP(BBDD_Usiarios_Netflix[[#This Row],[Identificador Usuario]],A605:$A$5870,1,FALSE),0)&lt;&gt;0,1,0)</f>
        <v>0</v>
      </c>
      <c r="V604" s="6" t="str">
        <f>IF(BBDD_Usiarios_Netflix[[#This Row],[Duración Plan]]="12 Meses",LEFT(BBDD_Usiarios_Netflix[[#This Row],[Duración Plan]],2),LEFT(BBDD_Usiarios_Netflix[[#This Row],[Duración Plan]],1))</f>
        <v>1</v>
      </c>
      <c r="W6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5" spans="1:23" x14ac:dyDescent="0.25">
      <c r="A605">
        <v>604</v>
      </c>
      <c r="B605" t="s">
        <v>32</v>
      </c>
      <c r="C605">
        <v>12</v>
      </c>
      <c r="D605" s="3">
        <v>7</v>
      </c>
      <c r="E605" s="3">
        <v>6</v>
      </c>
      <c r="F605">
        <v>23</v>
      </c>
      <c r="G605" s="1">
        <f>DATEVALUE(_xlfn.CONCAT(BBDD_Usiarios_Netflix[[#This Row],[Día Suscripción]],"/",BBDD_Usiarios_Netflix[[#This Row],[Mes Suscripción]],"/",BBDD_Usiarios_Netflix[[#This Row],[Año Suscripción]]))</f>
        <v>45084</v>
      </c>
      <c r="H605" s="1">
        <v>28</v>
      </c>
      <c r="I605" s="1">
        <v>6</v>
      </c>
      <c r="J605" s="1">
        <v>24</v>
      </c>
      <c r="K605" s="1" t="str">
        <f>TEXT(BBDD_Usiarios_Netflix[[#This Row],[Fecha Suscripción]],"dddd")</f>
        <v>miércoles</v>
      </c>
      <c r="L605" s="1">
        <f>DATEVALUE(_xlfn.CONCAT(BBDD_Usiarios_Netflix[[#This Row],[Día Último Pago]],"/",BBDD_Usiarios_Netflix[[#This Row],[Mes Último Pago]],"/",BBDD_Usiarios_Netflix[[#This Row],[Año Último Pago]]))</f>
        <v>45471</v>
      </c>
      <c r="M605" s="4">
        <f>DATEDIF(BBDD_Usiarios_Netflix[[#This Row],[Fecha Suscripción]],BBDD_Usiarios_Netflix[[#This Row],[Fecha Último Pago]],"M")+1</f>
        <v>13</v>
      </c>
      <c r="N605" s="4">
        <f>BBDD_Usiarios_Netflix[[#This Row],[Ingresos Mensuales]]*BBDD_Usiarios_Netflix[[#This Row],[Meses contratados]]</f>
        <v>156</v>
      </c>
      <c r="O605" t="s">
        <v>29</v>
      </c>
      <c r="P605" t="str">
        <f>IF(BBDD_Usiarios_Netflix[[#This Row],[País]]="","Desconocido",BBDD_Usiarios_Netflix[[#This Row],[País]])</f>
        <v>EEUU</v>
      </c>
      <c r="Q605">
        <v>33</v>
      </c>
      <c r="R605" t="s">
        <v>25</v>
      </c>
      <c r="S605" t="s">
        <v>26</v>
      </c>
      <c r="T605" t="s">
        <v>27</v>
      </c>
      <c r="U605">
        <f>IF(IFERROR(VLOOKUP(BBDD_Usiarios_Netflix[[#This Row],[Identificador Usuario]],A606:$A$5870,1,FALSE),0)&lt;&gt;0,1,0)</f>
        <v>0</v>
      </c>
      <c r="V605" s="6" t="str">
        <f>IF(BBDD_Usiarios_Netflix[[#This Row],[Duración Plan]]="12 Meses",LEFT(BBDD_Usiarios_Netflix[[#This Row],[Duración Plan]],2),LEFT(BBDD_Usiarios_Netflix[[#This Row],[Duración Plan]],1))</f>
        <v>1</v>
      </c>
      <c r="W6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6" spans="1:23" x14ac:dyDescent="0.25">
      <c r="A606">
        <v>605</v>
      </c>
      <c r="B606" t="s">
        <v>23</v>
      </c>
      <c r="C606">
        <v>10</v>
      </c>
      <c r="D606" s="3">
        <v>10</v>
      </c>
      <c r="E606" s="3">
        <v>6</v>
      </c>
      <c r="F606">
        <v>23</v>
      </c>
      <c r="G606" s="1">
        <f>DATEVALUE(_xlfn.CONCAT(BBDD_Usiarios_Netflix[[#This Row],[Día Suscripción]],"/",BBDD_Usiarios_Netflix[[#This Row],[Mes Suscripción]],"/",BBDD_Usiarios_Netflix[[#This Row],[Año Suscripción]]))</f>
        <v>45087</v>
      </c>
      <c r="H606" s="1">
        <v>29</v>
      </c>
      <c r="I606" s="1">
        <v>6</v>
      </c>
      <c r="J606" s="1">
        <v>24</v>
      </c>
      <c r="K606" s="1" t="str">
        <f>TEXT(BBDD_Usiarios_Netflix[[#This Row],[Fecha Suscripción]],"dddd")</f>
        <v>sábado</v>
      </c>
      <c r="L606" s="1">
        <f>DATEVALUE(_xlfn.CONCAT(BBDD_Usiarios_Netflix[[#This Row],[Día Último Pago]],"/",BBDD_Usiarios_Netflix[[#This Row],[Mes Último Pago]],"/",BBDD_Usiarios_Netflix[[#This Row],[Año Último Pago]]))</f>
        <v>45472</v>
      </c>
      <c r="M606" s="4">
        <f>DATEDIF(BBDD_Usiarios_Netflix[[#This Row],[Fecha Suscripción]],BBDD_Usiarios_Netflix[[#This Row],[Fecha Último Pago]],"M")+1</f>
        <v>13</v>
      </c>
      <c r="N606" s="4">
        <f>BBDD_Usiarios_Netflix[[#This Row],[Ingresos Mensuales]]*BBDD_Usiarios_Netflix[[#This Row],[Meses contratados]]</f>
        <v>130</v>
      </c>
      <c r="O606" t="s">
        <v>40</v>
      </c>
      <c r="P606" t="str">
        <f>IF(BBDD_Usiarios_Netflix[[#This Row],[País]]="","Desconocido",BBDD_Usiarios_Netflix[[#This Row],[País]])</f>
        <v>Italia</v>
      </c>
      <c r="Q606">
        <v>46</v>
      </c>
      <c r="R606" t="s">
        <v>30</v>
      </c>
      <c r="S606" t="s">
        <v>31</v>
      </c>
      <c r="T606" t="s">
        <v>27</v>
      </c>
      <c r="U606">
        <f>IF(IFERROR(VLOOKUP(BBDD_Usiarios_Netflix[[#This Row],[Identificador Usuario]],A607:$A$5870,1,FALSE),0)&lt;&gt;0,1,0)</f>
        <v>0</v>
      </c>
      <c r="V606" s="6" t="str">
        <f>IF(BBDD_Usiarios_Netflix[[#This Row],[Duración Plan]]="12 Meses",LEFT(BBDD_Usiarios_Netflix[[#This Row],[Duración Plan]],2),LEFT(BBDD_Usiarios_Netflix[[#This Row],[Duración Plan]],1))</f>
        <v>1</v>
      </c>
      <c r="W6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7" spans="1:23" x14ac:dyDescent="0.25">
      <c r="A607">
        <v>606</v>
      </c>
      <c r="B607" t="s">
        <v>28</v>
      </c>
      <c r="C607">
        <v>14</v>
      </c>
      <c r="D607" s="3">
        <v>13</v>
      </c>
      <c r="E607" s="3">
        <v>6</v>
      </c>
      <c r="F607">
        <v>23</v>
      </c>
      <c r="G607" s="1">
        <f>DATEVALUE(_xlfn.CONCAT(BBDD_Usiarios_Netflix[[#This Row],[Día Suscripción]],"/",BBDD_Usiarios_Netflix[[#This Row],[Mes Suscripción]],"/",BBDD_Usiarios_Netflix[[#This Row],[Año Suscripción]]))</f>
        <v>45090</v>
      </c>
      <c r="H607" s="1">
        <v>29</v>
      </c>
      <c r="I607" s="1">
        <v>6</v>
      </c>
      <c r="J607" s="1">
        <v>24</v>
      </c>
      <c r="K607" s="1" t="str">
        <f>TEXT(BBDD_Usiarios_Netflix[[#This Row],[Fecha Suscripción]],"dddd")</f>
        <v>martes</v>
      </c>
      <c r="L607" s="1">
        <f>DATEVALUE(_xlfn.CONCAT(BBDD_Usiarios_Netflix[[#This Row],[Día Último Pago]],"/",BBDD_Usiarios_Netflix[[#This Row],[Mes Último Pago]],"/",BBDD_Usiarios_Netflix[[#This Row],[Año Último Pago]]))</f>
        <v>45472</v>
      </c>
      <c r="M607" s="4">
        <f>DATEDIF(BBDD_Usiarios_Netflix[[#This Row],[Fecha Suscripción]],BBDD_Usiarios_Netflix[[#This Row],[Fecha Último Pago]],"M")+1</f>
        <v>13</v>
      </c>
      <c r="N607" s="4">
        <f>BBDD_Usiarios_Netflix[[#This Row],[Ingresos Mensuales]]*BBDD_Usiarios_Netflix[[#This Row],[Meses contratados]]</f>
        <v>182</v>
      </c>
      <c r="O607" t="s">
        <v>29</v>
      </c>
      <c r="P607" t="str">
        <f>IF(BBDD_Usiarios_Netflix[[#This Row],[País]]="","Desconocido",BBDD_Usiarios_Netflix[[#This Row],[País]])</f>
        <v>EEUU</v>
      </c>
      <c r="Q607">
        <v>50</v>
      </c>
      <c r="R607" t="s">
        <v>25</v>
      </c>
      <c r="S607" t="s">
        <v>31</v>
      </c>
      <c r="T607" t="s">
        <v>41</v>
      </c>
      <c r="U607">
        <f>IF(IFERROR(VLOOKUP(BBDD_Usiarios_Netflix[[#This Row],[Identificador Usuario]],A608:$A$5870,1,FALSE),0)&lt;&gt;0,1,0)</f>
        <v>0</v>
      </c>
      <c r="V607" s="6" t="str">
        <f>IF(BBDD_Usiarios_Netflix[[#This Row],[Duración Plan]]="12 Meses",LEFT(BBDD_Usiarios_Netflix[[#This Row],[Duración Plan]],2),LEFT(BBDD_Usiarios_Netflix[[#This Row],[Duración Plan]],1))</f>
        <v>12</v>
      </c>
      <c r="W6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08" spans="1:23" x14ac:dyDescent="0.25">
      <c r="A608">
        <v>607</v>
      </c>
      <c r="B608" t="s">
        <v>32</v>
      </c>
      <c r="C608">
        <v>12</v>
      </c>
      <c r="D608" s="3">
        <v>14</v>
      </c>
      <c r="E608" s="3">
        <v>6</v>
      </c>
      <c r="F608">
        <v>23</v>
      </c>
      <c r="G608" s="1">
        <f>DATEVALUE(_xlfn.CONCAT(BBDD_Usiarios_Netflix[[#This Row],[Día Suscripción]],"/",BBDD_Usiarios_Netflix[[#This Row],[Mes Suscripción]],"/",BBDD_Usiarios_Netflix[[#This Row],[Año Suscripción]]))</f>
        <v>45091</v>
      </c>
      <c r="H608" s="1">
        <v>27</v>
      </c>
      <c r="I608" s="1">
        <v>6</v>
      </c>
      <c r="J608" s="1">
        <v>24</v>
      </c>
      <c r="K608" s="1" t="str">
        <f>TEXT(BBDD_Usiarios_Netflix[[#This Row],[Fecha Suscripción]],"dddd")</f>
        <v>miércoles</v>
      </c>
      <c r="L608" s="1">
        <f>DATEVALUE(_xlfn.CONCAT(BBDD_Usiarios_Netflix[[#This Row],[Día Último Pago]],"/",BBDD_Usiarios_Netflix[[#This Row],[Mes Último Pago]],"/",BBDD_Usiarios_Netflix[[#This Row],[Año Último Pago]]))</f>
        <v>45470</v>
      </c>
      <c r="M608" s="4">
        <f>DATEDIF(BBDD_Usiarios_Netflix[[#This Row],[Fecha Suscripción]],BBDD_Usiarios_Netflix[[#This Row],[Fecha Último Pago]],"M")+1</f>
        <v>13</v>
      </c>
      <c r="N608" s="4">
        <f>BBDD_Usiarios_Netflix[[#This Row],[Ingresos Mensuales]]*BBDD_Usiarios_Netflix[[#This Row],[Meses contratados]]</f>
        <v>156</v>
      </c>
      <c r="O608" t="s">
        <v>42</v>
      </c>
      <c r="P608" t="str">
        <f>IF(BBDD_Usiarios_Netflix[[#This Row],[País]]="","Desconocido",BBDD_Usiarios_Netflix[[#This Row],[País]])</f>
        <v>Reino Unido</v>
      </c>
      <c r="Q608">
        <v>27</v>
      </c>
      <c r="R608" t="s">
        <v>30</v>
      </c>
      <c r="S608" t="s">
        <v>34</v>
      </c>
      <c r="T608" t="s">
        <v>27</v>
      </c>
      <c r="U608">
        <f>IF(IFERROR(VLOOKUP(BBDD_Usiarios_Netflix[[#This Row],[Identificador Usuario]],A609:$A$5870,1,FALSE),0)&lt;&gt;0,1,0)</f>
        <v>0</v>
      </c>
      <c r="V608" s="6" t="str">
        <f>IF(BBDD_Usiarios_Netflix[[#This Row],[Duración Plan]]="12 Meses",LEFT(BBDD_Usiarios_Netflix[[#This Row],[Duración Plan]],2),LEFT(BBDD_Usiarios_Netflix[[#This Row],[Duración Plan]],1))</f>
        <v>1</v>
      </c>
      <c r="W6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09" spans="1:23" x14ac:dyDescent="0.25">
      <c r="A609">
        <v>608</v>
      </c>
      <c r="B609" t="s">
        <v>23</v>
      </c>
      <c r="C609">
        <v>10</v>
      </c>
      <c r="D609" s="3">
        <v>22</v>
      </c>
      <c r="E609" s="3">
        <v>6</v>
      </c>
      <c r="F609">
        <v>23</v>
      </c>
      <c r="G609" s="1">
        <f>DATEVALUE(_xlfn.CONCAT(BBDD_Usiarios_Netflix[[#This Row],[Día Suscripción]],"/",BBDD_Usiarios_Netflix[[#This Row],[Mes Suscripción]],"/",BBDD_Usiarios_Netflix[[#This Row],[Año Suscripción]]))</f>
        <v>45099</v>
      </c>
      <c r="H609" s="1">
        <v>28</v>
      </c>
      <c r="I609" s="1">
        <v>6</v>
      </c>
      <c r="J609" s="1">
        <v>24</v>
      </c>
      <c r="K609" s="1" t="str">
        <f>TEXT(BBDD_Usiarios_Netflix[[#This Row],[Fecha Suscripción]],"dddd")</f>
        <v>jueves</v>
      </c>
      <c r="L609" s="1">
        <f>DATEVALUE(_xlfn.CONCAT(BBDD_Usiarios_Netflix[[#This Row],[Día Último Pago]],"/",BBDD_Usiarios_Netflix[[#This Row],[Mes Último Pago]],"/",BBDD_Usiarios_Netflix[[#This Row],[Año Último Pago]]))</f>
        <v>45471</v>
      </c>
      <c r="M609" s="4">
        <f>DATEDIF(BBDD_Usiarios_Netflix[[#This Row],[Fecha Suscripción]],BBDD_Usiarios_Netflix[[#This Row],[Fecha Último Pago]],"M")+1</f>
        <v>13</v>
      </c>
      <c r="N609" s="4">
        <f>BBDD_Usiarios_Netflix[[#This Row],[Ingresos Mensuales]]*BBDD_Usiarios_Netflix[[#This Row],[Meses contratados]]</f>
        <v>130</v>
      </c>
      <c r="O609" t="s">
        <v>45</v>
      </c>
      <c r="P609" t="str">
        <f>IF(BBDD_Usiarios_Netflix[[#This Row],[País]]="","Desconocido",BBDD_Usiarios_Netflix[[#This Row],[País]])</f>
        <v>España</v>
      </c>
      <c r="Q609">
        <v>48</v>
      </c>
      <c r="R609" t="s">
        <v>30</v>
      </c>
      <c r="S609" t="s">
        <v>34</v>
      </c>
      <c r="T609" t="s">
        <v>27</v>
      </c>
      <c r="U609">
        <f>IF(IFERROR(VLOOKUP(BBDD_Usiarios_Netflix[[#This Row],[Identificador Usuario]],A610:$A$5870,1,FALSE),0)&lt;&gt;0,1,0)</f>
        <v>0</v>
      </c>
      <c r="V609" s="6" t="str">
        <f>IF(BBDD_Usiarios_Netflix[[#This Row],[Duración Plan]]="12 Meses",LEFT(BBDD_Usiarios_Netflix[[#This Row],[Duración Plan]],2),LEFT(BBDD_Usiarios_Netflix[[#This Row],[Duración Plan]],1))</f>
        <v>1</v>
      </c>
      <c r="W6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10" spans="1:23" x14ac:dyDescent="0.25">
      <c r="A610">
        <v>609</v>
      </c>
      <c r="B610" t="s">
        <v>32</v>
      </c>
      <c r="C610">
        <v>12</v>
      </c>
      <c r="D610" s="3">
        <v>3</v>
      </c>
      <c r="E610" s="3">
        <v>7</v>
      </c>
      <c r="F610">
        <v>23</v>
      </c>
      <c r="G610" s="1">
        <f>DATEVALUE(_xlfn.CONCAT(BBDD_Usiarios_Netflix[[#This Row],[Día Suscripción]],"/",BBDD_Usiarios_Netflix[[#This Row],[Mes Suscripción]],"/",BBDD_Usiarios_Netflix[[#This Row],[Año Suscripción]]))</f>
        <v>45110</v>
      </c>
      <c r="H610" s="1">
        <v>29</v>
      </c>
      <c r="I610" s="1">
        <v>6</v>
      </c>
      <c r="J610" s="1">
        <v>24</v>
      </c>
      <c r="K610" s="1" t="str">
        <f>TEXT(BBDD_Usiarios_Netflix[[#This Row],[Fecha Suscripción]],"dddd")</f>
        <v>lunes</v>
      </c>
      <c r="L610" s="1">
        <f>DATEVALUE(_xlfn.CONCAT(BBDD_Usiarios_Netflix[[#This Row],[Día Último Pago]],"/",BBDD_Usiarios_Netflix[[#This Row],[Mes Último Pago]],"/",BBDD_Usiarios_Netflix[[#This Row],[Año Último Pago]]))</f>
        <v>45472</v>
      </c>
      <c r="M610" s="4">
        <f>DATEDIF(BBDD_Usiarios_Netflix[[#This Row],[Fecha Suscripción]],BBDD_Usiarios_Netflix[[#This Row],[Fecha Último Pago]],"M")+1</f>
        <v>12</v>
      </c>
      <c r="N610" s="4">
        <f>BBDD_Usiarios_Netflix[[#This Row],[Ingresos Mensuales]]*BBDD_Usiarios_Netflix[[#This Row],[Meses contratados]]</f>
        <v>144</v>
      </c>
      <c r="O610" t="s">
        <v>33</v>
      </c>
      <c r="P610" t="str">
        <f>IF(BBDD_Usiarios_Netflix[[#This Row],[País]]="","Desconocido",BBDD_Usiarios_Netflix[[#This Row],[País]])</f>
        <v>Francia</v>
      </c>
      <c r="Q610">
        <v>50</v>
      </c>
      <c r="R610" t="s">
        <v>30</v>
      </c>
      <c r="S610" t="s">
        <v>26</v>
      </c>
      <c r="T610" t="s">
        <v>38</v>
      </c>
      <c r="U610">
        <f>IF(IFERROR(VLOOKUP(BBDD_Usiarios_Netflix[[#This Row],[Identificador Usuario]],A611:$A$5870,1,FALSE),0)&lt;&gt;0,1,0)</f>
        <v>0</v>
      </c>
      <c r="V610" s="6" t="str">
        <f>IF(BBDD_Usiarios_Netflix[[#This Row],[Duración Plan]]="12 Meses",LEFT(BBDD_Usiarios_Netflix[[#This Row],[Duración Plan]],2),LEFT(BBDD_Usiarios_Netflix[[#This Row],[Duración Plan]],1))</f>
        <v>3</v>
      </c>
      <c r="W6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11" spans="1:23" x14ac:dyDescent="0.25">
      <c r="A611">
        <v>610</v>
      </c>
      <c r="B611" t="s">
        <v>28</v>
      </c>
      <c r="C611">
        <v>14</v>
      </c>
      <c r="D611" s="3">
        <v>5</v>
      </c>
      <c r="E611" s="3">
        <v>7</v>
      </c>
      <c r="F611">
        <v>23</v>
      </c>
      <c r="G611" s="1">
        <f>DATEVALUE(_xlfn.CONCAT(BBDD_Usiarios_Netflix[[#This Row],[Día Suscripción]],"/",BBDD_Usiarios_Netflix[[#This Row],[Mes Suscripción]],"/",BBDD_Usiarios_Netflix[[#This Row],[Año Suscripción]]))</f>
        <v>45112</v>
      </c>
      <c r="H611" s="1">
        <v>29</v>
      </c>
      <c r="I611" s="1">
        <v>6</v>
      </c>
      <c r="J611" s="1">
        <v>24</v>
      </c>
      <c r="K611" s="1" t="str">
        <f>TEXT(BBDD_Usiarios_Netflix[[#This Row],[Fecha Suscripción]],"dddd")</f>
        <v>miércoles</v>
      </c>
      <c r="L611" s="1">
        <f>DATEVALUE(_xlfn.CONCAT(BBDD_Usiarios_Netflix[[#This Row],[Día Último Pago]],"/",BBDD_Usiarios_Netflix[[#This Row],[Mes Último Pago]],"/",BBDD_Usiarios_Netflix[[#This Row],[Año Último Pago]]))</f>
        <v>45472</v>
      </c>
      <c r="M611" s="4">
        <f>DATEDIF(BBDD_Usiarios_Netflix[[#This Row],[Fecha Suscripción]],BBDD_Usiarios_Netflix[[#This Row],[Fecha Último Pago]],"M")+1</f>
        <v>12</v>
      </c>
      <c r="N611" s="4">
        <f>BBDD_Usiarios_Netflix[[#This Row],[Ingresos Mensuales]]*BBDD_Usiarios_Netflix[[#This Row],[Meses contratados]]</f>
        <v>168</v>
      </c>
      <c r="O611" t="s">
        <v>40</v>
      </c>
      <c r="P611" t="str">
        <f>IF(BBDD_Usiarios_Netflix[[#This Row],[País]]="","Desconocido",BBDD_Usiarios_Netflix[[#This Row],[País]])</f>
        <v>Italia</v>
      </c>
      <c r="Q611">
        <v>28</v>
      </c>
      <c r="R611" t="s">
        <v>30</v>
      </c>
      <c r="S611" t="s">
        <v>31</v>
      </c>
      <c r="T611" t="s">
        <v>27</v>
      </c>
      <c r="U611">
        <f>IF(IFERROR(VLOOKUP(BBDD_Usiarios_Netflix[[#This Row],[Identificador Usuario]],A612:$A$5870,1,FALSE),0)&lt;&gt;0,1,0)</f>
        <v>0</v>
      </c>
      <c r="V611" s="6" t="str">
        <f>IF(BBDD_Usiarios_Netflix[[#This Row],[Duración Plan]]="12 Meses",LEFT(BBDD_Usiarios_Netflix[[#This Row],[Duración Plan]],2),LEFT(BBDD_Usiarios_Netflix[[#This Row],[Duración Plan]],1))</f>
        <v>1</v>
      </c>
      <c r="W6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12" spans="1:23" x14ac:dyDescent="0.25">
      <c r="A612">
        <v>611</v>
      </c>
      <c r="B612" t="s">
        <v>23</v>
      </c>
      <c r="C612">
        <v>10</v>
      </c>
      <c r="D612" s="3">
        <v>11</v>
      </c>
      <c r="E612" s="3">
        <v>7</v>
      </c>
      <c r="F612">
        <v>23</v>
      </c>
      <c r="G612" s="1">
        <f>DATEVALUE(_xlfn.CONCAT(BBDD_Usiarios_Netflix[[#This Row],[Día Suscripción]],"/",BBDD_Usiarios_Netflix[[#This Row],[Mes Suscripción]],"/",BBDD_Usiarios_Netflix[[#This Row],[Año Suscripción]]))</f>
        <v>45118</v>
      </c>
      <c r="H612" s="1">
        <v>28</v>
      </c>
      <c r="I612" s="1">
        <v>6</v>
      </c>
      <c r="J612" s="1">
        <v>24</v>
      </c>
      <c r="K612" s="1" t="str">
        <f>TEXT(BBDD_Usiarios_Netflix[[#This Row],[Fecha Suscripción]],"dddd")</f>
        <v>martes</v>
      </c>
      <c r="L612" s="1">
        <f>DATEVALUE(_xlfn.CONCAT(BBDD_Usiarios_Netflix[[#This Row],[Día Último Pago]],"/",BBDD_Usiarios_Netflix[[#This Row],[Mes Último Pago]],"/",BBDD_Usiarios_Netflix[[#This Row],[Año Último Pago]]))</f>
        <v>45471</v>
      </c>
      <c r="M612" s="4">
        <f>DATEDIF(BBDD_Usiarios_Netflix[[#This Row],[Fecha Suscripción]],BBDD_Usiarios_Netflix[[#This Row],[Fecha Último Pago]],"M")+1</f>
        <v>12</v>
      </c>
      <c r="N612" s="4">
        <f>BBDD_Usiarios_Netflix[[#This Row],[Ingresos Mensuales]]*BBDD_Usiarios_Netflix[[#This Row],[Meses contratados]]</f>
        <v>120</v>
      </c>
      <c r="O612" t="s">
        <v>45</v>
      </c>
      <c r="P612" t="str">
        <f>IF(BBDD_Usiarios_Netflix[[#This Row],[País]]="","Desconocido",BBDD_Usiarios_Netflix[[#This Row],[País]])</f>
        <v>España</v>
      </c>
      <c r="Q612">
        <v>29</v>
      </c>
      <c r="R612" t="s">
        <v>30</v>
      </c>
      <c r="S612" t="s">
        <v>26</v>
      </c>
      <c r="T612" t="s">
        <v>27</v>
      </c>
      <c r="U612">
        <f>IF(IFERROR(VLOOKUP(BBDD_Usiarios_Netflix[[#This Row],[Identificador Usuario]],A613:$A$5870,1,FALSE),0)&lt;&gt;0,1,0)</f>
        <v>0</v>
      </c>
      <c r="V612" s="6" t="str">
        <f>IF(BBDD_Usiarios_Netflix[[#This Row],[Duración Plan]]="12 Meses",LEFT(BBDD_Usiarios_Netflix[[#This Row],[Duración Plan]],2),LEFT(BBDD_Usiarios_Netflix[[#This Row],[Duración Plan]],1))</f>
        <v>1</v>
      </c>
      <c r="W6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13" spans="1:23" x14ac:dyDescent="0.25">
      <c r="A613">
        <v>612</v>
      </c>
      <c r="B613" t="s">
        <v>28</v>
      </c>
      <c r="C613">
        <v>14</v>
      </c>
      <c r="D613" s="3">
        <v>17</v>
      </c>
      <c r="E613" s="3">
        <v>7</v>
      </c>
      <c r="F613">
        <v>23</v>
      </c>
      <c r="G613" s="1">
        <f>DATEVALUE(_xlfn.CONCAT(BBDD_Usiarios_Netflix[[#This Row],[Día Suscripción]],"/",BBDD_Usiarios_Netflix[[#This Row],[Mes Suscripción]],"/",BBDD_Usiarios_Netflix[[#This Row],[Año Suscripción]]))</f>
        <v>45124</v>
      </c>
      <c r="H613" s="1">
        <v>27</v>
      </c>
      <c r="I613" s="1">
        <v>6</v>
      </c>
      <c r="J613" s="1">
        <v>24</v>
      </c>
      <c r="K613" s="1" t="str">
        <f>TEXT(BBDD_Usiarios_Netflix[[#This Row],[Fecha Suscripción]],"dddd")</f>
        <v>lunes</v>
      </c>
      <c r="L613" s="1">
        <f>DATEVALUE(_xlfn.CONCAT(BBDD_Usiarios_Netflix[[#This Row],[Día Último Pago]],"/",BBDD_Usiarios_Netflix[[#This Row],[Mes Último Pago]],"/",BBDD_Usiarios_Netflix[[#This Row],[Año Último Pago]]))</f>
        <v>45470</v>
      </c>
      <c r="M613" s="4">
        <f>DATEDIF(BBDD_Usiarios_Netflix[[#This Row],[Fecha Suscripción]],BBDD_Usiarios_Netflix[[#This Row],[Fecha Último Pago]],"M")+1</f>
        <v>12</v>
      </c>
      <c r="N613" s="4">
        <f>BBDD_Usiarios_Netflix[[#This Row],[Ingresos Mensuales]]*BBDD_Usiarios_Netflix[[#This Row],[Meses contratados]]</f>
        <v>168</v>
      </c>
      <c r="O613" t="s">
        <v>45</v>
      </c>
      <c r="P613" t="str">
        <f>IF(BBDD_Usiarios_Netflix[[#This Row],[País]]="","Desconocido",BBDD_Usiarios_Netflix[[#This Row],[País]])</f>
        <v>España</v>
      </c>
      <c r="Q613">
        <v>36</v>
      </c>
      <c r="R613" t="s">
        <v>25</v>
      </c>
      <c r="S613" t="s">
        <v>34</v>
      </c>
      <c r="T613" t="s">
        <v>41</v>
      </c>
      <c r="U613">
        <f>IF(IFERROR(VLOOKUP(BBDD_Usiarios_Netflix[[#This Row],[Identificador Usuario]],A614:$A$5870,1,FALSE),0)&lt;&gt;0,1,0)</f>
        <v>0</v>
      </c>
      <c r="V613" s="6" t="str">
        <f>IF(BBDD_Usiarios_Netflix[[#This Row],[Duración Plan]]="12 Meses",LEFT(BBDD_Usiarios_Netflix[[#This Row],[Duración Plan]],2),LEFT(BBDD_Usiarios_Netflix[[#This Row],[Duración Plan]],1))</f>
        <v>12</v>
      </c>
      <c r="W6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14" spans="1:23" x14ac:dyDescent="0.25">
      <c r="A614">
        <v>613</v>
      </c>
      <c r="B614" t="s">
        <v>32</v>
      </c>
      <c r="C614">
        <v>12</v>
      </c>
      <c r="D614" s="3">
        <v>27</v>
      </c>
      <c r="E614" s="3">
        <v>7</v>
      </c>
      <c r="F614">
        <v>23</v>
      </c>
      <c r="G614" s="1">
        <f>DATEVALUE(_xlfn.CONCAT(BBDD_Usiarios_Netflix[[#This Row],[Día Suscripción]],"/",BBDD_Usiarios_Netflix[[#This Row],[Mes Suscripción]],"/",BBDD_Usiarios_Netflix[[#This Row],[Año Suscripción]]))</f>
        <v>45134</v>
      </c>
      <c r="H614" s="1">
        <v>28</v>
      </c>
      <c r="I614" s="1">
        <v>6</v>
      </c>
      <c r="J614" s="1">
        <v>24</v>
      </c>
      <c r="K614" s="1" t="str">
        <f>TEXT(BBDD_Usiarios_Netflix[[#This Row],[Fecha Suscripción]],"dddd")</f>
        <v>jueves</v>
      </c>
      <c r="L614" s="1">
        <f>DATEVALUE(_xlfn.CONCAT(BBDD_Usiarios_Netflix[[#This Row],[Día Último Pago]],"/",BBDD_Usiarios_Netflix[[#This Row],[Mes Último Pago]],"/",BBDD_Usiarios_Netflix[[#This Row],[Año Último Pago]]))</f>
        <v>45471</v>
      </c>
      <c r="M614" s="4">
        <f>DATEDIF(BBDD_Usiarios_Netflix[[#This Row],[Fecha Suscripción]],BBDD_Usiarios_Netflix[[#This Row],[Fecha Último Pago]],"M")+1</f>
        <v>12</v>
      </c>
      <c r="N614" s="4">
        <f>BBDD_Usiarios_Netflix[[#This Row],[Ingresos Mensuales]]*BBDD_Usiarios_Netflix[[#This Row],[Meses contratados]]</f>
        <v>144</v>
      </c>
      <c r="O614" t="s">
        <v>43</v>
      </c>
      <c r="P614" t="str">
        <f>IF(BBDD_Usiarios_Netflix[[#This Row],[País]]="","Desconocido",BBDD_Usiarios_Netflix[[#This Row],[País]])</f>
        <v>Alemania</v>
      </c>
      <c r="Q614">
        <v>85</v>
      </c>
      <c r="R614" t="s">
        <v>25</v>
      </c>
      <c r="S614" t="s">
        <v>36</v>
      </c>
      <c r="T614" t="s">
        <v>38</v>
      </c>
      <c r="U614">
        <f>IF(IFERROR(VLOOKUP(BBDD_Usiarios_Netflix[[#This Row],[Identificador Usuario]],A615:$A$5870,1,FALSE),0)&lt;&gt;0,1,0)</f>
        <v>0</v>
      </c>
      <c r="V614" s="6" t="str">
        <f>IF(BBDD_Usiarios_Netflix[[#This Row],[Duración Plan]]="12 Meses",LEFT(BBDD_Usiarios_Netflix[[#This Row],[Duración Plan]],2),LEFT(BBDD_Usiarios_Netflix[[#This Row],[Duración Plan]],1))</f>
        <v>3</v>
      </c>
      <c r="W6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15" spans="1:23" x14ac:dyDescent="0.25">
      <c r="A615">
        <v>614</v>
      </c>
      <c r="B615" t="s">
        <v>23</v>
      </c>
      <c r="C615">
        <v>10</v>
      </c>
      <c r="D615" s="3">
        <v>14</v>
      </c>
      <c r="E615" s="3">
        <v>8</v>
      </c>
      <c r="F615">
        <v>23</v>
      </c>
      <c r="G615" s="1">
        <f>DATEVALUE(_xlfn.CONCAT(BBDD_Usiarios_Netflix[[#This Row],[Día Suscripción]],"/",BBDD_Usiarios_Netflix[[#This Row],[Mes Suscripción]],"/",BBDD_Usiarios_Netflix[[#This Row],[Año Suscripción]]))</f>
        <v>45152</v>
      </c>
      <c r="H615" s="1">
        <v>28</v>
      </c>
      <c r="I615" s="1">
        <v>6</v>
      </c>
      <c r="J615" s="1">
        <v>24</v>
      </c>
      <c r="K615" s="1" t="str">
        <f>TEXT(BBDD_Usiarios_Netflix[[#This Row],[Fecha Suscripción]],"dddd")</f>
        <v>lunes</v>
      </c>
      <c r="L615" s="1">
        <f>DATEVALUE(_xlfn.CONCAT(BBDD_Usiarios_Netflix[[#This Row],[Día Último Pago]],"/",BBDD_Usiarios_Netflix[[#This Row],[Mes Último Pago]],"/",BBDD_Usiarios_Netflix[[#This Row],[Año Último Pago]]))</f>
        <v>45471</v>
      </c>
      <c r="M615" s="4">
        <f>DATEDIF(BBDD_Usiarios_Netflix[[#This Row],[Fecha Suscripción]],BBDD_Usiarios_Netflix[[#This Row],[Fecha Último Pago]],"M")+1</f>
        <v>11</v>
      </c>
      <c r="N615" s="4">
        <f>BBDD_Usiarios_Netflix[[#This Row],[Ingresos Mensuales]]*BBDD_Usiarios_Netflix[[#This Row],[Meses contratados]]</f>
        <v>110</v>
      </c>
      <c r="O615" t="s">
        <v>39</v>
      </c>
      <c r="P615" t="str">
        <f>IF(BBDD_Usiarios_Netflix[[#This Row],[País]]="","Desconocido",BBDD_Usiarios_Netflix[[#This Row],[País]])</f>
        <v>Canadá</v>
      </c>
      <c r="Q615">
        <v>51</v>
      </c>
      <c r="R615" t="s">
        <v>25</v>
      </c>
      <c r="S615" t="s">
        <v>26</v>
      </c>
      <c r="T615" t="s">
        <v>27</v>
      </c>
      <c r="U615">
        <f>IF(IFERROR(VLOOKUP(BBDD_Usiarios_Netflix[[#This Row],[Identificador Usuario]],A616:$A$5870,1,FALSE),0)&lt;&gt;0,1,0)</f>
        <v>0</v>
      </c>
      <c r="V615" s="6" t="str">
        <f>IF(BBDD_Usiarios_Netflix[[#This Row],[Duración Plan]]="12 Meses",LEFT(BBDD_Usiarios_Netflix[[#This Row],[Duración Plan]],2),LEFT(BBDD_Usiarios_Netflix[[#This Row],[Duración Plan]],1))</f>
        <v>1</v>
      </c>
      <c r="W6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16" spans="1:23" x14ac:dyDescent="0.25">
      <c r="A616">
        <v>615</v>
      </c>
      <c r="B616" t="s">
        <v>32</v>
      </c>
      <c r="C616">
        <v>12</v>
      </c>
      <c r="D616" s="3">
        <v>15</v>
      </c>
      <c r="E616" s="3">
        <v>8</v>
      </c>
      <c r="F616">
        <v>23</v>
      </c>
      <c r="G616" s="1">
        <f>DATEVALUE(_xlfn.CONCAT(BBDD_Usiarios_Netflix[[#This Row],[Día Suscripción]],"/",BBDD_Usiarios_Netflix[[#This Row],[Mes Suscripción]],"/",BBDD_Usiarios_Netflix[[#This Row],[Año Suscripción]]))</f>
        <v>45153</v>
      </c>
      <c r="H616" s="1">
        <v>27</v>
      </c>
      <c r="I616" s="1">
        <v>6</v>
      </c>
      <c r="J616" s="1">
        <v>24</v>
      </c>
      <c r="K616" s="1" t="str">
        <f>TEXT(BBDD_Usiarios_Netflix[[#This Row],[Fecha Suscripción]],"dddd")</f>
        <v>martes</v>
      </c>
      <c r="L616" s="1">
        <f>DATEVALUE(_xlfn.CONCAT(BBDD_Usiarios_Netflix[[#This Row],[Día Último Pago]],"/",BBDD_Usiarios_Netflix[[#This Row],[Mes Último Pago]],"/",BBDD_Usiarios_Netflix[[#This Row],[Año Último Pago]]))</f>
        <v>45470</v>
      </c>
      <c r="M616" s="4">
        <f>DATEDIF(BBDD_Usiarios_Netflix[[#This Row],[Fecha Suscripción]],BBDD_Usiarios_Netflix[[#This Row],[Fecha Último Pago]],"M")+1</f>
        <v>11</v>
      </c>
      <c r="N616" s="4">
        <f>BBDD_Usiarios_Netflix[[#This Row],[Ingresos Mensuales]]*BBDD_Usiarios_Netflix[[#This Row],[Meses contratados]]</f>
        <v>132</v>
      </c>
      <c r="O616" t="s">
        <v>43</v>
      </c>
      <c r="P616" t="str">
        <f>IF(BBDD_Usiarios_Netflix[[#This Row],[País]]="","Desconocido",BBDD_Usiarios_Netflix[[#This Row],[País]])</f>
        <v>Alemania</v>
      </c>
      <c r="Q616">
        <v>43</v>
      </c>
      <c r="R616" t="s">
        <v>25</v>
      </c>
      <c r="S616" t="s">
        <v>34</v>
      </c>
      <c r="T616" t="s">
        <v>27</v>
      </c>
      <c r="U616">
        <f>IF(IFERROR(VLOOKUP(BBDD_Usiarios_Netflix[[#This Row],[Identificador Usuario]],A617:$A$5870,1,FALSE),0)&lt;&gt;0,1,0)</f>
        <v>0</v>
      </c>
      <c r="V616" s="6" t="str">
        <f>IF(BBDD_Usiarios_Netflix[[#This Row],[Duración Plan]]="12 Meses",LEFT(BBDD_Usiarios_Netflix[[#This Row],[Duración Plan]],2),LEFT(BBDD_Usiarios_Netflix[[#This Row],[Duración Plan]],1))</f>
        <v>1</v>
      </c>
      <c r="W6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17" spans="1:23" x14ac:dyDescent="0.25">
      <c r="A617">
        <v>616</v>
      </c>
      <c r="B617" t="s">
        <v>28</v>
      </c>
      <c r="C617">
        <v>14</v>
      </c>
      <c r="D617" s="3">
        <v>2</v>
      </c>
      <c r="E617" s="3">
        <v>9</v>
      </c>
      <c r="F617">
        <v>23</v>
      </c>
      <c r="G617" s="1">
        <f>DATEVALUE(_xlfn.CONCAT(BBDD_Usiarios_Netflix[[#This Row],[Día Suscripción]],"/",BBDD_Usiarios_Netflix[[#This Row],[Mes Suscripción]],"/",BBDD_Usiarios_Netflix[[#This Row],[Año Suscripción]]))</f>
        <v>45171</v>
      </c>
      <c r="H617" s="1">
        <v>27</v>
      </c>
      <c r="I617" s="1">
        <v>6</v>
      </c>
      <c r="J617" s="1">
        <v>24</v>
      </c>
      <c r="K617" s="1" t="str">
        <f>TEXT(BBDD_Usiarios_Netflix[[#This Row],[Fecha Suscripción]],"dddd")</f>
        <v>sábado</v>
      </c>
      <c r="L617" s="1">
        <f>DATEVALUE(_xlfn.CONCAT(BBDD_Usiarios_Netflix[[#This Row],[Día Último Pago]],"/",BBDD_Usiarios_Netflix[[#This Row],[Mes Último Pago]],"/",BBDD_Usiarios_Netflix[[#This Row],[Año Último Pago]]))</f>
        <v>45470</v>
      </c>
      <c r="M617" s="4">
        <f>DATEDIF(BBDD_Usiarios_Netflix[[#This Row],[Fecha Suscripción]],BBDD_Usiarios_Netflix[[#This Row],[Fecha Último Pago]],"M")+1</f>
        <v>10</v>
      </c>
      <c r="N617" s="4">
        <f>BBDD_Usiarios_Netflix[[#This Row],[Ingresos Mensuales]]*BBDD_Usiarios_Netflix[[#This Row],[Meses contratados]]</f>
        <v>140</v>
      </c>
      <c r="O617" t="s">
        <v>43</v>
      </c>
      <c r="P617" t="str">
        <f>IF(BBDD_Usiarios_Netflix[[#This Row],[País]]="","Desconocido",BBDD_Usiarios_Netflix[[#This Row],[País]])</f>
        <v>Alemania</v>
      </c>
      <c r="Q617">
        <v>38</v>
      </c>
      <c r="R617" t="s">
        <v>30</v>
      </c>
      <c r="S617" t="s">
        <v>36</v>
      </c>
      <c r="T617" t="s">
        <v>27</v>
      </c>
      <c r="U617">
        <f>IF(IFERROR(VLOOKUP(BBDD_Usiarios_Netflix[[#This Row],[Identificador Usuario]],A618:$A$5870,1,FALSE),0)&lt;&gt;0,1,0)</f>
        <v>0</v>
      </c>
      <c r="V617" s="6" t="str">
        <f>IF(BBDD_Usiarios_Netflix[[#This Row],[Duración Plan]]="12 Meses",LEFT(BBDD_Usiarios_Netflix[[#This Row],[Duración Plan]],2),LEFT(BBDD_Usiarios_Netflix[[#This Row],[Duración Plan]],1))</f>
        <v>1</v>
      </c>
      <c r="W6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18" spans="1:23" x14ac:dyDescent="0.25">
      <c r="A618">
        <v>617</v>
      </c>
      <c r="B618" t="s">
        <v>23</v>
      </c>
      <c r="C618">
        <v>10</v>
      </c>
      <c r="D618" s="3">
        <v>5</v>
      </c>
      <c r="E618" s="3">
        <v>9</v>
      </c>
      <c r="F618">
        <v>23</v>
      </c>
      <c r="G618" s="1">
        <f>DATEVALUE(_xlfn.CONCAT(BBDD_Usiarios_Netflix[[#This Row],[Día Suscripción]],"/",BBDD_Usiarios_Netflix[[#This Row],[Mes Suscripción]],"/",BBDD_Usiarios_Netflix[[#This Row],[Año Suscripción]]))</f>
        <v>45174</v>
      </c>
      <c r="H618" s="1">
        <v>28</v>
      </c>
      <c r="I618" s="1">
        <v>6</v>
      </c>
      <c r="J618" s="1">
        <v>24</v>
      </c>
      <c r="K618" s="1" t="str">
        <f>TEXT(BBDD_Usiarios_Netflix[[#This Row],[Fecha Suscripción]],"dddd")</f>
        <v>martes</v>
      </c>
      <c r="L618" s="1">
        <f>DATEVALUE(_xlfn.CONCAT(BBDD_Usiarios_Netflix[[#This Row],[Día Último Pago]],"/",BBDD_Usiarios_Netflix[[#This Row],[Mes Último Pago]],"/",BBDD_Usiarios_Netflix[[#This Row],[Año Último Pago]]))</f>
        <v>45471</v>
      </c>
      <c r="M618" s="4">
        <f>DATEDIF(BBDD_Usiarios_Netflix[[#This Row],[Fecha Suscripción]],BBDD_Usiarios_Netflix[[#This Row],[Fecha Último Pago]],"M")+1</f>
        <v>10</v>
      </c>
      <c r="N618" s="4">
        <f>BBDD_Usiarios_Netflix[[#This Row],[Ingresos Mensuales]]*BBDD_Usiarios_Netflix[[#This Row],[Meses contratados]]</f>
        <v>100</v>
      </c>
      <c r="O618" t="s">
        <v>40</v>
      </c>
      <c r="P618" t="str">
        <f>IF(BBDD_Usiarios_Netflix[[#This Row],[País]]="","Desconocido",BBDD_Usiarios_Netflix[[#This Row],[País]])</f>
        <v>Italia</v>
      </c>
      <c r="Q618">
        <v>45</v>
      </c>
      <c r="R618" t="s">
        <v>30</v>
      </c>
      <c r="S618" t="s">
        <v>26</v>
      </c>
      <c r="T618" t="s">
        <v>38</v>
      </c>
      <c r="U618">
        <f>IF(IFERROR(VLOOKUP(BBDD_Usiarios_Netflix[[#This Row],[Identificador Usuario]],A619:$A$5870,1,FALSE),0)&lt;&gt;0,1,0)</f>
        <v>0</v>
      </c>
      <c r="V618" s="6" t="str">
        <f>IF(BBDD_Usiarios_Netflix[[#This Row],[Duración Plan]]="12 Meses",LEFT(BBDD_Usiarios_Netflix[[#This Row],[Duración Plan]],2),LEFT(BBDD_Usiarios_Netflix[[#This Row],[Duración Plan]],1))</f>
        <v>3</v>
      </c>
      <c r="W6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19" spans="1:23" x14ac:dyDescent="0.25">
      <c r="A619">
        <v>618</v>
      </c>
      <c r="B619" t="s">
        <v>32</v>
      </c>
      <c r="C619">
        <v>12</v>
      </c>
      <c r="D619" s="3">
        <v>6</v>
      </c>
      <c r="E619" s="3">
        <v>9</v>
      </c>
      <c r="F619">
        <v>23</v>
      </c>
      <c r="G619" s="1">
        <f>DATEVALUE(_xlfn.CONCAT(BBDD_Usiarios_Netflix[[#This Row],[Día Suscripción]],"/",BBDD_Usiarios_Netflix[[#This Row],[Mes Suscripción]],"/",BBDD_Usiarios_Netflix[[#This Row],[Año Suscripción]]))</f>
        <v>45175</v>
      </c>
      <c r="H619" s="1">
        <v>28</v>
      </c>
      <c r="I619" s="1">
        <v>6</v>
      </c>
      <c r="J619" s="1">
        <v>24</v>
      </c>
      <c r="K619" s="1" t="str">
        <f>TEXT(BBDD_Usiarios_Netflix[[#This Row],[Fecha Suscripción]],"dddd")</f>
        <v>miércoles</v>
      </c>
      <c r="L619" s="1">
        <f>DATEVALUE(_xlfn.CONCAT(BBDD_Usiarios_Netflix[[#This Row],[Día Último Pago]],"/",BBDD_Usiarios_Netflix[[#This Row],[Mes Último Pago]],"/",BBDD_Usiarios_Netflix[[#This Row],[Año Último Pago]]))</f>
        <v>45471</v>
      </c>
      <c r="M619" s="4">
        <f>DATEDIF(BBDD_Usiarios_Netflix[[#This Row],[Fecha Suscripción]],BBDD_Usiarios_Netflix[[#This Row],[Fecha Último Pago]],"M")+1</f>
        <v>10</v>
      </c>
      <c r="N619" s="4">
        <f>BBDD_Usiarios_Netflix[[#This Row],[Ingresos Mensuales]]*BBDD_Usiarios_Netflix[[#This Row],[Meses contratados]]</f>
        <v>120</v>
      </c>
      <c r="O619" t="s">
        <v>40</v>
      </c>
      <c r="P619" t="str">
        <f>IF(BBDD_Usiarios_Netflix[[#This Row],[País]]="","Desconocido",BBDD_Usiarios_Netflix[[#This Row],[País]])</f>
        <v>Italia</v>
      </c>
      <c r="Q619">
        <v>28</v>
      </c>
      <c r="R619" t="s">
        <v>30</v>
      </c>
      <c r="S619" t="s">
        <v>34</v>
      </c>
      <c r="T619" t="s">
        <v>38</v>
      </c>
      <c r="U619">
        <f>IF(IFERROR(VLOOKUP(BBDD_Usiarios_Netflix[[#This Row],[Identificador Usuario]],A620:$A$5870,1,FALSE),0)&lt;&gt;0,1,0)</f>
        <v>0</v>
      </c>
      <c r="V619" s="6" t="str">
        <f>IF(BBDD_Usiarios_Netflix[[#This Row],[Duración Plan]]="12 Meses",LEFT(BBDD_Usiarios_Netflix[[#This Row],[Duración Plan]],2),LEFT(BBDD_Usiarios_Netflix[[#This Row],[Duración Plan]],1))</f>
        <v>3</v>
      </c>
      <c r="W6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20" spans="1:23" x14ac:dyDescent="0.25">
      <c r="A620">
        <v>619</v>
      </c>
      <c r="B620" t="s">
        <v>28</v>
      </c>
      <c r="C620">
        <v>14</v>
      </c>
      <c r="D620" s="3">
        <v>6</v>
      </c>
      <c r="E620" s="3">
        <v>9</v>
      </c>
      <c r="F620">
        <v>23</v>
      </c>
      <c r="G620" s="1">
        <f>DATEVALUE(_xlfn.CONCAT(BBDD_Usiarios_Netflix[[#This Row],[Día Suscripción]],"/",BBDD_Usiarios_Netflix[[#This Row],[Mes Suscripción]],"/",BBDD_Usiarios_Netflix[[#This Row],[Año Suscripción]]))</f>
        <v>45175</v>
      </c>
      <c r="H620" s="1">
        <v>29</v>
      </c>
      <c r="I620" s="1">
        <v>6</v>
      </c>
      <c r="J620" s="1">
        <v>24</v>
      </c>
      <c r="K620" s="1" t="str">
        <f>TEXT(BBDD_Usiarios_Netflix[[#This Row],[Fecha Suscripción]],"dddd")</f>
        <v>miércoles</v>
      </c>
      <c r="L620" s="1">
        <f>DATEVALUE(_xlfn.CONCAT(BBDD_Usiarios_Netflix[[#This Row],[Día Último Pago]],"/",BBDD_Usiarios_Netflix[[#This Row],[Mes Último Pago]],"/",BBDD_Usiarios_Netflix[[#This Row],[Año Último Pago]]))</f>
        <v>45472</v>
      </c>
      <c r="M620" s="4">
        <f>DATEDIF(BBDD_Usiarios_Netflix[[#This Row],[Fecha Suscripción]],BBDD_Usiarios_Netflix[[#This Row],[Fecha Último Pago]],"M")+1</f>
        <v>10</v>
      </c>
      <c r="N620" s="4">
        <f>BBDD_Usiarios_Netflix[[#This Row],[Ingresos Mensuales]]*BBDD_Usiarios_Netflix[[#This Row],[Meses contratados]]</f>
        <v>140</v>
      </c>
      <c r="O620" t="s">
        <v>24</v>
      </c>
      <c r="P620" t="str">
        <f>IF(BBDD_Usiarios_Netflix[[#This Row],[País]]="","Desconocido",BBDD_Usiarios_Netflix[[#This Row],[País]])</f>
        <v>Australia</v>
      </c>
      <c r="Q620">
        <v>27</v>
      </c>
      <c r="R620" t="s">
        <v>25</v>
      </c>
      <c r="S620" t="s">
        <v>26</v>
      </c>
      <c r="T620" t="s">
        <v>35</v>
      </c>
      <c r="U620">
        <f>IF(IFERROR(VLOOKUP(BBDD_Usiarios_Netflix[[#This Row],[Identificador Usuario]],A621:$A$5870,1,FALSE),0)&lt;&gt;0,1,0)</f>
        <v>0</v>
      </c>
      <c r="V620" s="6" t="str">
        <f>IF(BBDD_Usiarios_Netflix[[#This Row],[Duración Plan]]="12 Meses",LEFT(BBDD_Usiarios_Netflix[[#This Row],[Duración Plan]],2),LEFT(BBDD_Usiarios_Netflix[[#This Row],[Duración Plan]],1))</f>
        <v>6</v>
      </c>
      <c r="W6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21" spans="1:23" x14ac:dyDescent="0.25">
      <c r="A621">
        <v>620</v>
      </c>
      <c r="B621" t="s">
        <v>23</v>
      </c>
      <c r="C621">
        <v>10</v>
      </c>
      <c r="D621" s="3">
        <v>5</v>
      </c>
      <c r="E621" s="3">
        <v>9</v>
      </c>
      <c r="F621">
        <v>23</v>
      </c>
      <c r="G621" s="1">
        <f>DATEVALUE(_xlfn.CONCAT(BBDD_Usiarios_Netflix[[#This Row],[Día Suscripción]],"/",BBDD_Usiarios_Netflix[[#This Row],[Mes Suscripción]],"/",BBDD_Usiarios_Netflix[[#This Row],[Año Suscripción]]))</f>
        <v>45174</v>
      </c>
      <c r="H621" s="1">
        <v>27</v>
      </c>
      <c r="I621" s="1">
        <v>6</v>
      </c>
      <c r="J621" s="1">
        <v>24</v>
      </c>
      <c r="K621" s="1" t="str">
        <f>TEXT(BBDD_Usiarios_Netflix[[#This Row],[Fecha Suscripción]],"dddd")</f>
        <v>martes</v>
      </c>
      <c r="L621" s="1">
        <f>DATEVALUE(_xlfn.CONCAT(BBDD_Usiarios_Netflix[[#This Row],[Día Último Pago]],"/",BBDD_Usiarios_Netflix[[#This Row],[Mes Último Pago]],"/",BBDD_Usiarios_Netflix[[#This Row],[Año Último Pago]]))</f>
        <v>45470</v>
      </c>
      <c r="M621" s="4">
        <f>DATEDIF(BBDD_Usiarios_Netflix[[#This Row],[Fecha Suscripción]],BBDD_Usiarios_Netflix[[#This Row],[Fecha Último Pago]],"M")+1</f>
        <v>10</v>
      </c>
      <c r="N621" s="4">
        <f>BBDD_Usiarios_Netflix[[#This Row],[Ingresos Mensuales]]*BBDD_Usiarios_Netflix[[#This Row],[Meses contratados]]</f>
        <v>100</v>
      </c>
      <c r="O621" t="s">
        <v>37</v>
      </c>
      <c r="P621" t="str">
        <f>IF(BBDD_Usiarios_Netflix[[#This Row],[País]]="","Desconocido",BBDD_Usiarios_Netflix[[#This Row],[País]])</f>
        <v>Brasil</v>
      </c>
      <c r="Q621">
        <v>41</v>
      </c>
      <c r="R621" t="s">
        <v>30</v>
      </c>
      <c r="S621" t="s">
        <v>26</v>
      </c>
      <c r="T621" t="s">
        <v>41</v>
      </c>
      <c r="U621">
        <f>IF(IFERROR(VLOOKUP(BBDD_Usiarios_Netflix[[#This Row],[Identificador Usuario]],A622:$A$5870,1,FALSE),0)&lt;&gt;0,1,0)</f>
        <v>0</v>
      </c>
      <c r="V621" s="6" t="str">
        <f>IF(BBDD_Usiarios_Netflix[[#This Row],[Duración Plan]]="12 Meses",LEFT(BBDD_Usiarios_Netflix[[#This Row],[Duración Plan]],2),LEFT(BBDD_Usiarios_Netflix[[#This Row],[Duración Plan]],1))</f>
        <v>12</v>
      </c>
      <c r="W6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22" spans="1:23" x14ac:dyDescent="0.25">
      <c r="A622">
        <v>621</v>
      </c>
      <c r="B622" t="s">
        <v>28</v>
      </c>
      <c r="C622">
        <v>14</v>
      </c>
      <c r="D622" s="3">
        <v>6</v>
      </c>
      <c r="E622" s="3">
        <v>9</v>
      </c>
      <c r="F622">
        <v>23</v>
      </c>
      <c r="G622" s="1">
        <f>DATEVALUE(_xlfn.CONCAT(BBDD_Usiarios_Netflix[[#This Row],[Día Suscripción]],"/",BBDD_Usiarios_Netflix[[#This Row],[Mes Suscripción]],"/",BBDD_Usiarios_Netflix[[#This Row],[Año Suscripción]]))</f>
        <v>45175</v>
      </c>
      <c r="H622" s="1">
        <v>29</v>
      </c>
      <c r="I622" s="1">
        <v>6</v>
      </c>
      <c r="J622" s="1">
        <v>24</v>
      </c>
      <c r="K622" s="1" t="str">
        <f>TEXT(BBDD_Usiarios_Netflix[[#This Row],[Fecha Suscripción]],"dddd")</f>
        <v>miércoles</v>
      </c>
      <c r="L622" s="1">
        <f>DATEVALUE(_xlfn.CONCAT(BBDD_Usiarios_Netflix[[#This Row],[Día Último Pago]],"/",BBDD_Usiarios_Netflix[[#This Row],[Mes Último Pago]],"/",BBDD_Usiarios_Netflix[[#This Row],[Año Último Pago]]))</f>
        <v>45472</v>
      </c>
      <c r="M622" s="4">
        <f>DATEDIF(BBDD_Usiarios_Netflix[[#This Row],[Fecha Suscripción]],BBDD_Usiarios_Netflix[[#This Row],[Fecha Último Pago]],"M")+1</f>
        <v>10</v>
      </c>
      <c r="N622" s="4">
        <f>BBDD_Usiarios_Netflix[[#This Row],[Ingresos Mensuales]]*BBDD_Usiarios_Netflix[[#This Row],[Meses contratados]]</f>
        <v>140</v>
      </c>
      <c r="O622" t="s">
        <v>24</v>
      </c>
      <c r="P622" t="str">
        <f>IF(BBDD_Usiarios_Netflix[[#This Row],[País]]="","Desconocido",BBDD_Usiarios_Netflix[[#This Row],[País]])</f>
        <v>Australia</v>
      </c>
      <c r="Q622">
        <v>49</v>
      </c>
      <c r="R622" t="s">
        <v>25</v>
      </c>
      <c r="S622" t="s">
        <v>34</v>
      </c>
      <c r="T622" t="s">
        <v>27</v>
      </c>
      <c r="U622">
        <f>IF(IFERROR(VLOOKUP(BBDD_Usiarios_Netflix[[#This Row],[Identificador Usuario]],A623:$A$5870,1,FALSE),0)&lt;&gt;0,1,0)</f>
        <v>0</v>
      </c>
      <c r="V622" s="6" t="str">
        <f>IF(BBDD_Usiarios_Netflix[[#This Row],[Duración Plan]]="12 Meses",LEFT(BBDD_Usiarios_Netflix[[#This Row],[Duración Plan]],2),LEFT(BBDD_Usiarios_Netflix[[#This Row],[Duración Plan]],1))</f>
        <v>1</v>
      </c>
      <c r="W6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23" spans="1:23" x14ac:dyDescent="0.25">
      <c r="A623">
        <v>622</v>
      </c>
      <c r="B623" t="s">
        <v>23</v>
      </c>
      <c r="C623">
        <v>10</v>
      </c>
      <c r="D623" s="3">
        <v>29</v>
      </c>
      <c r="E623" s="3">
        <v>8</v>
      </c>
      <c r="F623">
        <v>23</v>
      </c>
      <c r="G623" s="1">
        <f>DATEVALUE(_xlfn.CONCAT(BBDD_Usiarios_Netflix[[#This Row],[Día Suscripción]],"/",BBDD_Usiarios_Netflix[[#This Row],[Mes Suscripción]],"/",BBDD_Usiarios_Netflix[[#This Row],[Año Suscripción]]))</f>
        <v>45167</v>
      </c>
      <c r="H623" s="1">
        <v>28</v>
      </c>
      <c r="I623" s="1">
        <v>6</v>
      </c>
      <c r="J623" s="1">
        <v>24</v>
      </c>
      <c r="K623" s="1" t="str">
        <f>TEXT(BBDD_Usiarios_Netflix[[#This Row],[Fecha Suscripción]],"dddd")</f>
        <v>martes</v>
      </c>
      <c r="L623" s="1">
        <f>DATEVALUE(_xlfn.CONCAT(BBDD_Usiarios_Netflix[[#This Row],[Día Último Pago]],"/",BBDD_Usiarios_Netflix[[#This Row],[Mes Último Pago]],"/",BBDD_Usiarios_Netflix[[#This Row],[Año Último Pago]]))</f>
        <v>45471</v>
      </c>
      <c r="M623" s="4">
        <f>DATEDIF(BBDD_Usiarios_Netflix[[#This Row],[Fecha Suscripción]],BBDD_Usiarios_Netflix[[#This Row],[Fecha Último Pago]],"M")+1</f>
        <v>10</v>
      </c>
      <c r="N623" s="4">
        <f>BBDD_Usiarios_Netflix[[#This Row],[Ingresos Mensuales]]*BBDD_Usiarios_Netflix[[#This Row],[Meses contratados]]</f>
        <v>100</v>
      </c>
      <c r="O623" t="s">
        <v>44</v>
      </c>
      <c r="P623" t="str">
        <f>IF(BBDD_Usiarios_Netflix[[#This Row],[País]]="","Desconocido",BBDD_Usiarios_Netflix[[#This Row],[País]])</f>
        <v>Desconocido</v>
      </c>
      <c r="Q623">
        <v>35</v>
      </c>
      <c r="R623" t="s">
        <v>25</v>
      </c>
      <c r="S623" t="s">
        <v>26</v>
      </c>
      <c r="T623" t="s">
        <v>35</v>
      </c>
      <c r="U623">
        <f>IF(IFERROR(VLOOKUP(BBDD_Usiarios_Netflix[[#This Row],[Identificador Usuario]],A624:$A$5870,1,FALSE),0)&lt;&gt;0,1,0)</f>
        <v>0</v>
      </c>
      <c r="V623" s="6" t="str">
        <f>IF(BBDD_Usiarios_Netflix[[#This Row],[Duración Plan]]="12 Meses",LEFT(BBDD_Usiarios_Netflix[[#This Row],[Duración Plan]],2),LEFT(BBDD_Usiarios_Netflix[[#This Row],[Duración Plan]],1))</f>
        <v>6</v>
      </c>
      <c r="W6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24" spans="1:23" x14ac:dyDescent="0.25">
      <c r="A624">
        <v>623</v>
      </c>
      <c r="B624" t="s">
        <v>32</v>
      </c>
      <c r="C624">
        <v>12</v>
      </c>
      <c r="D624" s="3">
        <v>30</v>
      </c>
      <c r="E624" s="3">
        <v>8</v>
      </c>
      <c r="F624">
        <v>23</v>
      </c>
      <c r="G624" s="1">
        <f>DATEVALUE(_xlfn.CONCAT(BBDD_Usiarios_Netflix[[#This Row],[Día Suscripción]],"/",BBDD_Usiarios_Netflix[[#This Row],[Mes Suscripción]],"/",BBDD_Usiarios_Netflix[[#This Row],[Año Suscripción]]))</f>
        <v>45168</v>
      </c>
      <c r="H624" s="1">
        <v>28</v>
      </c>
      <c r="I624" s="1">
        <v>6</v>
      </c>
      <c r="J624" s="1">
        <v>24</v>
      </c>
      <c r="K624" s="1" t="str">
        <f>TEXT(BBDD_Usiarios_Netflix[[#This Row],[Fecha Suscripción]],"dddd")</f>
        <v>miércoles</v>
      </c>
      <c r="L624" s="1">
        <f>DATEVALUE(_xlfn.CONCAT(BBDD_Usiarios_Netflix[[#This Row],[Día Último Pago]],"/",BBDD_Usiarios_Netflix[[#This Row],[Mes Último Pago]],"/",BBDD_Usiarios_Netflix[[#This Row],[Año Último Pago]]))</f>
        <v>45471</v>
      </c>
      <c r="M624" s="4">
        <f>DATEDIF(BBDD_Usiarios_Netflix[[#This Row],[Fecha Suscripción]],BBDD_Usiarios_Netflix[[#This Row],[Fecha Último Pago]],"M")+1</f>
        <v>10</v>
      </c>
      <c r="N624" s="4">
        <f>BBDD_Usiarios_Netflix[[#This Row],[Ingresos Mensuales]]*BBDD_Usiarios_Netflix[[#This Row],[Meses contratados]]</f>
        <v>120</v>
      </c>
      <c r="O624" t="s">
        <v>43</v>
      </c>
      <c r="P624" t="str">
        <f>IF(BBDD_Usiarios_Netflix[[#This Row],[País]]="","Desconocido",BBDD_Usiarios_Netflix[[#This Row],[País]])</f>
        <v>Alemania</v>
      </c>
      <c r="Q624">
        <v>29</v>
      </c>
      <c r="R624" t="s">
        <v>30</v>
      </c>
      <c r="S624" t="s">
        <v>34</v>
      </c>
      <c r="T624" t="s">
        <v>41</v>
      </c>
      <c r="U624">
        <f>IF(IFERROR(VLOOKUP(BBDD_Usiarios_Netflix[[#This Row],[Identificador Usuario]],A625:$A$5870,1,FALSE),0)&lt;&gt;0,1,0)</f>
        <v>0</v>
      </c>
      <c r="V624" s="6" t="str">
        <f>IF(BBDD_Usiarios_Netflix[[#This Row],[Duración Plan]]="12 Meses",LEFT(BBDD_Usiarios_Netflix[[#This Row],[Duración Plan]],2),LEFT(BBDD_Usiarios_Netflix[[#This Row],[Duración Plan]],1))</f>
        <v>12</v>
      </c>
      <c r="W6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25" spans="1:23" x14ac:dyDescent="0.25">
      <c r="A625">
        <v>624</v>
      </c>
      <c r="B625" t="s">
        <v>32</v>
      </c>
      <c r="C625">
        <v>12</v>
      </c>
      <c r="D625" s="3">
        <v>2</v>
      </c>
      <c r="E625" s="3">
        <v>9</v>
      </c>
      <c r="F625">
        <v>23</v>
      </c>
      <c r="G625" s="1">
        <f>DATEVALUE(_xlfn.CONCAT(BBDD_Usiarios_Netflix[[#This Row],[Día Suscripción]],"/",BBDD_Usiarios_Netflix[[#This Row],[Mes Suscripción]],"/",BBDD_Usiarios_Netflix[[#This Row],[Año Suscripción]]))</f>
        <v>45171</v>
      </c>
      <c r="H625" s="1">
        <v>30</v>
      </c>
      <c r="I625" s="1">
        <v>6</v>
      </c>
      <c r="J625" s="1">
        <v>24</v>
      </c>
      <c r="K625" s="1" t="str">
        <f>TEXT(BBDD_Usiarios_Netflix[[#This Row],[Fecha Suscripción]],"dddd")</f>
        <v>sábado</v>
      </c>
      <c r="L625" s="1">
        <f>DATEVALUE(_xlfn.CONCAT(BBDD_Usiarios_Netflix[[#This Row],[Día Último Pago]],"/",BBDD_Usiarios_Netflix[[#This Row],[Mes Último Pago]],"/",BBDD_Usiarios_Netflix[[#This Row],[Año Último Pago]]))</f>
        <v>45473</v>
      </c>
      <c r="M625" s="4">
        <f>DATEDIF(BBDD_Usiarios_Netflix[[#This Row],[Fecha Suscripción]],BBDD_Usiarios_Netflix[[#This Row],[Fecha Último Pago]],"M")+1</f>
        <v>10</v>
      </c>
      <c r="N625" s="4">
        <f>BBDD_Usiarios_Netflix[[#This Row],[Ingresos Mensuales]]*BBDD_Usiarios_Netflix[[#This Row],[Meses contratados]]</f>
        <v>120</v>
      </c>
      <c r="O625" t="s">
        <v>39</v>
      </c>
      <c r="P625" t="str">
        <f>IF(BBDD_Usiarios_Netflix[[#This Row],[País]]="","Desconocido",BBDD_Usiarios_Netflix[[#This Row],[País]])</f>
        <v>Canadá</v>
      </c>
      <c r="Q625">
        <v>42</v>
      </c>
      <c r="R625" t="s">
        <v>25</v>
      </c>
      <c r="S625" t="s">
        <v>26</v>
      </c>
      <c r="T625" t="s">
        <v>27</v>
      </c>
      <c r="U625">
        <f>IF(IFERROR(VLOOKUP(BBDD_Usiarios_Netflix[[#This Row],[Identificador Usuario]],A626:$A$5870,1,FALSE),0)&lt;&gt;0,1,0)</f>
        <v>0</v>
      </c>
      <c r="V625" s="6" t="str">
        <f>IF(BBDD_Usiarios_Netflix[[#This Row],[Duración Plan]]="12 Meses",LEFT(BBDD_Usiarios_Netflix[[#This Row],[Duración Plan]],2),LEFT(BBDD_Usiarios_Netflix[[#This Row],[Duración Plan]],1))</f>
        <v>1</v>
      </c>
      <c r="W6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26" spans="1:23" x14ac:dyDescent="0.25">
      <c r="A626">
        <v>625</v>
      </c>
      <c r="B626" t="s">
        <v>23</v>
      </c>
      <c r="C626">
        <v>10</v>
      </c>
      <c r="D626" s="3">
        <v>20</v>
      </c>
      <c r="E626" s="3">
        <v>9</v>
      </c>
      <c r="F626">
        <v>23</v>
      </c>
      <c r="G626" s="1">
        <f>DATEVALUE(_xlfn.CONCAT(BBDD_Usiarios_Netflix[[#This Row],[Día Suscripción]],"/",BBDD_Usiarios_Netflix[[#This Row],[Mes Suscripción]],"/",BBDD_Usiarios_Netflix[[#This Row],[Año Suscripción]]))</f>
        <v>45189</v>
      </c>
      <c r="H626" s="1">
        <v>28</v>
      </c>
      <c r="I626" s="1">
        <v>6</v>
      </c>
      <c r="J626" s="1">
        <v>24</v>
      </c>
      <c r="K626" s="1" t="str">
        <f>TEXT(BBDD_Usiarios_Netflix[[#This Row],[Fecha Suscripción]],"dddd")</f>
        <v>miércoles</v>
      </c>
      <c r="L626" s="1">
        <f>DATEVALUE(_xlfn.CONCAT(BBDD_Usiarios_Netflix[[#This Row],[Día Último Pago]],"/",BBDD_Usiarios_Netflix[[#This Row],[Mes Último Pago]],"/",BBDD_Usiarios_Netflix[[#This Row],[Año Último Pago]]))</f>
        <v>45471</v>
      </c>
      <c r="M626" s="4">
        <f>DATEDIF(BBDD_Usiarios_Netflix[[#This Row],[Fecha Suscripción]],BBDD_Usiarios_Netflix[[#This Row],[Fecha Último Pago]],"M")+1</f>
        <v>10</v>
      </c>
      <c r="N626" s="4">
        <f>BBDD_Usiarios_Netflix[[#This Row],[Ingresos Mensuales]]*BBDD_Usiarios_Netflix[[#This Row],[Meses contratados]]</f>
        <v>100</v>
      </c>
      <c r="O626" t="s">
        <v>29</v>
      </c>
      <c r="P626" t="str">
        <f>IF(BBDD_Usiarios_Netflix[[#This Row],[País]]="","Desconocido",BBDD_Usiarios_Netflix[[#This Row],[País]])</f>
        <v>EEUU</v>
      </c>
      <c r="Q626">
        <v>33</v>
      </c>
      <c r="R626" t="s">
        <v>25</v>
      </c>
      <c r="S626" t="s">
        <v>31</v>
      </c>
      <c r="T626" t="s">
        <v>27</v>
      </c>
      <c r="U626">
        <f>IF(IFERROR(VLOOKUP(BBDD_Usiarios_Netflix[[#This Row],[Identificador Usuario]],A627:$A$5870,1,FALSE),0)&lt;&gt;0,1,0)</f>
        <v>0</v>
      </c>
      <c r="V626" s="6" t="str">
        <f>IF(BBDD_Usiarios_Netflix[[#This Row],[Duración Plan]]="12 Meses",LEFT(BBDD_Usiarios_Netflix[[#This Row],[Duración Plan]],2),LEFT(BBDD_Usiarios_Netflix[[#This Row],[Duración Plan]],1))</f>
        <v>1</v>
      </c>
      <c r="W6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27" spans="1:23" x14ac:dyDescent="0.25">
      <c r="A627">
        <v>626</v>
      </c>
      <c r="B627" t="s">
        <v>28</v>
      </c>
      <c r="C627">
        <v>14</v>
      </c>
      <c r="D627" s="3">
        <v>23</v>
      </c>
      <c r="E627" s="3">
        <v>9</v>
      </c>
      <c r="F627">
        <v>23</v>
      </c>
      <c r="G627" s="1">
        <f>DATEVALUE(_xlfn.CONCAT(BBDD_Usiarios_Netflix[[#This Row],[Día Suscripción]],"/",BBDD_Usiarios_Netflix[[#This Row],[Mes Suscripción]],"/",BBDD_Usiarios_Netflix[[#This Row],[Año Suscripción]]))</f>
        <v>45192</v>
      </c>
      <c r="H627" s="1">
        <v>30</v>
      </c>
      <c r="I627" s="1">
        <v>6</v>
      </c>
      <c r="J627" s="1">
        <v>24</v>
      </c>
      <c r="K627" s="1" t="str">
        <f>TEXT(BBDD_Usiarios_Netflix[[#This Row],[Fecha Suscripción]],"dddd")</f>
        <v>sábado</v>
      </c>
      <c r="L627" s="1">
        <f>DATEVALUE(_xlfn.CONCAT(BBDD_Usiarios_Netflix[[#This Row],[Día Último Pago]],"/",BBDD_Usiarios_Netflix[[#This Row],[Mes Último Pago]],"/",BBDD_Usiarios_Netflix[[#This Row],[Año Último Pago]]))</f>
        <v>45473</v>
      </c>
      <c r="M627" s="4">
        <f>DATEDIF(BBDD_Usiarios_Netflix[[#This Row],[Fecha Suscripción]],BBDD_Usiarios_Netflix[[#This Row],[Fecha Último Pago]],"M")+1</f>
        <v>10</v>
      </c>
      <c r="N627" s="4">
        <f>BBDD_Usiarios_Netflix[[#This Row],[Ingresos Mensuales]]*BBDD_Usiarios_Netflix[[#This Row],[Meses contratados]]</f>
        <v>140</v>
      </c>
      <c r="O627" t="s">
        <v>42</v>
      </c>
      <c r="P627" t="str">
        <f>IF(BBDD_Usiarios_Netflix[[#This Row],[País]]="","Desconocido",BBDD_Usiarios_Netflix[[#This Row],[País]])</f>
        <v>Reino Unido</v>
      </c>
      <c r="Q627">
        <v>30</v>
      </c>
      <c r="R627" t="s">
        <v>25</v>
      </c>
      <c r="S627" t="s">
        <v>36</v>
      </c>
      <c r="T627" t="s">
        <v>27</v>
      </c>
      <c r="U627">
        <f>IF(IFERROR(VLOOKUP(BBDD_Usiarios_Netflix[[#This Row],[Identificador Usuario]],A628:$A$5870,1,FALSE),0)&lt;&gt;0,1,0)</f>
        <v>0</v>
      </c>
      <c r="V627" s="6" t="str">
        <f>IF(BBDD_Usiarios_Netflix[[#This Row],[Duración Plan]]="12 Meses",LEFT(BBDD_Usiarios_Netflix[[#This Row],[Duración Plan]],2),LEFT(BBDD_Usiarios_Netflix[[#This Row],[Duración Plan]],1))</f>
        <v>1</v>
      </c>
      <c r="W6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28" spans="1:23" x14ac:dyDescent="0.25">
      <c r="A628">
        <v>627</v>
      </c>
      <c r="B628" t="s">
        <v>23</v>
      </c>
      <c r="C628">
        <v>10</v>
      </c>
      <c r="D628" s="3">
        <v>29</v>
      </c>
      <c r="E628" s="3">
        <v>9</v>
      </c>
      <c r="F628">
        <v>23</v>
      </c>
      <c r="G628" s="1">
        <f>DATEVALUE(_xlfn.CONCAT(BBDD_Usiarios_Netflix[[#This Row],[Día Suscripción]],"/",BBDD_Usiarios_Netflix[[#This Row],[Mes Suscripción]],"/",BBDD_Usiarios_Netflix[[#This Row],[Año Suscripción]]))</f>
        <v>45198</v>
      </c>
      <c r="H628" s="1">
        <v>29</v>
      </c>
      <c r="I628" s="1">
        <v>6</v>
      </c>
      <c r="J628" s="1">
        <v>24</v>
      </c>
      <c r="K628" s="1" t="str">
        <f>TEXT(BBDD_Usiarios_Netflix[[#This Row],[Fecha Suscripción]],"dddd")</f>
        <v>viernes</v>
      </c>
      <c r="L628" s="1">
        <f>DATEVALUE(_xlfn.CONCAT(BBDD_Usiarios_Netflix[[#This Row],[Día Último Pago]],"/",BBDD_Usiarios_Netflix[[#This Row],[Mes Último Pago]],"/",BBDD_Usiarios_Netflix[[#This Row],[Año Último Pago]]))</f>
        <v>45472</v>
      </c>
      <c r="M628" s="4">
        <f>DATEDIF(BBDD_Usiarios_Netflix[[#This Row],[Fecha Suscripción]],BBDD_Usiarios_Netflix[[#This Row],[Fecha Último Pago]],"M")+1</f>
        <v>10</v>
      </c>
      <c r="N628" s="4">
        <f>BBDD_Usiarios_Netflix[[#This Row],[Ingresos Mensuales]]*BBDD_Usiarios_Netflix[[#This Row],[Meses contratados]]</f>
        <v>100</v>
      </c>
      <c r="O628" t="s">
        <v>37</v>
      </c>
      <c r="P628" t="str">
        <f>IF(BBDD_Usiarios_Netflix[[#This Row],[País]]="","Desconocido",BBDD_Usiarios_Netflix[[#This Row],[País]])</f>
        <v>Brasil</v>
      </c>
      <c r="Q628">
        <v>43</v>
      </c>
      <c r="R628" t="s">
        <v>30</v>
      </c>
      <c r="S628" t="s">
        <v>34</v>
      </c>
      <c r="T628" t="s">
        <v>41</v>
      </c>
      <c r="U628">
        <f>IF(IFERROR(VLOOKUP(BBDD_Usiarios_Netflix[[#This Row],[Identificador Usuario]],A629:$A$5870,1,FALSE),0)&lt;&gt;0,1,0)</f>
        <v>0</v>
      </c>
      <c r="V628" s="6" t="str">
        <f>IF(BBDD_Usiarios_Netflix[[#This Row],[Duración Plan]]="12 Meses",LEFT(BBDD_Usiarios_Netflix[[#This Row],[Duración Plan]],2),LEFT(BBDD_Usiarios_Netflix[[#This Row],[Duración Plan]],1))</f>
        <v>12</v>
      </c>
      <c r="W6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29" spans="1:23" x14ac:dyDescent="0.25">
      <c r="A629">
        <v>628</v>
      </c>
      <c r="B629" t="s">
        <v>32</v>
      </c>
      <c r="C629">
        <v>12</v>
      </c>
      <c r="D629" s="3">
        <v>9</v>
      </c>
      <c r="E629" s="3">
        <v>10</v>
      </c>
      <c r="F629">
        <v>23</v>
      </c>
      <c r="G629" s="1">
        <f>DATEVALUE(_xlfn.CONCAT(BBDD_Usiarios_Netflix[[#This Row],[Día Suscripción]],"/",BBDD_Usiarios_Netflix[[#This Row],[Mes Suscripción]],"/",BBDD_Usiarios_Netflix[[#This Row],[Año Suscripción]]))</f>
        <v>45208</v>
      </c>
      <c r="H629" s="1">
        <v>1</v>
      </c>
      <c r="I629" s="1">
        <v>7</v>
      </c>
      <c r="J629" s="1">
        <v>24</v>
      </c>
      <c r="K629" s="1" t="str">
        <f>TEXT(BBDD_Usiarios_Netflix[[#This Row],[Fecha Suscripción]],"dddd")</f>
        <v>lunes</v>
      </c>
      <c r="L629" s="1">
        <f>DATEVALUE(_xlfn.CONCAT(BBDD_Usiarios_Netflix[[#This Row],[Día Último Pago]],"/",BBDD_Usiarios_Netflix[[#This Row],[Mes Último Pago]],"/",BBDD_Usiarios_Netflix[[#This Row],[Año Último Pago]]))</f>
        <v>45474</v>
      </c>
      <c r="M629" s="4">
        <f>DATEDIF(BBDD_Usiarios_Netflix[[#This Row],[Fecha Suscripción]],BBDD_Usiarios_Netflix[[#This Row],[Fecha Último Pago]],"M")+1</f>
        <v>9</v>
      </c>
      <c r="N629" s="4">
        <f>BBDD_Usiarios_Netflix[[#This Row],[Ingresos Mensuales]]*BBDD_Usiarios_Netflix[[#This Row],[Meses contratados]]</f>
        <v>108</v>
      </c>
      <c r="O629" t="s">
        <v>29</v>
      </c>
      <c r="P629" t="str">
        <f>IF(BBDD_Usiarios_Netflix[[#This Row],[País]]="","Desconocido",BBDD_Usiarios_Netflix[[#This Row],[País]])</f>
        <v>EEUU</v>
      </c>
      <c r="Q629">
        <v>42</v>
      </c>
      <c r="R629" t="s">
        <v>25</v>
      </c>
      <c r="S629" t="s">
        <v>26</v>
      </c>
      <c r="T629" t="s">
        <v>35</v>
      </c>
      <c r="U629">
        <f>IF(IFERROR(VLOOKUP(BBDD_Usiarios_Netflix[[#This Row],[Identificador Usuario]],A630:$A$5870,1,FALSE),0)&lt;&gt;0,1,0)</f>
        <v>0</v>
      </c>
      <c r="V629" s="6" t="str">
        <f>IF(BBDD_Usiarios_Netflix[[#This Row],[Duración Plan]]="12 Meses",LEFT(BBDD_Usiarios_Netflix[[#This Row],[Duración Plan]],2),LEFT(BBDD_Usiarios_Netflix[[#This Row],[Duración Plan]],1))</f>
        <v>6</v>
      </c>
      <c r="W6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30" spans="1:23" x14ac:dyDescent="0.25">
      <c r="A630">
        <v>629</v>
      </c>
      <c r="B630" t="s">
        <v>28</v>
      </c>
      <c r="C630">
        <v>14</v>
      </c>
      <c r="D630" s="3">
        <v>12</v>
      </c>
      <c r="E630" s="3">
        <v>10</v>
      </c>
      <c r="F630">
        <v>23</v>
      </c>
      <c r="G630" s="1">
        <f>DATEVALUE(_xlfn.CONCAT(BBDD_Usiarios_Netflix[[#This Row],[Día Suscripción]],"/",BBDD_Usiarios_Netflix[[#This Row],[Mes Suscripción]],"/",BBDD_Usiarios_Netflix[[#This Row],[Año Suscripción]]))</f>
        <v>45211</v>
      </c>
      <c r="H630" s="1">
        <v>29</v>
      </c>
      <c r="I630" s="1">
        <v>6</v>
      </c>
      <c r="J630" s="1">
        <v>24</v>
      </c>
      <c r="K630" s="1" t="str">
        <f>TEXT(BBDD_Usiarios_Netflix[[#This Row],[Fecha Suscripción]],"dddd")</f>
        <v>jueves</v>
      </c>
      <c r="L630" s="1">
        <f>DATEVALUE(_xlfn.CONCAT(BBDD_Usiarios_Netflix[[#This Row],[Día Último Pago]],"/",BBDD_Usiarios_Netflix[[#This Row],[Mes Último Pago]],"/",BBDD_Usiarios_Netflix[[#This Row],[Año Último Pago]]))</f>
        <v>45472</v>
      </c>
      <c r="M630" s="4">
        <f>DATEDIF(BBDD_Usiarios_Netflix[[#This Row],[Fecha Suscripción]],BBDD_Usiarios_Netflix[[#This Row],[Fecha Último Pago]],"M")+1</f>
        <v>9</v>
      </c>
      <c r="N630" s="4">
        <f>BBDD_Usiarios_Netflix[[#This Row],[Ingresos Mensuales]]*BBDD_Usiarios_Netflix[[#This Row],[Meses contratados]]</f>
        <v>126</v>
      </c>
      <c r="O630" t="s">
        <v>24</v>
      </c>
      <c r="P630" t="str">
        <f>IF(BBDD_Usiarios_Netflix[[#This Row],[País]]="","Desconocido",BBDD_Usiarios_Netflix[[#This Row],[País]])</f>
        <v>Australia</v>
      </c>
      <c r="Q630">
        <v>39</v>
      </c>
      <c r="R630" t="s">
        <v>25</v>
      </c>
      <c r="S630" t="s">
        <v>31</v>
      </c>
      <c r="T630" t="s">
        <v>35</v>
      </c>
      <c r="U630">
        <f>IF(IFERROR(VLOOKUP(BBDD_Usiarios_Netflix[[#This Row],[Identificador Usuario]],A631:$A$5870,1,FALSE),0)&lt;&gt;0,1,0)</f>
        <v>0</v>
      </c>
      <c r="V630" s="6" t="str">
        <f>IF(BBDD_Usiarios_Netflix[[#This Row],[Duración Plan]]="12 Meses",LEFT(BBDD_Usiarios_Netflix[[#This Row],[Duración Plan]],2),LEFT(BBDD_Usiarios_Netflix[[#This Row],[Duración Plan]],1))</f>
        <v>6</v>
      </c>
      <c r="W6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31" spans="1:23" x14ac:dyDescent="0.25">
      <c r="A631">
        <v>630</v>
      </c>
      <c r="B631" t="s">
        <v>23</v>
      </c>
      <c r="C631">
        <v>10</v>
      </c>
      <c r="D631" s="3">
        <v>6</v>
      </c>
      <c r="E631" s="3">
        <v>10</v>
      </c>
      <c r="F631">
        <v>23</v>
      </c>
      <c r="G631" s="1">
        <f>DATEVALUE(_xlfn.CONCAT(BBDD_Usiarios_Netflix[[#This Row],[Día Suscripción]],"/",BBDD_Usiarios_Netflix[[#This Row],[Mes Suscripción]],"/",BBDD_Usiarios_Netflix[[#This Row],[Año Suscripción]]))</f>
        <v>45205</v>
      </c>
      <c r="H631" s="1">
        <v>30</v>
      </c>
      <c r="I631" s="1">
        <v>6</v>
      </c>
      <c r="J631" s="1">
        <v>24</v>
      </c>
      <c r="K631" s="1" t="str">
        <f>TEXT(BBDD_Usiarios_Netflix[[#This Row],[Fecha Suscripción]],"dddd")</f>
        <v>viernes</v>
      </c>
      <c r="L631" s="1">
        <f>DATEVALUE(_xlfn.CONCAT(BBDD_Usiarios_Netflix[[#This Row],[Día Último Pago]],"/",BBDD_Usiarios_Netflix[[#This Row],[Mes Último Pago]],"/",BBDD_Usiarios_Netflix[[#This Row],[Año Último Pago]]))</f>
        <v>45473</v>
      </c>
      <c r="M631" s="4">
        <f>DATEDIF(BBDD_Usiarios_Netflix[[#This Row],[Fecha Suscripción]],BBDD_Usiarios_Netflix[[#This Row],[Fecha Último Pago]],"M")+1</f>
        <v>9</v>
      </c>
      <c r="N631" s="4">
        <f>BBDD_Usiarios_Netflix[[#This Row],[Ingresos Mensuales]]*BBDD_Usiarios_Netflix[[#This Row],[Meses contratados]]</f>
        <v>90</v>
      </c>
      <c r="O631" t="s">
        <v>45</v>
      </c>
      <c r="P631" t="str">
        <f>IF(BBDD_Usiarios_Netflix[[#This Row],[País]]="","Desconocido",BBDD_Usiarios_Netflix[[#This Row],[País]])</f>
        <v>España</v>
      </c>
      <c r="Q631">
        <v>32</v>
      </c>
      <c r="R631" t="s">
        <v>30</v>
      </c>
      <c r="S631" t="s">
        <v>34</v>
      </c>
      <c r="T631" t="s">
        <v>41</v>
      </c>
      <c r="U631">
        <f>IF(IFERROR(VLOOKUP(BBDD_Usiarios_Netflix[[#This Row],[Identificador Usuario]],A632:$A$5870,1,FALSE),0)&lt;&gt;0,1,0)</f>
        <v>0</v>
      </c>
      <c r="V631" s="6" t="str">
        <f>IF(BBDD_Usiarios_Netflix[[#This Row],[Duración Plan]]="12 Meses",LEFT(BBDD_Usiarios_Netflix[[#This Row],[Duración Plan]],2),LEFT(BBDD_Usiarios_Netflix[[#This Row],[Duración Plan]],1))</f>
        <v>12</v>
      </c>
      <c r="W6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32" spans="1:23" x14ac:dyDescent="0.25">
      <c r="A632">
        <v>631</v>
      </c>
      <c r="B632" t="s">
        <v>28</v>
      </c>
      <c r="C632">
        <v>14</v>
      </c>
      <c r="D632" s="3">
        <v>21</v>
      </c>
      <c r="E632" s="3">
        <v>9</v>
      </c>
      <c r="F632">
        <v>23</v>
      </c>
      <c r="G632" s="1">
        <f>DATEVALUE(_xlfn.CONCAT(BBDD_Usiarios_Netflix[[#This Row],[Día Suscripción]],"/",BBDD_Usiarios_Netflix[[#This Row],[Mes Suscripción]],"/",BBDD_Usiarios_Netflix[[#This Row],[Año Suscripción]]))</f>
        <v>45190</v>
      </c>
      <c r="H632" s="1">
        <v>28</v>
      </c>
      <c r="I632" s="1">
        <v>6</v>
      </c>
      <c r="J632" s="1">
        <v>24</v>
      </c>
      <c r="K632" s="1" t="str">
        <f>TEXT(BBDD_Usiarios_Netflix[[#This Row],[Fecha Suscripción]],"dddd")</f>
        <v>jueves</v>
      </c>
      <c r="L632" s="1">
        <f>DATEVALUE(_xlfn.CONCAT(BBDD_Usiarios_Netflix[[#This Row],[Día Último Pago]],"/",BBDD_Usiarios_Netflix[[#This Row],[Mes Último Pago]],"/",BBDD_Usiarios_Netflix[[#This Row],[Año Último Pago]]))</f>
        <v>45471</v>
      </c>
      <c r="M632" s="4">
        <f>DATEDIF(BBDD_Usiarios_Netflix[[#This Row],[Fecha Suscripción]],BBDD_Usiarios_Netflix[[#This Row],[Fecha Último Pago]],"M")+1</f>
        <v>10</v>
      </c>
      <c r="N632" s="4">
        <f>BBDD_Usiarios_Netflix[[#This Row],[Ingresos Mensuales]]*BBDD_Usiarios_Netflix[[#This Row],[Meses contratados]]</f>
        <v>140</v>
      </c>
      <c r="O632" t="s">
        <v>37</v>
      </c>
      <c r="P632" t="str">
        <f>IF(BBDD_Usiarios_Netflix[[#This Row],[País]]="","Desconocido",BBDD_Usiarios_Netflix[[#This Row],[País]])</f>
        <v>Brasil</v>
      </c>
      <c r="Q632">
        <v>31</v>
      </c>
      <c r="R632" t="s">
        <v>25</v>
      </c>
      <c r="S632" t="s">
        <v>26</v>
      </c>
      <c r="T632" t="s">
        <v>27</v>
      </c>
      <c r="U632">
        <f>IF(IFERROR(VLOOKUP(BBDD_Usiarios_Netflix[[#This Row],[Identificador Usuario]],A633:$A$5870,1,FALSE),0)&lt;&gt;0,1,0)</f>
        <v>0</v>
      </c>
      <c r="V632" s="6" t="str">
        <f>IF(BBDD_Usiarios_Netflix[[#This Row],[Duración Plan]]="12 Meses",LEFT(BBDD_Usiarios_Netflix[[#This Row],[Duración Plan]],2),LEFT(BBDD_Usiarios_Netflix[[#This Row],[Duración Plan]],1))</f>
        <v>1</v>
      </c>
      <c r="W6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33" spans="1:23" x14ac:dyDescent="0.25">
      <c r="A633">
        <v>632</v>
      </c>
      <c r="B633" t="s">
        <v>23</v>
      </c>
      <c r="C633">
        <v>10</v>
      </c>
      <c r="D633" s="3">
        <v>23</v>
      </c>
      <c r="E633" s="3">
        <v>9</v>
      </c>
      <c r="F633">
        <v>23</v>
      </c>
      <c r="G633" s="1">
        <f>DATEVALUE(_xlfn.CONCAT(BBDD_Usiarios_Netflix[[#This Row],[Día Suscripción]],"/",BBDD_Usiarios_Netflix[[#This Row],[Mes Suscripción]],"/",BBDD_Usiarios_Netflix[[#This Row],[Año Suscripción]]))</f>
        <v>45192</v>
      </c>
      <c r="H633" s="1">
        <v>1</v>
      </c>
      <c r="I633" s="1">
        <v>7</v>
      </c>
      <c r="J633" s="1">
        <v>24</v>
      </c>
      <c r="K633" s="1" t="str">
        <f>TEXT(BBDD_Usiarios_Netflix[[#This Row],[Fecha Suscripción]],"dddd")</f>
        <v>sábado</v>
      </c>
      <c r="L633" s="1">
        <f>DATEVALUE(_xlfn.CONCAT(BBDD_Usiarios_Netflix[[#This Row],[Día Último Pago]],"/",BBDD_Usiarios_Netflix[[#This Row],[Mes Último Pago]],"/",BBDD_Usiarios_Netflix[[#This Row],[Año Último Pago]]))</f>
        <v>45474</v>
      </c>
      <c r="M633" s="4">
        <f>DATEDIF(BBDD_Usiarios_Netflix[[#This Row],[Fecha Suscripción]],BBDD_Usiarios_Netflix[[#This Row],[Fecha Último Pago]],"M")+1</f>
        <v>10</v>
      </c>
      <c r="N633" s="4">
        <f>BBDD_Usiarios_Netflix[[#This Row],[Ingresos Mensuales]]*BBDD_Usiarios_Netflix[[#This Row],[Meses contratados]]</f>
        <v>100</v>
      </c>
      <c r="O633" t="s">
        <v>39</v>
      </c>
      <c r="P633" t="str">
        <f>IF(BBDD_Usiarios_Netflix[[#This Row],[País]]="","Desconocido",BBDD_Usiarios_Netflix[[#This Row],[País]])</f>
        <v>Canadá</v>
      </c>
      <c r="Q633">
        <v>39</v>
      </c>
      <c r="R633" t="s">
        <v>25</v>
      </c>
      <c r="S633" t="s">
        <v>26</v>
      </c>
      <c r="T633" t="s">
        <v>27</v>
      </c>
      <c r="U633">
        <f>IF(IFERROR(VLOOKUP(BBDD_Usiarios_Netflix[[#This Row],[Identificador Usuario]],A634:$A$5870,1,FALSE),0)&lt;&gt;0,1,0)</f>
        <v>0</v>
      </c>
      <c r="V633" s="6" t="str">
        <f>IF(BBDD_Usiarios_Netflix[[#This Row],[Duración Plan]]="12 Meses",LEFT(BBDD_Usiarios_Netflix[[#This Row],[Duración Plan]],2),LEFT(BBDD_Usiarios_Netflix[[#This Row],[Duración Plan]],1))</f>
        <v>1</v>
      </c>
      <c r="W6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34" spans="1:23" x14ac:dyDescent="0.25">
      <c r="A634">
        <v>633</v>
      </c>
      <c r="B634" t="s">
        <v>32</v>
      </c>
      <c r="C634">
        <v>12</v>
      </c>
      <c r="D634" s="3">
        <v>28</v>
      </c>
      <c r="E634" s="3">
        <v>9</v>
      </c>
      <c r="F634">
        <v>23</v>
      </c>
      <c r="G634" s="1">
        <f>DATEVALUE(_xlfn.CONCAT(BBDD_Usiarios_Netflix[[#This Row],[Día Suscripción]],"/",BBDD_Usiarios_Netflix[[#This Row],[Mes Suscripción]],"/",BBDD_Usiarios_Netflix[[#This Row],[Año Suscripción]]))</f>
        <v>45197</v>
      </c>
      <c r="H634" s="1">
        <v>29</v>
      </c>
      <c r="I634" s="1">
        <v>6</v>
      </c>
      <c r="J634" s="1">
        <v>24</v>
      </c>
      <c r="K634" s="1" t="str">
        <f>TEXT(BBDD_Usiarios_Netflix[[#This Row],[Fecha Suscripción]],"dddd")</f>
        <v>jueves</v>
      </c>
      <c r="L634" s="1">
        <f>DATEVALUE(_xlfn.CONCAT(BBDD_Usiarios_Netflix[[#This Row],[Día Último Pago]],"/",BBDD_Usiarios_Netflix[[#This Row],[Mes Último Pago]],"/",BBDD_Usiarios_Netflix[[#This Row],[Año Último Pago]]))</f>
        <v>45472</v>
      </c>
      <c r="M634" s="4">
        <f>DATEDIF(BBDD_Usiarios_Netflix[[#This Row],[Fecha Suscripción]],BBDD_Usiarios_Netflix[[#This Row],[Fecha Último Pago]],"M")+1</f>
        <v>10</v>
      </c>
      <c r="N634" s="4">
        <f>BBDD_Usiarios_Netflix[[#This Row],[Ingresos Mensuales]]*BBDD_Usiarios_Netflix[[#This Row],[Meses contratados]]</f>
        <v>120</v>
      </c>
      <c r="O634" t="s">
        <v>29</v>
      </c>
      <c r="P634" t="str">
        <f>IF(BBDD_Usiarios_Netflix[[#This Row],[País]]="","Desconocido",BBDD_Usiarios_Netflix[[#This Row],[País]])</f>
        <v>EEUU</v>
      </c>
      <c r="Q634">
        <v>41</v>
      </c>
      <c r="R634" t="s">
        <v>30</v>
      </c>
      <c r="S634" t="s">
        <v>26</v>
      </c>
      <c r="T634" t="s">
        <v>27</v>
      </c>
      <c r="U634">
        <f>IF(IFERROR(VLOOKUP(BBDD_Usiarios_Netflix[[#This Row],[Identificador Usuario]],A635:$A$5870,1,FALSE),0)&lt;&gt;0,1,0)</f>
        <v>0</v>
      </c>
      <c r="V634" s="6" t="str">
        <f>IF(BBDD_Usiarios_Netflix[[#This Row],[Duración Plan]]="12 Meses",LEFT(BBDD_Usiarios_Netflix[[#This Row],[Duración Plan]],2),LEFT(BBDD_Usiarios_Netflix[[#This Row],[Duración Plan]],1))</f>
        <v>1</v>
      </c>
      <c r="W6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35" spans="1:23" x14ac:dyDescent="0.25">
      <c r="A635">
        <v>634</v>
      </c>
      <c r="B635" t="s">
        <v>32</v>
      </c>
      <c r="C635">
        <v>12</v>
      </c>
      <c r="D635" s="3">
        <v>29</v>
      </c>
      <c r="E635" s="3">
        <v>9</v>
      </c>
      <c r="F635">
        <v>23</v>
      </c>
      <c r="G635" s="1">
        <f>DATEVALUE(_xlfn.CONCAT(BBDD_Usiarios_Netflix[[#This Row],[Día Suscripción]],"/",BBDD_Usiarios_Netflix[[#This Row],[Mes Suscripción]],"/",BBDD_Usiarios_Netflix[[#This Row],[Año Suscripción]]))</f>
        <v>45198</v>
      </c>
      <c r="H635" s="1">
        <v>29</v>
      </c>
      <c r="I635" s="1">
        <v>6</v>
      </c>
      <c r="J635" s="1">
        <v>24</v>
      </c>
      <c r="K635" s="1" t="str">
        <f>TEXT(BBDD_Usiarios_Netflix[[#This Row],[Fecha Suscripción]],"dddd")</f>
        <v>viernes</v>
      </c>
      <c r="L635" s="1">
        <f>DATEVALUE(_xlfn.CONCAT(BBDD_Usiarios_Netflix[[#This Row],[Día Último Pago]],"/",BBDD_Usiarios_Netflix[[#This Row],[Mes Último Pago]],"/",BBDD_Usiarios_Netflix[[#This Row],[Año Último Pago]]))</f>
        <v>45472</v>
      </c>
      <c r="M635" s="4">
        <f>DATEDIF(BBDD_Usiarios_Netflix[[#This Row],[Fecha Suscripción]],BBDD_Usiarios_Netflix[[#This Row],[Fecha Último Pago]],"M")+1</f>
        <v>10</v>
      </c>
      <c r="N635" s="4">
        <f>BBDD_Usiarios_Netflix[[#This Row],[Ingresos Mensuales]]*BBDD_Usiarios_Netflix[[#This Row],[Meses contratados]]</f>
        <v>120</v>
      </c>
      <c r="O635" t="s">
        <v>44</v>
      </c>
      <c r="P635" t="str">
        <f>IF(BBDD_Usiarios_Netflix[[#This Row],[País]]="","Desconocido",BBDD_Usiarios_Netflix[[#This Row],[País]])</f>
        <v>Desconocido</v>
      </c>
      <c r="Q635">
        <v>51</v>
      </c>
      <c r="R635" t="s">
        <v>30</v>
      </c>
      <c r="S635" t="s">
        <v>34</v>
      </c>
      <c r="T635" t="s">
        <v>41</v>
      </c>
      <c r="U635">
        <f>IF(IFERROR(VLOOKUP(BBDD_Usiarios_Netflix[[#This Row],[Identificador Usuario]],A636:$A$5870,1,FALSE),0)&lt;&gt;0,1,0)</f>
        <v>0</v>
      </c>
      <c r="V635" s="6" t="str">
        <f>IF(BBDD_Usiarios_Netflix[[#This Row],[Duración Plan]]="12 Meses",LEFT(BBDD_Usiarios_Netflix[[#This Row],[Duración Plan]],2),LEFT(BBDD_Usiarios_Netflix[[#This Row],[Duración Plan]],1))</f>
        <v>12</v>
      </c>
      <c r="W6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36" spans="1:23" x14ac:dyDescent="0.25">
      <c r="A636">
        <v>635</v>
      </c>
      <c r="B636" t="s">
        <v>23</v>
      </c>
      <c r="C636">
        <v>10</v>
      </c>
      <c r="D636" s="3">
        <v>3</v>
      </c>
      <c r="E636" s="3">
        <v>10</v>
      </c>
      <c r="F636">
        <v>23</v>
      </c>
      <c r="G636" s="1">
        <f>DATEVALUE(_xlfn.CONCAT(BBDD_Usiarios_Netflix[[#This Row],[Día Suscripción]],"/",BBDD_Usiarios_Netflix[[#This Row],[Mes Suscripción]],"/",BBDD_Usiarios_Netflix[[#This Row],[Año Suscripción]]))</f>
        <v>45202</v>
      </c>
      <c r="H636" s="1">
        <v>27</v>
      </c>
      <c r="I636" s="1">
        <v>6</v>
      </c>
      <c r="J636" s="1">
        <v>24</v>
      </c>
      <c r="K636" s="1" t="str">
        <f>TEXT(BBDD_Usiarios_Netflix[[#This Row],[Fecha Suscripción]],"dddd")</f>
        <v>martes</v>
      </c>
      <c r="L636" s="1">
        <f>DATEVALUE(_xlfn.CONCAT(BBDD_Usiarios_Netflix[[#This Row],[Día Último Pago]],"/",BBDD_Usiarios_Netflix[[#This Row],[Mes Último Pago]],"/",BBDD_Usiarios_Netflix[[#This Row],[Año Último Pago]]))</f>
        <v>45470</v>
      </c>
      <c r="M636" s="4">
        <f>DATEDIF(BBDD_Usiarios_Netflix[[#This Row],[Fecha Suscripción]],BBDD_Usiarios_Netflix[[#This Row],[Fecha Último Pago]],"M")+1</f>
        <v>9</v>
      </c>
      <c r="N636" s="4">
        <f>BBDD_Usiarios_Netflix[[#This Row],[Ingresos Mensuales]]*BBDD_Usiarios_Netflix[[#This Row],[Meses contratados]]</f>
        <v>90</v>
      </c>
      <c r="O636" t="s">
        <v>40</v>
      </c>
      <c r="P636" t="str">
        <f>IF(BBDD_Usiarios_Netflix[[#This Row],[País]]="","Desconocido",BBDD_Usiarios_Netflix[[#This Row],[País]])</f>
        <v>Italia</v>
      </c>
      <c r="Q636">
        <v>29</v>
      </c>
      <c r="R636" t="s">
        <v>25</v>
      </c>
      <c r="S636" t="s">
        <v>36</v>
      </c>
      <c r="T636" t="s">
        <v>35</v>
      </c>
      <c r="U636">
        <f>IF(IFERROR(VLOOKUP(BBDD_Usiarios_Netflix[[#This Row],[Identificador Usuario]],A637:$A$5870,1,FALSE),0)&lt;&gt;0,1,0)</f>
        <v>0</v>
      </c>
      <c r="V636" s="6" t="str">
        <f>IF(BBDD_Usiarios_Netflix[[#This Row],[Duración Plan]]="12 Meses",LEFT(BBDD_Usiarios_Netflix[[#This Row],[Duración Plan]],2),LEFT(BBDD_Usiarios_Netflix[[#This Row],[Duración Plan]],1))</f>
        <v>6</v>
      </c>
      <c r="W6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37" spans="1:23" x14ac:dyDescent="0.25">
      <c r="A637">
        <v>636</v>
      </c>
      <c r="B637" t="s">
        <v>28</v>
      </c>
      <c r="C637">
        <v>14</v>
      </c>
      <c r="D637" s="3">
        <v>28</v>
      </c>
      <c r="E637" s="3">
        <v>10</v>
      </c>
      <c r="F637">
        <v>23</v>
      </c>
      <c r="G637" s="1">
        <f>DATEVALUE(_xlfn.CONCAT(BBDD_Usiarios_Netflix[[#This Row],[Día Suscripción]],"/",BBDD_Usiarios_Netflix[[#This Row],[Mes Suscripción]],"/",BBDD_Usiarios_Netflix[[#This Row],[Año Suscripción]]))</f>
        <v>45227</v>
      </c>
      <c r="H637" s="1">
        <v>1</v>
      </c>
      <c r="I637" s="1">
        <v>7</v>
      </c>
      <c r="J637" s="1">
        <v>24</v>
      </c>
      <c r="K637" s="1" t="str">
        <f>TEXT(BBDD_Usiarios_Netflix[[#This Row],[Fecha Suscripción]],"dddd")</f>
        <v>sábado</v>
      </c>
      <c r="L637" s="1">
        <f>DATEVALUE(_xlfn.CONCAT(BBDD_Usiarios_Netflix[[#This Row],[Día Último Pago]],"/",BBDD_Usiarios_Netflix[[#This Row],[Mes Último Pago]],"/",BBDD_Usiarios_Netflix[[#This Row],[Año Último Pago]]))</f>
        <v>45474</v>
      </c>
      <c r="M637" s="4">
        <f>DATEDIF(BBDD_Usiarios_Netflix[[#This Row],[Fecha Suscripción]],BBDD_Usiarios_Netflix[[#This Row],[Fecha Último Pago]],"M")+1</f>
        <v>9</v>
      </c>
      <c r="N637" s="4">
        <f>BBDD_Usiarios_Netflix[[#This Row],[Ingresos Mensuales]]*BBDD_Usiarios_Netflix[[#This Row],[Meses contratados]]</f>
        <v>126</v>
      </c>
      <c r="O637" t="s">
        <v>39</v>
      </c>
      <c r="P637" t="str">
        <f>IF(BBDD_Usiarios_Netflix[[#This Row],[País]]="","Desconocido",BBDD_Usiarios_Netflix[[#This Row],[País]])</f>
        <v>Canadá</v>
      </c>
      <c r="Q637">
        <v>33</v>
      </c>
      <c r="R637" t="s">
        <v>30</v>
      </c>
      <c r="S637" t="s">
        <v>34</v>
      </c>
      <c r="T637" t="s">
        <v>35</v>
      </c>
      <c r="U637">
        <f>IF(IFERROR(VLOOKUP(BBDD_Usiarios_Netflix[[#This Row],[Identificador Usuario]],A638:$A$5870,1,FALSE),0)&lt;&gt;0,1,0)</f>
        <v>0</v>
      </c>
      <c r="V637" s="6" t="str">
        <f>IF(BBDD_Usiarios_Netflix[[#This Row],[Duración Plan]]="12 Meses",LEFT(BBDD_Usiarios_Netflix[[#This Row],[Duración Plan]],2),LEFT(BBDD_Usiarios_Netflix[[#This Row],[Duración Plan]],1))</f>
        <v>6</v>
      </c>
      <c r="W6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38" spans="1:23" x14ac:dyDescent="0.25">
      <c r="A638">
        <v>637</v>
      </c>
      <c r="B638" t="s">
        <v>23</v>
      </c>
      <c r="C638">
        <v>10</v>
      </c>
      <c r="D638" s="3">
        <v>14</v>
      </c>
      <c r="E638" s="3">
        <v>11</v>
      </c>
      <c r="F638">
        <v>23</v>
      </c>
      <c r="G638" s="1">
        <f>DATEVALUE(_xlfn.CONCAT(BBDD_Usiarios_Netflix[[#This Row],[Día Suscripción]],"/",BBDD_Usiarios_Netflix[[#This Row],[Mes Suscripción]],"/",BBDD_Usiarios_Netflix[[#This Row],[Año Suscripción]]))</f>
        <v>45244</v>
      </c>
      <c r="H638" s="1">
        <v>29</v>
      </c>
      <c r="I638" s="1">
        <v>6</v>
      </c>
      <c r="J638" s="1">
        <v>24</v>
      </c>
      <c r="K638" s="1" t="str">
        <f>TEXT(BBDD_Usiarios_Netflix[[#This Row],[Fecha Suscripción]],"dddd")</f>
        <v>martes</v>
      </c>
      <c r="L638" s="1">
        <f>DATEVALUE(_xlfn.CONCAT(BBDD_Usiarios_Netflix[[#This Row],[Día Último Pago]],"/",BBDD_Usiarios_Netflix[[#This Row],[Mes Último Pago]],"/",BBDD_Usiarios_Netflix[[#This Row],[Año Último Pago]]))</f>
        <v>45472</v>
      </c>
      <c r="M638" s="4">
        <f>DATEDIF(BBDD_Usiarios_Netflix[[#This Row],[Fecha Suscripción]],BBDD_Usiarios_Netflix[[#This Row],[Fecha Último Pago]],"M")+1</f>
        <v>8</v>
      </c>
      <c r="N638" s="4">
        <f>BBDD_Usiarios_Netflix[[#This Row],[Ingresos Mensuales]]*BBDD_Usiarios_Netflix[[#This Row],[Meses contratados]]</f>
        <v>80</v>
      </c>
      <c r="O638" t="s">
        <v>29</v>
      </c>
      <c r="P638" t="str">
        <f>IF(BBDD_Usiarios_Netflix[[#This Row],[País]]="","Desconocido",BBDD_Usiarios_Netflix[[#This Row],[País]])</f>
        <v>EEUU</v>
      </c>
      <c r="Q638">
        <v>51</v>
      </c>
      <c r="R638" t="s">
        <v>30</v>
      </c>
      <c r="S638" t="s">
        <v>31</v>
      </c>
      <c r="T638" t="s">
        <v>38</v>
      </c>
      <c r="U638">
        <f>IF(IFERROR(VLOOKUP(BBDD_Usiarios_Netflix[[#This Row],[Identificador Usuario]],A639:$A$5870,1,FALSE),0)&lt;&gt;0,1,0)</f>
        <v>0</v>
      </c>
      <c r="V638" s="6" t="str">
        <f>IF(BBDD_Usiarios_Netflix[[#This Row],[Duración Plan]]="12 Meses",LEFT(BBDD_Usiarios_Netflix[[#This Row],[Duración Plan]],2),LEFT(BBDD_Usiarios_Netflix[[#This Row],[Duración Plan]],1))</f>
        <v>3</v>
      </c>
      <c r="W6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39" spans="1:23" x14ac:dyDescent="0.25">
      <c r="A639">
        <v>638</v>
      </c>
      <c r="B639" t="s">
        <v>32</v>
      </c>
      <c r="C639">
        <v>12</v>
      </c>
      <c r="D639" s="3">
        <v>16</v>
      </c>
      <c r="E639" s="3">
        <v>11</v>
      </c>
      <c r="F639">
        <v>23</v>
      </c>
      <c r="G639" s="1">
        <f>DATEVALUE(_xlfn.CONCAT(BBDD_Usiarios_Netflix[[#This Row],[Día Suscripción]],"/",BBDD_Usiarios_Netflix[[#This Row],[Mes Suscripción]],"/",BBDD_Usiarios_Netflix[[#This Row],[Año Suscripción]]))</f>
        <v>45246</v>
      </c>
      <c r="H639" s="1">
        <v>1</v>
      </c>
      <c r="I639" s="1">
        <v>7</v>
      </c>
      <c r="J639" s="1">
        <v>24</v>
      </c>
      <c r="K639" s="1" t="str">
        <f>TEXT(BBDD_Usiarios_Netflix[[#This Row],[Fecha Suscripción]],"dddd")</f>
        <v>jueves</v>
      </c>
      <c r="L639" s="1">
        <f>DATEVALUE(_xlfn.CONCAT(BBDD_Usiarios_Netflix[[#This Row],[Día Último Pago]],"/",BBDD_Usiarios_Netflix[[#This Row],[Mes Último Pago]],"/",BBDD_Usiarios_Netflix[[#This Row],[Año Último Pago]]))</f>
        <v>45474</v>
      </c>
      <c r="M639" s="4">
        <f>DATEDIF(BBDD_Usiarios_Netflix[[#This Row],[Fecha Suscripción]],BBDD_Usiarios_Netflix[[#This Row],[Fecha Último Pago]],"M")+1</f>
        <v>8</v>
      </c>
      <c r="N639" s="4">
        <f>BBDD_Usiarios_Netflix[[#This Row],[Ingresos Mensuales]]*BBDD_Usiarios_Netflix[[#This Row],[Meses contratados]]</f>
        <v>96</v>
      </c>
      <c r="O639" t="s">
        <v>43</v>
      </c>
      <c r="P639" t="str">
        <f>IF(BBDD_Usiarios_Netflix[[#This Row],[País]]="","Desconocido",BBDD_Usiarios_Netflix[[#This Row],[País]])</f>
        <v>Alemania</v>
      </c>
      <c r="Q639">
        <v>38</v>
      </c>
      <c r="R639" t="s">
        <v>25</v>
      </c>
      <c r="S639" t="s">
        <v>31</v>
      </c>
      <c r="T639" t="s">
        <v>27</v>
      </c>
      <c r="U639">
        <f>IF(IFERROR(VLOOKUP(BBDD_Usiarios_Netflix[[#This Row],[Identificador Usuario]],A640:$A$5870,1,FALSE),0)&lt;&gt;0,1,0)</f>
        <v>0</v>
      </c>
      <c r="V639" s="6" t="str">
        <f>IF(BBDD_Usiarios_Netflix[[#This Row],[Duración Plan]]="12 Meses",LEFT(BBDD_Usiarios_Netflix[[#This Row],[Duración Plan]],2),LEFT(BBDD_Usiarios_Netflix[[#This Row],[Duración Plan]],1))</f>
        <v>1</v>
      </c>
      <c r="W6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0" spans="1:23" x14ac:dyDescent="0.25">
      <c r="A640">
        <v>639</v>
      </c>
      <c r="B640" t="s">
        <v>28</v>
      </c>
      <c r="C640">
        <v>14</v>
      </c>
      <c r="D640" s="3">
        <v>17</v>
      </c>
      <c r="E640" s="3">
        <v>11</v>
      </c>
      <c r="F640">
        <v>23</v>
      </c>
      <c r="G640" s="1">
        <f>DATEVALUE(_xlfn.CONCAT(BBDD_Usiarios_Netflix[[#This Row],[Día Suscripción]],"/",BBDD_Usiarios_Netflix[[#This Row],[Mes Suscripción]],"/",BBDD_Usiarios_Netflix[[#This Row],[Año Suscripción]]))</f>
        <v>45247</v>
      </c>
      <c r="H640" s="1">
        <v>28</v>
      </c>
      <c r="I640" s="1">
        <v>6</v>
      </c>
      <c r="J640" s="1">
        <v>24</v>
      </c>
      <c r="K640" s="1" t="str">
        <f>TEXT(BBDD_Usiarios_Netflix[[#This Row],[Fecha Suscripción]],"dddd")</f>
        <v>viernes</v>
      </c>
      <c r="L640" s="1">
        <f>DATEVALUE(_xlfn.CONCAT(BBDD_Usiarios_Netflix[[#This Row],[Día Último Pago]],"/",BBDD_Usiarios_Netflix[[#This Row],[Mes Último Pago]],"/",BBDD_Usiarios_Netflix[[#This Row],[Año Último Pago]]))</f>
        <v>45471</v>
      </c>
      <c r="M640" s="4">
        <f>DATEDIF(BBDD_Usiarios_Netflix[[#This Row],[Fecha Suscripción]],BBDD_Usiarios_Netflix[[#This Row],[Fecha Último Pago]],"M")+1</f>
        <v>8</v>
      </c>
      <c r="N640" s="4">
        <f>BBDD_Usiarios_Netflix[[#This Row],[Ingresos Mensuales]]*BBDD_Usiarios_Netflix[[#This Row],[Meses contratados]]</f>
        <v>112</v>
      </c>
      <c r="O640" t="s">
        <v>42</v>
      </c>
      <c r="P640" t="str">
        <f>IF(BBDD_Usiarios_Netflix[[#This Row],[País]]="","Desconocido",BBDD_Usiarios_Netflix[[#This Row],[País]])</f>
        <v>Reino Unido</v>
      </c>
      <c r="Q640">
        <v>37</v>
      </c>
      <c r="R640" t="s">
        <v>30</v>
      </c>
      <c r="S640" t="s">
        <v>36</v>
      </c>
      <c r="T640" t="s">
        <v>35</v>
      </c>
      <c r="U640">
        <f>IF(IFERROR(VLOOKUP(BBDD_Usiarios_Netflix[[#This Row],[Identificador Usuario]],A641:$A$5870,1,FALSE),0)&lt;&gt;0,1,0)</f>
        <v>0</v>
      </c>
      <c r="V640" s="6" t="str">
        <f>IF(BBDD_Usiarios_Netflix[[#This Row],[Duración Plan]]="12 Meses",LEFT(BBDD_Usiarios_Netflix[[#This Row],[Duración Plan]],2),LEFT(BBDD_Usiarios_Netflix[[#This Row],[Duración Plan]],1))</f>
        <v>6</v>
      </c>
      <c r="W6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41" spans="1:23" x14ac:dyDescent="0.25">
      <c r="A641">
        <v>640</v>
      </c>
      <c r="B641" t="s">
        <v>23</v>
      </c>
      <c r="C641">
        <v>10</v>
      </c>
      <c r="D641" s="3">
        <v>20</v>
      </c>
      <c r="E641" s="3">
        <v>11</v>
      </c>
      <c r="F641">
        <v>23</v>
      </c>
      <c r="G641" s="1">
        <f>DATEVALUE(_xlfn.CONCAT(BBDD_Usiarios_Netflix[[#This Row],[Día Suscripción]],"/",BBDD_Usiarios_Netflix[[#This Row],[Mes Suscripción]],"/",BBDD_Usiarios_Netflix[[#This Row],[Año Suscripción]]))</f>
        <v>45250</v>
      </c>
      <c r="H641" s="1">
        <v>30</v>
      </c>
      <c r="I641" s="1">
        <v>6</v>
      </c>
      <c r="J641" s="1">
        <v>24</v>
      </c>
      <c r="K641" s="1" t="str">
        <f>TEXT(BBDD_Usiarios_Netflix[[#This Row],[Fecha Suscripción]],"dddd")</f>
        <v>lunes</v>
      </c>
      <c r="L641" s="1">
        <f>DATEVALUE(_xlfn.CONCAT(BBDD_Usiarios_Netflix[[#This Row],[Día Último Pago]],"/",BBDD_Usiarios_Netflix[[#This Row],[Mes Último Pago]],"/",BBDD_Usiarios_Netflix[[#This Row],[Año Último Pago]]))</f>
        <v>45473</v>
      </c>
      <c r="M641" s="4">
        <f>DATEDIF(BBDD_Usiarios_Netflix[[#This Row],[Fecha Suscripción]],BBDD_Usiarios_Netflix[[#This Row],[Fecha Último Pago]],"M")+1</f>
        <v>8</v>
      </c>
      <c r="N641" s="4">
        <f>BBDD_Usiarios_Netflix[[#This Row],[Ingresos Mensuales]]*BBDD_Usiarios_Netflix[[#This Row],[Meses contratados]]</f>
        <v>80</v>
      </c>
      <c r="O641" t="s">
        <v>39</v>
      </c>
      <c r="P641" t="str">
        <f>IF(BBDD_Usiarios_Netflix[[#This Row],[País]]="","Desconocido",BBDD_Usiarios_Netflix[[#This Row],[País]])</f>
        <v>Canadá</v>
      </c>
      <c r="Q641">
        <v>50</v>
      </c>
      <c r="R641" t="s">
        <v>30</v>
      </c>
      <c r="S641" t="s">
        <v>36</v>
      </c>
      <c r="T641" t="s">
        <v>35</v>
      </c>
      <c r="U641">
        <f>IF(IFERROR(VLOOKUP(BBDD_Usiarios_Netflix[[#This Row],[Identificador Usuario]],A642:$A$5870,1,FALSE),0)&lt;&gt;0,1,0)</f>
        <v>0</v>
      </c>
      <c r="V641" s="6" t="str">
        <f>IF(BBDD_Usiarios_Netflix[[#This Row],[Duración Plan]]="12 Meses",LEFT(BBDD_Usiarios_Netflix[[#This Row],[Duración Plan]],2),LEFT(BBDD_Usiarios_Netflix[[#This Row],[Duración Plan]],1))</f>
        <v>6</v>
      </c>
      <c r="W6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42" spans="1:23" x14ac:dyDescent="0.25">
      <c r="A642">
        <v>641</v>
      </c>
      <c r="B642" t="s">
        <v>28</v>
      </c>
      <c r="C642">
        <v>14</v>
      </c>
      <c r="D642" s="3">
        <v>21</v>
      </c>
      <c r="E642" s="3">
        <v>11</v>
      </c>
      <c r="F642">
        <v>23</v>
      </c>
      <c r="G642" s="1">
        <f>DATEVALUE(_xlfn.CONCAT(BBDD_Usiarios_Netflix[[#This Row],[Día Suscripción]],"/",BBDD_Usiarios_Netflix[[#This Row],[Mes Suscripción]],"/",BBDD_Usiarios_Netflix[[#This Row],[Año Suscripción]]))</f>
        <v>45251</v>
      </c>
      <c r="H642" s="1">
        <v>29</v>
      </c>
      <c r="I642" s="1">
        <v>6</v>
      </c>
      <c r="J642" s="1">
        <v>24</v>
      </c>
      <c r="K642" s="1" t="str">
        <f>TEXT(BBDD_Usiarios_Netflix[[#This Row],[Fecha Suscripción]],"dddd")</f>
        <v>martes</v>
      </c>
      <c r="L642" s="1">
        <f>DATEVALUE(_xlfn.CONCAT(BBDD_Usiarios_Netflix[[#This Row],[Día Último Pago]],"/",BBDD_Usiarios_Netflix[[#This Row],[Mes Último Pago]],"/",BBDD_Usiarios_Netflix[[#This Row],[Año Último Pago]]))</f>
        <v>45472</v>
      </c>
      <c r="M642" s="4">
        <f>DATEDIF(BBDD_Usiarios_Netflix[[#This Row],[Fecha Suscripción]],BBDD_Usiarios_Netflix[[#This Row],[Fecha Último Pago]],"M")+1</f>
        <v>8</v>
      </c>
      <c r="N642" s="4">
        <f>BBDD_Usiarios_Netflix[[#This Row],[Ingresos Mensuales]]*BBDD_Usiarios_Netflix[[#This Row],[Meses contratados]]</f>
        <v>112</v>
      </c>
      <c r="O642" t="s">
        <v>29</v>
      </c>
      <c r="P642" t="str">
        <f>IF(BBDD_Usiarios_Netflix[[#This Row],[País]]="","Desconocido",BBDD_Usiarios_Netflix[[#This Row],[País]])</f>
        <v>EEUU</v>
      </c>
      <c r="Q642">
        <v>33</v>
      </c>
      <c r="R642" t="s">
        <v>25</v>
      </c>
      <c r="S642" t="s">
        <v>31</v>
      </c>
      <c r="T642" t="s">
        <v>27</v>
      </c>
      <c r="U642">
        <f>IF(IFERROR(VLOOKUP(BBDD_Usiarios_Netflix[[#This Row],[Identificador Usuario]],A643:$A$5870,1,FALSE),0)&lt;&gt;0,1,0)</f>
        <v>0</v>
      </c>
      <c r="V642" s="6" t="str">
        <f>IF(BBDD_Usiarios_Netflix[[#This Row],[Duración Plan]]="12 Meses",LEFT(BBDD_Usiarios_Netflix[[#This Row],[Duración Plan]],2),LEFT(BBDD_Usiarios_Netflix[[#This Row],[Duración Plan]],1))</f>
        <v>1</v>
      </c>
      <c r="W6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3" spans="1:23" x14ac:dyDescent="0.25">
      <c r="A643">
        <v>642</v>
      </c>
      <c r="B643" t="s">
        <v>23</v>
      </c>
      <c r="C643">
        <v>10</v>
      </c>
      <c r="D643" s="3">
        <v>19</v>
      </c>
      <c r="E643" s="3">
        <v>11</v>
      </c>
      <c r="F643">
        <v>23</v>
      </c>
      <c r="G643" s="1">
        <f>DATEVALUE(_xlfn.CONCAT(BBDD_Usiarios_Netflix[[#This Row],[Día Suscripción]],"/",BBDD_Usiarios_Netflix[[#This Row],[Mes Suscripción]],"/",BBDD_Usiarios_Netflix[[#This Row],[Año Suscripción]]))</f>
        <v>45249</v>
      </c>
      <c r="H643" s="1">
        <v>1</v>
      </c>
      <c r="I643" s="1">
        <v>7</v>
      </c>
      <c r="J643" s="1">
        <v>24</v>
      </c>
      <c r="K643" s="1" t="str">
        <f>TEXT(BBDD_Usiarios_Netflix[[#This Row],[Fecha Suscripción]],"dddd")</f>
        <v>domingo</v>
      </c>
      <c r="L643" s="1">
        <f>DATEVALUE(_xlfn.CONCAT(BBDD_Usiarios_Netflix[[#This Row],[Día Último Pago]],"/",BBDD_Usiarios_Netflix[[#This Row],[Mes Último Pago]],"/",BBDD_Usiarios_Netflix[[#This Row],[Año Último Pago]]))</f>
        <v>45474</v>
      </c>
      <c r="M643" s="4">
        <f>DATEDIF(BBDD_Usiarios_Netflix[[#This Row],[Fecha Suscripción]],BBDD_Usiarios_Netflix[[#This Row],[Fecha Último Pago]],"M")+1</f>
        <v>8</v>
      </c>
      <c r="N643" s="4">
        <f>BBDD_Usiarios_Netflix[[#This Row],[Ingresos Mensuales]]*BBDD_Usiarios_Netflix[[#This Row],[Meses contratados]]</f>
        <v>80</v>
      </c>
      <c r="O643" t="s">
        <v>42</v>
      </c>
      <c r="P643" t="str">
        <f>IF(BBDD_Usiarios_Netflix[[#This Row],[País]]="","Desconocido",BBDD_Usiarios_Netflix[[#This Row],[País]])</f>
        <v>Reino Unido</v>
      </c>
      <c r="Q643">
        <v>27</v>
      </c>
      <c r="R643" t="s">
        <v>25</v>
      </c>
      <c r="S643" t="s">
        <v>36</v>
      </c>
      <c r="T643" t="s">
        <v>38</v>
      </c>
      <c r="U643">
        <f>IF(IFERROR(VLOOKUP(BBDD_Usiarios_Netflix[[#This Row],[Identificador Usuario]],A644:$A$5870,1,FALSE),0)&lt;&gt;0,1,0)</f>
        <v>0</v>
      </c>
      <c r="V643" s="6" t="str">
        <f>IF(BBDD_Usiarios_Netflix[[#This Row],[Duración Plan]]="12 Meses",LEFT(BBDD_Usiarios_Netflix[[#This Row],[Duración Plan]],2),LEFT(BBDD_Usiarios_Netflix[[#This Row],[Duración Plan]],1))</f>
        <v>3</v>
      </c>
      <c r="W6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44" spans="1:23" x14ac:dyDescent="0.25">
      <c r="A644">
        <v>643</v>
      </c>
      <c r="B644" t="s">
        <v>32</v>
      </c>
      <c r="C644">
        <v>12</v>
      </c>
      <c r="D644" s="3">
        <v>28</v>
      </c>
      <c r="E644" s="3">
        <v>10</v>
      </c>
      <c r="F644">
        <v>23</v>
      </c>
      <c r="G644" s="1">
        <f>DATEVALUE(_xlfn.CONCAT(BBDD_Usiarios_Netflix[[#This Row],[Día Suscripción]],"/",BBDD_Usiarios_Netflix[[#This Row],[Mes Suscripción]],"/",BBDD_Usiarios_Netflix[[#This Row],[Año Suscripción]]))</f>
        <v>45227</v>
      </c>
      <c r="H644" s="1">
        <v>27</v>
      </c>
      <c r="I644" s="1">
        <v>6</v>
      </c>
      <c r="J644" s="1">
        <v>24</v>
      </c>
      <c r="K644" s="1" t="str">
        <f>TEXT(BBDD_Usiarios_Netflix[[#This Row],[Fecha Suscripción]],"dddd")</f>
        <v>sábado</v>
      </c>
      <c r="L644" s="1">
        <f>DATEVALUE(_xlfn.CONCAT(BBDD_Usiarios_Netflix[[#This Row],[Día Último Pago]],"/",BBDD_Usiarios_Netflix[[#This Row],[Mes Último Pago]],"/",BBDD_Usiarios_Netflix[[#This Row],[Año Último Pago]]))</f>
        <v>45470</v>
      </c>
      <c r="M644" s="4">
        <f>DATEDIF(BBDD_Usiarios_Netflix[[#This Row],[Fecha Suscripción]],BBDD_Usiarios_Netflix[[#This Row],[Fecha Último Pago]],"M")+1</f>
        <v>8</v>
      </c>
      <c r="N644" s="4">
        <f>BBDD_Usiarios_Netflix[[#This Row],[Ingresos Mensuales]]*BBDD_Usiarios_Netflix[[#This Row],[Meses contratados]]</f>
        <v>96</v>
      </c>
      <c r="O644" t="s">
        <v>45</v>
      </c>
      <c r="P644" t="str">
        <f>IF(BBDD_Usiarios_Netflix[[#This Row],[País]]="","Desconocido",BBDD_Usiarios_Netflix[[#This Row],[País]])</f>
        <v>España</v>
      </c>
      <c r="Q644">
        <v>50</v>
      </c>
      <c r="R644" t="s">
        <v>30</v>
      </c>
      <c r="S644" t="s">
        <v>26</v>
      </c>
      <c r="T644" t="s">
        <v>27</v>
      </c>
      <c r="U644">
        <f>IF(IFERROR(VLOOKUP(BBDD_Usiarios_Netflix[[#This Row],[Identificador Usuario]],A645:$A$5870,1,FALSE),0)&lt;&gt;0,1,0)</f>
        <v>0</v>
      </c>
      <c r="V644" s="6" t="str">
        <f>IF(BBDD_Usiarios_Netflix[[#This Row],[Duración Plan]]="12 Meses",LEFT(BBDD_Usiarios_Netflix[[#This Row],[Duración Plan]],2),LEFT(BBDD_Usiarios_Netflix[[#This Row],[Duración Plan]],1))</f>
        <v>1</v>
      </c>
      <c r="W6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5" spans="1:23" x14ac:dyDescent="0.25">
      <c r="A645">
        <v>644</v>
      </c>
      <c r="B645" t="s">
        <v>32</v>
      </c>
      <c r="C645">
        <v>12</v>
      </c>
      <c r="D645" s="3">
        <v>27</v>
      </c>
      <c r="E645" s="3">
        <v>10</v>
      </c>
      <c r="F645">
        <v>23</v>
      </c>
      <c r="G645" s="1">
        <f>DATEVALUE(_xlfn.CONCAT(BBDD_Usiarios_Netflix[[#This Row],[Día Suscripción]],"/",BBDD_Usiarios_Netflix[[#This Row],[Mes Suscripción]],"/",BBDD_Usiarios_Netflix[[#This Row],[Año Suscripción]]))</f>
        <v>45226</v>
      </c>
      <c r="H645" s="1">
        <v>29</v>
      </c>
      <c r="I645" s="1">
        <v>6</v>
      </c>
      <c r="J645" s="1">
        <v>24</v>
      </c>
      <c r="K645" s="1" t="str">
        <f>TEXT(BBDD_Usiarios_Netflix[[#This Row],[Fecha Suscripción]],"dddd")</f>
        <v>viernes</v>
      </c>
      <c r="L645" s="1">
        <f>DATEVALUE(_xlfn.CONCAT(BBDD_Usiarios_Netflix[[#This Row],[Día Último Pago]],"/",BBDD_Usiarios_Netflix[[#This Row],[Mes Último Pago]],"/",BBDD_Usiarios_Netflix[[#This Row],[Año Último Pago]]))</f>
        <v>45472</v>
      </c>
      <c r="M645" s="4">
        <f>DATEDIF(BBDD_Usiarios_Netflix[[#This Row],[Fecha Suscripción]],BBDD_Usiarios_Netflix[[#This Row],[Fecha Último Pago]],"M")+1</f>
        <v>9</v>
      </c>
      <c r="N645" s="4">
        <f>BBDD_Usiarios_Netflix[[#This Row],[Ingresos Mensuales]]*BBDD_Usiarios_Netflix[[#This Row],[Meses contratados]]</f>
        <v>108</v>
      </c>
      <c r="O645" t="s">
        <v>29</v>
      </c>
      <c r="P645" t="str">
        <f>IF(BBDD_Usiarios_Netflix[[#This Row],[País]]="","Desconocido",BBDD_Usiarios_Netflix[[#This Row],[País]])</f>
        <v>EEUU</v>
      </c>
      <c r="Q645">
        <v>47</v>
      </c>
      <c r="R645" t="s">
        <v>30</v>
      </c>
      <c r="S645" t="s">
        <v>36</v>
      </c>
      <c r="T645" t="s">
        <v>27</v>
      </c>
      <c r="U645">
        <f>IF(IFERROR(VLOOKUP(BBDD_Usiarios_Netflix[[#This Row],[Identificador Usuario]],A646:$A$5870,1,FALSE),0)&lt;&gt;0,1,0)</f>
        <v>0</v>
      </c>
      <c r="V645" s="6" t="str">
        <f>IF(BBDD_Usiarios_Netflix[[#This Row],[Duración Plan]]="12 Meses",LEFT(BBDD_Usiarios_Netflix[[#This Row],[Duración Plan]],2),LEFT(BBDD_Usiarios_Netflix[[#This Row],[Duración Plan]],1))</f>
        <v>1</v>
      </c>
      <c r="W6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6" spans="1:23" x14ac:dyDescent="0.25">
      <c r="A646">
        <v>645</v>
      </c>
      <c r="B646" t="s">
        <v>23</v>
      </c>
      <c r="C646">
        <v>10</v>
      </c>
      <c r="D646" s="3">
        <v>27</v>
      </c>
      <c r="E646" s="3">
        <v>10</v>
      </c>
      <c r="F646">
        <v>23</v>
      </c>
      <c r="G646" s="1">
        <f>DATEVALUE(_xlfn.CONCAT(BBDD_Usiarios_Netflix[[#This Row],[Día Suscripción]],"/",BBDD_Usiarios_Netflix[[#This Row],[Mes Suscripción]],"/",BBDD_Usiarios_Netflix[[#This Row],[Año Suscripción]]))</f>
        <v>45226</v>
      </c>
      <c r="H646" s="1">
        <v>29</v>
      </c>
      <c r="I646" s="1">
        <v>6</v>
      </c>
      <c r="J646" s="1">
        <v>24</v>
      </c>
      <c r="K646" s="1" t="str">
        <f>TEXT(BBDD_Usiarios_Netflix[[#This Row],[Fecha Suscripción]],"dddd")</f>
        <v>viernes</v>
      </c>
      <c r="L646" s="1">
        <f>DATEVALUE(_xlfn.CONCAT(BBDD_Usiarios_Netflix[[#This Row],[Día Último Pago]],"/",BBDD_Usiarios_Netflix[[#This Row],[Mes Último Pago]],"/",BBDD_Usiarios_Netflix[[#This Row],[Año Último Pago]]))</f>
        <v>45472</v>
      </c>
      <c r="M646" s="4">
        <f>DATEDIF(BBDD_Usiarios_Netflix[[#This Row],[Fecha Suscripción]],BBDD_Usiarios_Netflix[[#This Row],[Fecha Último Pago]],"M")+1</f>
        <v>9</v>
      </c>
      <c r="N646" s="4">
        <f>BBDD_Usiarios_Netflix[[#This Row],[Ingresos Mensuales]]*BBDD_Usiarios_Netflix[[#This Row],[Meses contratados]]</f>
        <v>90</v>
      </c>
      <c r="O646" t="s">
        <v>33</v>
      </c>
      <c r="P646" t="str">
        <f>IF(BBDD_Usiarios_Netflix[[#This Row],[País]]="","Desconocido",BBDD_Usiarios_Netflix[[#This Row],[País]])</f>
        <v>Francia</v>
      </c>
      <c r="Q646">
        <v>41</v>
      </c>
      <c r="R646" t="s">
        <v>25</v>
      </c>
      <c r="S646" t="s">
        <v>36</v>
      </c>
      <c r="T646" t="s">
        <v>27</v>
      </c>
      <c r="U646">
        <f>IF(IFERROR(VLOOKUP(BBDD_Usiarios_Netflix[[#This Row],[Identificador Usuario]],A647:$A$5870,1,FALSE),0)&lt;&gt;0,1,0)</f>
        <v>0</v>
      </c>
      <c r="V646" s="6" t="str">
        <f>IF(BBDD_Usiarios_Netflix[[#This Row],[Duración Plan]]="12 Meses",LEFT(BBDD_Usiarios_Netflix[[#This Row],[Duración Plan]],2),LEFT(BBDD_Usiarios_Netflix[[#This Row],[Duración Plan]],1))</f>
        <v>1</v>
      </c>
      <c r="W6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7" spans="1:23" x14ac:dyDescent="0.25">
      <c r="A647">
        <v>646</v>
      </c>
      <c r="B647" t="s">
        <v>28</v>
      </c>
      <c r="C647">
        <v>14</v>
      </c>
      <c r="D647" s="3">
        <v>27</v>
      </c>
      <c r="E647" s="3">
        <v>10</v>
      </c>
      <c r="F647">
        <v>23</v>
      </c>
      <c r="G647" s="1">
        <f>DATEVALUE(_xlfn.CONCAT(BBDD_Usiarios_Netflix[[#This Row],[Día Suscripción]],"/",BBDD_Usiarios_Netflix[[#This Row],[Mes Suscripción]],"/",BBDD_Usiarios_Netflix[[#This Row],[Año Suscripción]]))</f>
        <v>45226</v>
      </c>
      <c r="H647" s="1">
        <v>30</v>
      </c>
      <c r="I647" s="1">
        <v>6</v>
      </c>
      <c r="J647" s="1">
        <v>24</v>
      </c>
      <c r="K647" s="1" t="str">
        <f>TEXT(BBDD_Usiarios_Netflix[[#This Row],[Fecha Suscripción]],"dddd")</f>
        <v>viernes</v>
      </c>
      <c r="L647" s="1">
        <f>DATEVALUE(_xlfn.CONCAT(BBDD_Usiarios_Netflix[[#This Row],[Día Último Pago]],"/",BBDD_Usiarios_Netflix[[#This Row],[Mes Último Pago]],"/",BBDD_Usiarios_Netflix[[#This Row],[Año Último Pago]]))</f>
        <v>45473</v>
      </c>
      <c r="M647" s="4">
        <f>DATEDIF(BBDD_Usiarios_Netflix[[#This Row],[Fecha Suscripción]],BBDD_Usiarios_Netflix[[#This Row],[Fecha Último Pago]],"M")+1</f>
        <v>9</v>
      </c>
      <c r="N647" s="4">
        <f>BBDD_Usiarios_Netflix[[#This Row],[Ingresos Mensuales]]*BBDD_Usiarios_Netflix[[#This Row],[Meses contratados]]</f>
        <v>126</v>
      </c>
      <c r="O647" t="s">
        <v>43</v>
      </c>
      <c r="P647" t="str">
        <f>IF(BBDD_Usiarios_Netflix[[#This Row],[País]]="","Desconocido",BBDD_Usiarios_Netflix[[#This Row],[País]])</f>
        <v>Alemania</v>
      </c>
      <c r="Q647">
        <v>49</v>
      </c>
      <c r="R647" t="s">
        <v>30</v>
      </c>
      <c r="S647" t="s">
        <v>36</v>
      </c>
      <c r="T647" t="s">
        <v>27</v>
      </c>
      <c r="U647">
        <f>IF(IFERROR(VLOOKUP(BBDD_Usiarios_Netflix[[#This Row],[Identificador Usuario]],A648:$A$5870,1,FALSE),0)&lt;&gt;0,1,0)</f>
        <v>0</v>
      </c>
      <c r="V647" s="6" t="str">
        <f>IF(BBDD_Usiarios_Netflix[[#This Row],[Duración Plan]]="12 Meses",LEFT(BBDD_Usiarios_Netflix[[#This Row],[Duración Plan]],2),LEFT(BBDD_Usiarios_Netflix[[#This Row],[Duración Plan]],1))</f>
        <v>1</v>
      </c>
      <c r="W6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8" spans="1:23" x14ac:dyDescent="0.25">
      <c r="A648">
        <v>647</v>
      </c>
      <c r="B648" t="s">
        <v>23</v>
      </c>
      <c r="C648">
        <v>10</v>
      </c>
      <c r="D648" s="3">
        <v>25</v>
      </c>
      <c r="E648" s="3">
        <v>10</v>
      </c>
      <c r="F648">
        <v>23</v>
      </c>
      <c r="G648" s="1">
        <f>DATEVALUE(_xlfn.CONCAT(BBDD_Usiarios_Netflix[[#This Row],[Día Suscripción]],"/",BBDD_Usiarios_Netflix[[#This Row],[Mes Suscripción]],"/",BBDD_Usiarios_Netflix[[#This Row],[Año Suscripción]]))</f>
        <v>45224</v>
      </c>
      <c r="H648" s="1">
        <v>28</v>
      </c>
      <c r="I648" s="1">
        <v>6</v>
      </c>
      <c r="J648" s="1">
        <v>24</v>
      </c>
      <c r="K648" s="1" t="str">
        <f>TEXT(BBDD_Usiarios_Netflix[[#This Row],[Fecha Suscripción]],"dddd")</f>
        <v>miércoles</v>
      </c>
      <c r="L648" s="1">
        <f>DATEVALUE(_xlfn.CONCAT(BBDD_Usiarios_Netflix[[#This Row],[Día Último Pago]],"/",BBDD_Usiarios_Netflix[[#This Row],[Mes Último Pago]],"/",BBDD_Usiarios_Netflix[[#This Row],[Año Último Pago]]))</f>
        <v>45471</v>
      </c>
      <c r="M648" s="4">
        <f>DATEDIF(BBDD_Usiarios_Netflix[[#This Row],[Fecha Suscripción]],BBDD_Usiarios_Netflix[[#This Row],[Fecha Último Pago]],"M")+1</f>
        <v>9</v>
      </c>
      <c r="N648" s="4">
        <f>BBDD_Usiarios_Netflix[[#This Row],[Ingresos Mensuales]]*BBDD_Usiarios_Netflix[[#This Row],[Meses contratados]]</f>
        <v>90</v>
      </c>
      <c r="O648" t="s">
        <v>40</v>
      </c>
      <c r="P648" t="str">
        <f>IF(BBDD_Usiarios_Netflix[[#This Row],[País]]="","Desconocido",BBDD_Usiarios_Netflix[[#This Row],[País]])</f>
        <v>Italia</v>
      </c>
      <c r="Q648">
        <v>32</v>
      </c>
      <c r="R648" t="s">
        <v>25</v>
      </c>
      <c r="S648" t="s">
        <v>34</v>
      </c>
      <c r="T648" t="s">
        <v>27</v>
      </c>
      <c r="U648">
        <f>IF(IFERROR(VLOOKUP(BBDD_Usiarios_Netflix[[#This Row],[Identificador Usuario]],A649:$A$5870,1,FALSE),0)&lt;&gt;0,1,0)</f>
        <v>0</v>
      </c>
      <c r="V648" s="6" t="str">
        <f>IF(BBDD_Usiarios_Netflix[[#This Row],[Duración Plan]]="12 Meses",LEFT(BBDD_Usiarios_Netflix[[#This Row],[Duración Plan]],2),LEFT(BBDD_Usiarios_Netflix[[#This Row],[Duración Plan]],1))</f>
        <v>1</v>
      </c>
      <c r="W6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49" spans="1:23" x14ac:dyDescent="0.25">
      <c r="A649">
        <v>648</v>
      </c>
      <c r="B649" t="s">
        <v>32</v>
      </c>
      <c r="C649">
        <v>12</v>
      </c>
      <c r="D649" s="3">
        <v>17</v>
      </c>
      <c r="E649" s="3">
        <v>10</v>
      </c>
      <c r="F649">
        <v>23</v>
      </c>
      <c r="G649" s="1">
        <f>DATEVALUE(_xlfn.CONCAT(BBDD_Usiarios_Netflix[[#This Row],[Día Suscripción]],"/",BBDD_Usiarios_Netflix[[#This Row],[Mes Suscripción]],"/",BBDD_Usiarios_Netflix[[#This Row],[Año Suscripción]]))</f>
        <v>45216</v>
      </c>
      <c r="H649" s="1">
        <v>28</v>
      </c>
      <c r="I649" s="1">
        <v>6</v>
      </c>
      <c r="J649" s="1">
        <v>24</v>
      </c>
      <c r="K649" s="1" t="str">
        <f>TEXT(BBDD_Usiarios_Netflix[[#This Row],[Fecha Suscripción]],"dddd")</f>
        <v>martes</v>
      </c>
      <c r="L649" s="1">
        <f>DATEVALUE(_xlfn.CONCAT(BBDD_Usiarios_Netflix[[#This Row],[Día Último Pago]],"/",BBDD_Usiarios_Netflix[[#This Row],[Mes Último Pago]],"/",BBDD_Usiarios_Netflix[[#This Row],[Año Último Pago]]))</f>
        <v>45471</v>
      </c>
      <c r="M649" s="4">
        <f>DATEDIF(BBDD_Usiarios_Netflix[[#This Row],[Fecha Suscripción]],BBDD_Usiarios_Netflix[[#This Row],[Fecha Último Pago]],"M")+1</f>
        <v>9</v>
      </c>
      <c r="N649" s="4">
        <f>BBDD_Usiarios_Netflix[[#This Row],[Ingresos Mensuales]]*BBDD_Usiarios_Netflix[[#This Row],[Meses contratados]]</f>
        <v>108</v>
      </c>
      <c r="O649" t="s">
        <v>29</v>
      </c>
      <c r="P649" t="str">
        <f>IF(BBDD_Usiarios_Netflix[[#This Row],[País]]="","Desconocido",BBDD_Usiarios_Netflix[[#This Row],[País]])</f>
        <v>EEUU</v>
      </c>
      <c r="Q649">
        <v>38</v>
      </c>
      <c r="R649" t="s">
        <v>30</v>
      </c>
      <c r="S649" t="s">
        <v>26</v>
      </c>
      <c r="T649" t="s">
        <v>35</v>
      </c>
      <c r="U649">
        <f>IF(IFERROR(VLOOKUP(BBDD_Usiarios_Netflix[[#This Row],[Identificador Usuario]],A650:$A$5870,1,FALSE),0)&lt;&gt;0,1,0)</f>
        <v>0</v>
      </c>
      <c r="V649" s="6" t="str">
        <f>IF(BBDD_Usiarios_Netflix[[#This Row],[Duración Plan]]="12 Meses",LEFT(BBDD_Usiarios_Netflix[[#This Row],[Duración Plan]],2),LEFT(BBDD_Usiarios_Netflix[[#This Row],[Duración Plan]],1))</f>
        <v>6</v>
      </c>
      <c r="W6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50" spans="1:23" x14ac:dyDescent="0.25">
      <c r="A650">
        <v>649</v>
      </c>
      <c r="B650" t="s">
        <v>28</v>
      </c>
      <c r="C650">
        <v>14</v>
      </c>
      <c r="D650" s="3">
        <v>20</v>
      </c>
      <c r="E650" s="3">
        <v>8</v>
      </c>
      <c r="F650">
        <v>23</v>
      </c>
      <c r="G650" s="1">
        <f>DATEVALUE(_xlfn.CONCAT(BBDD_Usiarios_Netflix[[#This Row],[Día Suscripción]],"/",BBDD_Usiarios_Netflix[[#This Row],[Mes Suscripción]],"/",BBDD_Usiarios_Netflix[[#This Row],[Año Suscripción]]))</f>
        <v>45158</v>
      </c>
      <c r="H650" s="1">
        <v>29</v>
      </c>
      <c r="I650" s="1">
        <v>6</v>
      </c>
      <c r="J650" s="1">
        <v>24</v>
      </c>
      <c r="K650" s="1" t="str">
        <f>TEXT(BBDD_Usiarios_Netflix[[#This Row],[Fecha Suscripción]],"dddd")</f>
        <v>domingo</v>
      </c>
      <c r="L650" s="1">
        <f>DATEVALUE(_xlfn.CONCAT(BBDD_Usiarios_Netflix[[#This Row],[Día Último Pago]],"/",BBDD_Usiarios_Netflix[[#This Row],[Mes Último Pago]],"/",BBDD_Usiarios_Netflix[[#This Row],[Año Último Pago]]))</f>
        <v>45472</v>
      </c>
      <c r="M650" s="4">
        <f>DATEDIF(BBDD_Usiarios_Netflix[[#This Row],[Fecha Suscripción]],BBDD_Usiarios_Netflix[[#This Row],[Fecha Último Pago]],"M")+1</f>
        <v>11</v>
      </c>
      <c r="N650" s="4">
        <f>BBDD_Usiarios_Netflix[[#This Row],[Ingresos Mensuales]]*BBDD_Usiarios_Netflix[[#This Row],[Meses contratados]]</f>
        <v>154</v>
      </c>
      <c r="O650" t="s">
        <v>45</v>
      </c>
      <c r="P650" t="str">
        <f>IF(BBDD_Usiarios_Netflix[[#This Row],[País]]="","Desconocido",BBDD_Usiarios_Netflix[[#This Row],[País]])</f>
        <v>España</v>
      </c>
      <c r="Q650">
        <v>38</v>
      </c>
      <c r="R650" t="s">
        <v>30</v>
      </c>
      <c r="S650" t="s">
        <v>26</v>
      </c>
      <c r="T650" t="s">
        <v>27</v>
      </c>
      <c r="U650">
        <f>IF(IFERROR(VLOOKUP(BBDD_Usiarios_Netflix[[#This Row],[Identificador Usuario]],A651:$A$5870,1,FALSE),0)&lt;&gt;0,1,0)</f>
        <v>0</v>
      </c>
      <c r="V650" s="6" t="str">
        <f>IF(BBDD_Usiarios_Netflix[[#This Row],[Duración Plan]]="12 Meses",LEFT(BBDD_Usiarios_Netflix[[#This Row],[Duración Plan]],2),LEFT(BBDD_Usiarios_Netflix[[#This Row],[Duración Plan]],1))</f>
        <v>1</v>
      </c>
      <c r="W6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51" spans="1:23" x14ac:dyDescent="0.25">
      <c r="A651">
        <v>650</v>
      </c>
      <c r="B651" t="s">
        <v>23</v>
      </c>
      <c r="C651">
        <v>10</v>
      </c>
      <c r="D651" s="3">
        <v>16</v>
      </c>
      <c r="E651" s="3">
        <v>8</v>
      </c>
      <c r="F651">
        <v>23</v>
      </c>
      <c r="G651" s="1">
        <f>DATEVALUE(_xlfn.CONCAT(BBDD_Usiarios_Netflix[[#This Row],[Día Suscripción]],"/",BBDD_Usiarios_Netflix[[#This Row],[Mes Suscripción]],"/",BBDD_Usiarios_Netflix[[#This Row],[Año Suscripción]]))</f>
        <v>45154</v>
      </c>
      <c r="H651" s="1">
        <v>29</v>
      </c>
      <c r="I651" s="1">
        <v>6</v>
      </c>
      <c r="J651" s="1">
        <v>24</v>
      </c>
      <c r="K651" s="1" t="str">
        <f>TEXT(BBDD_Usiarios_Netflix[[#This Row],[Fecha Suscripción]],"dddd")</f>
        <v>miércoles</v>
      </c>
      <c r="L651" s="1">
        <f>DATEVALUE(_xlfn.CONCAT(BBDD_Usiarios_Netflix[[#This Row],[Día Último Pago]],"/",BBDD_Usiarios_Netflix[[#This Row],[Mes Último Pago]],"/",BBDD_Usiarios_Netflix[[#This Row],[Año Último Pago]]))</f>
        <v>45472</v>
      </c>
      <c r="M651" s="4">
        <f>DATEDIF(BBDD_Usiarios_Netflix[[#This Row],[Fecha Suscripción]],BBDD_Usiarios_Netflix[[#This Row],[Fecha Último Pago]],"M")+1</f>
        <v>11</v>
      </c>
      <c r="N651" s="4">
        <f>BBDD_Usiarios_Netflix[[#This Row],[Ingresos Mensuales]]*BBDD_Usiarios_Netflix[[#This Row],[Meses contratados]]</f>
        <v>110</v>
      </c>
      <c r="O651" t="s">
        <v>29</v>
      </c>
      <c r="P651" t="str">
        <f>IF(BBDD_Usiarios_Netflix[[#This Row],[País]]="","Desconocido",BBDD_Usiarios_Netflix[[#This Row],[País]])</f>
        <v>EEUU</v>
      </c>
      <c r="Q651">
        <v>28</v>
      </c>
      <c r="R651" t="s">
        <v>30</v>
      </c>
      <c r="S651" t="s">
        <v>34</v>
      </c>
      <c r="T651" t="s">
        <v>27</v>
      </c>
      <c r="U651">
        <f>IF(IFERROR(VLOOKUP(BBDD_Usiarios_Netflix[[#This Row],[Identificador Usuario]],A652:$A$5870,1,FALSE),0)&lt;&gt;0,1,0)</f>
        <v>0</v>
      </c>
      <c r="V651" s="6" t="str">
        <f>IF(BBDD_Usiarios_Netflix[[#This Row],[Duración Plan]]="12 Meses",LEFT(BBDD_Usiarios_Netflix[[#This Row],[Duración Plan]],2),LEFT(BBDD_Usiarios_Netflix[[#This Row],[Duración Plan]],1))</f>
        <v>1</v>
      </c>
      <c r="W6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52" spans="1:23" x14ac:dyDescent="0.25">
      <c r="A652">
        <v>651</v>
      </c>
      <c r="B652" t="s">
        <v>28</v>
      </c>
      <c r="C652">
        <v>14</v>
      </c>
      <c r="D652" s="3">
        <v>15</v>
      </c>
      <c r="E652" s="3">
        <v>8</v>
      </c>
      <c r="F652">
        <v>23</v>
      </c>
      <c r="G652" s="1">
        <f>DATEVALUE(_xlfn.CONCAT(BBDD_Usiarios_Netflix[[#This Row],[Día Suscripción]],"/",BBDD_Usiarios_Netflix[[#This Row],[Mes Suscripción]],"/",BBDD_Usiarios_Netflix[[#This Row],[Año Suscripción]]))</f>
        <v>45153</v>
      </c>
      <c r="H652" s="1">
        <v>29</v>
      </c>
      <c r="I652" s="1">
        <v>6</v>
      </c>
      <c r="J652" s="1">
        <v>24</v>
      </c>
      <c r="K652" s="1" t="str">
        <f>TEXT(BBDD_Usiarios_Netflix[[#This Row],[Fecha Suscripción]],"dddd")</f>
        <v>martes</v>
      </c>
      <c r="L652" s="1">
        <f>DATEVALUE(_xlfn.CONCAT(BBDD_Usiarios_Netflix[[#This Row],[Día Último Pago]],"/",BBDD_Usiarios_Netflix[[#This Row],[Mes Último Pago]],"/",BBDD_Usiarios_Netflix[[#This Row],[Año Último Pago]]))</f>
        <v>45472</v>
      </c>
      <c r="M652" s="4">
        <f>DATEDIF(BBDD_Usiarios_Netflix[[#This Row],[Fecha Suscripción]],BBDD_Usiarios_Netflix[[#This Row],[Fecha Último Pago]],"M")+1</f>
        <v>11</v>
      </c>
      <c r="N652" s="4">
        <f>BBDD_Usiarios_Netflix[[#This Row],[Ingresos Mensuales]]*BBDD_Usiarios_Netflix[[#This Row],[Meses contratados]]</f>
        <v>154</v>
      </c>
      <c r="O652" t="s">
        <v>33</v>
      </c>
      <c r="P652" t="str">
        <f>IF(BBDD_Usiarios_Netflix[[#This Row],[País]]="","Desconocido",BBDD_Usiarios_Netflix[[#This Row],[País]])</f>
        <v>Francia</v>
      </c>
      <c r="Q652">
        <v>31</v>
      </c>
      <c r="R652" t="s">
        <v>25</v>
      </c>
      <c r="S652" t="s">
        <v>31</v>
      </c>
      <c r="T652" t="s">
        <v>35</v>
      </c>
      <c r="U652">
        <f>IF(IFERROR(VLOOKUP(BBDD_Usiarios_Netflix[[#This Row],[Identificador Usuario]],A653:$A$5870,1,FALSE),0)&lt;&gt;0,1,0)</f>
        <v>0</v>
      </c>
      <c r="V652" s="6" t="str">
        <f>IF(BBDD_Usiarios_Netflix[[#This Row],[Duración Plan]]="12 Meses",LEFT(BBDD_Usiarios_Netflix[[#This Row],[Duración Plan]],2),LEFT(BBDD_Usiarios_Netflix[[#This Row],[Duración Plan]],1))</f>
        <v>6</v>
      </c>
      <c r="W6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53" spans="1:23" x14ac:dyDescent="0.25">
      <c r="A653">
        <v>652</v>
      </c>
      <c r="B653" t="s">
        <v>23</v>
      </c>
      <c r="C653">
        <v>10</v>
      </c>
      <c r="D653" s="3">
        <v>15</v>
      </c>
      <c r="E653" s="3">
        <v>8</v>
      </c>
      <c r="F653">
        <v>23</v>
      </c>
      <c r="G653" s="1">
        <f>DATEVALUE(_xlfn.CONCAT(BBDD_Usiarios_Netflix[[#This Row],[Día Suscripción]],"/",BBDD_Usiarios_Netflix[[#This Row],[Mes Suscripción]],"/",BBDD_Usiarios_Netflix[[#This Row],[Año Suscripción]]))</f>
        <v>45153</v>
      </c>
      <c r="H653" s="1">
        <v>29</v>
      </c>
      <c r="I653" s="1">
        <v>6</v>
      </c>
      <c r="J653" s="1">
        <v>24</v>
      </c>
      <c r="K653" s="1" t="str">
        <f>TEXT(BBDD_Usiarios_Netflix[[#This Row],[Fecha Suscripción]],"dddd")</f>
        <v>martes</v>
      </c>
      <c r="L653" s="1">
        <f>DATEVALUE(_xlfn.CONCAT(BBDD_Usiarios_Netflix[[#This Row],[Día Último Pago]],"/",BBDD_Usiarios_Netflix[[#This Row],[Mes Último Pago]],"/",BBDD_Usiarios_Netflix[[#This Row],[Año Último Pago]]))</f>
        <v>45472</v>
      </c>
      <c r="M653" s="4">
        <f>DATEDIF(BBDD_Usiarios_Netflix[[#This Row],[Fecha Suscripción]],BBDD_Usiarios_Netflix[[#This Row],[Fecha Último Pago]],"M")+1</f>
        <v>11</v>
      </c>
      <c r="N653" s="4">
        <f>BBDD_Usiarios_Netflix[[#This Row],[Ingresos Mensuales]]*BBDD_Usiarios_Netflix[[#This Row],[Meses contratados]]</f>
        <v>110</v>
      </c>
      <c r="O653" t="s">
        <v>24</v>
      </c>
      <c r="P653" t="str">
        <f>IF(BBDD_Usiarios_Netflix[[#This Row],[País]]="","Desconocido",BBDD_Usiarios_Netflix[[#This Row],[País]])</f>
        <v>Australia</v>
      </c>
      <c r="Q653">
        <v>39</v>
      </c>
      <c r="R653" t="s">
        <v>30</v>
      </c>
      <c r="S653" t="s">
        <v>26</v>
      </c>
      <c r="T653" t="s">
        <v>35</v>
      </c>
      <c r="U653">
        <f>IF(IFERROR(VLOOKUP(BBDD_Usiarios_Netflix[[#This Row],[Identificador Usuario]],A654:$A$5870,1,FALSE),0)&lt;&gt;0,1,0)</f>
        <v>0</v>
      </c>
      <c r="V653" s="6" t="str">
        <f>IF(BBDD_Usiarios_Netflix[[#This Row],[Duración Plan]]="12 Meses",LEFT(BBDD_Usiarios_Netflix[[#This Row],[Duración Plan]],2),LEFT(BBDD_Usiarios_Netflix[[#This Row],[Duración Plan]],1))</f>
        <v>6</v>
      </c>
      <c r="W6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54" spans="1:23" x14ac:dyDescent="0.25">
      <c r="A654">
        <v>653</v>
      </c>
      <c r="B654" t="s">
        <v>32</v>
      </c>
      <c r="C654">
        <v>12</v>
      </c>
      <c r="D654" s="3">
        <v>29</v>
      </c>
      <c r="E654" s="3">
        <v>7</v>
      </c>
      <c r="F654">
        <v>23</v>
      </c>
      <c r="G654" s="1">
        <f>DATEVALUE(_xlfn.CONCAT(BBDD_Usiarios_Netflix[[#This Row],[Día Suscripción]],"/",BBDD_Usiarios_Netflix[[#This Row],[Mes Suscripción]],"/",BBDD_Usiarios_Netflix[[#This Row],[Año Suscripción]]))</f>
        <v>45136</v>
      </c>
      <c r="H654" s="1">
        <v>29</v>
      </c>
      <c r="I654" s="1">
        <v>6</v>
      </c>
      <c r="J654" s="1">
        <v>24</v>
      </c>
      <c r="K654" s="1" t="str">
        <f>TEXT(BBDD_Usiarios_Netflix[[#This Row],[Fecha Suscripción]],"dddd")</f>
        <v>sábado</v>
      </c>
      <c r="L654" s="1">
        <f>DATEVALUE(_xlfn.CONCAT(BBDD_Usiarios_Netflix[[#This Row],[Día Último Pago]],"/",BBDD_Usiarios_Netflix[[#This Row],[Mes Último Pago]],"/",BBDD_Usiarios_Netflix[[#This Row],[Año Último Pago]]))</f>
        <v>45472</v>
      </c>
      <c r="M654" s="4">
        <f>DATEDIF(BBDD_Usiarios_Netflix[[#This Row],[Fecha Suscripción]],BBDD_Usiarios_Netflix[[#This Row],[Fecha Último Pago]],"M")+1</f>
        <v>12</v>
      </c>
      <c r="N654" s="4">
        <f>BBDD_Usiarios_Netflix[[#This Row],[Ingresos Mensuales]]*BBDD_Usiarios_Netflix[[#This Row],[Meses contratados]]</f>
        <v>144</v>
      </c>
      <c r="O654" t="s">
        <v>45</v>
      </c>
      <c r="P654" t="str">
        <f>IF(BBDD_Usiarios_Netflix[[#This Row],[País]]="","Desconocido",BBDD_Usiarios_Netflix[[#This Row],[País]])</f>
        <v>España</v>
      </c>
      <c r="Q654">
        <v>28</v>
      </c>
      <c r="R654" t="s">
        <v>30</v>
      </c>
      <c r="S654" t="s">
        <v>26</v>
      </c>
      <c r="T654" t="s">
        <v>38</v>
      </c>
      <c r="U654">
        <f>IF(IFERROR(VLOOKUP(BBDD_Usiarios_Netflix[[#This Row],[Identificador Usuario]],A655:$A$5870,1,FALSE),0)&lt;&gt;0,1,0)</f>
        <v>0</v>
      </c>
      <c r="V654" s="6" t="str">
        <f>IF(BBDD_Usiarios_Netflix[[#This Row],[Duración Plan]]="12 Meses",LEFT(BBDD_Usiarios_Netflix[[#This Row],[Duración Plan]],2),LEFT(BBDD_Usiarios_Netflix[[#This Row],[Duración Plan]],1))</f>
        <v>3</v>
      </c>
      <c r="W6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55" spans="1:23" x14ac:dyDescent="0.25">
      <c r="A655">
        <v>654</v>
      </c>
      <c r="B655" t="s">
        <v>32</v>
      </c>
      <c r="C655">
        <v>12</v>
      </c>
      <c r="D655" s="3">
        <v>17</v>
      </c>
      <c r="E655" s="3">
        <v>7</v>
      </c>
      <c r="F655">
        <v>23</v>
      </c>
      <c r="G655" s="1">
        <f>DATEVALUE(_xlfn.CONCAT(BBDD_Usiarios_Netflix[[#This Row],[Día Suscripción]],"/",BBDD_Usiarios_Netflix[[#This Row],[Mes Suscripción]],"/",BBDD_Usiarios_Netflix[[#This Row],[Año Suscripción]]))</f>
        <v>45124</v>
      </c>
      <c r="H655" s="1">
        <v>28</v>
      </c>
      <c r="I655" s="1">
        <v>6</v>
      </c>
      <c r="J655" s="1">
        <v>24</v>
      </c>
      <c r="K655" s="1" t="str">
        <f>TEXT(BBDD_Usiarios_Netflix[[#This Row],[Fecha Suscripción]],"dddd")</f>
        <v>lunes</v>
      </c>
      <c r="L655" s="1">
        <f>DATEVALUE(_xlfn.CONCAT(BBDD_Usiarios_Netflix[[#This Row],[Día Último Pago]],"/",BBDD_Usiarios_Netflix[[#This Row],[Mes Último Pago]],"/",BBDD_Usiarios_Netflix[[#This Row],[Año Último Pago]]))</f>
        <v>45471</v>
      </c>
      <c r="M655" s="4">
        <f>DATEDIF(BBDD_Usiarios_Netflix[[#This Row],[Fecha Suscripción]],BBDD_Usiarios_Netflix[[#This Row],[Fecha Último Pago]],"M")+1</f>
        <v>12</v>
      </c>
      <c r="N655" s="4">
        <f>BBDD_Usiarios_Netflix[[#This Row],[Ingresos Mensuales]]*BBDD_Usiarios_Netflix[[#This Row],[Meses contratados]]</f>
        <v>144</v>
      </c>
      <c r="O655" t="s">
        <v>42</v>
      </c>
      <c r="P655" t="str">
        <f>IF(BBDD_Usiarios_Netflix[[#This Row],[País]]="","Desconocido",BBDD_Usiarios_Netflix[[#This Row],[País]])</f>
        <v>Reino Unido</v>
      </c>
      <c r="Q655">
        <v>30</v>
      </c>
      <c r="R655" t="s">
        <v>30</v>
      </c>
      <c r="S655" t="s">
        <v>26</v>
      </c>
      <c r="T655" t="s">
        <v>27</v>
      </c>
      <c r="U655">
        <f>IF(IFERROR(VLOOKUP(BBDD_Usiarios_Netflix[[#This Row],[Identificador Usuario]],A656:$A$5870,1,FALSE),0)&lt;&gt;0,1,0)</f>
        <v>0</v>
      </c>
      <c r="V655" s="6" t="str">
        <f>IF(BBDD_Usiarios_Netflix[[#This Row],[Duración Plan]]="12 Meses",LEFT(BBDD_Usiarios_Netflix[[#This Row],[Duración Plan]],2),LEFT(BBDD_Usiarios_Netflix[[#This Row],[Duración Plan]],1))</f>
        <v>1</v>
      </c>
      <c r="W6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56" spans="1:23" x14ac:dyDescent="0.25">
      <c r="A656">
        <v>655</v>
      </c>
      <c r="B656" t="s">
        <v>23</v>
      </c>
      <c r="C656">
        <v>10</v>
      </c>
      <c r="D656" s="3">
        <v>26</v>
      </c>
      <c r="E656" s="3">
        <v>7</v>
      </c>
      <c r="F656">
        <v>23</v>
      </c>
      <c r="G656" s="1">
        <f>DATEVALUE(_xlfn.CONCAT(BBDD_Usiarios_Netflix[[#This Row],[Día Suscripción]],"/",BBDD_Usiarios_Netflix[[#This Row],[Mes Suscripción]],"/",BBDD_Usiarios_Netflix[[#This Row],[Año Suscripción]]))</f>
        <v>45133</v>
      </c>
      <c r="H656" s="1">
        <v>29</v>
      </c>
      <c r="I656" s="1">
        <v>6</v>
      </c>
      <c r="J656" s="1">
        <v>24</v>
      </c>
      <c r="K656" s="1" t="str">
        <f>TEXT(BBDD_Usiarios_Netflix[[#This Row],[Fecha Suscripción]],"dddd")</f>
        <v>miércoles</v>
      </c>
      <c r="L656" s="1">
        <f>DATEVALUE(_xlfn.CONCAT(BBDD_Usiarios_Netflix[[#This Row],[Día Último Pago]],"/",BBDD_Usiarios_Netflix[[#This Row],[Mes Último Pago]],"/",BBDD_Usiarios_Netflix[[#This Row],[Año Último Pago]]))</f>
        <v>45472</v>
      </c>
      <c r="M656" s="4">
        <f>DATEDIF(BBDD_Usiarios_Netflix[[#This Row],[Fecha Suscripción]],BBDD_Usiarios_Netflix[[#This Row],[Fecha Último Pago]],"M")+1</f>
        <v>12</v>
      </c>
      <c r="N656" s="4">
        <f>BBDD_Usiarios_Netflix[[#This Row],[Ingresos Mensuales]]*BBDD_Usiarios_Netflix[[#This Row],[Meses contratados]]</f>
        <v>120</v>
      </c>
      <c r="O656" t="s">
        <v>43</v>
      </c>
      <c r="P656" t="str">
        <f>IF(BBDD_Usiarios_Netflix[[#This Row],[País]]="","Desconocido",BBDD_Usiarios_Netflix[[#This Row],[País]])</f>
        <v>Alemania</v>
      </c>
      <c r="Q656">
        <v>42</v>
      </c>
      <c r="R656" t="s">
        <v>25</v>
      </c>
      <c r="S656" t="s">
        <v>31</v>
      </c>
      <c r="T656" t="s">
        <v>27</v>
      </c>
      <c r="U656">
        <f>IF(IFERROR(VLOOKUP(BBDD_Usiarios_Netflix[[#This Row],[Identificador Usuario]],A657:$A$5870,1,FALSE),0)&lt;&gt;0,1,0)</f>
        <v>0</v>
      </c>
      <c r="V656" s="6" t="str">
        <f>IF(BBDD_Usiarios_Netflix[[#This Row],[Duración Plan]]="12 Meses",LEFT(BBDD_Usiarios_Netflix[[#This Row],[Duración Plan]],2),LEFT(BBDD_Usiarios_Netflix[[#This Row],[Duración Plan]],1))</f>
        <v>1</v>
      </c>
      <c r="W6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57" spans="1:23" x14ac:dyDescent="0.25">
      <c r="A657">
        <v>656</v>
      </c>
      <c r="B657" t="s">
        <v>28</v>
      </c>
      <c r="C657">
        <v>14</v>
      </c>
      <c r="D657" s="3">
        <v>31</v>
      </c>
      <c r="E657" s="3">
        <v>7</v>
      </c>
      <c r="F657">
        <v>23</v>
      </c>
      <c r="G657" s="1">
        <f>DATEVALUE(_xlfn.CONCAT(BBDD_Usiarios_Netflix[[#This Row],[Día Suscripción]],"/",BBDD_Usiarios_Netflix[[#This Row],[Mes Suscripción]],"/",BBDD_Usiarios_Netflix[[#This Row],[Año Suscripción]]))</f>
        <v>45138</v>
      </c>
      <c r="H657" s="1">
        <v>29</v>
      </c>
      <c r="I657" s="1">
        <v>6</v>
      </c>
      <c r="J657" s="1">
        <v>24</v>
      </c>
      <c r="K657" s="1" t="str">
        <f>TEXT(BBDD_Usiarios_Netflix[[#This Row],[Fecha Suscripción]],"dddd")</f>
        <v>lunes</v>
      </c>
      <c r="L657" s="1">
        <f>DATEVALUE(_xlfn.CONCAT(BBDD_Usiarios_Netflix[[#This Row],[Día Último Pago]],"/",BBDD_Usiarios_Netflix[[#This Row],[Mes Último Pago]],"/",BBDD_Usiarios_Netflix[[#This Row],[Año Último Pago]]))</f>
        <v>45472</v>
      </c>
      <c r="M657" s="4">
        <f>DATEDIF(BBDD_Usiarios_Netflix[[#This Row],[Fecha Suscripción]],BBDD_Usiarios_Netflix[[#This Row],[Fecha Último Pago]],"M")+1</f>
        <v>11</v>
      </c>
      <c r="N657" s="4">
        <f>BBDD_Usiarios_Netflix[[#This Row],[Ingresos Mensuales]]*BBDD_Usiarios_Netflix[[#This Row],[Meses contratados]]</f>
        <v>154</v>
      </c>
      <c r="O657" t="s">
        <v>44</v>
      </c>
      <c r="P657" t="str">
        <f>IF(BBDD_Usiarios_Netflix[[#This Row],[País]]="","Desconocido",BBDD_Usiarios_Netflix[[#This Row],[País]])</f>
        <v>Desconocido</v>
      </c>
      <c r="Q657">
        <v>33</v>
      </c>
      <c r="R657" t="s">
        <v>30</v>
      </c>
      <c r="S657" t="s">
        <v>36</v>
      </c>
      <c r="T657" t="s">
        <v>38</v>
      </c>
      <c r="U657">
        <f>IF(IFERROR(VLOOKUP(BBDD_Usiarios_Netflix[[#This Row],[Identificador Usuario]],A658:$A$5870,1,FALSE),0)&lt;&gt;0,1,0)</f>
        <v>0</v>
      </c>
      <c r="V657" s="6" t="str">
        <f>IF(BBDD_Usiarios_Netflix[[#This Row],[Duración Plan]]="12 Meses",LEFT(BBDD_Usiarios_Netflix[[#This Row],[Duración Plan]],2),LEFT(BBDD_Usiarios_Netflix[[#This Row],[Duración Plan]],1))</f>
        <v>3</v>
      </c>
      <c r="W6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58" spans="1:23" x14ac:dyDescent="0.25">
      <c r="A658">
        <v>657</v>
      </c>
      <c r="B658" t="s">
        <v>23</v>
      </c>
      <c r="C658">
        <v>10</v>
      </c>
      <c r="D658" s="3">
        <v>3</v>
      </c>
      <c r="E658" s="3">
        <v>8</v>
      </c>
      <c r="F658">
        <v>23</v>
      </c>
      <c r="G658" s="1">
        <f>DATEVALUE(_xlfn.CONCAT(BBDD_Usiarios_Netflix[[#This Row],[Día Suscripción]],"/",BBDD_Usiarios_Netflix[[#This Row],[Mes Suscripción]],"/",BBDD_Usiarios_Netflix[[#This Row],[Año Suscripción]]))</f>
        <v>45141</v>
      </c>
      <c r="H658" s="1">
        <v>29</v>
      </c>
      <c r="I658" s="1">
        <v>6</v>
      </c>
      <c r="J658" s="1">
        <v>24</v>
      </c>
      <c r="K658" s="1" t="str">
        <f>TEXT(BBDD_Usiarios_Netflix[[#This Row],[Fecha Suscripción]],"dddd")</f>
        <v>jueves</v>
      </c>
      <c r="L658" s="1">
        <f>DATEVALUE(_xlfn.CONCAT(BBDD_Usiarios_Netflix[[#This Row],[Día Último Pago]],"/",BBDD_Usiarios_Netflix[[#This Row],[Mes Último Pago]],"/",BBDD_Usiarios_Netflix[[#This Row],[Año Último Pago]]))</f>
        <v>45472</v>
      </c>
      <c r="M658" s="4">
        <f>DATEDIF(BBDD_Usiarios_Netflix[[#This Row],[Fecha Suscripción]],BBDD_Usiarios_Netflix[[#This Row],[Fecha Último Pago]],"M")+1</f>
        <v>11</v>
      </c>
      <c r="N658" s="4">
        <f>BBDD_Usiarios_Netflix[[#This Row],[Ingresos Mensuales]]*BBDD_Usiarios_Netflix[[#This Row],[Meses contratados]]</f>
        <v>110</v>
      </c>
      <c r="O658" t="s">
        <v>40</v>
      </c>
      <c r="P658" t="str">
        <f>IF(BBDD_Usiarios_Netflix[[#This Row],[País]]="","Desconocido",BBDD_Usiarios_Netflix[[#This Row],[País]])</f>
        <v>Italia</v>
      </c>
      <c r="Q658">
        <v>34</v>
      </c>
      <c r="R658" t="s">
        <v>30</v>
      </c>
      <c r="S658" t="s">
        <v>34</v>
      </c>
      <c r="T658" t="s">
        <v>27</v>
      </c>
      <c r="U658">
        <f>IF(IFERROR(VLOOKUP(BBDD_Usiarios_Netflix[[#This Row],[Identificador Usuario]],A659:$A$5870,1,FALSE),0)&lt;&gt;0,1,0)</f>
        <v>0</v>
      </c>
      <c r="V658" s="6" t="str">
        <f>IF(BBDD_Usiarios_Netflix[[#This Row],[Duración Plan]]="12 Meses",LEFT(BBDD_Usiarios_Netflix[[#This Row],[Duración Plan]],2),LEFT(BBDD_Usiarios_Netflix[[#This Row],[Duración Plan]],1))</f>
        <v>1</v>
      </c>
      <c r="W6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59" spans="1:23" x14ac:dyDescent="0.25">
      <c r="A659">
        <v>658</v>
      </c>
      <c r="B659" t="s">
        <v>32</v>
      </c>
      <c r="C659">
        <v>12</v>
      </c>
      <c r="D659" s="3">
        <v>4</v>
      </c>
      <c r="E659" s="3">
        <v>8</v>
      </c>
      <c r="F659">
        <v>23</v>
      </c>
      <c r="G659" s="1">
        <f>DATEVALUE(_xlfn.CONCAT(BBDD_Usiarios_Netflix[[#This Row],[Día Suscripción]],"/",BBDD_Usiarios_Netflix[[#This Row],[Mes Suscripción]],"/",BBDD_Usiarios_Netflix[[#This Row],[Año Suscripción]]))</f>
        <v>45142</v>
      </c>
      <c r="H659" s="1">
        <v>29</v>
      </c>
      <c r="I659" s="1">
        <v>6</v>
      </c>
      <c r="J659" s="1">
        <v>24</v>
      </c>
      <c r="K659" s="1" t="str">
        <f>TEXT(BBDD_Usiarios_Netflix[[#This Row],[Fecha Suscripción]],"dddd")</f>
        <v>viernes</v>
      </c>
      <c r="L659" s="1">
        <f>DATEVALUE(_xlfn.CONCAT(BBDD_Usiarios_Netflix[[#This Row],[Día Último Pago]],"/",BBDD_Usiarios_Netflix[[#This Row],[Mes Último Pago]],"/",BBDD_Usiarios_Netflix[[#This Row],[Año Último Pago]]))</f>
        <v>45472</v>
      </c>
      <c r="M659" s="4">
        <f>DATEDIF(BBDD_Usiarios_Netflix[[#This Row],[Fecha Suscripción]],BBDD_Usiarios_Netflix[[#This Row],[Fecha Último Pago]],"M")+1</f>
        <v>11</v>
      </c>
      <c r="N659" s="4">
        <f>BBDD_Usiarios_Netflix[[#This Row],[Ingresos Mensuales]]*BBDD_Usiarios_Netflix[[#This Row],[Meses contratados]]</f>
        <v>132</v>
      </c>
      <c r="O659" t="s">
        <v>33</v>
      </c>
      <c r="P659" t="str">
        <f>IF(BBDD_Usiarios_Netflix[[#This Row],[País]]="","Desconocido",BBDD_Usiarios_Netflix[[#This Row],[País]])</f>
        <v>Francia</v>
      </c>
      <c r="Q659">
        <v>49</v>
      </c>
      <c r="R659" t="s">
        <v>30</v>
      </c>
      <c r="S659" t="s">
        <v>34</v>
      </c>
      <c r="T659" t="s">
        <v>41</v>
      </c>
      <c r="U659">
        <f>IF(IFERROR(VLOOKUP(BBDD_Usiarios_Netflix[[#This Row],[Identificador Usuario]],A660:$A$5870,1,FALSE),0)&lt;&gt;0,1,0)</f>
        <v>0</v>
      </c>
      <c r="V659" s="6" t="str">
        <f>IF(BBDD_Usiarios_Netflix[[#This Row],[Duración Plan]]="12 Meses",LEFT(BBDD_Usiarios_Netflix[[#This Row],[Duración Plan]],2),LEFT(BBDD_Usiarios_Netflix[[#This Row],[Duración Plan]],1))</f>
        <v>12</v>
      </c>
      <c r="W6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60" spans="1:23" x14ac:dyDescent="0.25">
      <c r="A660">
        <v>659</v>
      </c>
      <c r="B660" t="s">
        <v>28</v>
      </c>
      <c r="C660">
        <v>14</v>
      </c>
      <c r="D660" s="3">
        <v>3</v>
      </c>
      <c r="E660" s="3">
        <v>8</v>
      </c>
      <c r="F660">
        <v>23</v>
      </c>
      <c r="G660" s="1">
        <f>DATEVALUE(_xlfn.CONCAT(BBDD_Usiarios_Netflix[[#This Row],[Día Suscripción]],"/",BBDD_Usiarios_Netflix[[#This Row],[Mes Suscripción]],"/",BBDD_Usiarios_Netflix[[#This Row],[Año Suscripción]]))</f>
        <v>45141</v>
      </c>
      <c r="H660" s="1">
        <v>29</v>
      </c>
      <c r="I660" s="1">
        <v>6</v>
      </c>
      <c r="J660" s="1">
        <v>24</v>
      </c>
      <c r="K660" s="1" t="str">
        <f>TEXT(BBDD_Usiarios_Netflix[[#This Row],[Fecha Suscripción]],"dddd")</f>
        <v>jueves</v>
      </c>
      <c r="L660" s="1">
        <f>DATEVALUE(_xlfn.CONCAT(BBDD_Usiarios_Netflix[[#This Row],[Día Último Pago]],"/",BBDD_Usiarios_Netflix[[#This Row],[Mes Último Pago]],"/",BBDD_Usiarios_Netflix[[#This Row],[Año Último Pago]]))</f>
        <v>45472</v>
      </c>
      <c r="M660" s="4">
        <f>DATEDIF(BBDD_Usiarios_Netflix[[#This Row],[Fecha Suscripción]],BBDD_Usiarios_Netflix[[#This Row],[Fecha Último Pago]],"M")+1</f>
        <v>11</v>
      </c>
      <c r="N660" s="4">
        <f>BBDD_Usiarios_Netflix[[#This Row],[Ingresos Mensuales]]*BBDD_Usiarios_Netflix[[#This Row],[Meses contratados]]</f>
        <v>154</v>
      </c>
      <c r="O660" t="s">
        <v>24</v>
      </c>
      <c r="P660" t="str">
        <f>IF(BBDD_Usiarios_Netflix[[#This Row],[País]]="","Desconocido",BBDD_Usiarios_Netflix[[#This Row],[País]])</f>
        <v>Australia</v>
      </c>
      <c r="Q660">
        <v>41</v>
      </c>
      <c r="R660" t="s">
        <v>25</v>
      </c>
      <c r="S660" t="s">
        <v>36</v>
      </c>
      <c r="T660" t="s">
        <v>27</v>
      </c>
      <c r="U660">
        <f>IF(IFERROR(VLOOKUP(BBDD_Usiarios_Netflix[[#This Row],[Identificador Usuario]],A661:$A$5870,1,FALSE),0)&lt;&gt;0,1,0)</f>
        <v>0</v>
      </c>
      <c r="V660" s="6" t="str">
        <f>IF(BBDD_Usiarios_Netflix[[#This Row],[Duración Plan]]="12 Meses",LEFT(BBDD_Usiarios_Netflix[[#This Row],[Duración Plan]],2),LEFT(BBDD_Usiarios_Netflix[[#This Row],[Duración Plan]],1))</f>
        <v>1</v>
      </c>
      <c r="W6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61" spans="1:23" x14ac:dyDescent="0.25">
      <c r="A661">
        <v>660</v>
      </c>
      <c r="B661" t="s">
        <v>23</v>
      </c>
      <c r="C661">
        <v>10</v>
      </c>
      <c r="D661" s="3">
        <v>27</v>
      </c>
      <c r="E661" s="3">
        <v>6</v>
      </c>
      <c r="F661">
        <v>23</v>
      </c>
      <c r="G661" s="1">
        <f>DATEVALUE(_xlfn.CONCAT(BBDD_Usiarios_Netflix[[#This Row],[Día Suscripción]],"/",BBDD_Usiarios_Netflix[[#This Row],[Mes Suscripción]],"/",BBDD_Usiarios_Netflix[[#This Row],[Año Suscripción]]))</f>
        <v>45104</v>
      </c>
      <c r="H661" s="1">
        <v>29</v>
      </c>
      <c r="I661" s="1">
        <v>6</v>
      </c>
      <c r="J661" s="1">
        <v>24</v>
      </c>
      <c r="K661" s="1" t="str">
        <f>TEXT(BBDD_Usiarios_Netflix[[#This Row],[Fecha Suscripción]],"dddd")</f>
        <v>martes</v>
      </c>
      <c r="L661" s="1">
        <f>DATEVALUE(_xlfn.CONCAT(BBDD_Usiarios_Netflix[[#This Row],[Día Último Pago]],"/",BBDD_Usiarios_Netflix[[#This Row],[Mes Último Pago]],"/",BBDD_Usiarios_Netflix[[#This Row],[Año Último Pago]]))</f>
        <v>45472</v>
      </c>
      <c r="M661" s="4">
        <f>DATEDIF(BBDD_Usiarios_Netflix[[#This Row],[Fecha Suscripción]],BBDD_Usiarios_Netflix[[#This Row],[Fecha Último Pago]],"M")+1</f>
        <v>13</v>
      </c>
      <c r="N661" s="4">
        <f>BBDD_Usiarios_Netflix[[#This Row],[Ingresos Mensuales]]*BBDD_Usiarios_Netflix[[#This Row],[Meses contratados]]</f>
        <v>130</v>
      </c>
      <c r="O661" t="s">
        <v>39</v>
      </c>
      <c r="P661" t="str">
        <f>IF(BBDD_Usiarios_Netflix[[#This Row],[País]]="","Desconocido",BBDD_Usiarios_Netflix[[#This Row],[País]])</f>
        <v>Canadá</v>
      </c>
      <c r="Q661">
        <v>28</v>
      </c>
      <c r="R661" t="s">
        <v>25</v>
      </c>
      <c r="S661" t="s">
        <v>34</v>
      </c>
      <c r="T661" t="s">
        <v>27</v>
      </c>
      <c r="U661">
        <f>IF(IFERROR(VLOOKUP(BBDD_Usiarios_Netflix[[#This Row],[Identificador Usuario]],A662:$A$5870,1,FALSE),0)&lt;&gt;0,1,0)</f>
        <v>0</v>
      </c>
      <c r="V661" s="6" t="str">
        <f>IF(BBDD_Usiarios_Netflix[[#This Row],[Duración Plan]]="12 Meses",LEFT(BBDD_Usiarios_Netflix[[#This Row],[Duración Plan]],2),LEFT(BBDD_Usiarios_Netflix[[#This Row],[Duración Plan]],1))</f>
        <v>1</v>
      </c>
      <c r="W6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62" spans="1:23" x14ac:dyDescent="0.25">
      <c r="A662">
        <v>661</v>
      </c>
      <c r="B662" t="s">
        <v>28</v>
      </c>
      <c r="C662">
        <v>14</v>
      </c>
      <c r="D662" s="3">
        <v>27</v>
      </c>
      <c r="E662" s="3">
        <v>6</v>
      </c>
      <c r="F662">
        <v>23</v>
      </c>
      <c r="G662" s="1">
        <f>DATEVALUE(_xlfn.CONCAT(BBDD_Usiarios_Netflix[[#This Row],[Día Suscripción]],"/",BBDD_Usiarios_Netflix[[#This Row],[Mes Suscripción]],"/",BBDD_Usiarios_Netflix[[#This Row],[Año Suscripción]]))</f>
        <v>45104</v>
      </c>
      <c r="H662" s="1">
        <v>28</v>
      </c>
      <c r="I662" s="1">
        <v>6</v>
      </c>
      <c r="J662" s="1">
        <v>24</v>
      </c>
      <c r="K662" s="1" t="str">
        <f>TEXT(BBDD_Usiarios_Netflix[[#This Row],[Fecha Suscripción]],"dddd")</f>
        <v>martes</v>
      </c>
      <c r="L662" s="1">
        <f>DATEVALUE(_xlfn.CONCAT(BBDD_Usiarios_Netflix[[#This Row],[Día Último Pago]],"/",BBDD_Usiarios_Netflix[[#This Row],[Mes Último Pago]],"/",BBDD_Usiarios_Netflix[[#This Row],[Año Último Pago]]))</f>
        <v>45471</v>
      </c>
      <c r="M662" s="4">
        <f>DATEDIF(BBDD_Usiarios_Netflix[[#This Row],[Fecha Suscripción]],BBDD_Usiarios_Netflix[[#This Row],[Fecha Último Pago]],"M")+1</f>
        <v>13</v>
      </c>
      <c r="N662" s="4">
        <f>BBDD_Usiarios_Netflix[[#This Row],[Ingresos Mensuales]]*BBDD_Usiarios_Netflix[[#This Row],[Meses contratados]]</f>
        <v>182</v>
      </c>
      <c r="O662" t="s">
        <v>39</v>
      </c>
      <c r="P662" t="str">
        <f>IF(BBDD_Usiarios_Netflix[[#This Row],[País]]="","Desconocido",BBDD_Usiarios_Netflix[[#This Row],[País]])</f>
        <v>Canadá</v>
      </c>
      <c r="Q662">
        <v>49</v>
      </c>
      <c r="R662" t="s">
        <v>30</v>
      </c>
      <c r="S662" t="s">
        <v>36</v>
      </c>
      <c r="T662" t="s">
        <v>27</v>
      </c>
      <c r="U662">
        <f>IF(IFERROR(VLOOKUP(BBDD_Usiarios_Netflix[[#This Row],[Identificador Usuario]],A663:$A$5870,1,FALSE),0)&lt;&gt;0,1,0)</f>
        <v>0</v>
      </c>
      <c r="V662" s="6" t="str">
        <f>IF(BBDD_Usiarios_Netflix[[#This Row],[Duración Plan]]="12 Meses",LEFT(BBDD_Usiarios_Netflix[[#This Row],[Duración Plan]],2),LEFT(BBDD_Usiarios_Netflix[[#This Row],[Duración Plan]],1))</f>
        <v>1</v>
      </c>
      <c r="W6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63" spans="1:23" x14ac:dyDescent="0.25">
      <c r="A663">
        <v>662</v>
      </c>
      <c r="B663" t="s">
        <v>23</v>
      </c>
      <c r="C663">
        <v>10</v>
      </c>
      <c r="D663" s="3">
        <v>15</v>
      </c>
      <c r="E663" s="3">
        <v>6</v>
      </c>
      <c r="F663">
        <v>23</v>
      </c>
      <c r="G663" s="1">
        <f>DATEVALUE(_xlfn.CONCAT(BBDD_Usiarios_Netflix[[#This Row],[Día Suscripción]],"/",BBDD_Usiarios_Netflix[[#This Row],[Mes Suscripción]],"/",BBDD_Usiarios_Netflix[[#This Row],[Año Suscripción]]))</f>
        <v>45092</v>
      </c>
      <c r="H663" s="1">
        <v>29</v>
      </c>
      <c r="I663" s="1">
        <v>6</v>
      </c>
      <c r="J663" s="1">
        <v>24</v>
      </c>
      <c r="K663" s="1" t="str">
        <f>TEXT(BBDD_Usiarios_Netflix[[#This Row],[Fecha Suscripción]],"dddd")</f>
        <v>jueves</v>
      </c>
      <c r="L663" s="1">
        <f>DATEVALUE(_xlfn.CONCAT(BBDD_Usiarios_Netflix[[#This Row],[Día Último Pago]],"/",BBDD_Usiarios_Netflix[[#This Row],[Mes Último Pago]],"/",BBDD_Usiarios_Netflix[[#This Row],[Año Último Pago]]))</f>
        <v>45472</v>
      </c>
      <c r="M663" s="4">
        <f>DATEDIF(BBDD_Usiarios_Netflix[[#This Row],[Fecha Suscripción]],BBDD_Usiarios_Netflix[[#This Row],[Fecha Último Pago]],"M")+1</f>
        <v>13</v>
      </c>
      <c r="N663" s="4">
        <f>BBDD_Usiarios_Netflix[[#This Row],[Ingresos Mensuales]]*BBDD_Usiarios_Netflix[[#This Row],[Meses contratados]]</f>
        <v>130</v>
      </c>
      <c r="O663" t="s">
        <v>39</v>
      </c>
      <c r="P663" t="str">
        <f>IF(BBDD_Usiarios_Netflix[[#This Row],[País]]="","Desconocido",BBDD_Usiarios_Netflix[[#This Row],[País]])</f>
        <v>Canadá</v>
      </c>
      <c r="Q663">
        <v>49</v>
      </c>
      <c r="R663" t="s">
        <v>25</v>
      </c>
      <c r="S663" t="s">
        <v>31</v>
      </c>
      <c r="T663" t="s">
        <v>27</v>
      </c>
      <c r="U663">
        <f>IF(IFERROR(VLOOKUP(BBDD_Usiarios_Netflix[[#This Row],[Identificador Usuario]],A664:$A$5870,1,FALSE),0)&lt;&gt;0,1,0)</f>
        <v>0</v>
      </c>
      <c r="V663" s="6" t="str">
        <f>IF(BBDD_Usiarios_Netflix[[#This Row],[Duración Plan]]="12 Meses",LEFT(BBDD_Usiarios_Netflix[[#This Row],[Duración Plan]],2),LEFT(BBDD_Usiarios_Netflix[[#This Row],[Duración Plan]],1))</f>
        <v>1</v>
      </c>
      <c r="W6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64" spans="1:23" x14ac:dyDescent="0.25">
      <c r="A664">
        <v>663</v>
      </c>
      <c r="B664" t="s">
        <v>32</v>
      </c>
      <c r="C664">
        <v>12</v>
      </c>
      <c r="D664" s="3">
        <v>13</v>
      </c>
      <c r="E664" s="3">
        <v>6</v>
      </c>
      <c r="F664">
        <v>23</v>
      </c>
      <c r="G664" s="1">
        <f>DATEVALUE(_xlfn.CONCAT(BBDD_Usiarios_Netflix[[#This Row],[Día Suscripción]],"/",BBDD_Usiarios_Netflix[[#This Row],[Mes Suscripción]],"/",BBDD_Usiarios_Netflix[[#This Row],[Año Suscripción]]))</f>
        <v>45090</v>
      </c>
      <c r="H664" s="1">
        <v>29</v>
      </c>
      <c r="I664" s="1">
        <v>6</v>
      </c>
      <c r="J664" s="1">
        <v>24</v>
      </c>
      <c r="K664" s="1" t="str">
        <f>TEXT(BBDD_Usiarios_Netflix[[#This Row],[Fecha Suscripción]],"dddd")</f>
        <v>martes</v>
      </c>
      <c r="L664" s="1">
        <f>DATEVALUE(_xlfn.CONCAT(BBDD_Usiarios_Netflix[[#This Row],[Día Último Pago]],"/",BBDD_Usiarios_Netflix[[#This Row],[Mes Último Pago]],"/",BBDD_Usiarios_Netflix[[#This Row],[Año Último Pago]]))</f>
        <v>45472</v>
      </c>
      <c r="M664" s="4">
        <f>DATEDIF(BBDD_Usiarios_Netflix[[#This Row],[Fecha Suscripción]],BBDD_Usiarios_Netflix[[#This Row],[Fecha Último Pago]],"M")+1</f>
        <v>13</v>
      </c>
      <c r="N664" s="4">
        <f>BBDD_Usiarios_Netflix[[#This Row],[Ingresos Mensuales]]*BBDD_Usiarios_Netflix[[#This Row],[Meses contratados]]</f>
        <v>156</v>
      </c>
      <c r="O664" t="s">
        <v>24</v>
      </c>
      <c r="P664" t="str">
        <f>IF(BBDD_Usiarios_Netflix[[#This Row],[País]]="","Desconocido",BBDD_Usiarios_Netflix[[#This Row],[País]])</f>
        <v>Australia</v>
      </c>
      <c r="Q664">
        <v>36</v>
      </c>
      <c r="R664" t="s">
        <v>25</v>
      </c>
      <c r="S664" t="s">
        <v>31</v>
      </c>
      <c r="T664" t="s">
        <v>35</v>
      </c>
      <c r="U664">
        <f>IF(IFERROR(VLOOKUP(BBDD_Usiarios_Netflix[[#This Row],[Identificador Usuario]],A665:$A$5870,1,FALSE),0)&lt;&gt;0,1,0)</f>
        <v>0</v>
      </c>
      <c r="V664" s="6" t="str">
        <f>IF(BBDD_Usiarios_Netflix[[#This Row],[Duración Plan]]="12 Meses",LEFT(BBDD_Usiarios_Netflix[[#This Row],[Duración Plan]],2),LEFT(BBDD_Usiarios_Netflix[[#This Row],[Duración Plan]],1))</f>
        <v>6</v>
      </c>
      <c r="W6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65" spans="1:23" x14ac:dyDescent="0.25">
      <c r="A665">
        <v>664</v>
      </c>
      <c r="B665" t="s">
        <v>32</v>
      </c>
      <c r="C665">
        <v>12</v>
      </c>
      <c r="D665" s="3">
        <v>12</v>
      </c>
      <c r="E665" s="3">
        <v>6</v>
      </c>
      <c r="F665">
        <v>23</v>
      </c>
      <c r="G665" s="1">
        <f>DATEVALUE(_xlfn.CONCAT(BBDD_Usiarios_Netflix[[#This Row],[Día Suscripción]],"/",BBDD_Usiarios_Netflix[[#This Row],[Mes Suscripción]],"/",BBDD_Usiarios_Netflix[[#This Row],[Año Suscripción]]))</f>
        <v>45089</v>
      </c>
      <c r="H665" s="1">
        <v>30</v>
      </c>
      <c r="I665" s="1">
        <v>6</v>
      </c>
      <c r="J665" s="1">
        <v>24</v>
      </c>
      <c r="K665" s="1" t="str">
        <f>TEXT(BBDD_Usiarios_Netflix[[#This Row],[Fecha Suscripción]],"dddd")</f>
        <v>lunes</v>
      </c>
      <c r="L665" s="1">
        <f>DATEVALUE(_xlfn.CONCAT(BBDD_Usiarios_Netflix[[#This Row],[Día Último Pago]],"/",BBDD_Usiarios_Netflix[[#This Row],[Mes Último Pago]],"/",BBDD_Usiarios_Netflix[[#This Row],[Año Último Pago]]))</f>
        <v>45473</v>
      </c>
      <c r="M665" s="4">
        <f>DATEDIF(BBDD_Usiarios_Netflix[[#This Row],[Fecha Suscripción]],BBDD_Usiarios_Netflix[[#This Row],[Fecha Último Pago]],"M")+1</f>
        <v>13</v>
      </c>
      <c r="N665" s="4">
        <f>BBDD_Usiarios_Netflix[[#This Row],[Ingresos Mensuales]]*BBDD_Usiarios_Netflix[[#This Row],[Meses contratados]]</f>
        <v>156</v>
      </c>
      <c r="O665" t="s">
        <v>40</v>
      </c>
      <c r="P665" t="str">
        <f>IF(BBDD_Usiarios_Netflix[[#This Row],[País]]="","Desconocido",BBDD_Usiarios_Netflix[[#This Row],[País]])</f>
        <v>Italia</v>
      </c>
      <c r="Q665">
        <v>31</v>
      </c>
      <c r="R665" t="s">
        <v>25</v>
      </c>
      <c r="S665" t="s">
        <v>34</v>
      </c>
      <c r="T665" t="s">
        <v>35</v>
      </c>
      <c r="U665">
        <f>IF(IFERROR(VLOOKUP(BBDD_Usiarios_Netflix[[#This Row],[Identificador Usuario]],A666:$A$5870,1,FALSE),0)&lt;&gt;0,1,0)</f>
        <v>0</v>
      </c>
      <c r="V665" s="6" t="str">
        <f>IF(BBDD_Usiarios_Netflix[[#This Row],[Duración Plan]]="12 Meses",LEFT(BBDD_Usiarios_Netflix[[#This Row],[Duración Plan]],2),LEFT(BBDD_Usiarios_Netflix[[#This Row],[Duración Plan]],1))</f>
        <v>6</v>
      </c>
      <c r="W6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66" spans="1:23" x14ac:dyDescent="0.25">
      <c r="A666">
        <v>665</v>
      </c>
      <c r="B666" t="s">
        <v>23</v>
      </c>
      <c r="C666">
        <v>10</v>
      </c>
      <c r="D666" s="3">
        <v>18</v>
      </c>
      <c r="E666" s="3">
        <v>6</v>
      </c>
      <c r="F666">
        <v>23</v>
      </c>
      <c r="G666" s="1">
        <f>DATEVALUE(_xlfn.CONCAT(BBDD_Usiarios_Netflix[[#This Row],[Día Suscripción]],"/",BBDD_Usiarios_Netflix[[#This Row],[Mes Suscripción]],"/",BBDD_Usiarios_Netflix[[#This Row],[Año Suscripción]]))</f>
        <v>45095</v>
      </c>
      <c r="H666" s="1">
        <v>28</v>
      </c>
      <c r="I666" s="1">
        <v>6</v>
      </c>
      <c r="J666" s="1">
        <v>24</v>
      </c>
      <c r="K666" s="1" t="str">
        <f>TEXT(BBDD_Usiarios_Netflix[[#This Row],[Fecha Suscripción]],"dddd")</f>
        <v>domingo</v>
      </c>
      <c r="L666" s="1">
        <f>DATEVALUE(_xlfn.CONCAT(BBDD_Usiarios_Netflix[[#This Row],[Día Último Pago]],"/",BBDD_Usiarios_Netflix[[#This Row],[Mes Último Pago]],"/",BBDD_Usiarios_Netflix[[#This Row],[Año Último Pago]]))</f>
        <v>45471</v>
      </c>
      <c r="M666" s="4">
        <f>DATEDIF(BBDD_Usiarios_Netflix[[#This Row],[Fecha Suscripción]],BBDD_Usiarios_Netflix[[#This Row],[Fecha Último Pago]],"M")+1</f>
        <v>13</v>
      </c>
      <c r="N666" s="4">
        <f>BBDD_Usiarios_Netflix[[#This Row],[Ingresos Mensuales]]*BBDD_Usiarios_Netflix[[#This Row],[Meses contratados]]</f>
        <v>130</v>
      </c>
      <c r="O666" t="s">
        <v>39</v>
      </c>
      <c r="P666" t="str">
        <f>IF(BBDD_Usiarios_Netflix[[#This Row],[País]]="","Desconocido",BBDD_Usiarios_Netflix[[#This Row],[País]])</f>
        <v>Canadá</v>
      </c>
      <c r="Q666">
        <v>38</v>
      </c>
      <c r="R666" t="s">
        <v>25</v>
      </c>
      <c r="S666" t="s">
        <v>26</v>
      </c>
      <c r="T666" t="s">
        <v>38</v>
      </c>
      <c r="U666">
        <f>IF(IFERROR(VLOOKUP(BBDD_Usiarios_Netflix[[#This Row],[Identificador Usuario]],A667:$A$5870,1,FALSE),0)&lt;&gt;0,1,0)</f>
        <v>0</v>
      </c>
      <c r="V666" s="6" t="str">
        <f>IF(BBDD_Usiarios_Netflix[[#This Row],[Duración Plan]]="12 Meses",LEFT(BBDD_Usiarios_Netflix[[#This Row],[Duración Plan]],2),LEFT(BBDD_Usiarios_Netflix[[#This Row],[Duración Plan]],1))</f>
        <v>3</v>
      </c>
      <c r="W6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67" spans="1:23" x14ac:dyDescent="0.25">
      <c r="A667">
        <v>666</v>
      </c>
      <c r="B667" t="s">
        <v>28</v>
      </c>
      <c r="C667">
        <v>14</v>
      </c>
      <c r="D667" s="3">
        <v>26</v>
      </c>
      <c r="E667" s="3">
        <v>6</v>
      </c>
      <c r="F667">
        <v>23</v>
      </c>
      <c r="G667" s="1">
        <f>DATEVALUE(_xlfn.CONCAT(BBDD_Usiarios_Netflix[[#This Row],[Día Suscripción]],"/",BBDD_Usiarios_Netflix[[#This Row],[Mes Suscripción]],"/",BBDD_Usiarios_Netflix[[#This Row],[Año Suscripción]]))</f>
        <v>45103</v>
      </c>
      <c r="H667" s="1">
        <v>29</v>
      </c>
      <c r="I667" s="1">
        <v>6</v>
      </c>
      <c r="J667" s="1">
        <v>24</v>
      </c>
      <c r="K667" s="1" t="str">
        <f>TEXT(BBDD_Usiarios_Netflix[[#This Row],[Fecha Suscripción]],"dddd")</f>
        <v>lunes</v>
      </c>
      <c r="L667" s="1">
        <f>DATEVALUE(_xlfn.CONCAT(BBDD_Usiarios_Netflix[[#This Row],[Día Último Pago]],"/",BBDD_Usiarios_Netflix[[#This Row],[Mes Último Pago]],"/",BBDD_Usiarios_Netflix[[#This Row],[Año Último Pago]]))</f>
        <v>45472</v>
      </c>
      <c r="M667" s="4">
        <f>DATEDIF(BBDD_Usiarios_Netflix[[#This Row],[Fecha Suscripción]],BBDD_Usiarios_Netflix[[#This Row],[Fecha Último Pago]],"M")+1</f>
        <v>13</v>
      </c>
      <c r="N667" s="4">
        <f>BBDD_Usiarios_Netflix[[#This Row],[Ingresos Mensuales]]*BBDD_Usiarios_Netflix[[#This Row],[Meses contratados]]</f>
        <v>182</v>
      </c>
      <c r="O667" t="s">
        <v>33</v>
      </c>
      <c r="P667" t="str">
        <f>IF(BBDD_Usiarios_Netflix[[#This Row],[País]]="","Desconocido",BBDD_Usiarios_Netflix[[#This Row],[País]])</f>
        <v>Francia</v>
      </c>
      <c r="Q667">
        <v>34</v>
      </c>
      <c r="R667" t="s">
        <v>30</v>
      </c>
      <c r="S667" t="s">
        <v>31</v>
      </c>
      <c r="T667" t="s">
        <v>35</v>
      </c>
      <c r="U667">
        <f>IF(IFERROR(VLOOKUP(BBDD_Usiarios_Netflix[[#This Row],[Identificador Usuario]],A668:$A$5870,1,FALSE),0)&lt;&gt;0,1,0)</f>
        <v>0</v>
      </c>
      <c r="V667" s="6" t="str">
        <f>IF(BBDD_Usiarios_Netflix[[#This Row],[Duración Plan]]="12 Meses",LEFT(BBDD_Usiarios_Netflix[[#This Row],[Duración Plan]],2),LEFT(BBDD_Usiarios_Netflix[[#This Row],[Duración Plan]],1))</f>
        <v>6</v>
      </c>
      <c r="W6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68" spans="1:23" x14ac:dyDescent="0.25">
      <c r="A668">
        <v>667</v>
      </c>
      <c r="B668" t="s">
        <v>23</v>
      </c>
      <c r="C668">
        <v>10</v>
      </c>
      <c r="D668" s="3">
        <v>30</v>
      </c>
      <c r="E668" s="3">
        <v>6</v>
      </c>
      <c r="F668">
        <v>23</v>
      </c>
      <c r="G668" s="1">
        <f>DATEVALUE(_xlfn.CONCAT(BBDD_Usiarios_Netflix[[#This Row],[Día Suscripción]],"/",BBDD_Usiarios_Netflix[[#This Row],[Mes Suscripción]],"/",BBDD_Usiarios_Netflix[[#This Row],[Año Suscripción]]))</f>
        <v>45107</v>
      </c>
      <c r="H668" s="1">
        <v>30</v>
      </c>
      <c r="I668" s="1">
        <v>6</v>
      </c>
      <c r="J668" s="1">
        <v>24</v>
      </c>
      <c r="K668" s="1" t="str">
        <f>TEXT(BBDD_Usiarios_Netflix[[#This Row],[Fecha Suscripción]],"dddd")</f>
        <v>viernes</v>
      </c>
      <c r="L668" s="1">
        <f>DATEVALUE(_xlfn.CONCAT(BBDD_Usiarios_Netflix[[#This Row],[Día Último Pago]],"/",BBDD_Usiarios_Netflix[[#This Row],[Mes Último Pago]],"/",BBDD_Usiarios_Netflix[[#This Row],[Año Último Pago]]))</f>
        <v>45473</v>
      </c>
      <c r="M668" s="4">
        <f>DATEDIF(BBDD_Usiarios_Netflix[[#This Row],[Fecha Suscripción]],BBDD_Usiarios_Netflix[[#This Row],[Fecha Último Pago]],"M")+1</f>
        <v>13</v>
      </c>
      <c r="N668" s="4">
        <f>BBDD_Usiarios_Netflix[[#This Row],[Ingresos Mensuales]]*BBDD_Usiarios_Netflix[[#This Row],[Meses contratados]]</f>
        <v>130</v>
      </c>
      <c r="O668" t="s">
        <v>40</v>
      </c>
      <c r="P668" t="str">
        <f>IF(BBDD_Usiarios_Netflix[[#This Row],[País]]="","Desconocido",BBDD_Usiarios_Netflix[[#This Row],[País]])</f>
        <v>Italia</v>
      </c>
      <c r="Q668">
        <v>51</v>
      </c>
      <c r="R668" t="s">
        <v>30</v>
      </c>
      <c r="S668" t="s">
        <v>26</v>
      </c>
      <c r="T668" t="s">
        <v>27</v>
      </c>
      <c r="U668">
        <f>IF(IFERROR(VLOOKUP(BBDD_Usiarios_Netflix[[#This Row],[Identificador Usuario]],A669:$A$5870,1,FALSE),0)&lt;&gt;0,1,0)</f>
        <v>0</v>
      </c>
      <c r="V668" s="6" t="str">
        <f>IF(BBDD_Usiarios_Netflix[[#This Row],[Duración Plan]]="12 Meses",LEFT(BBDD_Usiarios_Netflix[[#This Row],[Duración Plan]],2),LEFT(BBDD_Usiarios_Netflix[[#This Row],[Duración Plan]],1))</f>
        <v>1</v>
      </c>
      <c r="W6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69" spans="1:23" x14ac:dyDescent="0.25">
      <c r="A669">
        <v>668</v>
      </c>
      <c r="B669" t="s">
        <v>32</v>
      </c>
      <c r="C669">
        <v>12</v>
      </c>
      <c r="D669" s="3">
        <v>3</v>
      </c>
      <c r="E669" s="3">
        <v>7</v>
      </c>
      <c r="F669">
        <v>23</v>
      </c>
      <c r="G669" s="1">
        <f>DATEVALUE(_xlfn.CONCAT(BBDD_Usiarios_Netflix[[#This Row],[Día Suscripción]],"/",BBDD_Usiarios_Netflix[[#This Row],[Mes Suscripción]],"/",BBDD_Usiarios_Netflix[[#This Row],[Año Suscripción]]))</f>
        <v>45110</v>
      </c>
      <c r="H669" s="1">
        <v>30</v>
      </c>
      <c r="I669" s="1">
        <v>6</v>
      </c>
      <c r="J669" s="1">
        <v>24</v>
      </c>
      <c r="K669" s="1" t="str">
        <f>TEXT(BBDD_Usiarios_Netflix[[#This Row],[Fecha Suscripción]],"dddd")</f>
        <v>lunes</v>
      </c>
      <c r="L669" s="1">
        <f>DATEVALUE(_xlfn.CONCAT(BBDD_Usiarios_Netflix[[#This Row],[Día Último Pago]],"/",BBDD_Usiarios_Netflix[[#This Row],[Mes Último Pago]],"/",BBDD_Usiarios_Netflix[[#This Row],[Año Último Pago]]))</f>
        <v>45473</v>
      </c>
      <c r="M669" s="4">
        <f>DATEDIF(BBDD_Usiarios_Netflix[[#This Row],[Fecha Suscripción]],BBDD_Usiarios_Netflix[[#This Row],[Fecha Último Pago]],"M")+1</f>
        <v>12</v>
      </c>
      <c r="N669" s="4">
        <f>BBDD_Usiarios_Netflix[[#This Row],[Ingresos Mensuales]]*BBDD_Usiarios_Netflix[[#This Row],[Meses contratados]]</f>
        <v>144</v>
      </c>
      <c r="O669" t="s">
        <v>33</v>
      </c>
      <c r="P669" t="str">
        <f>IF(BBDD_Usiarios_Netflix[[#This Row],[País]]="","Desconocido",BBDD_Usiarios_Netflix[[#This Row],[País]])</f>
        <v>Francia</v>
      </c>
      <c r="Q669">
        <v>49</v>
      </c>
      <c r="R669" t="s">
        <v>25</v>
      </c>
      <c r="S669" t="s">
        <v>34</v>
      </c>
      <c r="T669" t="s">
        <v>27</v>
      </c>
      <c r="U669">
        <f>IF(IFERROR(VLOOKUP(BBDD_Usiarios_Netflix[[#This Row],[Identificador Usuario]],A670:$A$5870,1,FALSE),0)&lt;&gt;0,1,0)</f>
        <v>0</v>
      </c>
      <c r="V669" s="6" t="str">
        <f>IF(BBDD_Usiarios_Netflix[[#This Row],[Duración Plan]]="12 Meses",LEFT(BBDD_Usiarios_Netflix[[#This Row],[Duración Plan]],2),LEFT(BBDD_Usiarios_Netflix[[#This Row],[Duración Plan]],1))</f>
        <v>1</v>
      </c>
      <c r="W6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0" spans="1:23" x14ac:dyDescent="0.25">
      <c r="A670">
        <v>669</v>
      </c>
      <c r="B670" t="s">
        <v>28</v>
      </c>
      <c r="C670">
        <v>14</v>
      </c>
      <c r="D670" s="3">
        <v>19</v>
      </c>
      <c r="E670" s="3">
        <v>6</v>
      </c>
      <c r="F670">
        <v>23</v>
      </c>
      <c r="G670" s="1">
        <f>DATEVALUE(_xlfn.CONCAT(BBDD_Usiarios_Netflix[[#This Row],[Día Suscripción]],"/",BBDD_Usiarios_Netflix[[#This Row],[Mes Suscripción]],"/",BBDD_Usiarios_Netflix[[#This Row],[Año Suscripción]]))</f>
        <v>45096</v>
      </c>
      <c r="H670" s="1">
        <v>28</v>
      </c>
      <c r="I670" s="1">
        <v>6</v>
      </c>
      <c r="J670" s="1">
        <v>24</v>
      </c>
      <c r="K670" s="1" t="str">
        <f>TEXT(BBDD_Usiarios_Netflix[[#This Row],[Fecha Suscripción]],"dddd")</f>
        <v>lunes</v>
      </c>
      <c r="L670" s="1">
        <f>DATEVALUE(_xlfn.CONCAT(BBDD_Usiarios_Netflix[[#This Row],[Día Último Pago]],"/",BBDD_Usiarios_Netflix[[#This Row],[Mes Último Pago]],"/",BBDD_Usiarios_Netflix[[#This Row],[Año Último Pago]]))</f>
        <v>45471</v>
      </c>
      <c r="M670" s="4">
        <f>DATEDIF(BBDD_Usiarios_Netflix[[#This Row],[Fecha Suscripción]],BBDD_Usiarios_Netflix[[#This Row],[Fecha Último Pago]],"M")+1</f>
        <v>13</v>
      </c>
      <c r="N670" s="4">
        <f>BBDD_Usiarios_Netflix[[#This Row],[Ingresos Mensuales]]*BBDD_Usiarios_Netflix[[#This Row],[Meses contratados]]</f>
        <v>182</v>
      </c>
      <c r="O670" t="s">
        <v>39</v>
      </c>
      <c r="P670" t="str">
        <f>IF(BBDD_Usiarios_Netflix[[#This Row],[País]]="","Desconocido",BBDD_Usiarios_Netflix[[#This Row],[País]])</f>
        <v>Canadá</v>
      </c>
      <c r="Q670">
        <v>27</v>
      </c>
      <c r="R670" t="s">
        <v>30</v>
      </c>
      <c r="S670" t="s">
        <v>31</v>
      </c>
      <c r="T670" t="s">
        <v>27</v>
      </c>
      <c r="U670">
        <f>IF(IFERROR(VLOOKUP(BBDD_Usiarios_Netflix[[#This Row],[Identificador Usuario]],A671:$A$5870,1,FALSE),0)&lt;&gt;0,1,0)</f>
        <v>0</v>
      </c>
      <c r="V670" s="6" t="str">
        <f>IF(BBDD_Usiarios_Netflix[[#This Row],[Duración Plan]]="12 Meses",LEFT(BBDD_Usiarios_Netflix[[#This Row],[Duración Plan]],2),LEFT(BBDD_Usiarios_Netflix[[#This Row],[Duración Plan]],1))</f>
        <v>1</v>
      </c>
      <c r="W6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1" spans="1:23" x14ac:dyDescent="0.25">
      <c r="A671">
        <v>670</v>
      </c>
      <c r="B671" t="s">
        <v>23</v>
      </c>
      <c r="C671">
        <v>10</v>
      </c>
      <c r="D671" s="3">
        <v>8</v>
      </c>
      <c r="E671" s="3">
        <v>6</v>
      </c>
      <c r="F671">
        <v>23</v>
      </c>
      <c r="G671" s="1">
        <f>DATEVALUE(_xlfn.CONCAT(BBDD_Usiarios_Netflix[[#This Row],[Día Suscripción]],"/",BBDD_Usiarios_Netflix[[#This Row],[Mes Suscripción]],"/",BBDD_Usiarios_Netflix[[#This Row],[Año Suscripción]]))</f>
        <v>45085</v>
      </c>
      <c r="H671" s="1">
        <v>29</v>
      </c>
      <c r="I671" s="1">
        <v>6</v>
      </c>
      <c r="J671" s="1">
        <v>24</v>
      </c>
      <c r="K671" s="1" t="str">
        <f>TEXT(BBDD_Usiarios_Netflix[[#This Row],[Fecha Suscripción]],"dddd")</f>
        <v>jueves</v>
      </c>
      <c r="L671" s="1">
        <f>DATEVALUE(_xlfn.CONCAT(BBDD_Usiarios_Netflix[[#This Row],[Día Último Pago]],"/",BBDD_Usiarios_Netflix[[#This Row],[Mes Último Pago]],"/",BBDD_Usiarios_Netflix[[#This Row],[Año Último Pago]]))</f>
        <v>45472</v>
      </c>
      <c r="M671" s="4">
        <f>DATEDIF(BBDD_Usiarios_Netflix[[#This Row],[Fecha Suscripción]],BBDD_Usiarios_Netflix[[#This Row],[Fecha Último Pago]],"M")+1</f>
        <v>13</v>
      </c>
      <c r="N671" s="4">
        <f>BBDD_Usiarios_Netflix[[#This Row],[Ingresos Mensuales]]*BBDD_Usiarios_Netflix[[#This Row],[Meses contratados]]</f>
        <v>130</v>
      </c>
      <c r="O671" t="s">
        <v>39</v>
      </c>
      <c r="P671" t="str">
        <f>IF(BBDD_Usiarios_Netflix[[#This Row],[País]]="","Desconocido",BBDD_Usiarios_Netflix[[#This Row],[País]])</f>
        <v>Canadá</v>
      </c>
      <c r="Q671">
        <v>38</v>
      </c>
      <c r="R671" t="s">
        <v>25</v>
      </c>
      <c r="S671" t="s">
        <v>34</v>
      </c>
      <c r="T671" t="s">
        <v>27</v>
      </c>
      <c r="U671">
        <f>IF(IFERROR(VLOOKUP(BBDD_Usiarios_Netflix[[#This Row],[Identificador Usuario]],A672:$A$5870,1,FALSE),0)&lt;&gt;0,1,0)</f>
        <v>0</v>
      </c>
      <c r="V671" s="6" t="str">
        <f>IF(BBDD_Usiarios_Netflix[[#This Row],[Duración Plan]]="12 Meses",LEFT(BBDD_Usiarios_Netflix[[#This Row],[Duración Plan]],2),LEFT(BBDD_Usiarios_Netflix[[#This Row],[Duración Plan]],1))</f>
        <v>1</v>
      </c>
      <c r="W6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2" spans="1:23" x14ac:dyDescent="0.25">
      <c r="A672">
        <v>671</v>
      </c>
      <c r="B672" t="s">
        <v>23</v>
      </c>
      <c r="C672">
        <v>10</v>
      </c>
      <c r="D672" s="3">
        <v>8</v>
      </c>
      <c r="E672" s="3">
        <v>6</v>
      </c>
      <c r="F672">
        <v>23</v>
      </c>
      <c r="G672" s="1">
        <f>DATEVALUE(_xlfn.CONCAT(BBDD_Usiarios_Netflix[[#This Row],[Día Suscripción]],"/",BBDD_Usiarios_Netflix[[#This Row],[Mes Suscripción]],"/",BBDD_Usiarios_Netflix[[#This Row],[Año Suscripción]]))</f>
        <v>45085</v>
      </c>
      <c r="H672" s="1">
        <v>30</v>
      </c>
      <c r="I672" s="1">
        <v>6</v>
      </c>
      <c r="J672" s="1">
        <v>24</v>
      </c>
      <c r="K672" s="1" t="str">
        <f>TEXT(BBDD_Usiarios_Netflix[[#This Row],[Fecha Suscripción]],"dddd")</f>
        <v>jueves</v>
      </c>
      <c r="L672" s="1">
        <f>DATEVALUE(_xlfn.CONCAT(BBDD_Usiarios_Netflix[[#This Row],[Día Último Pago]],"/",BBDD_Usiarios_Netflix[[#This Row],[Mes Último Pago]],"/",BBDD_Usiarios_Netflix[[#This Row],[Año Último Pago]]))</f>
        <v>45473</v>
      </c>
      <c r="M672" s="4">
        <f>DATEDIF(BBDD_Usiarios_Netflix[[#This Row],[Fecha Suscripción]],BBDD_Usiarios_Netflix[[#This Row],[Fecha Último Pago]],"M")+1</f>
        <v>13</v>
      </c>
      <c r="N672" s="4">
        <f>BBDD_Usiarios_Netflix[[#This Row],[Ingresos Mensuales]]*BBDD_Usiarios_Netflix[[#This Row],[Meses contratados]]</f>
        <v>130</v>
      </c>
      <c r="O672" t="s">
        <v>42</v>
      </c>
      <c r="P672" t="str">
        <f>IF(BBDD_Usiarios_Netflix[[#This Row],[País]]="","Desconocido",BBDD_Usiarios_Netflix[[#This Row],[País]])</f>
        <v>Reino Unido</v>
      </c>
      <c r="Q672">
        <v>51</v>
      </c>
      <c r="R672" t="s">
        <v>25</v>
      </c>
      <c r="S672" t="s">
        <v>31</v>
      </c>
      <c r="T672" t="s">
        <v>41</v>
      </c>
      <c r="U672">
        <f>IF(IFERROR(VLOOKUP(BBDD_Usiarios_Netflix[[#This Row],[Identificador Usuario]],A673:$A$5870,1,FALSE),0)&lt;&gt;0,1,0)</f>
        <v>0</v>
      </c>
      <c r="V672" s="6" t="str">
        <f>IF(BBDD_Usiarios_Netflix[[#This Row],[Duración Plan]]="12 Meses",LEFT(BBDD_Usiarios_Netflix[[#This Row],[Duración Plan]],2),LEFT(BBDD_Usiarios_Netflix[[#This Row],[Duración Plan]],1))</f>
        <v>12</v>
      </c>
      <c r="W6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73" spans="1:23" x14ac:dyDescent="0.25">
      <c r="A673">
        <v>672</v>
      </c>
      <c r="B673" t="s">
        <v>23</v>
      </c>
      <c r="C673">
        <v>10</v>
      </c>
      <c r="D673" s="3">
        <v>9</v>
      </c>
      <c r="E673" s="3">
        <v>6</v>
      </c>
      <c r="F673">
        <v>23</v>
      </c>
      <c r="G673" s="1">
        <f>DATEVALUE(_xlfn.CONCAT(BBDD_Usiarios_Netflix[[#This Row],[Día Suscripción]],"/",BBDD_Usiarios_Netflix[[#This Row],[Mes Suscripción]],"/",BBDD_Usiarios_Netflix[[#This Row],[Año Suscripción]]))</f>
        <v>45086</v>
      </c>
      <c r="H673" s="1">
        <v>30</v>
      </c>
      <c r="I673" s="1">
        <v>6</v>
      </c>
      <c r="J673" s="1">
        <v>24</v>
      </c>
      <c r="K673" s="1" t="str">
        <f>TEXT(BBDD_Usiarios_Netflix[[#This Row],[Fecha Suscripción]],"dddd")</f>
        <v>viernes</v>
      </c>
      <c r="L673" s="1">
        <f>DATEVALUE(_xlfn.CONCAT(BBDD_Usiarios_Netflix[[#This Row],[Día Último Pago]],"/",BBDD_Usiarios_Netflix[[#This Row],[Mes Último Pago]],"/",BBDD_Usiarios_Netflix[[#This Row],[Año Último Pago]]))</f>
        <v>45473</v>
      </c>
      <c r="M673" s="4">
        <f>DATEDIF(BBDD_Usiarios_Netflix[[#This Row],[Fecha Suscripción]],BBDD_Usiarios_Netflix[[#This Row],[Fecha Último Pago]],"M")+1</f>
        <v>13</v>
      </c>
      <c r="N673" s="4">
        <f>BBDD_Usiarios_Netflix[[#This Row],[Ingresos Mensuales]]*BBDD_Usiarios_Netflix[[#This Row],[Meses contratados]]</f>
        <v>130</v>
      </c>
      <c r="O673" t="s">
        <v>29</v>
      </c>
      <c r="P673" t="str">
        <f>IF(BBDD_Usiarios_Netflix[[#This Row],[País]]="","Desconocido",BBDD_Usiarios_Netflix[[#This Row],[País]])</f>
        <v>EEUU</v>
      </c>
      <c r="Q673">
        <v>47</v>
      </c>
      <c r="R673" t="s">
        <v>30</v>
      </c>
      <c r="S673" t="s">
        <v>31</v>
      </c>
      <c r="T673" t="s">
        <v>27</v>
      </c>
      <c r="U673">
        <f>IF(IFERROR(VLOOKUP(BBDD_Usiarios_Netflix[[#This Row],[Identificador Usuario]],A674:$A$5870,1,FALSE),0)&lt;&gt;0,1,0)</f>
        <v>0</v>
      </c>
      <c r="V673" s="6" t="str">
        <f>IF(BBDD_Usiarios_Netflix[[#This Row],[Duración Plan]]="12 Meses",LEFT(BBDD_Usiarios_Netflix[[#This Row],[Duración Plan]],2),LEFT(BBDD_Usiarios_Netflix[[#This Row],[Duración Plan]],1))</f>
        <v>1</v>
      </c>
      <c r="W6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4" spans="1:23" x14ac:dyDescent="0.25">
      <c r="A674">
        <v>673</v>
      </c>
      <c r="B674" t="s">
        <v>32</v>
      </c>
      <c r="C674">
        <v>12</v>
      </c>
      <c r="D674" s="3">
        <v>9</v>
      </c>
      <c r="E674" s="3">
        <v>6</v>
      </c>
      <c r="F674">
        <v>23</v>
      </c>
      <c r="G674" s="1">
        <f>DATEVALUE(_xlfn.CONCAT(BBDD_Usiarios_Netflix[[#This Row],[Día Suscripción]],"/",BBDD_Usiarios_Netflix[[#This Row],[Mes Suscripción]],"/",BBDD_Usiarios_Netflix[[#This Row],[Año Suscripción]]))</f>
        <v>45086</v>
      </c>
      <c r="H674" s="1">
        <v>27</v>
      </c>
      <c r="I674" s="1">
        <v>6</v>
      </c>
      <c r="J674" s="1">
        <v>24</v>
      </c>
      <c r="K674" s="1" t="str">
        <f>TEXT(BBDD_Usiarios_Netflix[[#This Row],[Fecha Suscripción]],"dddd")</f>
        <v>viernes</v>
      </c>
      <c r="L674" s="1">
        <f>DATEVALUE(_xlfn.CONCAT(BBDD_Usiarios_Netflix[[#This Row],[Día Último Pago]],"/",BBDD_Usiarios_Netflix[[#This Row],[Mes Último Pago]],"/",BBDD_Usiarios_Netflix[[#This Row],[Año Último Pago]]))</f>
        <v>45470</v>
      </c>
      <c r="M674" s="4">
        <f>DATEDIF(BBDD_Usiarios_Netflix[[#This Row],[Fecha Suscripción]],BBDD_Usiarios_Netflix[[#This Row],[Fecha Último Pago]],"M")+1</f>
        <v>13</v>
      </c>
      <c r="N674" s="4">
        <f>BBDD_Usiarios_Netflix[[#This Row],[Ingresos Mensuales]]*BBDD_Usiarios_Netflix[[#This Row],[Meses contratados]]</f>
        <v>156</v>
      </c>
      <c r="O674" t="s">
        <v>45</v>
      </c>
      <c r="P674" t="str">
        <f>IF(BBDD_Usiarios_Netflix[[#This Row],[País]]="","Desconocido",BBDD_Usiarios_Netflix[[#This Row],[País]])</f>
        <v>España</v>
      </c>
      <c r="Q674">
        <v>37</v>
      </c>
      <c r="R674" t="s">
        <v>25</v>
      </c>
      <c r="S674" t="s">
        <v>26</v>
      </c>
      <c r="T674" t="s">
        <v>27</v>
      </c>
      <c r="U674">
        <f>IF(IFERROR(VLOOKUP(BBDD_Usiarios_Netflix[[#This Row],[Identificador Usuario]],A675:$A$5870,1,FALSE),0)&lt;&gt;0,1,0)</f>
        <v>0</v>
      </c>
      <c r="V674" s="6" t="str">
        <f>IF(BBDD_Usiarios_Netflix[[#This Row],[Duración Plan]]="12 Meses",LEFT(BBDD_Usiarios_Netflix[[#This Row],[Duración Plan]],2),LEFT(BBDD_Usiarios_Netflix[[#This Row],[Duración Plan]],1))</f>
        <v>1</v>
      </c>
      <c r="W6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5" spans="1:23" x14ac:dyDescent="0.25">
      <c r="A675">
        <v>674</v>
      </c>
      <c r="B675" t="s">
        <v>28</v>
      </c>
      <c r="C675">
        <v>14</v>
      </c>
      <c r="D675" s="3">
        <v>10</v>
      </c>
      <c r="E675" s="3">
        <v>6</v>
      </c>
      <c r="F675">
        <v>23</v>
      </c>
      <c r="G675" s="1">
        <f>DATEVALUE(_xlfn.CONCAT(BBDD_Usiarios_Netflix[[#This Row],[Día Suscripción]],"/",BBDD_Usiarios_Netflix[[#This Row],[Mes Suscripción]],"/",BBDD_Usiarios_Netflix[[#This Row],[Año Suscripción]]))</f>
        <v>45087</v>
      </c>
      <c r="H675" s="1">
        <v>28</v>
      </c>
      <c r="I675" s="1">
        <v>6</v>
      </c>
      <c r="J675" s="1">
        <v>24</v>
      </c>
      <c r="K675" s="1" t="str">
        <f>TEXT(BBDD_Usiarios_Netflix[[#This Row],[Fecha Suscripción]],"dddd")</f>
        <v>sábado</v>
      </c>
      <c r="L675" s="1">
        <f>DATEVALUE(_xlfn.CONCAT(BBDD_Usiarios_Netflix[[#This Row],[Día Último Pago]],"/",BBDD_Usiarios_Netflix[[#This Row],[Mes Último Pago]],"/",BBDD_Usiarios_Netflix[[#This Row],[Año Último Pago]]))</f>
        <v>45471</v>
      </c>
      <c r="M675" s="4">
        <f>DATEDIF(BBDD_Usiarios_Netflix[[#This Row],[Fecha Suscripción]],BBDD_Usiarios_Netflix[[#This Row],[Fecha Último Pago]],"M")+1</f>
        <v>13</v>
      </c>
      <c r="N675" s="4">
        <f>BBDD_Usiarios_Netflix[[#This Row],[Ingresos Mensuales]]*BBDD_Usiarios_Netflix[[#This Row],[Meses contratados]]</f>
        <v>182</v>
      </c>
      <c r="O675" t="s">
        <v>29</v>
      </c>
      <c r="P675" t="str">
        <f>IF(BBDD_Usiarios_Netflix[[#This Row],[País]]="","Desconocido",BBDD_Usiarios_Netflix[[#This Row],[País]])</f>
        <v>EEUU</v>
      </c>
      <c r="Q675">
        <v>37</v>
      </c>
      <c r="R675" t="s">
        <v>30</v>
      </c>
      <c r="S675" t="s">
        <v>36</v>
      </c>
      <c r="T675" t="s">
        <v>27</v>
      </c>
      <c r="U675">
        <f>IF(IFERROR(VLOOKUP(BBDD_Usiarios_Netflix[[#This Row],[Identificador Usuario]],A676:$A$5870,1,FALSE),0)&lt;&gt;0,1,0)</f>
        <v>0</v>
      </c>
      <c r="V675" s="6" t="str">
        <f>IF(BBDD_Usiarios_Netflix[[#This Row],[Duración Plan]]="12 Meses",LEFT(BBDD_Usiarios_Netflix[[#This Row],[Duración Plan]],2),LEFT(BBDD_Usiarios_Netflix[[#This Row],[Duración Plan]],1))</f>
        <v>1</v>
      </c>
      <c r="W6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6" spans="1:23" x14ac:dyDescent="0.25">
      <c r="A676">
        <v>675</v>
      </c>
      <c r="B676" t="s">
        <v>23</v>
      </c>
      <c r="C676">
        <v>10</v>
      </c>
      <c r="D676" s="3">
        <v>11</v>
      </c>
      <c r="E676" s="3">
        <v>6</v>
      </c>
      <c r="F676">
        <v>23</v>
      </c>
      <c r="G676" s="1">
        <f>DATEVALUE(_xlfn.CONCAT(BBDD_Usiarios_Netflix[[#This Row],[Día Suscripción]],"/",BBDD_Usiarios_Netflix[[#This Row],[Mes Suscripción]],"/",BBDD_Usiarios_Netflix[[#This Row],[Año Suscripción]]))</f>
        <v>45088</v>
      </c>
      <c r="H676" s="1">
        <v>29</v>
      </c>
      <c r="I676" s="1">
        <v>6</v>
      </c>
      <c r="J676" s="1">
        <v>24</v>
      </c>
      <c r="K676" s="1" t="str">
        <f>TEXT(BBDD_Usiarios_Netflix[[#This Row],[Fecha Suscripción]],"dddd")</f>
        <v>domingo</v>
      </c>
      <c r="L676" s="1">
        <f>DATEVALUE(_xlfn.CONCAT(BBDD_Usiarios_Netflix[[#This Row],[Día Último Pago]],"/",BBDD_Usiarios_Netflix[[#This Row],[Mes Último Pago]],"/",BBDD_Usiarios_Netflix[[#This Row],[Año Último Pago]]))</f>
        <v>45472</v>
      </c>
      <c r="M676" s="4">
        <f>DATEDIF(BBDD_Usiarios_Netflix[[#This Row],[Fecha Suscripción]],BBDD_Usiarios_Netflix[[#This Row],[Fecha Último Pago]],"M")+1</f>
        <v>13</v>
      </c>
      <c r="N676" s="4">
        <f>BBDD_Usiarios_Netflix[[#This Row],[Ingresos Mensuales]]*BBDD_Usiarios_Netflix[[#This Row],[Meses contratados]]</f>
        <v>130</v>
      </c>
      <c r="O676" t="s">
        <v>24</v>
      </c>
      <c r="P676" t="str">
        <f>IF(BBDD_Usiarios_Netflix[[#This Row],[País]]="","Desconocido",BBDD_Usiarios_Netflix[[#This Row],[País]])</f>
        <v>Australia</v>
      </c>
      <c r="Q676">
        <v>39</v>
      </c>
      <c r="R676" t="s">
        <v>30</v>
      </c>
      <c r="S676" t="s">
        <v>31</v>
      </c>
      <c r="T676" t="s">
        <v>38</v>
      </c>
      <c r="U676">
        <f>IF(IFERROR(VLOOKUP(BBDD_Usiarios_Netflix[[#This Row],[Identificador Usuario]],A677:$A$5870,1,FALSE),0)&lt;&gt;0,1,0)</f>
        <v>0</v>
      </c>
      <c r="V676" s="6" t="str">
        <f>IF(BBDD_Usiarios_Netflix[[#This Row],[Duración Plan]]="12 Meses",LEFT(BBDD_Usiarios_Netflix[[#This Row],[Duración Plan]],2),LEFT(BBDD_Usiarios_Netflix[[#This Row],[Duración Plan]],1))</f>
        <v>3</v>
      </c>
      <c r="W6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77" spans="1:23" x14ac:dyDescent="0.25">
      <c r="A677">
        <v>676</v>
      </c>
      <c r="B677" t="s">
        <v>23</v>
      </c>
      <c r="C677">
        <v>10</v>
      </c>
      <c r="D677" s="3">
        <v>13</v>
      </c>
      <c r="E677" s="3">
        <v>6</v>
      </c>
      <c r="F677">
        <v>23</v>
      </c>
      <c r="G677" s="1">
        <f>DATEVALUE(_xlfn.CONCAT(BBDD_Usiarios_Netflix[[#This Row],[Día Suscripción]],"/",BBDD_Usiarios_Netflix[[#This Row],[Mes Suscripción]],"/",BBDD_Usiarios_Netflix[[#This Row],[Año Suscripción]]))</f>
        <v>45090</v>
      </c>
      <c r="H677" s="1">
        <v>29</v>
      </c>
      <c r="I677" s="1">
        <v>6</v>
      </c>
      <c r="J677" s="1">
        <v>24</v>
      </c>
      <c r="K677" s="1" t="str">
        <f>TEXT(BBDD_Usiarios_Netflix[[#This Row],[Fecha Suscripción]],"dddd")</f>
        <v>martes</v>
      </c>
      <c r="L677" s="1">
        <f>DATEVALUE(_xlfn.CONCAT(BBDD_Usiarios_Netflix[[#This Row],[Día Último Pago]],"/",BBDD_Usiarios_Netflix[[#This Row],[Mes Último Pago]],"/",BBDD_Usiarios_Netflix[[#This Row],[Año Último Pago]]))</f>
        <v>45472</v>
      </c>
      <c r="M677" s="4">
        <f>DATEDIF(BBDD_Usiarios_Netflix[[#This Row],[Fecha Suscripción]],BBDD_Usiarios_Netflix[[#This Row],[Fecha Último Pago]],"M")+1</f>
        <v>13</v>
      </c>
      <c r="N677" s="4">
        <f>BBDD_Usiarios_Netflix[[#This Row],[Ingresos Mensuales]]*BBDD_Usiarios_Netflix[[#This Row],[Meses contratados]]</f>
        <v>130</v>
      </c>
      <c r="O677" t="s">
        <v>29</v>
      </c>
      <c r="P677" t="str">
        <f>IF(BBDD_Usiarios_Netflix[[#This Row],[País]]="","Desconocido",BBDD_Usiarios_Netflix[[#This Row],[País]])</f>
        <v>EEUU</v>
      </c>
      <c r="Q677">
        <v>31</v>
      </c>
      <c r="R677" t="s">
        <v>25</v>
      </c>
      <c r="S677" t="s">
        <v>26</v>
      </c>
      <c r="T677" t="s">
        <v>27</v>
      </c>
      <c r="U677">
        <f>IF(IFERROR(VLOOKUP(BBDD_Usiarios_Netflix[[#This Row],[Identificador Usuario]],A678:$A$5870,1,FALSE),0)&lt;&gt;0,1,0)</f>
        <v>0</v>
      </c>
      <c r="V677" s="6" t="str">
        <f>IF(BBDD_Usiarios_Netflix[[#This Row],[Duración Plan]]="12 Meses",LEFT(BBDD_Usiarios_Netflix[[#This Row],[Duración Plan]],2),LEFT(BBDD_Usiarios_Netflix[[#This Row],[Duración Plan]],1))</f>
        <v>1</v>
      </c>
      <c r="W6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78" spans="1:23" x14ac:dyDescent="0.25">
      <c r="A678">
        <v>677</v>
      </c>
      <c r="B678" t="s">
        <v>28</v>
      </c>
      <c r="C678">
        <v>14</v>
      </c>
      <c r="D678" s="3">
        <v>17</v>
      </c>
      <c r="E678" s="3">
        <v>6</v>
      </c>
      <c r="F678">
        <v>23</v>
      </c>
      <c r="G678" s="1">
        <f>DATEVALUE(_xlfn.CONCAT(BBDD_Usiarios_Netflix[[#This Row],[Día Suscripción]],"/",BBDD_Usiarios_Netflix[[#This Row],[Mes Suscripción]],"/",BBDD_Usiarios_Netflix[[#This Row],[Año Suscripción]]))</f>
        <v>45094</v>
      </c>
      <c r="H678" s="1">
        <v>28</v>
      </c>
      <c r="I678" s="1">
        <v>6</v>
      </c>
      <c r="J678" s="1">
        <v>24</v>
      </c>
      <c r="K678" s="1" t="str">
        <f>TEXT(BBDD_Usiarios_Netflix[[#This Row],[Fecha Suscripción]],"dddd")</f>
        <v>sábado</v>
      </c>
      <c r="L678" s="1">
        <f>DATEVALUE(_xlfn.CONCAT(BBDD_Usiarios_Netflix[[#This Row],[Día Último Pago]],"/",BBDD_Usiarios_Netflix[[#This Row],[Mes Último Pago]],"/",BBDD_Usiarios_Netflix[[#This Row],[Año Último Pago]]))</f>
        <v>45471</v>
      </c>
      <c r="M678" s="4">
        <f>DATEDIF(BBDD_Usiarios_Netflix[[#This Row],[Fecha Suscripción]],BBDD_Usiarios_Netflix[[#This Row],[Fecha Último Pago]],"M")+1</f>
        <v>13</v>
      </c>
      <c r="N678" s="4">
        <f>BBDD_Usiarios_Netflix[[#This Row],[Ingresos Mensuales]]*BBDD_Usiarios_Netflix[[#This Row],[Meses contratados]]</f>
        <v>182</v>
      </c>
      <c r="O678" t="s">
        <v>42</v>
      </c>
      <c r="P678" t="str">
        <f>IF(BBDD_Usiarios_Netflix[[#This Row],[País]]="","Desconocido",BBDD_Usiarios_Netflix[[#This Row],[País]])</f>
        <v>Reino Unido</v>
      </c>
      <c r="Q678">
        <v>36</v>
      </c>
      <c r="R678" t="s">
        <v>25</v>
      </c>
      <c r="S678" t="s">
        <v>34</v>
      </c>
      <c r="T678" t="s">
        <v>41</v>
      </c>
      <c r="U678">
        <f>IF(IFERROR(VLOOKUP(BBDD_Usiarios_Netflix[[#This Row],[Identificador Usuario]],A679:$A$5870,1,FALSE),0)&lt;&gt;0,1,0)</f>
        <v>0</v>
      </c>
      <c r="V678" s="6" t="str">
        <f>IF(BBDD_Usiarios_Netflix[[#This Row],[Duración Plan]]="12 Meses",LEFT(BBDD_Usiarios_Netflix[[#This Row],[Duración Plan]],2),LEFT(BBDD_Usiarios_Netflix[[#This Row],[Duración Plan]],1))</f>
        <v>12</v>
      </c>
      <c r="W6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79" spans="1:23" x14ac:dyDescent="0.25">
      <c r="A679">
        <v>678</v>
      </c>
      <c r="B679" t="s">
        <v>32</v>
      </c>
      <c r="C679">
        <v>12</v>
      </c>
      <c r="D679" s="3">
        <v>27</v>
      </c>
      <c r="E679" s="3">
        <v>6</v>
      </c>
      <c r="F679">
        <v>23</v>
      </c>
      <c r="G679" s="1">
        <f>DATEVALUE(_xlfn.CONCAT(BBDD_Usiarios_Netflix[[#This Row],[Día Suscripción]],"/",BBDD_Usiarios_Netflix[[#This Row],[Mes Suscripción]],"/",BBDD_Usiarios_Netflix[[#This Row],[Año Suscripción]]))</f>
        <v>45104</v>
      </c>
      <c r="H679" s="1">
        <v>28</v>
      </c>
      <c r="I679" s="1">
        <v>6</v>
      </c>
      <c r="J679" s="1">
        <v>24</v>
      </c>
      <c r="K679" s="1" t="str">
        <f>TEXT(BBDD_Usiarios_Netflix[[#This Row],[Fecha Suscripción]],"dddd")</f>
        <v>martes</v>
      </c>
      <c r="L679" s="1">
        <f>DATEVALUE(_xlfn.CONCAT(BBDD_Usiarios_Netflix[[#This Row],[Día Último Pago]],"/",BBDD_Usiarios_Netflix[[#This Row],[Mes Último Pago]],"/",BBDD_Usiarios_Netflix[[#This Row],[Año Último Pago]]))</f>
        <v>45471</v>
      </c>
      <c r="M679" s="4">
        <f>DATEDIF(BBDD_Usiarios_Netflix[[#This Row],[Fecha Suscripción]],BBDD_Usiarios_Netflix[[#This Row],[Fecha Último Pago]],"M")+1</f>
        <v>13</v>
      </c>
      <c r="N679" s="4">
        <f>BBDD_Usiarios_Netflix[[#This Row],[Ingresos Mensuales]]*BBDD_Usiarios_Netflix[[#This Row],[Meses contratados]]</f>
        <v>156</v>
      </c>
      <c r="O679" t="s">
        <v>42</v>
      </c>
      <c r="P679" t="str">
        <f>IF(BBDD_Usiarios_Netflix[[#This Row],[País]]="","Desconocido",BBDD_Usiarios_Netflix[[#This Row],[País]])</f>
        <v>Reino Unido</v>
      </c>
      <c r="Q679">
        <v>42</v>
      </c>
      <c r="R679" t="s">
        <v>30</v>
      </c>
      <c r="S679" t="s">
        <v>34</v>
      </c>
      <c r="T679" t="s">
        <v>27</v>
      </c>
      <c r="U679">
        <f>IF(IFERROR(VLOOKUP(BBDD_Usiarios_Netflix[[#This Row],[Identificador Usuario]],A680:$A$5870,1,FALSE),0)&lt;&gt;0,1,0)</f>
        <v>0</v>
      </c>
      <c r="V679" s="6" t="str">
        <f>IF(BBDD_Usiarios_Netflix[[#This Row],[Duración Plan]]="12 Meses",LEFT(BBDD_Usiarios_Netflix[[#This Row],[Duración Plan]],2),LEFT(BBDD_Usiarios_Netflix[[#This Row],[Duración Plan]],1))</f>
        <v>1</v>
      </c>
      <c r="W6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80" spans="1:23" x14ac:dyDescent="0.25">
      <c r="A680">
        <v>679</v>
      </c>
      <c r="B680" t="s">
        <v>32</v>
      </c>
      <c r="C680">
        <v>12</v>
      </c>
      <c r="D680" s="3">
        <v>5</v>
      </c>
      <c r="E680" s="3">
        <v>7</v>
      </c>
      <c r="F680">
        <v>23</v>
      </c>
      <c r="G680" s="1">
        <f>DATEVALUE(_xlfn.CONCAT(BBDD_Usiarios_Netflix[[#This Row],[Día Suscripción]],"/",BBDD_Usiarios_Netflix[[#This Row],[Mes Suscripción]],"/",BBDD_Usiarios_Netflix[[#This Row],[Año Suscripción]]))</f>
        <v>45112</v>
      </c>
      <c r="H680" s="1">
        <v>29</v>
      </c>
      <c r="I680" s="1">
        <v>6</v>
      </c>
      <c r="J680" s="1">
        <v>24</v>
      </c>
      <c r="K680" s="1" t="str">
        <f>TEXT(BBDD_Usiarios_Netflix[[#This Row],[Fecha Suscripción]],"dddd")</f>
        <v>miércoles</v>
      </c>
      <c r="L680" s="1">
        <f>DATEVALUE(_xlfn.CONCAT(BBDD_Usiarios_Netflix[[#This Row],[Día Último Pago]],"/",BBDD_Usiarios_Netflix[[#This Row],[Mes Último Pago]],"/",BBDD_Usiarios_Netflix[[#This Row],[Año Último Pago]]))</f>
        <v>45472</v>
      </c>
      <c r="M680" s="4">
        <f>DATEDIF(BBDD_Usiarios_Netflix[[#This Row],[Fecha Suscripción]],BBDD_Usiarios_Netflix[[#This Row],[Fecha Último Pago]],"M")+1</f>
        <v>12</v>
      </c>
      <c r="N680" s="4">
        <f>BBDD_Usiarios_Netflix[[#This Row],[Ingresos Mensuales]]*BBDD_Usiarios_Netflix[[#This Row],[Meses contratados]]</f>
        <v>144</v>
      </c>
      <c r="O680" t="s">
        <v>40</v>
      </c>
      <c r="P680" t="str">
        <f>IF(BBDD_Usiarios_Netflix[[#This Row],[País]]="","Desconocido",BBDD_Usiarios_Netflix[[#This Row],[País]])</f>
        <v>Italia</v>
      </c>
      <c r="Q680">
        <v>49</v>
      </c>
      <c r="R680" t="s">
        <v>25</v>
      </c>
      <c r="S680" t="s">
        <v>36</v>
      </c>
      <c r="T680" t="s">
        <v>27</v>
      </c>
      <c r="U680">
        <f>IF(IFERROR(VLOOKUP(BBDD_Usiarios_Netflix[[#This Row],[Identificador Usuario]],A681:$A$5870,1,FALSE),0)&lt;&gt;0,1,0)</f>
        <v>0</v>
      </c>
      <c r="V680" s="6" t="str">
        <f>IF(BBDD_Usiarios_Netflix[[#This Row],[Duración Plan]]="12 Meses",LEFT(BBDD_Usiarios_Netflix[[#This Row],[Duración Plan]],2),LEFT(BBDD_Usiarios_Netflix[[#This Row],[Duración Plan]],1))</f>
        <v>1</v>
      </c>
      <c r="W6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81" spans="1:23" x14ac:dyDescent="0.25">
      <c r="A681">
        <v>680</v>
      </c>
      <c r="B681" t="s">
        <v>23</v>
      </c>
      <c r="C681">
        <v>10</v>
      </c>
      <c r="D681" s="3">
        <v>7</v>
      </c>
      <c r="E681" s="3">
        <v>7</v>
      </c>
      <c r="F681">
        <v>23</v>
      </c>
      <c r="G681" s="1">
        <f>DATEVALUE(_xlfn.CONCAT(BBDD_Usiarios_Netflix[[#This Row],[Día Suscripción]],"/",BBDD_Usiarios_Netflix[[#This Row],[Mes Suscripción]],"/",BBDD_Usiarios_Netflix[[#This Row],[Año Suscripción]]))</f>
        <v>45114</v>
      </c>
      <c r="H681" s="1">
        <v>29</v>
      </c>
      <c r="I681" s="1">
        <v>6</v>
      </c>
      <c r="J681" s="1">
        <v>24</v>
      </c>
      <c r="K681" s="1" t="str">
        <f>TEXT(BBDD_Usiarios_Netflix[[#This Row],[Fecha Suscripción]],"dddd")</f>
        <v>viernes</v>
      </c>
      <c r="L681" s="1">
        <f>DATEVALUE(_xlfn.CONCAT(BBDD_Usiarios_Netflix[[#This Row],[Día Último Pago]],"/",BBDD_Usiarios_Netflix[[#This Row],[Mes Último Pago]],"/",BBDD_Usiarios_Netflix[[#This Row],[Año Último Pago]]))</f>
        <v>45472</v>
      </c>
      <c r="M681" s="4">
        <f>DATEDIF(BBDD_Usiarios_Netflix[[#This Row],[Fecha Suscripción]],BBDD_Usiarios_Netflix[[#This Row],[Fecha Último Pago]],"M")+1</f>
        <v>12</v>
      </c>
      <c r="N681" s="4">
        <f>BBDD_Usiarios_Netflix[[#This Row],[Ingresos Mensuales]]*BBDD_Usiarios_Netflix[[#This Row],[Meses contratados]]</f>
        <v>120</v>
      </c>
      <c r="O681" t="s">
        <v>29</v>
      </c>
      <c r="P681" t="str">
        <f>IF(BBDD_Usiarios_Netflix[[#This Row],[País]]="","Desconocido",BBDD_Usiarios_Netflix[[#This Row],[País]])</f>
        <v>EEUU</v>
      </c>
      <c r="Q681">
        <v>44</v>
      </c>
      <c r="R681" t="s">
        <v>30</v>
      </c>
      <c r="S681" t="s">
        <v>36</v>
      </c>
      <c r="T681" t="s">
        <v>35</v>
      </c>
      <c r="U681">
        <f>IF(IFERROR(VLOOKUP(BBDD_Usiarios_Netflix[[#This Row],[Identificador Usuario]],A682:$A$5870,1,FALSE),0)&lt;&gt;0,1,0)</f>
        <v>0</v>
      </c>
      <c r="V681" s="6" t="str">
        <f>IF(BBDD_Usiarios_Netflix[[#This Row],[Duración Plan]]="12 Meses",LEFT(BBDD_Usiarios_Netflix[[#This Row],[Duración Plan]],2),LEFT(BBDD_Usiarios_Netflix[[#This Row],[Duración Plan]],1))</f>
        <v>6</v>
      </c>
      <c r="W6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82" spans="1:23" x14ac:dyDescent="0.25">
      <c r="A682">
        <v>681</v>
      </c>
      <c r="B682" t="s">
        <v>28</v>
      </c>
      <c r="C682">
        <v>14</v>
      </c>
      <c r="D682" s="3">
        <v>16</v>
      </c>
      <c r="E682" s="3">
        <v>7</v>
      </c>
      <c r="F682">
        <v>23</v>
      </c>
      <c r="G682" s="1">
        <f>DATEVALUE(_xlfn.CONCAT(BBDD_Usiarios_Netflix[[#This Row],[Día Suscripción]],"/",BBDD_Usiarios_Netflix[[#This Row],[Mes Suscripción]],"/",BBDD_Usiarios_Netflix[[#This Row],[Año Suscripción]]))</f>
        <v>45123</v>
      </c>
      <c r="H682" s="1">
        <v>28</v>
      </c>
      <c r="I682" s="1">
        <v>6</v>
      </c>
      <c r="J682" s="1">
        <v>24</v>
      </c>
      <c r="K682" s="1" t="str">
        <f>TEXT(BBDD_Usiarios_Netflix[[#This Row],[Fecha Suscripción]],"dddd")</f>
        <v>domingo</v>
      </c>
      <c r="L682" s="1">
        <f>DATEVALUE(_xlfn.CONCAT(BBDD_Usiarios_Netflix[[#This Row],[Día Último Pago]],"/",BBDD_Usiarios_Netflix[[#This Row],[Mes Último Pago]],"/",BBDD_Usiarios_Netflix[[#This Row],[Año Último Pago]]))</f>
        <v>45471</v>
      </c>
      <c r="M682" s="4">
        <f>DATEDIF(BBDD_Usiarios_Netflix[[#This Row],[Fecha Suscripción]],BBDD_Usiarios_Netflix[[#This Row],[Fecha Último Pago]],"M")+1</f>
        <v>12</v>
      </c>
      <c r="N682" s="4">
        <f>BBDD_Usiarios_Netflix[[#This Row],[Ingresos Mensuales]]*BBDD_Usiarios_Netflix[[#This Row],[Meses contratados]]</f>
        <v>168</v>
      </c>
      <c r="O682" t="s">
        <v>43</v>
      </c>
      <c r="P682" t="str">
        <f>IF(BBDD_Usiarios_Netflix[[#This Row],[País]]="","Desconocido",BBDD_Usiarios_Netflix[[#This Row],[País]])</f>
        <v>Alemania</v>
      </c>
      <c r="Q682">
        <v>33</v>
      </c>
      <c r="R682" t="s">
        <v>25</v>
      </c>
      <c r="S682" t="s">
        <v>36</v>
      </c>
      <c r="T682" t="s">
        <v>27</v>
      </c>
      <c r="U682">
        <f>IF(IFERROR(VLOOKUP(BBDD_Usiarios_Netflix[[#This Row],[Identificador Usuario]],A683:$A$5870,1,FALSE),0)&lt;&gt;0,1,0)</f>
        <v>0</v>
      </c>
      <c r="V682" s="6" t="str">
        <f>IF(BBDD_Usiarios_Netflix[[#This Row],[Duración Plan]]="12 Meses",LEFT(BBDD_Usiarios_Netflix[[#This Row],[Duración Plan]],2),LEFT(BBDD_Usiarios_Netflix[[#This Row],[Duración Plan]],1))</f>
        <v>1</v>
      </c>
      <c r="W6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83" spans="1:23" x14ac:dyDescent="0.25">
      <c r="A683">
        <v>682</v>
      </c>
      <c r="B683" t="s">
        <v>32</v>
      </c>
      <c r="C683">
        <v>12</v>
      </c>
      <c r="D683" s="3">
        <v>23</v>
      </c>
      <c r="E683" s="3">
        <v>7</v>
      </c>
      <c r="F683">
        <v>23</v>
      </c>
      <c r="G683" s="1">
        <f>DATEVALUE(_xlfn.CONCAT(BBDD_Usiarios_Netflix[[#This Row],[Día Suscripción]],"/",BBDD_Usiarios_Netflix[[#This Row],[Mes Suscripción]],"/",BBDD_Usiarios_Netflix[[#This Row],[Año Suscripción]]))</f>
        <v>45130</v>
      </c>
      <c r="H683" s="1">
        <v>27</v>
      </c>
      <c r="I683" s="1">
        <v>6</v>
      </c>
      <c r="J683" s="1">
        <v>24</v>
      </c>
      <c r="K683" s="1" t="str">
        <f>TEXT(BBDD_Usiarios_Netflix[[#This Row],[Fecha Suscripción]],"dddd")</f>
        <v>domingo</v>
      </c>
      <c r="L683" s="1">
        <f>DATEVALUE(_xlfn.CONCAT(BBDD_Usiarios_Netflix[[#This Row],[Día Último Pago]],"/",BBDD_Usiarios_Netflix[[#This Row],[Mes Último Pago]],"/",BBDD_Usiarios_Netflix[[#This Row],[Año Último Pago]]))</f>
        <v>45470</v>
      </c>
      <c r="M683" s="4">
        <f>DATEDIF(BBDD_Usiarios_Netflix[[#This Row],[Fecha Suscripción]],BBDD_Usiarios_Netflix[[#This Row],[Fecha Último Pago]],"M")+1</f>
        <v>12</v>
      </c>
      <c r="N683" s="4">
        <f>BBDD_Usiarios_Netflix[[#This Row],[Ingresos Mensuales]]*BBDD_Usiarios_Netflix[[#This Row],[Meses contratados]]</f>
        <v>144</v>
      </c>
      <c r="O683" t="s">
        <v>39</v>
      </c>
      <c r="P683" t="str">
        <f>IF(BBDD_Usiarios_Netflix[[#This Row],[País]]="","Desconocido",BBDD_Usiarios_Netflix[[#This Row],[País]])</f>
        <v>Canadá</v>
      </c>
      <c r="Q683">
        <v>42</v>
      </c>
      <c r="R683" t="s">
        <v>25</v>
      </c>
      <c r="S683" t="s">
        <v>31</v>
      </c>
      <c r="T683" t="s">
        <v>27</v>
      </c>
      <c r="U683">
        <f>IF(IFERROR(VLOOKUP(BBDD_Usiarios_Netflix[[#This Row],[Identificador Usuario]],A684:$A$5870,1,FALSE),0)&lt;&gt;0,1,0)</f>
        <v>0</v>
      </c>
      <c r="V683" s="6" t="str">
        <f>IF(BBDD_Usiarios_Netflix[[#This Row],[Duración Plan]]="12 Meses",LEFT(BBDD_Usiarios_Netflix[[#This Row],[Duración Plan]],2),LEFT(BBDD_Usiarios_Netflix[[#This Row],[Duración Plan]],1))</f>
        <v>1</v>
      </c>
      <c r="W6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84" spans="1:23" x14ac:dyDescent="0.25">
      <c r="A684">
        <v>683</v>
      </c>
      <c r="B684" t="s">
        <v>23</v>
      </c>
      <c r="C684">
        <v>10</v>
      </c>
      <c r="D684" s="3">
        <v>3</v>
      </c>
      <c r="E684" s="3">
        <v>8</v>
      </c>
      <c r="F684">
        <v>23</v>
      </c>
      <c r="G684" s="1">
        <f>DATEVALUE(_xlfn.CONCAT(BBDD_Usiarios_Netflix[[#This Row],[Día Suscripción]],"/",BBDD_Usiarios_Netflix[[#This Row],[Mes Suscripción]],"/",BBDD_Usiarios_Netflix[[#This Row],[Año Suscripción]]))</f>
        <v>45141</v>
      </c>
      <c r="H684" s="1">
        <v>29</v>
      </c>
      <c r="I684" s="1">
        <v>6</v>
      </c>
      <c r="J684" s="1">
        <v>24</v>
      </c>
      <c r="K684" s="1" t="str">
        <f>TEXT(BBDD_Usiarios_Netflix[[#This Row],[Fecha Suscripción]],"dddd")</f>
        <v>jueves</v>
      </c>
      <c r="L684" s="1">
        <f>DATEVALUE(_xlfn.CONCAT(BBDD_Usiarios_Netflix[[#This Row],[Día Último Pago]],"/",BBDD_Usiarios_Netflix[[#This Row],[Mes Último Pago]],"/",BBDD_Usiarios_Netflix[[#This Row],[Año Último Pago]]))</f>
        <v>45472</v>
      </c>
      <c r="M684" s="4">
        <f>DATEDIF(BBDD_Usiarios_Netflix[[#This Row],[Fecha Suscripción]],BBDD_Usiarios_Netflix[[#This Row],[Fecha Último Pago]],"M")+1</f>
        <v>11</v>
      </c>
      <c r="N684" s="4">
        <f>BBDD_Usiarios_Netflix[[#This Row],[Ingresos Mensuales]]*BBDD_Usiarios_Netflix[[#This Row],[Meses contratados]]</f>
        <v>110</v>
      </c>
      <c r="O684" t="s">
        <v>24</v>
      </c>
      <c r="P684" t="str">
        <f>IF(BBDD_Usiarios_Netflix[[#This Row],[País]]="","Desconocido",BBDD_Usiarios_Netflix[[#This Row],[País]])</f>
        <v>Australia</v>
      </c>
      <c r="Q684">
        <v>39</v>
      </c>
      <c r="R684" t="s">
        <v>25</v>
      </c>
      <c r="S684" t="s">
        <v>26</v>
      </c>
      <c r="T684" t="s">
        <v>35</v>
      </c>
      <c r="U684">
        <f>IF(IFERROR(VLOOKUP(BBDD_Usiarios_Netflix[[#This Row],[Identificador Usuario]],A685:$A$5870,1,FALSE),0)&lt;&gt;0,1,0)</f>
        <v>0</v>
      </c>
      <c r="V684" s="6" t="str">
        <f>IF(BBDD_Usiarios_Netflix[[#This Row],[Duración Plan]]="12 Meses",LEFT(BBDD_Usiarios_Netflix[[#This Row],[Duración Plan]],2),LEFT(BBDD_Usiarios_Netflix[[#This Row],[Duración Plan]],1))</f>
        <v>6</v>
      </c>
      <c r="W6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85" spans="1:23" x14ac:dyDescent="0.25">
      <c r="A685">
        <v>684</v>
      </c>
      <c r="B685" t="s">
        <v>32</v>
      </c>
      <c r="C685">
        <v>12</v>
      </c>
      <c r="D685" s="3">
        <v>11</v>
      </c>
      <c r="E685" s="3">
        <v>8</v>
      </c>
      <c r="F685">
        <v>23</v>
      </c>
      <c r="G685" s="1">
        <f>DATEVALUE(_xlfn.CONCAT(BBDD_Usiarios_Netflix[[#This Row],[Día Suscripción]],"/",BBDD_Usiarios_Netflix[[#This Row],[Mes Suscripción]],"/",BBDD_Usiarios_Netflix[[#This Row],[Año Suscripción]]))</f>
        <v>45149</v>
      </c>
      <c r="H685" s="1">
        <v>29</v>
      </c>
      <c r="I685" s="1">
        <v>6</v>
      </c>
      <c r="J685" s="1">
        <v>24</v>
      </c>
      <c r="K685" s="1" t="str">
        <f>TEXT(BBDD_Usiarios_Netflix[[#This Row],[Fecha Suscripción]],"dddd")</f>
        <v>viernes</v>
      </c>
      <c r="L685" s="1">
        <f>DATEVALUE(_xlfn.CONCAT(BBDD_Usiarios_Netflix[[#This Row],[Día Último Pago]],"/",BBDD_Usiarios_Netflix[[#This Row],[Mes Último Pago]],"/",BBDD_Usiarios_Netflix[[#This Row],[Año Último Pago]]))</f>
        <v>45472</v>
      </c>
      <c r="M685" s="4">
        <f>DATEDIF(BBDD_Usiarios_Netflix[[#This Row],[Fecha Suscripción]],BBDD_Usiarios_Netflix[[#This Row],[Fecha Último Pago]],"M")+1</f>
        <v>11</v>
      </c>
      <c r="N685" s="4">
        <f>BBDD_Usiarios_Netflix[[#This Row],[Ingresos Mensuales]]*BBDD_Usiarios_Netflix[[#This Row],[Meses contratados]]</f>
        <v>132</v>
      </c>
      <c r="O685" t="s">
        <v>24</v>
      </c>
      <c r="P685" t="str">
        <f>IF(BBDD_Usiarios_Netflix[[#This Row],[País]]="","Desconocido",BBDD_Usiarios_Netflix[[#This Row],[País]])</f>
        <v>Australia</v>
      </c>
      <c r="Q685">
        <v>49</v>
      </c>
      <c r="R685" t="s">
        <v>25</v>
      </c>
      <c r="S685" t="s">
        <v>26</v>
      </c>
      <c r="T685" t="s">
        <v>38</v>
      </c>
      <c r="U685">
        <f>IF(IFERROR(VLOOKUP(BBDD_Usiarios_Netflix[[#This Row],[Identificador Usuario]],A686:$A$5870,1,FALSE),0)&lt;&gt;0,1,0)</f>
        <v>0</v>
      </c>
      <c r="V685" s="6" t="str">
        <f>IF(BBDD_Usiarios_Netflix[[#This Row],[Duración Plan]]="12 Meses",LEFT(BBDD_Usiarios_Netflix[[#This Row],[Duración Plan]],2),LEFT(BBDD_Usiarios_Netflix[[#This Row],[Duración Plan]],1))</f>
        <v>3</v>
      </c>
      <c r="W6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86" spans="1:23" x14ac:dyDescent="0.25">
      <c r="A686">
        <v>685</v>
      </c>
      <c r="B686" t="s">
        <v>28</v>
      </c>
      <c r="C686">
        <v>14</v>
      </c>
      <c r="D686" s="3">
        <v>15</v>
      </c>
      <c r="E686" s="3">
        <v>8</v>
      </c>
      <c r="F686">
        <v>23</v>
      </c>
      <c r="G686" s="1">
        <f>DATEVALUE(_xlfn.CONCAT(BBDD_Usiarios_Netflix[[#This Row],[Día Suscripción]],"/",BBDD_Usiarios_Netflix[[#This Row],[Mes Suscripción]],"/",BBDD_Usiarios_Netflix[[#This Row],[Año Suscripción]]))</f>
        <v>45153</v>
      </c>
      <c r="H686" s="1">
        <v>30</v>
      </c>
      <c r="I686" s="1">
        <v>6</v>
      </c>
      <c r="J686" s="1">
        <v>24</v>
      </c>
      <c r="K686" s="1" t="str">
        <f>TEXT(BBDD_Usiarios_Netflix[[#This Row],[Fecha Suscripción]],"dddd")</f>
        <v>martes</v>
      </c>
      <c r="L686" s="1">
        <f>DATEVALUE(_xlfn.CONCAT(BBDD_Usiarios_Netflix[[#This Row],[Día Último Pago]],"/",BBDD_Usiarios_Netflix[[#This Row],[Mes Último Pago]],"/",BBDD_Usiarios_Netflix[[#This Row],[Año Último Pago]]))</f>
        <v>45473</v>
      </c>
      <c r="M686" s="4">
        <f>DATEDIF(BBDD_Usiarios_Netflix[[#This Row],[Fecha Suscripción]],BBDD_Usiarios_Netflix[[#This Row],[Fecha Último Pago]],"M")+1</f>
        <v>11</v>
      </c>
      <c r="N686" s="4">
        <f>BBDD_Usiarios_Netflix[[#This Row],[Ingresos Mensuales]]*BBDD_Usiarios_Netflix[[#This Row],[Meses contratados]]</f>
        <v>154</v>
      </c>
      <c r="O686" t="s">
        <v>43</v>
      </c>
      <c r="P686" t="str">
        <f>IF(BBDD_Usiarios_Netflix[[#This Row],[País]]="","Desconocido",BBDD_Usiarios_Netflix[[#This Row],[País]])</f>
        <v>Alemania</v>
      </c>
      <c r="Q686">
        <v>31</v>
      </c>
      <c r="R686" t="s">
        <v>25</v>
      </c>
      <c r="S686" t="s">
        <v>26</v>
      </c>
      <c r="T686" t="s">
        <v>35</v>
      </c>
      <c r="U686">
        <f>IF(IFERROR(VLOOKUP(BBDD_Usiarios_Netflix[[#This Row],[Identificador Usuario]],A687:$A$5870,1,FALSE),0)&lt;&gt;0,1,0)</f>
        <v>0</v>
      </c>
      <c r="V686" s="6" t="str">
        <f>IF(BBDD_Usiarios_Netflix[[#This Row],[Duración Plan]]="12 Meses",LEFT(BBDD_Usiarios_Netflix[[#This Row],[Duración Plan]],2),LEFT(BBDD_Usiarios_Netflix[[#This Row],[Duración Plan]],1))</f>
        <v>6</v>
      </c>
      <c r="W6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87" spans="1:23" x14ac:dyDescent="0.25">
      <c r="A687">
        <v>686</v>
      </c>
      <c r="B687" t="s">
        <v>23</v>
      </c>
      <c r="C687">
        <v>10</v>
      </c>
      <c r="D687" s="3">
        <v>18</v>
      </c>
      <c r="E687" s="3">
        <v>8</v>
      </c>
      <c r="F687">
        <v>23</v>
      </c>
      <c r="G687" s="1">
        <f>DATEVALUE(_xlfn.CONCAT(BBDD_Usiarios_Netflix[[#This Row],[Día Suscripción]],"/",BBDD_Usiarios_Netflix[[#This Row],[Mes Suscripción]],"/",BBDD_Usiarios_Netflix[[#This Row],[Año Suscripción]]))</f>
        <v>45156</v>
      </c>
      <c r="H687" s="1">
        <v>28</v>
      </c>
      <c r="I687" s="1">
        <v>6</v>
      </c>
      <c r="J687" s="1">
        <v>24</v>
      </c>
      <c r="K687" s="1" t="str">
        <f>TEXT(BBDD_Usiarios_Netflix[[#This Row],[Fecha Suscripción]],"dddd")</f>
        <v>viernes</v>
      </c>
      <c r="L687" s="1">
        <f>DATEVALUE(_xlfn.CONCAT(BBDD_Usiarios_Netflix[[#This Row],[Día Último Pago]],"/",BBDD_Usiarios_Netflix[[#This Row],[Mes Último Pago]],"/",BBDD_Usiarios_Netflix[[#This Row],[Año Último Pago]]))</f>
        <v>45471</v>
      </c>
      <c r="M687" s="4">
        <f>DATEDIF(BBDD_Usiarios_Netflix[[#This Row],[Fecha Suscripción]],BBDD_Usiarios_Netflix[[#This Row],[Fecha Último Pago]],"M")+1</f>
        <v>11</v>
      </c>
      <c r="N687" s="4">
        <f>BBDD_Usiarios_Netflix[[#This Row],[Ingresos Mensuales]]*BBDD_Usiarios_Netflix[[#This Row],[Meses contratados]]</f>
        <v>110</v>
      </c>
      <c r="O687" t="s">
        <v>42</v>
      </c>
      <c r="P687" t="str">
        <f>IF(BBDD_Usiarios_Netflix[[#This Row],[País]]="","Desconocido",BBDD_Usiarios_Netflix[[#This Row],[País]])</f>
        <v>Reino Unido</v>
      </c>
      <c r="Q687">
        <v>37</v>
      </c>
      <c r="R687" t="s">
        <v>25</v>
      </c>
      <c r="S687" t="s">
        <v>31</v>
      </c>
      <c r="T687" t="s">
        <v>35</v>
      </c>
      <c r="U687">
        <f>IF(IFERROR(VLOOKUP(BBDD_Usiarios_Netflix[[#This Row],[Identificador Usuario]],A688:$A$5870,1,FALSE),0)&lt;&gt;0,1,0)</f>
        <v>0</v>
      </c>
      <c r="V687" s="6" t="str">
        <f>IF(BBDD_Usiarios_Netflix[[#This Row],[Duración Plan]]="12 Meses",LEFT(BBDD_Usiarios_Netflix[[#This Row],[Duración Plan]],2),LEFT(BBDD_Usiarios_Netflix[[#This Row],[Duración Plan]],1))</f>
        <v>6</v>
      </c>
      <c r="W6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88" spans="1:23" x14ac:dyDescent="0.25">
      <c r="A688">
        <v>687</v>
      </c>
      <c r="B688" t="s">
        <v>28</v>
      </c>
      <c r="C688">
        <v>14</v>
      </c>
      <c r="D688" s="3">
        <v>26</v>
      </c>
      <c r="E688" s="3">
        <v>8</v>
      </c>
      <c r="F688">
        <v>23</v>
      </c>
      <c r="G688" s="1">
        <f>DATEVALUE(_xlfn.CONCAT(BBDD_Usiarios_Netflix[[#This Row],[Día Suscripción]],"/",BBDD_Usiarios_Netflix[[#This Row],[Mes Suscripción]],"/",BBDD_Usiarios_Netflix[[#This Row],[Año Suscripción]]))</f>
        <v>45164</v>
      </c>
      <c r="H688" s="1">
        <v>29</v>
      </c>
      <c r="I688" s="1">
        <v>6</v>
      </c>
      <c r="J688" s="1">
        <v>24</v>
      </c>
      <c r="K688" s="1" t="str">
        <f>TEXT(BBDD_Usiarios_Netflix[[#This Row],[Fecha Suscripción]],"dddd")</f>
        <v>sábado</v>
      </c>
      <c r="L688" s="1">
        <f>DATEVALUE(_xlfn.CONCAT(BBDD_Usiarios_Netflix[[#This Row],[Día Último Pago]],"/",BBDD_Usiarios_Netflix[[#This Row],[Mes Último Pago]],"/",BBDD_Usiarios_Netflix[[#This Row],[Año Último Pago]]))</f>
        <v>45472</v>
      </c>
      <c r="M688" s="4">
        <f>DATEDIF(BBDD_Usiarios_Netflix[[#This Row],[Fecha Suscripción]],BBDD_Usiarios_Netflix[[#This Row],[Fecha Último Pago]],"M")+1</f>
        <v>11</v>
      </c>
      <c r="N688" s="4">
        <f>BBDD_Usiarios_Netflix[[#This Row],[Ingresos Mensuales]]*BBDD_Usiarios_Netflix[[#This Row],[Meses contratados]]</f>
        <v>154</v>
      </c>
      <c r="O688" t="s">
        <v>37</v>
      </c>
      <c r="P688" t="str">
        <f>IF(BBDD_Usiarios_Netflix[[#This Row],[País]]="","Desconocido",BBDD_Usiarios_Netflix[[#This Row],[País]])</f>
        <v>Brasil</v>
      </c>
      <c r="Q688">
        <v>30</v>
      </c>
      <c r="R688" t="s">
        <v>30</v>
      </c>
      <c r="S688" t="s">
        <v>31</v>
      </c>
      <c r="T688" t="s">
        <v>35</v>
      </c>
      <c r="U688">
        <f>IF(IFERROR(VLOOKUP(BBDD_Usiarios_Netflix[[#This Row],[Identificador Usuario]],A689:$A$5870,1,FALSE),0)&lt;&gt;0,1,0)</f>
        <v>0</v>
      </c>
      <c r="V688" s="6" t="str">
        <f>IF(BBDD_Usiarios_Netflix[[#This Row],[Duración Plan]]="12 Meses",LEFT(BBDD_Usiarios_Netflix[[#This Row],[Duración Plan]],2),LEFT(BBDD_Usiarios_Netflix[[#This Row],[Duración Plan]],1))</f>
        <v>6</v>
      </c>
      <c r="W6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689" spans="1:23" x14ac:dyDescent="0.25">
      <c r="A689">
        <v>688</v>
      </c>
      <c r="B689" t="s">
        <v>32</v>
      </c>
      <c r="C689">
        <v>12</v>
      </c>
      <c r="D689" s="3">
        <v>3</v>
      </c>
      <c r="E689" s="3">
        <v>9</v>
      </c>
      <c r="F689">
        <v>23</v>
      </c>
      <c r="G689" s="1">
        <f>DATEVALUE(_xlfn.CONCAT(BBDD_Usiarios_Netflix[[#This Row],[Día Suscripción]],"/",BBDD_Usiarios_Netflix[[#This Row],[Mes Suscripción]],"/",BBDD_Usiarios_Netflix[[#This Row],[Año Suscripción]]))</f>
        <v>45172</v>
      </c>
      <c r="H689" s="1">
        <v>28</v>
      </c>
      <c r="I689" s="1">
        <v>6</v>
      </c>
      <c r="J689" s="1">
        <v>24</v>
      </c>
      <c r="K689" s="1" t="str">
        <f>TEXT(BBDD_Usiarios_Netflix[[#This Row],[Fecha Suscripción]],"dddd")</f>
        <v>domingo</v>
      </c>
      <c r="L689" s="1">
        <f>DATEVALUE(_xlfn.CONCAT(BBDD_Usiarios_Netflix[[#This Row],[Día Último Pago]],"/",BBDD_Usiarios_Netflix[[#This Row],[Mes Último Pago]],"/",BBDD_Usiarios_Netflix[[#This Row],[Año Último Pago]]))</f>
        <v>45471</v>
      </c>
      <c r="M689" s="4">
        <f>DATEDIF(BBDD_Usiarios_Netflix[[#This Row],[Fecha Suscripción]],BBDD_Usiarios_Netflix[[#This Row],[Fecha Último Pago]],"M")+1</f>
        <v>10</v>
      </c>
      <c r="N689" s="4">
        <f>BBDD_Usiarios_Netflix[[#This Row],[Ingresos Mensuales]]*BBDD_Usiarios_Netflix[[#This Row],[Meses contratados]]</f>
        <v>120</v>
      </c>
      <c r="O689" t="s">
        <v>39</v>
      </c>
      <c r="P689" t="str">
        <f>IF(BBDD_Usiarios_Netflix[[#This Row],[País]]="","Desconocido",BBDD_Usiarios_Netflix[[#This Row],[País]])</f>
        <v>Canadá</v>
      </c>
      <c r="Q689">
        <v>42</v>
      </c>
      <c r="R689" t="s">
        <v>25</v>
      </c>
      <c r="S689" t="s">
        <v>26</v>
      </c>
      <c r="T689" t="s">
        <v>27</v>
      </c>
      <c r="U689">
        <f>IF(IFERROR(VLOOKUP(BBDD_Usiarios_Netflix[[#This Row],[Identificador Usuario]],A690:$A$5870,1,FALSE),0)&lt;&gt;0,1,0)</f>
        <v>0</v>
      </c>
      <c r="V689" s="6" t="str">
        <f>IF(BBDD_Usiarios_Netflix[[#This Row],[Duración Plan]]="12 Meses",LEFT(BBDD_Usiarios_Netflix[[#This Row],[Duración Plan]],2),LEFT(BBDD_Usiarios_Netflix[[#This Row],[Duración Plan]],1))</f>
        <v>1</v>
      </c>
      <c r="W6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90" spans="1:23" x14ac:dyDescent="0.25">
      <c r="A690">
        <v>689</v>
      </c>
      <c r="B690" t="s">
        <v>23</v>
      </c>
      <c r="C690">
        <v>10</v>
      </c>
      <c r="D690" s="3">
        <v>4</v>
      </c>
      <c r="E690" s="3">
        <v>9</v>
      </c>
      <c r="F690">
        <v>23</v>
      </c>
      <c r="G690" s="1">
        <f>DATEVALUE(_xlfn.CONCAT(BBDD_Usiarios_Netflix[[#This Row],[Día Suscripción]],"/",BBDD_Usiarios_Netflix[[#This Row],[Mes Suscripción]],"/",BBDD_Usiarios_Netflix[[#This Row],[Año Suscripción]]))</f>
        <v>45173</v>
      </c>
      <c r="H690" s="1">
        <v>29</v>
      </c>
      <c r="I690" s="1">
        <v>6</v>
      </c>
      <c r="J690" s="1">
        <v>24</v>
      </c>
      <c r="K690" s="1" t="str">
        <f>TEXT(BBDD_Usiarios_Netflix[[#This Row],[Fecha Suscripción]],"dddd")</f>
        <v>lunes</v>
      </c>
      <c r="L690" s="1">
        <f>DATEVALUE(_xlfn.CONCAT(BBDD_Usiarios_Netflix[[#This Row],[Día Último Pago]],"/",BBDD_Usiarios_Netflix[[#This Row],[Mes Último Pago]],"/",BBDD_Usiarios_Netflix[[#This Row],[Año Último Pago]]))</f>
        <v>45472</v>
      </c>
      <c r="M690" s="4">
        <f>DATEDIF(BBDD_Usiarios_Netflix[[#This Row],[Fecha Suscripción]],BBDD_Usiarios_Netflix[[#This Row],[Fecha Último Pago]],"M")+1</f>
        <v>10</v>
      </c>
      <c r="N690" s="4">
        <f>BBDD_Usiarios_Netflix[[#This Row],[Ingresos Mensuales]]*BBDD_Usiarios_Netflix[[#This Row],[Meses contratados]]</f>
        <v>100</v>
      </c>
      <c r="O690" t="s">
        <v>29</v>
      </c>
      <c r="P690" t="str">
        <f>IF(BBDD_Usiarios_Netflix[[#This Row],[País]]="","Desconocido",BBDD_Usiarios_Netflix[[#This Row],[País]])</f>
        <v>EEUU</v>
      </c>
      <c r="Q690">
        <v>37</v>
      </c>
      <c r="R690" t="s">
        <v>30</v>
      </c>
      <c r="S690" t="s">
        <v>34</v>
      </c>
      <c r="T690" t="s">
        <v>27</v>
      </c>
      <c r="U690">
        <f>IF(IFERROR(VLOOKUP(BBDD_Usiarios_Netflix[[#This Row],[Identificador Usuario]],A691:$A$5870,1,FALSE),0)&lt;&gt;0,1,0)</f>
        <v>0</v>
      </c>
      <c r="V690" s="6" t="str">
        <f>IF(BBDD_Usiarios_Netflix[[#This Row],[Duración Plan]]="12 Meses",LEFT(BBDD_Usiarios_Netflix[[#This Row],[Duración Plan]],2),LEFT(BBDD_Usiarios_Netflix[[#This Row],[Duración Plan]],1))</f>
        <v>1</v>
      </c>
      <c r="W6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91" spans="1:23" x14ac:dyDescent="0.25">
      <c r="A691">
        <v>690</v>
      </c>
      <c r="B691" t="s">
        <v>32</v>
      </c>
      <c r="C691">
        <v>12</v>
      </c>
      <c r="D691" s="3">
        <v>5</v>
      </c>
      <c r="E691" s="3">
        <v>9</v>
      </c>
      <c r="F691">
        <v>23</v>
      </c>
      <c r="G691" s="1">
        <f>DATEVALUE(_xlfn.CONCAT(BBDD_Usiarios_Netflix[[#This Row],[Día Suscripción]],"/",BBDD_Usiarios_Netflix[[#This Row],[Mes Suscripción]],"/",BBDD_Usiarios_Netflix[[#This Row],[Año Suscripción]]))</f>
        <v>45174</v>
      </c>
      <c r="H691" s="1">
        <v>30</v>
      </c>
      <c r="I691" s="1">
        <v>6</v>
      </c>
      <c r="J691" s="1">
        <v>24</v>
      </c>
      <c r="K691" s="1" t="str">
        <f>TEXT(BBDD_Usiarios_Netflix[[#This Row],[Fecha Suscripción]],"dddd")</f>
        <v>martes</v>
      </c>
      <c r="L691" s="1">
        <f>DATEVALUE(_xlfn.CONCAT(BBDD_Usiarios_Netflix[[#This Row],[Día Último Pago]],"/",BBDD_Usiarios_Netflix[[#This Row],[Mes Último Pago]],"/",BBDD_Usiarios_Netflix[[#This Row],[Año Último Pago]]))</f>
        <v>45473</v>
      </c>
      <c r="M691" s="4">
        <f>DATEDIF(BBDD_Usiarios_Netflix[[#This Row],[Fecha Suscripción]],BBDD_Usiarios_Netflix[[#This Row],[Fecha Último Pago]],"M")+1</f>
        <v>10</v>
      </c>
      <c r="N691" s="4">
        <f>BBDD_Usiarios_Netflix[[#This Row],[Ingresos Mensuales]]*BBDD_Usiarios_Netflix[[#This Row],[Meses contratados]]</f>
        <v>120</v>
      </c>
      <c r="O691" t="s">
        <v>33</v>
      </c>
      <c r="P691" t="str">
        <f>IF(BBDD_Usiarios_Netflix[[#This Row],[País]]="","Desconocido",BBDD_Usiarios_Netflix[[#This Row],[País]])</f>
        <v>Francia</v>
      </c>
      <c r="Q691">
        <v>36</v>
      </c>
      <c r="R691" t="s">
        <v>25</v>
      </c>
      <c r="S691" t="s">
        <v>36</v>
      </c>
      <c r="T691" t="s">
        <v>38</v>
      </c>
      <c r="U691">
        <f>IF(IFERROR(VLOOKUP(BBDD_Usiarios_Netflix[[#This Row],[Identificador Usuario]],A692:$A$5870,1,FALSE),0)&lt;&gt;0,1,0)</f>
        <v>0</v>
      </c>
      <c r="V691" s="6" t="str">
        <f>IF(BBDD_Usiarios_Netflix[[#This Row],[Duración Plan]]="12 Meses",LEFT(BBDD_Usiarios_Netflix[[#This Row],[Duración Plan]],2),LEFT(BBDD_Usiarios_Netflix[[#This Row],[Duración Plan]],1))</f>
        <v>3</v>
      </c>
      <c r="W6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92" spans="1:23" x14ac:dyDescent="0.25">
      <c r="A692">
        <v>691</v>
      </c>
      <c r="B692" t="s">
        <v>28</v>
      </c>
      <c r="C692">
        <v>14</v>
      </c>
      <c r="D692" s="3">
        <v>1</v>
      </c>
      <c r="E692" s="3">
        <v>9</v>
      </c>
      <c r="F692">
        <v>23</v>
      </c>
      <c r="G692" s="1">
        <f>DATEVALUE(_xlfn.CONCAT(BBDD_Usiarios_Netflix[[#This Row],[Día Suscripción]],"/",BBDD_Usiarios_Netflix[[#This Row],[Mes Suscripción]],"/",BBDD_Usiarios_Netflix[[#This Row],[Año Suscripción]]))</f>
        <v>45170</v>
      </c>
      <c r="H692" s="1">
        <v>29</v>
      </c>
      <c r="I692" s="1">
        <v>6</v>
      </c>
      <c r="J692" s="1">
        <v>24</v>
      </c>
      <c r="K692" s="1" t="str">
        <f>TEXT(BBDD_Usiarios_Netflix[[#This Row],[Fecha Suscripción]],"dddd")</f>
        <v>viernes</v>
      </c>
      <c r="L692" s="1">
        <f>DATEVALUE(_xlfn.CONCAT(BBDD_Usiarios_Netflix[[#This Row],[Día Último Pago]],"/",BBDD_Usiarios_Netflix[[#This Row],[Mes Último Pago]],"/",BBDD_Usiarios_Netflix[[#This Row],[Año Último Pago]]))</f>
        <v>45472</v>
      </c>
      <c r="M692" s="4">
        <f>DATEDIF(BBDD_Usiarios_Netflix[[#This Row],[Fecha Suscripción]],BBDD_Usiarios_Netflix[[#This Row],[Fecha Último Pago]],"M")+1</f>
        <v>10</v>
      </c>
      <c r="N692" s="4">
        <f>BBDD_Usiarios_Netflix[[#This Row],[Ingresos Mensuales]]*BBDD_Usiarios_Netflix[[#This Row],[Meses contratados]]</f>
        <v>140</v>
      </c>
      <c r="O692" t="s">
        <v>45</v>
      </c>
      <c r="P692" t="str">
        <f>IF(BBDD_Usiarios_Netflix[[#This Row],[País]]="","Desconocido",BBDD_Usiarios_Netflix[[#This Row],[País]])</f>
        <v>España</v>
      </c>
      <c r="Q692">
        <v>28</v>
      </c>
      <c r="R692" t="s">
        <v>30</v>
      </c>
      <c r="S692" t="s">
        <v>36</v>
      </c>
      <c r="T692" t="s">
        <v>38</v>
      </c>
      <c r="U692">
        <f>IF(IFERROR(VLOOKUP(BBDD_Usiarios_Netflix[[#This Row],[Identificador Usuario]],A693:$A$5870,1,FALSE),0)&lt;&gt;0,1,0)</f>
        <v>0</v>
      </c>
      <c r="V692" s="6" t="str">
        <f>IF(BBDD_Usiarios_Netflix[[#This Row],[Duración Plan]]="12 Meses",LEFT(BBDD_Usiarios_Netflix[[#This Row],[Duración Plan]],2),LEFT(BBDD_Usiarios_Netflix[[#This Row],[Duración Plan]],1))</f>
        <v>3</v>
      </c>
      <c r="W6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93" spans="1:23" x14ac:dyDescent="0.25">
      <c r="A693">
        <v>692</v>
      </c>
      <c r="B693" t="s">
        <v>23</v>
      </c>
      <c r="C693">
        <v>10</v>
      </c>
      <c r="D693" s="3">
        <v>31</v>
      </c>
      <c r="E693" s="3">
        <v>8</v>
      </c>
      <c r="F693">
        <v>23</v>
      </c>
      <c r="G693" s="1">
        <f>DATEVALUE(_xlfn.CONCAT(BBDD_Usiarios_Netflix[[#This Row],[Día Suscripción]],"/",BBDD_Usiarios_Netflix[[#This Row],[Mes Suscripción]],"/",BBDD_Usiarios_Netflix[[#This Row],[Año Suscripción]]))</f>
        <v>45169</v>
      </c>
      <c r="H693" s="1">
        <v>30</v>
      </c>
      <c r="I693" s="1">
        <v>6</v>
      </c>
      <c r="J693" s="1">
        <v>24</v>
      </c>
      <c r="K693" s="1" t="str">
        <f>TEXT(BBDD_Usiarios_Netflix[[#This Row],[Fecha Suscripción]],"dddd")</f>
        <v>jueves</v>
      </c>
      <c r="L693" s="1">
        <f>DATEVALUE(_xlfn.CONCAT(BBDD_Usiarios_Netflix[[#This Row],[Día Último Pago]],"/",BBDD_Usiarios_Netflix[[#This Row],[Mes Último Pago]],"/",BBDD_Usiarios_Netflix[[#This Row],[Año Último Pago]]))</f>
        <v>45473</v>
      </c>
      <c r="M693" s="4">
        <f>DATEDIF(BBDD_Usiarios_Netflix[[#This Row],[Fecha Suscripción]],BBDD_Usiarios_Netflix[[#This Row],[Fecha Último Pago]],"M")+1</f>
        <v>10</v>
      </c>
      <c r="N693" s="4">
        <f>BBDD_Usiarios_Netflix[[#This Row],[Ingresos Mensuales]]*BBDD_Usiarios_Netflix[[#This Row],[Meses contratados]]</f>
        <v>100</v>
      </c>
      <c r="O693" t="s">
        <v>46</v>
      </c>
      <c r="P693" t="str">
        <f>IF(BBDD_Usiarios_Netflix[[#This Row],[País]]="","Desconocido",BBDD_Usiarios_Netflix[[#This Row],[País]])</f>
        <v>Méjico</v>
      </c>
      <c r="Q693">
        <v>36</v>
      </c>
      <c r="R693" t="s">
        <v>25</v>
      </c>
      <c r="S693" t="s">
        <v>31</v>
      </c>
      <c r="T693" t="s">
        <v>41</v>
      </c>
      <c r="U693">
        <f>IF(IFERROR(VLOOKUP(BBDD_Usiarios_Netflix[[#This Row],[Identificador Usuario]],A694:$A$5870,1,FALSE),0)&lt;&gt;0,1,0)</f>
        <v>0</v>
      </c>
      <c r="V693" s="6" t="str">
        <f>IF(BBDD_Usiarios_Netflix[[#This Row],[Duración Plan]]="12 Meses",LEFT(BBDD_Usiarios_Netflix[[#This Row],[Duración Plan]],2),LEFT(BBDD_Usiarios_Netflix[[#This Row],[Duración Plan]],1))</f>
        <v>12</v>
      </c>
      <c r="W6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94" spans="1:23" x14ac:dyDescent="0.25">
      <c r="A694">
        <v>693</v>
      </c>
      <c r="B694" t="s">
        <v>32</v>
      </c>
      <c r="C694">
        <v>12</v>
      </c>
      <c r="D694" s="3">
        <v>1</v>
      </c>
      <c r="E694" s="3">
        <v>9</v>
      </c>
      <c r="F694">
        <v>23</v>
      </c>
      <c r="G694" s="1">
        <f>DATEVALUE(_xlfn.CONCAT(BBDD_Usiarios_Netflix[[#This Row],[Día Suscripción]],"/",BBDD_Usiarios_Netflix[[#This Row],[Mes Suscripción]],"/",BBDD_Usiarios_Netflix[[#This Row],[Año Suscripción]]))</f>
        <v>45170</v>
      </c>
      <c r="H694" s="1">
        <v>29</v>
      </c>
      <c r="I694" s="1">
        <v>6</v>
      </c>
      <c r="J694" s="1">
        <v>24</v>
      </c>
      <c r="K694" s="1" t="str">
        <f>TEXT(BBDD_Usiarios_Netflix[[#This Row],[Fecha Suscripción]],"dddd")</f>
        <v>viernes</v>
      </c>
      <c r="L694" s="1">
        <f>DATEVALUE(_xlfn.CONCAT(BBDD_Usiarios_Netflix[[#This Row],[Día Último Pago]],"/",BBDD_Usiarios_Netflix[[#This Row],[Mes Último Pago]],"/",BBDD_Usiarios_Netflix[[#This Row],[Año Último Pago]]))</f>
        <v>45472</v>
      </c>
      <c r="M694" s="4">
        <f>DATEDIF(BBDD_Usiarios_Netflix[[#This Row],[Fecha Suscripción]],BBDD_Usiarios_Netflix[[#This Row],[Fecha Último Pago]],"M")+1</f>
        <v>10</v>
      </c>
      <c r="N694" s="4">
        <f>BBDD_Usiarios_Netflix[[#This Row],[Ingresos Mensuales]]*BBDD_Usiarios_Netflix[[#This Row],[Meses contratados]]</f>
        <v>120</v>
      </c>
      <c r="O694" t="s">
        <v>39</v>
      </c>
      <c r="P694" t="str">
        <f>IF(BBDD_Usiarios_Netflix[[#This Row],[País]]="","Desconocido",BBDD_Usiarios_Netflix[[#This Row],[País]])</f>
        <v>Canadá</v>
      </c>
      <c r="Q694">
        <v>31</v>
      </c>
      <c r="R694" t="s">
        <v>30</v>
      </c>
      <c r="S694" t="s">
        <v>31</v>
      </c>
      <c r="T694" t="s">
        <v>38</v>
      </c>
      <c r="U694">
        <f>IF(IFERROR(VLOOKUP(BBDD_Usiarios_Netflix[[#This Row],[Identificador Usuario]],A695:$A$5870,1,FALSE),0)&lt;&gt;0,1,0)</f>
        <v>0</v>
      </c>
      <c r="V694" s="6" t="str">
        <f>IF(BBDD_Usiarios_Netflix[[#This Row],[Duración Plan]]="12 Meses",LEFT(BBDD_Usiarios_Netflix[[#This Row],[Duración Plan]],2),LEFT(BBDD_Usiarios_Netflix[[#This Row],[Duración Plan]],1))</f>
        <v>3</v>
      </c>
      <c r="W6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95" spans="1:23" x14ac:dyDescent="0.25">
      <c r="A695">
        <v>694</v>
      </c>
      <c r="B695" t="s">
        <v>28</v>
      </c>
      <c r="C695">
        <v>14</v>
      </c>
      <c r="D695" s="3">
        <v>17</v>
      </c>
      <c r="E695" s="3">
        <v>9</v>
      </c>
      <c r="F695">
        <v>23</v>
      </c>
      <c r="G695" s="1">
        <f>DATEVALUE(_xlfn.CONCAT(BBDD_Usiarios_Netflix[[#This Row],[Día Suscripción]],"/",BBDD_Usiarios_Netflix[[#This Row],[Mes Suscripción]],"/",BBDD_Usiarios_Netflix[[#This Row],[Año Suscripción]]))</f>
        <v>45186</v>
      </c>
      <c r="H695" s="1">
        <v>1</v>
      </c>
      <c r="I695" s="1">
        <v>7</v>
      </c>
      <c r="J695" s="1">
        <v>24</v>
      </c>
      <c r="K695" s="1" t="str">
        <f>TEXT(BBDD_Usiarios_Netflix[[#This Row],[Fecha Suscripción]],"dddd")</f>
        <v>domingo</v>
      </c>
      <c r="L695" s="1">
        <f>DATEVALUE(_xlfn.CONCAT(BBDD_Usiarios_Netflix[[#This Row],[Día Último Pago]],"/",BBDD_Usiarios_Netflix[[#This Row],[Mes Último Pago]],"/",BBDD_Usiarios_Netflix[[#This Row],[Año Último Pago]]))</f>
        <v>45474</v>
      </c>
      <c r="M695" s="4">
        <f>DATEDIF(BBDD_Usiarios_Netflix[[#This Row],[Fecha Suscripción]],BBDD_Usiarios_Netflix[[#This Row],[Fecha Último Pago]],"M")+1</f>
        <v>10</v>
      </c>
      <c r="N695" s="4">
        <f>BBDD_Usiarios_Netflix[[#This Row],[Ingresos Mensuales]]*BBDD_Usiarios_Netflix[[#This Row],[Meses contratados]]</f>
        <v>140</v>
      </c>
      <c r="O695" t="s">
        <v>24</v>
      </c>
      <c r="P695" t="str">
        <f>IF(BBDD_Usiarios_Netflix[[#This Row],[País]]="","Desconocido",BBDD_Usiarios_Netflix[[#This Row],[País]])</f>
        <v>Australia</v>
      </c>
      <c r="Q695">
        <v>46</v>
      </c>
      <c r="R695" t="s">
        <v>25</v>
      </c>
      <c r="S695" t="s">
        <v>34</v>
      </c>
      <c r="T695" t="s">
        <v>27</v>
      </c>
      <c r="U695">
        <f>IF(IFERROR(VLOOKUP(BBDD_Usiarios_Netflix[[#This Row],[Identificador Usuario]],A696:$A$5870,1,FALSE),0)&lt;&gt;0,1,0)</f>
        <v>0</v>
      </c>
      <c r="V695" s="6" t="str">
        <f>IF(BBDD_Usiarios_Netflix[[#This Row],[Duración Plan]]="12 Meses",LEFT(BBDD_Usiarios_Netflix[[#This Row],[Duración Plan]],2),LEFT(BBDD_Usiarios_Netflix[[#This Row],[Duración Plan]],1))</f>
        <v>1</v>
      </c>
      <c r="W6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96" spans="1:23" x14ac:dyDescent="0.25">
      <c r="A696">
        <v>695</v>
      </c>
      <c r="B696" t="s">
        <v>23</v>
      </c>
      <c r="C696">
        <v>10</v>
      </c>
      <c r="D696" s="3">
        <v>21</v>
      </c>
      <c r="E696" s="3">
        <v>9</v>
      </c>
      <c r="F696">
        <v>23</v>
      </c>
      <c r="G696" s="1">
        <f>DATEVALUE(_xlfn.CONCAT(BBDD_Usiarios_Netflix[[#This Row],[Día Suscripción]],"/",BBDD_Usiarios_Netflix[[#This Row],[Mes Suscripción]],"/",BBDD_Usiarios_Netflix[[#This Row],[Año Suscripción]]))</f>
        <v>45190</v>
      </c>
      <c r="H696" s="1">
        <v>28</v>
      </c>
      <c r="I696" s="1">
        <v>6</v>
      </c>
      <c r="J696" s="1">
        <v>24</v>
      </c>
      <c r="K696" s="1" t="str">
        <f>TEXT(BBDD_Usiarios_Netflix[[#This Row],[Fecha Suscripción]],"dddd")</f>
        <v>jueves</v>
      </c>
      <c r="L696" s="1">
        <f>DATEVALUE(_xlfn.CONCAT(BBDD_Usiarios_Netflix[[#This Row],[Día Último Pago]],"/",BBDD_Usiarios_Netflix[[#This Row],[Mes Último Pago]],"/",BBDD_Usiarios_Netflix[[#This Row],[Año Último Pago]]))</f>
        <v>45471</v>
      </c>
      <c r="M696" s="4">
        <f>DATEDIF(BBDD_Usiarios_Netflix[[#This Row],[Fecha Suscripción]],BBDD_Usiarios_Netflix[[#This Row],[Fecha Último Pago]],"M")+1</f>
        <v>10</v>
      </c>
      <c r="N696" s="4">
        <f>BBDD_Usiarios_Netflix[[#This Row],[Ingresos Mensuales]]*BBDD_Usiarios_Netflix[[#This Row],[Meses contratados]]</f>
        <v>100</v>
      </c>
      <c r="O696" t="s">
        <v>43</v>
      </c>
      <c r="P696" t="str">
        <f>IF(BBDD_Usiarios_Netflix[[#This Row],[País]]="","Desconocido",BBDD_Usiarios_Netflix[[#This Row],[País]])</f>
        <v>Alemania</v>
      </c>
      <c r="Q696">
        <v>28</v>
      </c>
      <c r="R696" t="s">
        <v>25</v>
      </c>
      <c r="S696" t="s">
        <v>36</v>
      </c>
      <c r="T696" t="s">
        <v>38</v>
      </c>
      <c r="U696">
        <f>IF(IFERROR(VLOOKUP(BBDD_Usiarios_Netflix[[#This Row],[Identificador Usuario]],A697:$A$5870,1,FALSE),0)&lt;&gt;0,1,0)</f>
        <v>0</v>
      </c>
      <c r="V696" s="6" t="str">
        <f>IF(BBDD_Usiarios_Netflix[[#This Row],[Duración Plan]]="12 Meses",LEFT(BBDD_Usiarios_Netflix[[#This Row],[Duración Plan]],2),LEFT(BBDD_Usiarios_Netflix[[#This Row],[Duración Plan]],1))</f>
        <v>3</v>
      </c>
      <c r="W6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697" spans="1:23" x14ac:dyDescent="0.25">
      <c r="A697">
        <v>696</v>
      </c>
      <c r="B697" t="s">
        <v>28</v>
      </c>
      <c r="C697">
        <v>14</v>
      </c>
      <c r="D697" s="3">
        <v>29</v>
      </c>
      <c r="E697" s="3">
        <v>9</v>
      </c>
      <c r="F697">
        <v>23</v>
      </c>
      <c r="G697" s="1">
        <f>DATEVALUE(_xlfn.CONCAT(BBDD_Usiarios_Netflix[[#This Row],[Día Suscripción]],"/",BBDD_Usiarios_Netflix[[#This Row],[Mes Suscripción]],"/",BBDD_Usiarios_Netflix[[#This Row],[Año Suscripción]]))</f>
        <v>45198</v>
      </c>
      <c r="H697" s="1">
        <v>1</v>
      </c>
      <c r="I697" s="1">
        <v>7</v>
      </c>
      <c r="J697" s="1">
        <v>24</v>
      </c>
      <c r="K697" s="1" t="str">
        <f>TEXT(BBDD_Usiarios_Netflix[[#This Row],[Fecha Suscripción]],"dddd")</f>
        <v>viernes</v>
      </c>
      <c r="L697" s="1">
        <f>DATEVALUE(_xlfn.CONCAT(BBDD_Usiarios_Netflix[[#This Row],[Día Último Pago]],"/",BBDD_Usiarios_Netflix[[#This Row],[Mes Último Pago]],"/",BBDD_Usiarios_Netflix[[#This Row],[Año Último Pago]]))</f>
        <v>45474</v>
      </c>
      <c r="M697" s="4">
        <f>DATEDIF(BBDD_Usiarios_Netflix[[#This Row],[Fecha Suscripción]],BBDD_Usiarios_Netflix[[#This Row],[Fecha Último Pago]],"M")+1</f>
        <v>10</v>
      </c>
      <c r="N697" s="4">
        <f>BBDD_Usiarios_Netflix[[#This Row],[Ingresos Mensuales]]*BBDD_Usiarios_Netflix[[#This Row],[Meses contratados]]</f>
        <v>140</v>
      </c>
      <c r="O697" t="s">
        <v>29</v>
      </c>
      <c r="P697" t="str">
        <f>IF(BBDD_Usiarios_Netflix[[#This Row],[País]]="","Desconocido",BBDD_Usiarios_Netflix[[#This Row],[País]])</f>
        <v>EEUU</v>
      </c>
      <c r="Q697">
        <v>31</v>
      </c>
      <c r="R697" t="s">
        <v>25</v>
      </c>
      <c r="S697" t="s">
        <v>31</v>
      </c>
      <c r="T697" t="s">
        <v>41</v>
      </c>
      <c r="U697">
        <f>IF(IFERROR(VLOOKUP(BBDD_Usiarios_Netflix[[#This Row],[Identificador Usuario]],A698:$A$5870,1,FALSE),0)&lt;&gt;0,1,0)</f>
        <v>0</v>
      </c>
      <c r="V697" s="6" t="str">
        <f>IF(BBDD_Usiarios_Netflix[[#This Row],[Duración Plan]]="12 Meses",LEFT(BBDD_Usiarios_Netflix[[#This Row],[Duración Plan]],2),LEFT(BBDD_Usiarios_Netflix[[#This Row],[Duración Plan]],1))</f>
        <v>12</v>
      </c>
      <c r="W6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698" spans="1:23" x14ac:dyDescent="0.25">
      <c r="A698">
        <v>697</v>
      </c>
      <c r="B698" t="s">
        <v>23</v>
      </c>
      <c r="C698">
        <v>10</v>
      </c>
      <c r="D698" s="3">
        <v>6</v>
      </c>
      <c r="E698" s="3">
        <v>10</v>
      </c>
      <c r="F698">
        <v>23</v>
      </c>
      <c r="G698" s="1">
        <f>DATEVALUE(_xlfn.CONCAT(BBDD_Usiarios_Netflix[[#This Row],[Día Suscripción]],"/",BBDD_Usiarios_Netflix[[#This Row],[Mes Suscripción]],"/",BBDD_Usiarios_Netflix[[#This Row],[Año Suscripción]]))</f>
        <v>45205</v>
      </c>
      <c r="H698" s="1">
        <v>29</v>
      </c>
      <c r="I698" s="1">
        <v>6</v>
      </c>
      <c r="J698" s="1">
        <v>24</v>
      </c>
      <c r="K698" s="1" t="str">
        <f>TEXT(BBDD_Usiarios_Netflix[[#This Row],[Fecha Suscripción]],"dddd")</f>
        <v>viernes</v>
      </c>
      <c r="L698" s="1">
        <f>DATEVALUE(_xlfn.CONCAT(BBDD_Usiarios_Netflix[[#This Row],[Día Último Pago]],"/",BBDD_Usiarios_Netflix[[#This Row],[Mes Último Pago]],"/",BBDD_Usiarios_Netflix[[#This Row],[Año Último Pago]]))</f>
        <v>45472</v>
      </c>
      <c r="M698" s="4">
        <f>DATEDIF(BBDD_Usiarios_Netflix[[#This Row],[Fecha Suscripción]],BBDD_Usiarios_Netflix[[#This Row],[Fecha Último Pago]],"M")+1</f>
        <v>9</v>
      </c>
      <c r="N698" s="4">
        <f>BBDD_Usiarios_Netflix[[#This Row],[Ingresos Mensuales]]*BBDD_Usiarios_Netflix[[#This Row],[Meses contratados]]</f>
        <v>90</v>
      </c>
      <c r="O698" t="s">
        <v>43</v>
      </c>
      <c r="P698" t="str">
        <f>IF(BBDD_Usiarios_Netflix[[#This Row],[País]]="","Desconocido",BBDD_Usiarios_Netflix[[#This Row],[País]])</f>
        <v>Alemania</v>
      </c>
      <c r="Q698">
        <v>43</v>
      </c>
      <c r="R698" t="s">
        <v>25</v>
      </c>
      <c r="S698" t="s">
        <v>34</v>
      </c>
      <c r="T698" t="s">
        <v>27</v>
      </c>
      <c r="U698">
        <f>IF(IFERROR(VLOOKUP(BBDD_Usiarios_Netflix[[#This Row],[Identificador Usuario]],A699:$A$5870,1,FALSE),0)&lt;&gt;0,1,0)</f>
        <v>0</v>
      </c>
      <c r="V698" s="6" t="str">
        <f>IF(BBDD_Usiarios_Netflix[[#This Row],[Duración Plan]]="12 Meses",LEFT(BBDD_Usiarios_Netflix[[#This Row],[Duración Plan]],2),LEFT(BBDD_Usiarios_Netflix[[#This Row],[Duración Plan]],1))</f>
        <v>1</v>
      </c>
      <c r="W6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699" spans="1:23" x14ac:dyDescent="0.25">
      <c r="A699">
        <v>698</v>
      </c>
      <c r="B699" t="s">
        <v>32</v>
      </c>
      <c r="C699">
        <v>12</v>
      </c>
      <c r="D699" s="3">
        <v>12</v>
      </c>
      <c r="E699" s="3">
        <v>10</v>
      </c>
      <c r="F699">
        <v>23</v>
      </c>
      <c r="G699" s="1">
        <f>DATEVALUE(_xlfn.CONCAT(BBDD_Usiarios_Netflix[[#This Row],[Día Suscripción]],"/",BBDD_Usiarios_Netflix[[#This Row],[Mes Suscripción]],"/",BBDD_Usiarios_Netflix[[#This Row],[Año Suscripción]]))</f>
        <v>45211</v>
      </c>
      <c r="H699" s="1">
        <v>2</v>
      </c>
      <c r="I699" s="1">
        <v>7</v>
      </c>
      <c r="J699" s="1">
        <v>24</v>
      </c>
      <c r="K699" s="1" t="str">
        <f>TEXT(BBDD_Usiarios_Netflix[[#This Row],[Fecha Suscripción]],"dddd")</f>
        <v>jueves</v>
      </c>
      <c r="L699" s="1">
        <f>DATEVALUE(_xlfn.CONCAT(BBDD_Usiarios_Netflix[[#This Row],[Día Último Pago]],"/",BBDD_Usiarios_Netflix[[#This Row],[Mes Último Pago]],"/",BBDD_Usiarios_Netflix[[#This Row],[Año Último Pago]]))</f>
        <v>45475</v>
      </c>
      <c r="M699" s="4">
        <f>DATEDIF(BBDD_Usiarios_Netflix[[#This Row],[Fecha Suscripción]],BBDD_Usiarios_Netflix[[#This Row],[Fecha Último Pago]],"M")+1</f>
        <v>9</v>
      </c>
      <c r="N699" s="4">
        <f>BBDD_Usiarios_Netflix[[#This Row],[Ingresos Mensuales]]*BBDD_Usiarios_Netflix[[#This Row],[Meses contratados]]</f>
        <v>108</v>
      </c>
      <c r="O699" t="s">
        <v>33</v>
      </c>
      <c r="P699" t="str">
        <f>IF(BBDD_Usiarios_Netflix[[#This Row],[País]]="","Desconocido",BBDD_Usiarios_Netflix[[#This Row],[País]])</f>
        <v>Francia</v>
      </c>
      <c r="Q699">
        <v>28</v>
      </c>
      <c r="R699" t="s">
        <v>25</v>
      </c>
      <c r="S699" t="s">
        <v>36</v>
      </c>
      <c r="T699" t="s">
        <v>27</v>
      </c>
      <c r="U699">
        <f>IF(IFERROR(VLOOKUP(BBDD_Usiarios_Netflix[[#This Row],[Identificador Usuario]],A700:$A$5870,1,FALSE),0)&lt;&gt;0,1,0)</f>
        <v>0</v>
      </c>
      <c r="V699" s="6" t="str">
        <f>IF(BBDD_Usiarios_Netflix[[#This Row],[Duración Plan]]="12 Meses",LEFT(BBDD_Usiarios_Netflix[[#This Row],[Duración Plan]],2),LEFT(BBDD_Usiarios_Netflix[[#This Row],[Duración Plan]],1))</f>
        <v>1</v>
      </c>
      <c r="W6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0" spans="1:23" x14ac:dyDescent="0.25">
      <c r="A700">
        <v>699</v>
      </c>
      <c r="B700" t="s">
        <v>32</v>
      </c>
      <c r="C700">
        <v>12</v>
      </c>
      <c r="D700" s="3">
        <v>7</v>
      </c>
      <c r="E700" s="3">
        <v>10</v>
      </c>
      <c r="F700">
        <v>23</v>
      </c>
      <c r="G700" s="1">
        <f>DATEVALUE(_xlfn.CONCAT(BBDD_Usiarios_Netflix[[#This Row],[Día Suscripción]],"/",BBDD_Usiarios_Netflix[[#This Row],[Mes Suscripción]],"/",BBDD_Usiarios_Netflix[[#This Row],[Año Suscripción]]))</f>
        <v>45206</v>
      </c>
      <c r="H700" s="1">
        <v>30</v>
      </c>
      <c r="I700" s="1">
        <v>6</v>
      </c>
      <c r="J700" s="1">
        <v>24</v>
      </c>
      <c r="K700" s="1" t="str">
        <f>TEXT(BBDD_Usiarios_Netflix[[#This Row],[Fecha Suscripción]],"dddd")</f>
        <v>sábado</v>
      </c>
      <c r="L700" s="1">
        <f>DATEVALUE(_xlfn.CONCAT(BBDD_Usiarios_Netflix[[#This Row],[Día Último Pago]],"/",BBDD_Usiarios_Netflix[[#This Row],[Mes Último Pago]],"/",BBDD_Usiarios_Netflix[[#This Row],[Año Último Pago]]))</f>
        <v>45473</v>
      </c>
      <c r="M700" s="4">
        <f>DATEDIF(BBDD_Usiarios_Netflix[[#This Row],[Fecha Suscripción]],BBDD_Usiarios_Netflix[[#This Row],[Fecha Último Pago]],"M")+1</f>
        <v>9</v>
      </c>
      <c r="N700" s="4">
        <f>BBDD_Usiarios_Netflix[[#This Row],[Ingresos Mensuales]]*BBDD_Usiarios_Netflix[[#This Row],[Meses contratados]]</f>
        <v>108</v>
      </c>
      <c r="O700" t="s">
        <v>24</v>
      </c>
      <c r="P700" t="str">
        <f>IF(BBDD_Usiarios_Netflix[[#This Row],[País]]="","Desconocido",BBDD_Usiarios_Netflix[[#This Row],[País]])</f>
        <v>Australia</v>
      </c>
      <c r="Q700">
        <v>32</v>
      </c>
      <c r="R700" t="s">
        <v>30</v>
      </c>
      <c r="S700" t="s">
        <v>26</v>
      </c>
      <c r="T700" t="s">
        <v>27</v>
      </c>
      <c r="U700">
        <f>IF(IFERROR(VLOOKUP(BBDD_Usiarios_Netflix[[#This Row],[Identificador Usuario]],A701:$A$5870,1,FALSE),0)&lt;&gt;0,1,0)</f>
        <v>0</v>
      </c>
      <c r="V700" s="6" t="str">
        <f>IF(BBDD_Usiarios_Netflix[[#This Row],[Duración Plan]]="12 Meses",LEFT(BBDD_Usiarios_Netflix[[#This Row],[Duración Plan]],2),LEFT(BBDD_Usiarios_Netflix[[#This Row],[Duración Plan]],1))</f>
        <v>1</v>
      </c>
      <c r="W7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1" spans="1:23" x14ac:dyDescent="0.25">
      <c r="A701">
        <v>700</v>
      </c>
      <c r="B701" t="s">
        <v>23</v>
      </c>
      <c r="C701">
        <v>10</v>
      </c>
      <c r="D701" s="3">
        <v>4</v>
      </c>
      <c r="E701" s="3">
        <v>10</v>
      </c>
      <c r="F701">
        <v>23</v>
      </c>
      <c r="G701" s="1">
        <f>DATEVALUE(_xlfn.CONCAT(BBDD_Usiarios_Netflix[[#This Row],[Día Suscripción]],"/",BBDD_Usiarios_Netflix[[#This Row],[Mes Suscripción]],"/",BBDD_Usiarios_Netflix[[#This Row],[Año Suscripción]]))</f>
        <v>45203</v>
      </c>
      <c r="H701" s="1">
        <v>30</v>
      </c>
      <c r="I701" s="1">
        <v>6</v>
      </c>
      <c r="J701" s="1">
        <v>24</v>
      </c>
      <c r="K701" s="1" t="str">
        <f>TEXT(BBDD_Usiarios_Netflix[[#This Row],[Fecha Suscripción]],"dddd")</f>
        <v>miércoles</v>
      </c>
      <c r="L701" s="1">
        <f>DATEVALUE(_xlfn.CONCAT(BBDD_Usiarios_Netflix[[#This Row],[Día Último Pago]],"/",BBDD_Usiarios_Netflix[[#This Row],[Mes Último Pago]],"/",BBDD_Usiarios_Netflix[[#This Row],[Año Último Pago]]))</f>
        <v>45473</v>
      </c>
      <c r="M701" s="4">
        <f>DATEDIF(BBDD_Usiarios_Netflix[[#This Row],[Fecha Suscripción]],BBDD_Usiarios_Netflix[[#This Row],[Fecha Último Pago]],"M")+1</f>
        <v>9</v>
      </c>
      <c r="N701" s="4">
        <f>BBDD_Usiarios_Netflix[[#This Row],[Ingresos Mensuales]]*BBDD_Usiarios_Netflix[[#This Row],[Meses contratados]]</f>
        <v>90</v>
      </c>
      <c r="O701" t="s">
        <v>40</v>
      </c>
      <c r="P701" t="str">
        <f>IF(BBDD_Usiarios_Netflix[[#This Row],[País]]="","Desconocido",BBDD_Usiarios_Netflix[[#This Row],[País]])</f>
        <v>Italia</v>
      </c>
      <c r="Q701">
        <v>31</v>
      </c>
      <c r="R701" t="s">
        <v>30</v>
      </c>
      <c r="S701" t="s">
        <v>36</v>
      </c>
      <c r="T701" t="s">
        <v>27</v>
      </c>
      <c r="U701">
        <f>IF(IFERROR(VLOOKUP(BBDD_Usiarios_Netflix[[#This Row],[Identificador Usuario]],A702:$A$5870,1,FALSE),0)&lt;&gt;0,1,0)</f>
        <v>0</v>
      </c>
      <c r="V701" s="6" t="str">
        <f>IF(BBDD_Usiarios_Netflix[[#This Row],[Duración Plan]]="12 Meses",LEFT(BBDD_Usiarios_Netflix[[#This Row],[Duración Plan]],2),LEFT(BBDD_Usiarios_Netflix[[#This Row],[Duración Plan]],1))</f>
        <v>1</v>
      </c>
      <c r="W7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2" spans="1:23" x14ac:dyDescent="0.25">
      <c r="A702">
        <v>701</v>
      </c>
      <c r="B702" t="s">
        <v>28</v>
      </c>
      <c r="C702">
        <v>14</v>
      </c>
      <c r="D702" s="3">
        <v>24</v>
      </c>
      <c r="E702" s="3">
        <v>9</v>
      </c>
      <c r="F702">
        <v>23</v>
      </c>
      <c r="G702" s="1">
        <f>DATEVALUE(_xlfn.CONCAT(BBDD_Usiarios_Netflix[[#This Row],[Día Suscripción]],"/",BBDD_Usiarios_Netflix[[#This Row],[Mes Suscripción]],"/",BBDD_Usiarios_Netflix[[#This Row],[Año Suscripción]]))</f>
        <v>45193</v>
      </c>
      <c r="H702" s="1">
        <v>28</v>
      </c>
      <c r="I702" s="1">
        <v>6</v>
      </c>
      <c r="J702" s="1">
        <v>24</v>
      </c>
      <c r="K702" s="1" t="str">
        <f>TEXT(BBDD_Usiarios_Netflix[[#This Row],[Fecha Suscripción]],"dddd")</f>
        <v>domingo</v>
      </c>
      <c r="L702" s="1">
        <f>DATEVALUE(_xlfn.CONCAT(BBDD_Usiarios_Netflix[[#This Row],[Día Último Pago]],"/",BBDD_Usiarios_Netflix[[#This Row],[Mes Último Pago]],"/",BBDD_Usiarios_Netflix[[#This Row],[Año Último Pago]]))</f>
        <v>45471</v>
      </c>
      <c r="M702" s="4">
        <f>DATEDIF(BBDD_Usiarios_Netflix[[#This Row],[Fecha Suscripción]],BBDD_Usiarios_Netflix[[#This Row],[Fecha Último Pago]],"M")+1</f>
        <v>10</v>
      </c>
      <c r="N702" s="4">
        <f>BBDD_Usiarios_Netflix[[#This Row],[Ingresos Mensuales]]*BBDD_Usiarios_Netflix[[#This Row],[Meses contratados]]</f>
        <v>140</v>
      </c>
      <c r="O702" t="s">
        <v>29</v>
      </c>
      <c r="P702" t="str">
        <f>IF(BBDD_Usiarios_Netflix[[#This Row],[País]]="","Desconocido",BBDD_Usiarios_Netflix[[#This Row],[País]])</f>
        <v>EEUU</v>
      </c>
      <c r="Q702">
        <v>45</v>
      </c>
      <c r="R702" t="s">
        <v>25</v>
      </c>
      <c r="S702" t="s">
        <v>34</v>
      </c>
      <c r="T702" t="s">
        <v>35</v>
      </c>
      <c r="U702">
        <f>IF(IFERROR(VLOOKUP(BBDD_Usiarios_Netflix[[#This Row],[Identificador Usuario]],A703:$A$5870,1,FALSE),0)&lt;&gt;0,1,0)</f>
        <v>0</v>
      </c>
      <c r="V702" s="6" t="str">
        <f>IF(BBDD_Usiarios_Netflix[[#This Row],[Duración Plan]]="12 Meses",LEFT(BBDD_Usiarios_Netflix[[#This Row],[Duración Plan]],2),LEFT(BBDD_Usiarios_Netflix[[#This Row],[Duración Plan]],1))</f>
        <v>6</v>
      </c>
      <c r="W7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03" spans="1:23" x14ac:dyDescent="0.25">
      <c r="A703">
        <v>702</v>
      </c>
      <c r="B703" t="s">
        <v>23</v>
      </c>
      <c r="C703">
        <v>10</v>
      </c>
      <c r="D703" s="3">
        <v>25</v>
      </c>
      <c r="E703" s="3">
        <v>9</v>
      </c>
      <c r="F703">
        <v>23</v>
      </c>
      <c r="G703" s="1">
        <f>DATEVALUE(_xlfn.CONCAT(BBDD_Usiarios_Netflix[[#This Row],[Día Suscripción]],"/",BBDD_Usiarios_Netflix[[#This Row],[Mes Suscripción]],"/",BBDD_Usiarios_Netflix[[#This Row],[Año Suscripción]]))</f>
        <v>45194</v>
      </c>
      <c r="H703" s="1">
        <v>1</v>
      </c>
      <c r="I703" s="1">
        <v>7</v>
      </c>
      <c r="J703" s="1">
        <v>24</v>
      </c>
      <c r="K703" s="1" t="str">
        <f>TEXT(BBDD_Usiarios_Netflix[[#This Row],[Fecha Suscripción]],"dddd")</f>
        <v>lunes</v>
      </c>
      <c r="L703" s="1">
        <f>DATEVALUE(_xlfn.CONCAT(BBDD_Usiarios_Netflix[[#This Row],[Día Último Pago]],"/",BBDD_Usiarios_Netflix[[#This Row],[Mes Último Pago]],"/",BBDD_Usiarios_Netflix[[#This Row],[Año Último Pago]]))</f>
        <v>45474</v>
      </c>
      <c r="M703" s="4">
        <f>DATEDIF(BBDD_Usiarios_Netflix[[#This Row],[Fecha Suscripción]],BBDD_Usiarios_Netflix[[#This Row],[Fecha Último Pago]],"M")+1</f>
        <v>10</v>
      </c>
      <c r="N703" s="4">
        <f>BBDD_Usiarios_Netflix[[#This Row],[Ingresos Mensuales]]*BBDD_Usiarios_Netflix[[#This Row],[Meses contratados]]</f>
        <v>100</v>
      </c>
      <c r="O703" t="s">
        <v>39</v>
      </c>
      <c r="P703" t="str">
        <f>IF(BBDD_Usiarios_Netflix[[#This Row],[País]]="","Desconocido",BBDD_Usiarios_Netflix[[#This Row],[País]])</f>
        <v>Canadá</v>
      </c>
      <c r="Q703">
        <v>36</v>
      </c>
      <c r="R703" t="s">
        <v>25</v>
      </c>
      <c r="S703" t="s">
        <v>26</v>
      </c>
      <c r="T703" t="s">
        <v>27</v>
      </c>
      <c r="U703">
        <f>IF(IFERROR(VLOOKUP(BBDD_Usiarios_Netflix[[#This Row],[Identificador Usuario]],A704:$A$5870,1,FALSE),0)&lt;&gt;0,1,0)</f>
        <v>0</v>
      </c>
      <c r="V703" s="6" t="str">
        <f>IF(BBDD_Usiarios_Netflix[[#This Row],[Duración Plan]]="12 Meses",LEFT(BBDD_Usiarios_Netflix[[#This Row],[Duración Plan]],2),LEFT(BBDD_Usiarios_Netflix[[#This Row],[Duración Plan]],1))</f>
        <v>1</v>
      </c>
      <c r="W7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4" spans="1:23" x14ac:dyDescent="0.25">
      <c r="A704">
        <v>703</v>
      </c>
      <c r="B704" t="s">
        <v>32</v>
      </c>
      <c r="C704">
        <v>12</v>
      </c>
      <c r="D704" s="3">
        <v>27</v>
      </c>
      <c r="E704" s="3">
        <v>9</v>
      </c>
      <c r="F704">
        <v>23</v>
      </c>
      <c r="G704" s="1">
        <f>DATEVALUE(_xlfn.CONCAT(BBDD_Usiarios_Netflix[[#This Row],[Día Suscripción]],"/",BBDD_Usiarios_Netflix[[#This Row],[Mes Suscripción]],"/",BBDD_Usiarios_Netflix[[#This Row],[Año Suscripción]]))</f>
        <v>45196</v>
      </c>
      <c r="H704" s="1">
        <v>30</v>
      </c>
      <c r="I704" s="1">
        <v>6</v>
      </c>
      <c r="J704" s="1">
        <v>24</v>
      </c>
      <c r="K704" s="1" t="str">
        <f>TEXT(BBDD_Usiarios_Netflix[[#This Row],[Fecha Suscripción]],"dddd")</f>
        <v>miércoles</v>
      </c>
      <c r="L704" s="1">
        <f>DATEVALUE(_xlfn.CONCAT(BBDD_Usiarios_Netflix[[#This Row],[Día Último Pago]],"/",BBDD_Usiarios_Netflix[[#This Row],[Mes Último Pago]],"/",BBDD_Usiarios_Netflix[[#This Row],[Año Último Pago]]))</f>
        <v>45473</v>
      </c>
      <c r="M704" s="4">
        <f>DATEDIF(BBDD_Usiarios_Netflix[[#This Row],[Fecha Suscripción]],BBDD_Usiarios_Netflix[[#This Row],[Fecha Último Pago]],"M")+1</f>
        <v>10</v>
      </c>
      <c r="N704" s="4">
        <f>BBDD_Usiarios_Netflix[[#This Row],[Ingresos Mensuales]]*BBDD_Usiarios_Netflix[[#This Row],[Meses contratados]]</f>
        <v>120</v>
      </c>
      <c r="O704" t="s">
        <v>29</v>
      </c>
      <c r="P704" t="str">
        <f>IF(BBDD_Usiarios_Netflix[[#This Row],[País]]="","Desconocido",BBDD_Usiarios_Netflix[[#This Row],[País]])</f>
        <v>EEUU</v>
      </c>
      <c r="Q704">
        <v>35</v>
      </c>
      <c r="R704" t="s">
        <v>25</v>
      </c>
      <c r="S704" t="s">
        <v>36</v>
      </c>
      <c r="T704" t="s">
        <v>27</v>
      </c>
      <c r="U704">
        <f>IF(IFERROR(VLOOKUP(BBDD_Usiarios_Netflix[[#This Row],[Identificador Usuario]],A705:$A$5870,1,FALSE),0)&lt;&gt;0,1,0)</f>
        <v>0</v>
      </c>
      <c r="V704" s="6" t="str">
        <f>IF(BBDD_Usiarios_Netflix[[#This Row],[Duración Plan]]="12 Meses",LEFT(BBDD_Usiarios_Netflix[[#This Row],[Duración Plan]],2),LEFT(BBDD_Usiarios_Netflix[[#This Row],[Duración Plan]],1))</f>
        <v>1</v>
      </c>
      <c r="W7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5" spans="1:23" x14ac:dyDescent="0.25">
      <c r="A705">
        <v>704</v>
      </c>
      <c r="B705" t="s">
        <v>28</v>
      </c>
      <c r="C705">
        <v>14</v>
      </c>
      <c r="D705" s="3">
        <v>30</v>
      </c>
      <c r="E705" s="3">
        <v>9</v>
      </c>
      <c r="F705">
        <v>23</v>
      </c>
      <c r="G705" s="1">
        <f>DATEVALUE(_xlfn.CONCAT(BBDD_Usiarios_Netflix[[#This Row],[Día Suscripción]],"/",BBDD_Usiarios_Netflix[[#This Row],[Mes Suscripción]],"/",BBDD_Usiarios_Netflix[[#This Row],[Año Suscripción]]))</f>
        <v>45199</v>
      </c>
      <c r="H705" s="1">
        <v>1</v>
      </c>
      <c r="I705" s="1">
        <v>7</v>
      </c>
      <c r="J705" s="1">
        <v>24</v>
      </c>
      <c r="K705" s="1" t="str">
        <f>TEXT(BBDD_Usiarios_Netflix[[#This Row],[Fecha Suscripción]],"dddd")</f>
        <v>sábado</v>
      </c>
      <c r="L705" s="1">
        <f>DATEVALUE(_xlfn.CONCAT(BBDD_Usiarios_Netflix[[#This Row],[Día Último Pago]],"/",BBDD_Usiarios_Netflix[[#This Row],[Mes Último Pago]],"/",BBDD_Usiarios_Netflix[[#This Row],[Año Último Pago]]))</f>
        <v>45474</v>
      </c>
      <c r="M705" s="4">
        <f>DATEDIF(BBDD_Usiarios_Netflix[[#This Row],[Fecha Suscripción]],BBDD_Usiarios_Netflix[[#This Row],[Fecha Último Pago]],"M")+1</f>
        <v>10</v>
      </c>
      <c r="N705" s="4">
        <f>BBDD_Usiarios_Netflix[[#This Row],[Ingresos Mensuales]]*BBDD_Usiarios_Netflix[[#This Row],[Meses contratados]]</f>
        <v>140</v>
      </c>
      <c r="O705" t="s">
        <v>46</v>
      </c>
      <c r="P705" t="str">
        <f>IF(BBDD_Usiarios_Netflix[[#This Row],[País]]="","Desconocido",BBDD_Usiarios_Netflix[[#This Row],[País]])</f>
        <v>Méjico</v>
      </c>
      <c r="Q705">
        <v>27</v>
      </c>
      <c r="R705" t="s">
        <v>30</v>
      </c>
      <c r="S705" t="s">
        <v>31</v>
      </c>
      <c r="T705" t="s">
        <v>27</v>
      </c>
      <c r="U705">
        <f>IF(IFERROR(VLOOKUP(BBDD_Usiarios_Netflix[[#This Row],[Identificador Usuario]],A706:$A$5870,1,FALSE),0)&lt;&gt;0,1,0)</f>
        <v>0</v>
      </c>
      <c r="V705" s="6" t="str">
        <f>IF(BBDD_Usiarios_Netflix[[#This Row],[Duración Plan]]="12 Meses",LEFT(BBDD_Usiarios_Netflix[[#This Row],[Duración Plan]],2),LEFT(BBDD_Usiarios_Netflix[[#This Row],[Duración Plan]],1))</f>
        <v>1</v>
      </c>
      <c r="W7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6" spans="1:23" x14ac:dyDescent="0.25">
      <c r="A706">
        <v>705</v>
      </c>
      <c r="B706" t="s">
        <v>23</v>
      </c>
      <c r="C706">
        <v>10</v>
      </c>
      <c r="D706" s="3">
        <v>4</v>
      </c>
      <c r="E706" s="3">
        <v>10</v>
      </c>
      <c r="F706">
        <v>23</v>
      </c>
      <c r="G706" s="1">
        <f>DATEVALUE(_xlfn.CONCAT(BBDD_Usiarios_Netflix[[#This Row],[Día Suscripción]],"/",BBDD_Usiarios_Netflix[[#This Row],[Mes Suscripción]],"/",BBDD_Usiarios_Netflix[[#This Row],[Año Suscripción]]))</f>
        <v>45203</v>
      </c>
      <c r="H706" s="1">
        <v>28</v>
      </c>
      <c r="I706" s="1">
        <v>6</v>
      </c>
      <c r="J706" s="1">
        <v>24</v>
      </c>
      <c r="K706" s="1" t="str">
        <f>TEXT(BBDD_Usiarios_Netflix[[#This Row],[Fecha Suscripción]],"dddd")</f>
        <v>miércoles</v>
      </c>
      <c r="L706" s="1">
        <f>DATEVALUE(_xlfn.CONCAT(BBDD_Usiarios_Netflix[[#This Row],[Día Último Pago]],"/",BBDD_Usiarios_Netflix[[#This Row],[Mes Último Pago]],"/",BBDD_Usiarios_Netflix[[#This Row],[Año Último Pago]]))</f>
        <v>45471</v>
      </c>
      <c r="M706" s="4">
        <f>DATEDIF(BBDD_Usiarios_Netflix[[#This Row],[Fecha Suscripción]],BBDD_Usiarios_Netflix[[#This Row],[Fecha Último Pago]],"M")+1</f>
        <v>9</v>
      </c>
      <c r="N706" s="4">
        <f>BBDD_Usiarios_Netflix[[#This Row],[Ingresos Mensuales]]*BBDD_Usiarios_Netflix[[#This Row],[Meses contratados]]</f>
        <v>90</v>
      </c>
      <c r="O706" t="s">
        <v>24</v>
      </c>
      <c r="P706" t="str">
        <f>IF(BBDD_Usiarios_Netflix[[#This Row],[País]]="","Desconocido",BBDD_Usiarios_Netflix[[#This Row],[País]])</f>
        <v>Australia</v>
      </c>
      <c r="Q706">
        <v>32</v>
      </c>
      <c r="R706" t="s">
        <v>25</v>
      </c>
      <c r="S706" t="s">
        <v>36</v>
      </c>
      <c r="T706" t="s">
        <v>27</v>
      </c>
      <c r="U706">
        <f>IF(IFERROR(VLOOKUP(BBDD_Usiarios_Netflix[[#This Row],[Identificador Usuario]],A707:$A$5870,1,FALSE),0)&lt;&gt;0,1,0)</f>
        <v>0</v>
      </c>
      <c r="V706" s="6" t="str">
        <f>IF(BBDD_Usiarios_Netflix[[#This Row],[Duración Plan]]="12 Meses",LEFT(BBDD_Usiarios_Netflix[[#This Row],[Duración Plan]],2),LEFT(BBDD_Usiarios_Netflix[[#This Row],[Duración Plan]],1))</f>
        <v>1</v>
      </c>
      <c r="W7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07" spans="1:23" x14ac:dyDescent="0.25">
      <c r="A707">
        <v>706</v>
      </c>
      <c r="B707" t="s">
        <v>28</v>
      </c>
      <c r="C707">
        <v>14</v>
      </c>
      <c r="D707" s="3">
        <v>24</v>
      </c>
      <c r="E707" s="3">
        <v>10</v>
      </c>
      <c r="F707">
        <v>23</v>
      </c>
      <c r="G707" s="1">
        <f>DATEVALUE(_xlfn.CONCAT(BBDD_Usiarios_Netflix[[#This Row],[Día Suscripción]],"/",BBDD_Usiarios_Netflix[[#This Row],[Mes Suscripción]],"/",BBDD_Usiarios_Netflix[[#This Row],[Año Suscripción]]))</f>
        <v>45223</v>
      </c>
      <c r="H707" s="1">
        <v>1</v>
      </c>
      <c r="I707" s="1">
        <v>7</v>
      </c>
      <c r="J707" s="1">
        <v>24</v>
      </c>
      <c r="K707" s="1" t="str">
        <f>TEXT(BBDD_Usiarios_Netflix[[#This Row],[Fecha Suscripción]],"dddd")</f>
        <v>martes</v>
      </c>
      <c r="L707" s="1">
        <f>DATEVALUE(_xlfn.CONCAT(BBDD_Usiarios_Netflix[[#This Row],[Día Último Pago]],"/",BBDD_Usiarios_Netflix[[#This Row],[Mes Último Pago]],"/",BBDD_Usiarios_Netflix[[#This Row],[Año Último Pago]]))</f>
        <v>45474</v>
      </c>
      <c r="M707" s="4">
        <f>DATEDIF(BBDD_Usiarios_Netflix[[#This Row],[Fecha Suscripción]],BBDD_Usiarios_Netflix[[#This Row],[Fecha Último Pago]],"M")+1</f>
        <v>9</v>
      </c>
      <c r="N707" s="4">
        <f>BBDD_Usiarios_Netflix[[#This Row],[Ingresos Mensuales]]*BBDD_Usiarios_Netflix[[#This Row],[Meses contratados]]</f>
        <v>126</v>
      </c>
      <c r="O707" t="s">
        <v>40</v>
      </c>
      <c r="P707" t="str">
        <f>IF(BBDD_Usiarios_Netflix[[#This Row],[País]]="","Desconocido",BBDD_Usiarios_Netflix[[#This Row],[País]])</f>
        <v>Italia</v>
      </c>
      <c r="Q707">
        <v>46</v>
      </c>
      <c r="R707" t="s">
        <v>30</v>
      </c>
      <c r="S707" t="s">
        <v>26</v>
      </c>
      <c r="T707" t="s">
        <v>38</v>
      </c>
      <c r="U707">
        <f>IF(IFERROR(VLOOKUP(BBDD_Usiarios_Netflix[[#This Row],[Identificador Usuario]],A708:$A$5870,1,FALSE),0)&lt;&gt;0,1,0)</f>
        <v>0</v>
      </c>
      <c r="V707" s="6" t="str">
        <f>IF(BBDD_Usiarios_Netflix[[#This Row],[Duración Plan]]="12 Meses",LEFT(BBDD_Usiarios_Netflix[[#This Row],[Duración Plan]],2),LEFT(BBDD_Usiarios_Netflix[[#This Row],[Duración Plan]],1))</f>
        <v>3</v>
      </c>
      <c r="W7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08" spans="1:23" x14ac:dyDescent="0.25">
      <c r="A708">
        <v>707</v>
      </c>
      <c r="B708" t="s">
        <v>23</v>
      </c>
      <c r="C708">
        <v>10</v>
      </c>
      <c r="D708" s="3">
        <v>28</v>
      </c>
      <c r="E708" s="3">
        <v>10</v>
      </c>
      <c r="F708">
        <v>23</v>
      </c>
      <c r="G708" s="1">
        <f>DATEVALUE(_xlfn.CONCAT(BBDD_Usiarios_Netflix[[#This Row],[Día Suscripción]],"/",BBDD_Usiarios_Netflix[[#This Row],[Mes Suscripción]],"/",BBDD_Usiarios_Netflix[[#This Row],[Año Suscripción]]))</f>
        <v>45227</v>
      </c>
      <c r="H708" s="1">
        <v>30</v>
      </c>
      <c r="I708" s="1">
        <v>6</v>
      </c>
      <c r="J708" s="1">
        <v>24</v>
      </c>
      <c r="K708" s="1" t="str">
        <f>TEXT(BBDD_Usiarios_Netflix[[#This Row],[Fecha Suscripción]],"dddd")</f>
        <v>sábado</v>
      </c>
      <c r="L708" s="1">
        <f>DATEVALUE(_xlfn.CONCAT(BBDD_Usiarios_Netflix[[#This Row],[Día Último Pago]],"/",BBDD_Usiarios_Netflix[[#This Row],[Mes Último Pago]],"/",BBDD_Usiarios_Netflix[[#This Row],[Año Último Pago]]))</f>
        <v>45473</v>
      </c>
      <c r="M708" s="4">
        <f>DATEDIF(BBDD_Usiarios_Netflix[[#This Row],[Fecha Suscripción]],BBDD_Usiarios_Netflix[[#This Row],[Fecha Último Pago]],"M")+1</f>
        <v>9</v>
      </c>
      <c r="N708" s="4">
        <f>BBDD_Usiarios_Netflix[[#This Row],[Ingresos Mensuales]]*BBDD_Usiarios_Netflix[[#This Row],[Meses contratados]]</f>
        <v>90</v>
      </c>
      <c r="O708" t="s">
        <v>39</v>
      </c>
      <c r="P708" t="str">
        <f>IF(BBDD_Usiarios_Netflix[[#This Row],[País]]="","Desconocido",BBDD_Usiarios_Netflix[[#This Row],[País]])</f>
        <v>Canadá</v>
      </c>
      <c r="Q708">
        <v>36</v>
      </c>
      <c r="R708" t="s">
        <v>25</v>
      </c>
      <c r="S708" t="s">
        <v>34</v>
      </c>
      <c r="T708" t="s">
        <v>35</v>
      </c>
      <c r="U708">
        <f>IF(IFERROR(VLOOKUP(BBDD_Usiarios_Netflix[[#This Row],[Identificador Usuario]],A709:$A$5870,1,FALSE),0)&lt;&gt;0,1,0)</f>
        <v>0</v>
      </c>
      <c r="V708" s="6" t="str">
        <f>IF(BBDD_Usiarios_Netflix[[#This Row],[Duración Plan]]="12 Meses",LEFT(BBDD_Usiarios_Netflix[[#This Row],[Duración Plan]],2),LEFT(BBDD_Usiarios_Netflix[[#This Row],[Duración Plan]],1))</f>
        <v>6</v>
      </c>
      <c r="W7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09" spans="1:23" x14ac:dyDescent="0.25">
      <c r="A709">
        <v>708</v>
      </c>
      <c r="B709" t="s">
        <v>32</v>
      </c>
      <c r="C709">
        <v>12</v>
      </c>
      <c r="D709" s="3">
        <v>2</v>
      </c>
      <c r="E709" s="3">
        <v>11</v>
      </c>
      <c r="F709">
        <v>23</v>
      </c>
      <c r="G709" s="1">
        <f>DATEVALUE(_xlfn.CONCAT(BBDD_Usiarios_Netflix[[#This Row],[Día Suscripción]],"/",BBDD_Usiarios_Netflix[[#This Row],[Mes Suscripción]],"/",BBDD_Usiarios_Netflix[[#This Row],[Año Suscripción]]))</f>
        <v>45232</v>
      </c>
      <c r="H709" s="1">
        <v>1</v>
      </c>
      <c r="I709" s="1">
        <v>7</v>
      </c>
      <c r="J709" s="1">
        <v>24</v>
      </c>
      <c r="K709" s="1" t="str">
        <f>TEXT(BBDD_Usiarios_Netflix[[#This Row],[Fecha Suscripción]],"dddd")</f>
        <v>jueves</v>
      </c>
      <c r="L709" s="1">
        <f>DATEVALUE(_xlfn.CONCAT(BBDD_Usiarios_Netflix[[#This Row],[Día Último Pago]],"/",BBDD_Usiarios_Netflix[[#This Row],[Mes Último Pago]],"/",BBDD_Usiarios_Netflix[[#This Row],[Año Último Pago]]))</f>
        <v>45474</v>
      </c>
      <c r="M709" s="4">
        <f>DATEDIF(BBDD_Usiarios_Netflix[[#This Row],[Fecha Suscripción]],BBDD_Usiarios_Netflix[[#This Row],[Fecha Último Pago]],"M")+1</f>
        <v>8</v>
      </c>
      <c r="N709" s="4">
        <f>BBDD_Usiarios_Netflix[[#This Row],[Ingresos Mensuales]]*BBDD_Usiarios_Netflix[[#This Row],[Meses contratados]]</f>
        <v>96</v>
      </c>
      <c r="O709" t="s">
        <v>29</v>
      </c>
      <c r="P709" t="str">
        <f>IF(BBDD_Usiarios_Netflix[[#This Row],[País]]="","Desconocido",BBDD_Usiarios_Netflix[[#This Row],[País]])</f>
        <v>EEUU</v>
      </c>
      <c r="Q709">
        <v>39</v>
      </c>
      <c r="R709" t="s">
        <v>25</v>
      </c>
      <c r="S709" t="s">
        <v>36</v>
      </c>
      <c r="T709" t="s">
        <v>38</v>
      </c>
      <c r="U709">
        <f>IF(IFERROR(VLOOKUP(BBDD_Usiarios_Netflix[[#This Row],[Identificador Usuario]],A710:$A$5870,1,FALSE),0)&lt;&gt;0,1,0)</f>
        <v>0</v>
      </c>
      <c r="V709" s="6" t="str">
        <f>IF(BBDD_Usiarios_Netflix[[#This Row],[Duración Plan]]="12 Meses",LEFT(BBDD_Usiarios_Netflix[[#This Row],[Duración Plan]],2),LEFT(BBDD_Usiarios_Netflix[[#This Row],[Duración Plan]],1))</f>
        <v>3</v>
      </c>
      <c r="W7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10" spans="1:23" x14ac:dyDescent="0.25">
      <c r="A710">
        <v>709</v>
      </c>
      <c r="B710" t="s">
        <v>32</v>
      </c>
      <c r="C710">
        <v>12</v>
      </c>
      <c r="D710" s="3">
        <v>7</v>
      </c>
      <c r="E710" s="3">
        <v>11</v>
      </c>
      <c r="F710">
        <v>23</v>
      </c>
      <c r="G710" s="1">
        <f>DATEVALUE(_xlfn.CONCAT(BBDD_Usiarios_Netflix[[#This Row],[Día Suscripción]],"/",BBDD_Usiarios_Netflix[[#This Row],[Mes Suscripción]],"/",BBDD_Usiarios_Netflix[[#This Row],[Año Suscripción]]))</f>
        <v>45237</v>
      </c>
      <c r="H710" s="1">
        <v>28</v>
      </c>
      <c r="I710" s="1">
        <v>6</v>
      </c>
      <c r="J710" s="1">
        <v>24</v>
      </c>
      <c r="K710" s="1" t="str">
        <f>TEXT(BBDD_Usiarios_Netflix[[#This Row],[Fecha Suscripción]],"dddd")</f>
        <v>martes</v>
      </c>
      <c r="L710" s="1">
        <f>DATEVALUE(_xlfn.CONCAT(BBDD_Usiarios_Netflix[[#This Row],[Día Último Pago]],"/",BBDD_Usiarios_Netflix[[#This Row],[Mes Último Pago]],"/",BBDD_Usiarios_Netflix[[#This Row],[Año Último Pago]]))</f>
        <v>45471</v>
      </c>
      <c r="M710" s="4">
        <f>DATEDIF(BBDD_Usiarios_Netflix[[#This Row],[Fecha Suscripción]],BBDD_Usiarios_Netflix[[#This Row],[Fecha Último Pago]],"M")+1</f>
        <v>8</v>
      </c>
      <c r="N710" s="4">
        <f>BBDD_Usiarios_Netflix[[#This Row],[Ingresos Mensuales]]*BBDD_Usiarios_Netflix[[#This Row],[Meses contratados]]</f>
        <v>96</v>
      </c>
      <c r="O710" t="s">
        <v>29</v>
      </c>
      <c r="P710" t="str">
        <f>IF(BBDD_Usiarios_Netflix[[#This Row],[País]]="","Desconocido",BBDD_Usiarios_Netflix[[#This Row],[País]])</f>
        <v>EEUU</v>
      </c>
      <c r="Q710">
        <v>48</v>
      </c>
      <c r="R710" t="s">
        <v>30</v>
      </c>
      <c r="S710" t="s">
        <v>34</v>
      </c>
      <c r="T710" t="s">
        <v>41</v>
      </c>
      <c r="U710">
        <f>IF(IFERROR(VLOOKUP(BBDD_Usiarios_Netflix[[#This Row],[Identificador Usuario]],A711:$A$5870,1,FALSE),0)&lt;&gt;0,1,0)</f>
        <v>0</v>
      </c>
      <c r="V710" s="6" t="str">
        <f>IF(BBDD_Usiarios_Netflix[[#This Row],[Duración Plan]]="12 Meses",LEFT(BBDD_Usiarios_Netflix[[#This Row],[Duración Plan]],2),LEFT(BBDD_Usiarios_Netflix[[#This Row],[Duración Plan]],1))</f>
        <v>12</v>
      </c>
      <c r="W7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11" spans="1:23" x14ac:dyDescent="0.25">
      <c r="A711">
        <v>710</v>
      </c>
      <c r="B711" t="s">
        <v>23</v>
      </c>
      <c r="C711">
        <v>10</v>
      </c>
      <c r="D711" s="3">
        <v>10</v>
      </c>
      <c r="E711" s="3">
        <v>11</v>
      </c>
      <c r="F711">
        <v>23</v>
      </c>
      <c r="G711" s="1">
        <f>DATEVALUE(_xlfn.CONCAT(BBDD_Usiarios_Netflix[[#This Row],[Día Suscripción]],"/",BBDD_Usiarios_Netflix[[#This Row],[Mes Suscripción]],"/",BBDD_Usiarios_Netflix[[#This Row],[Año Suscripción]]))</f>
        <v>45240</v>
      </c>
      <c r="H711" s="1">
        <v>30</v>
      </c>
      <c r="I711" s="1">
        <v>6</v>
      </c>
      <c r="J711" s="1">
        <v>24</v>
      </c>
      <c r="K711" s="1" t="str">
        <f>TEXT(BBDD_Usiarios_Netflix[[#This Row],[Fecha Suscripción]],"dddd")</f>
        <v>viernes</v>
      </c>
      <c r="L711" s="1">
        <f>DATEVALUE(_xlfn.CONCAT(BBDD_Usiarios_Netflix[[#This Row],[Día Último Pago]],"/",BBDD_Usiarios_Netflix[[#This Row],[Mes Último Pago]],"/",BBDD_Usiarios_Netflix[[#This Row],[Año Último Pago]]))</f>
        <v>45473</v>
      </c>
      <c r="M711" s="4">
        <f>DATEDIF(BBDD_Usiarios_Netflix[[#This Row],[Fecha Suscripción]],BBDD_Usiarios_Netflix[[#This Row],[Fecha Último Pago]],"M")+1</f>
        <v>8</v>
      </c>
      <c r="N711" s="4">
        <f>BBDD_Usiarios_Netflix[[#This Row],[Ingresos Mensuales]]*BBDD_Usiarios_Netflix[[#This Row],[Meses contratados]]</f>
        <v>80</v>
      </c>
      <c r="O711" t="s">
        <v>42</v>
      </c>
      <c r="P711" t="str">
        <f>IF(BBDD_Usiarios_Netflix[[#This Row],[País]]="","Desconocido",BBDD_Usiarios_Netflix[[#This Row],[País]])</f>
        <v>Reino Unido</v>
      </c>
      <c r="Q711">
        <v>48</v>
      </c>
      <c r="R711" t="s">
        <v>30</v>
      </c>
      <c r="S711" t="s">
        <v>34</v>
      </c>
      <c r="T711" t="s">
        <v>38</v>
      </c>
      <c r="U711">
        <f>IF(IFERROR(VLOOKUP(BBDD_Usiarios_Netflix[[#This Row],[Identificador Usuario]],A712:$A$5870,1,FALSE),0)&lt;&gt;0,1,0)</f>
        <v>0</v>
      </c>
      <c r="V711" s="6" t="str">
        <f>IF(BBDD_Usiarios_Netflix[[#This Row],[Duración Plan]]="12 Meses",LEFT(BBDD_Usiarios_Netflix[[#This Row],[Duración Plan]],2),LEFT(BBDD_Usiarios_Netflix[[#This Row],[Duración Plan]],1))</f>
        <v>3</v>
      </c>
      <c r="W7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12" spans="1:23" x14ac:dyDescent="0.25">
      <c r="A712">
        <v>711</v>
      </c>
      <c r="B712" t="s">
        <v>28</v>
      </c>
      <c r="C712">
        <v>14</v>
      </c>
      <c r="D712" s="3">
        <v>15</v>
      </c>
      <c r="E712" s="3">
        <v>11</v>
      </c>
      <c r="F712">
        <v>23</v>
      </c>
      <c r="G712" s="1">
        <f>DATEVALUE(_xlfn.CONCAT(BBDD_Usiarios_Netflix[[#This Row],[Día Suscripción]],"/",BBDD_Usiarios_Netflix[[#This Row],[Mes Suscripción]],"/",BBDD_Usiarios_Netflix[[#This Row],[Año Suscripción]]))</f>
        <v>45245</v>
      </c>
      <c r="H712" s="1">
        <v>29</v>
      </c>
      <c r="I712" s="1">
        <v>6</v>
      </c>
      <c r="J712" s="1">
        <v>24</v>
      </c>
      <c r="K712" s="1" t="str">
        <f>TEXT(BBDD_Usiarios_Netflix[[#This Row],[Fecha Suscripción]],"dddd")</f>
        <v>miércoles</v>
      </c>
      <c r="L712" s="1">
        <f>DATEVALUE(_xlfn.CONCAT(BBDD_Usiarios_Netflix[[#This Row],[Día Último Pago]],"/",BBDD_Usiarios_Netflix[[#This Row],[Mes Último Pago]],"/",BBDD_Usiarios_Netflix[[#This Row],[Año Último Pago]]))</f>
        <v>45472</v>
      </c>
      <c r="M712" s="4">
        <f>DATEDIF(BBDD_Usiarios_Netflix[[#This Row],[Fecha Suscripción]],BBDD_Usiarios_Netflix[[#This Row],[Fecha Último Pago]],"M")+1</f>
        <v>8</v>
      </c>
      <c r="N712" s="4">
        <f>BBDD_Usiarios_Netflix[[#This Row],[Ingresos Mensuales]]*BBDD_Usiarios_Netflix[[#This Row],[Meses contratados]]</f>
        <v>112</v>
      </c>
      <c r="O712" t="s">
        <v>43</v>
      </c>
      <c r="P712" t="str">
        <f>IF(BBDD_Usiarios_Netflix[[#This Row],[País]]="","Desconocido",BBDD_Usiarios_Netflix[[#This Row],[País]])</f>
        <v>Alemania</v>
      </c>
      <c r="Q712">
        <v>27</v>
      </c>
      <c r="R712" t="s">
        <v>30</v>
      </c>
      <c r="S712" t="s">
        <v>36</v>
      </c>
      <c r="T712" t="s">
        <v>27</v>
      </c>
      <c r="U712">
        <f>IF(IFERROR(VLOOKUP(BBDD_Usiarios_Netflix[[#This Row],[Identificador Usuario]],A713:$A$5870,1,FALSE),0)&lt;&gt;0,1,0)</f>
        <v>0</v>
      </c>
      <c r="V712" s="6" t="str">
        <f>IF(BBDD_Usiarios_Netflix[[#This Row],[Duración Plan]]="12 Meses",LEFT(BBDD_Usiarios_Netflix[[#This Row],[Duración Plan]],2),LEFT(BBDD_Usiarios_Netflix[[#This Row],[Duración Plan]],1))</f>
        <v>1</v>
      </c>
      <c r="W7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13" spans="1:23" x14ac:dyDescent="0.25">
      <c r="A713">
        <v>712</v>
      </c>
      <c r="B713" t="s">
        <v>23</v>
      </c>
      <c r="C713">
        <v>10</v>
      </c>
      <c r="D713" s="3">
        <v>8</v>
      </c>
      <c r="E713" s="3">
        <v>11</v>
      </c>
      <c r="F713">
        <v>23</v>
      </c>
      <c r="G713" s="1">
        <f>DATEVALUE(_xlfn.CONCAT(BBDD_Usiarios_Netflix[[#This Row],[Día Suscripción]],"/",BBDD_Usiarios_Netflix[[#This Row],[Mes Suscripción]],"/",BBDD_Usiarios_Netflix[[#This Row],[Año Suscripción]]))</f>
        <v>45238</v>
      </c>
      <c r="H713" s="1">
        <v>1</v>
      </c>
      <c r="I713" s="1">
        <v>7</v>
      </c>
      <c r="J713" s="1">
        <v>24</v>
      </c>
      <c r="K713" s="1" t="str">
        <f>TEXT(BBDD_Usiarios_Netflix[[#This Row],[Fecha Suscripción]],"dddd")</f>
        <v>miércoles</v>
      </c>
      <c r="L713" s="1">
        <f>DATEVALUE(_xlfn.CONCAT(BBDD_Usiarios_Netflix[[#This Row],[Día Último Pago]],"/",BBDD_Usiarios_Netflix[[#This Row],[Mes Último Pago]],"/",BBDD_Usiarios_Netflix[[#This Row],[Año Último Pago]]))</f>
        <v>45474</v>
      </c>
      <c r="M713" s="4">
        <f>DATEDIF(BBDD_Usiarios_Netflix[[#This Row],[Fecha Suscripción]],BBDD_Usiarios_Netflix[[#This Row],[Fecha Último Pago]],"M")+1</f>
        <v>8</v>
      </c>
      <c r="N713" s="4">
        <f>BBDD_Usiarios_Netflix[[#This Row],[Ingresos Mensuales]]*BBDD_Usiarios_Netflix[[#This Row],[Meses contratados]]</f>
        <v>80</v>
      </c>
      <c r="O713" t="s">
        <v>40</v>
      </c>
      <c r="P713" t="str">
        <f>IF(BBDD_Usiarios_Netflix[[#This Row],[País]]="","Desconocido",BBDD_Usiarios_Netflix[[#This Row],[País]])</f>
        <v>Italia</v>
      </c>
      <c r="Q713">
        <v>45</v>
      </c>
      <c r="R713" t="s">
        <v>25</v>
      </c>
      <c r="S713" t="s">
        <v>31</v>
      </c>
      <c r="T713" t="s">
        <v>27</v>
      </c>
      <c r="U713">
        <f>IF(IFERROR(VLOOKUP(BBDD_Usiarios_Netflix[[#This Row],[Identificador Usuario]],A714:$A$5870,1,FALSE),0)&lt;&gt;0,1,0)</f>
        <v>0</v>
      </c>
      <c r="V713" s="6" t="str">
        <f>IF(BBDD_Usiarios_Netflix[[#This Row],[Duración Plan]]="12 Meses",LEFT(BBDD_Usiarios_Netflix[[#This Row],[Duración Plan]],2),LEFT(BBDD_Usiarios_Netflix[[#This Row],[Duración Plan]],1))</f>
        <v>1</v>
      </c>
      <c r="W7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14" spans="1:23" x14ac:dyDescent="0.25">
      <c r="A714">
        <v>713</v>
      </c>
      <c r="B714" t="s">
        <v>32</v>
      </c>
      <c r="C714">
        <v>12</v>
      </c>
      <c r="D714" s="3">
        <v>1</v>
      </c>
      <c r="E714" s="3">
        <v>11</v>
      </c>
      <c r="F714">
        <v>23</v>
      </c>
      <c r="G714" s="1">
        <f>DATEVALUE(_xlfn.CONCAT(BBDD_Usiarios_Netflix[[#This Row],[Día Suscripción]],"/",BBDD_Usiarios_Netflix[[#This Row],[Mes Suscripción]],"/",BBDD_Usiarios_Netflix[[#This Row],[Año Suscripción]]))</f>
        <v>45231</v>
      </c>
      <c r="H714" s="1">
        <v>27</v>
      </c>
      <c r="I714" s="1">
        <v>6</v>
      </c>
      <c r="J714" s="1">
        <v>24</v>
      </c>
      <c r="K714" s="1" t="str">
        <f>TEXT(BBDD_Usiarios_Netflix[[#This Row],[Fecha Suscripción]],"dddd")</f>
        <v>miércoles</v>
      </c>
      <c r="L714" s="1">
        <f>DATEVALUE(_xlfn.CONCAT(BBDD_Usiarios_Netflix[[#This Row],[Día Último Pago]],"/",BBDD_Usiarios_Netflix[[#This Row],[Mes Último Pago]],"/",BBDD_Usiarios_Netflix[[#This Row],[Año Último Pago]]))</f>
        <v>45470</v>
      </c>
      <c r="M714" s="4">
        <f>DATEDIF(BBDD_Usiarios_Netflix[[#This Row],[Fecha Suscripción]],BBDD_Usiarios_Netflix[[#This Row],[Fecha Último Pago]],"M")+1</f>
        <v>8</v>
      </c>
      <c r="N714" s="4">
        <f>BBDD_Usiarios_Netflix[[#This Row],[Ingresos Mensuales]]*BBDD_Usiarios_Netflix[[#This Row],[Meses contratados]]</f>
        <v>96</v>
      </c>
      <c r="O714" t="s">
        <v>29</v>
      </c>
      <c r="P714" t="str">
        <f>IF(BBDD_Usiarios_Netflix[[#This Row],[País]]="","Desconocido",BBDD_Usiarios_Netflix[[#This Row],[País]])</f>
        <v>EEUU</v>
      </c>
      <c r="Q714">
        <v>30</v>
      </c>
      <c r="R714" t="s">
        <v>25</v>
      </c>
      <c r="S714" t="s">
        <v>36</v>
      </c>
      <c r="T714" t="s">
        <v>41</v>
      </c>
      <c r="U714">
        <f>IF(IFERROR(VLOOKUP(BBDD_Usiarios_Netflix[[#This Row],[Identificador Usuario]],A715:$A$5870,1,FALSE),0)&lt;&gt;0,1,0)</f>
        <v>0</v>
      </c>
      <c r="V714" s="6" t="str">
        <f>IF(BBDD_Usiarios_Netflix[[#This Row],[Duración Plan]]="12 Meses",LEFT(BBDD_Usiarios_Netflix[[#This Row],[Duración Plan]],2),LEFT(BBDD_Usiarios_Netflix[[#This Row],[Duración Plan]],1))</f>
        <v>12</v>
      </c>
      <c r="W7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15" spans="1:23" x14ac:dyDescent="0.25">
      <c r="A715">
        <v>714</v>
      </c>
      <c r="B715" t="s">
        <v>28</v>
      </c>
      <c r="C715">
        <v>14</v>
      </c>
      <c r="D715" s="3">
        <v>30</v>
      </c>
      <c r="E715" s="3">
        <v>10</v>
      </c>
      <c r="F715">
        <v>23</v>
      </c>
      <c r="G715" s="1">
        <f>DATEVALUE(_xlfn.CONCAT(BBDD_Usiarios_Netflix[[#This Row],[Día Suscripción]],"/",BBDD_Usiarios_Netflix[[#This Row],[Mes Suscripción]],"/",BBDD_Usiarios_Netflix[[#This Row],[Año Suscripción]]))</f>
        <v>45229</v>
      </c>
      <c r="H715" s="1">
        <v>29</v>
      </c>
      <c r="I715" s="1">
        <v>6</v>
      </c>
      <c r="J715" s="1">
        <v>24</v>
      </c>
      <c r="K715" s="1" t="str">
        <f>TEXT(BBDD_Usiarios_Netflix[[#This Row],[Fecha Suscripción]],"dddd")</f>
        <v>lunes</v>
      </c>
      <c r="L715" s="1">
        <f>DATEVALUE(_xlfn.CONCAT(BBDD_Usiarios_Netflix[[#This Row],[Día Último Pago]],"/",BBDD_Usiarios_Netflix[[#This Row],[Mes Último Pago]],"/",BBDD_Usiarios_Netflix[[#This Row],[Año Último Pago]]))</f>
        <v>45472</v>
      </c>
      <c r="M715" s="4">
        <f>DATEDIF(BBDD_Usiarios_Netflix[[#This Row],[Fecha Suscripción]],BBDD_Usiarios_Netflix[[#This Row],[Fecha Último Pago]],"M")+1</f>
        <v>8</v>
      </c>
      <c r="N715" s="4">
        <f>BBDD_Usiarios_Netflix[[#This Row],[Ingresos Mensuales]]*BBDD_Usiarios_Netflix[[#This Row],[Meses contratados]]</f>
        <v>112</v>
      </c>
      <c r="O715" t="s">
        <v>29</v>
      </c>
      <c r="P715" t="str">
        <f>IF(BBDD_Usiarios_Netflix[[#This Row],[País]]="","Desconocido",BBDD_Usiarios_Netflix[[#This Row],[País]])</f>
        <v>EEUU</v>
      </c>
      <c r="Q715">
        <v>29</v>
      </c>
      <c r="R715" t="s">
        <v>25</v>
      </c>
      <c r="S715" t="s">
        <v>31</v>
      </c>
      <c r="T715" t="s">
        <v>27</v>
      </c>
      <c r="U715">
        <f>IF(IFERROR(VLOOKUP(BBDD_Usiarios_Netflix[[#This Row],[Identificador Usuario]],A716:$A$5870,1,FALSE),0)&lt;&gt;0,1,0)</f>
        <v>0</v>
      </c>
      <c r="V715" s="6" t="str">
        <f>IF(BBDD_Usiarios_Netflix[[#This Row],[Duración Plan]]="12 Meses",LEFT(BBDD_Usiarios_Netflix[[#This Row],[Duración Plan]],2),LEFT(BBDD_Usiarios_Netflix[[#This Row],[Duración Plan]],1))</f>
        <v>1</v>
      </c>
      <c r="W7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16" spans="1:23" x14ac:dyDescent="0.25">
      <c r="A716">
        <v>715</v>
      </c>
      <c r="B716" t="s">
        <v>23</v>
      </c>
      <c r="C716">
        <v>10</v>
      </c>
      <c r="D716" s="3">
        <v>28</v>
      </c>
      <c r="E716" s="3">
        <v>10</v>
      </c>
      <c r="F716">
        <v>23</v>
      </c>
      <c r="G716" s="1">
        <f>DATEVALUE(_xlfn.CONCAT(BBDD_Usiarios_Netflix[[#This Row],[Día Suscripción]],"/",BBDD_Usiarios_Netflix[[#This Row],[Mes Suscripción]],"/",BBDD_Usiarios_Netflix[[#This Row],[Año Suscripción]]))</f>
        <v>45227</v>
      </c>
      <c r="H716" s="1">
        <v>29</v>
      </c>
      <c r="I716" s="1">
        <v>6</v>
      </c>
      <c r="J716" s="1">
        <v>24</v>
      </c>
      <c r="K716" s="1" t="str">
        <f>TEXT(BBDD_Usiarios_Netflix[[#This Row],[Fecha Suscripción]],"dddd")</f>
        <v>sábado</v>
      </c>
      <c r="L716" s="1">
        <f>DATEVALUE(_xlfn.CONCAT(BBDD_Usiarios_Netflix[[#This Row],[Día Último Pago]],"/",BBDD_Usiarios_Netflix[[#This Row],[Mes Último Pago]],"/",BBDD_Usiarios_Netflix[[#This Row],[Año Último Pago]]))</f>
        <v>45472</v>
      </c>
      <c r="M716" s="4">
        <f>DATEDIF(BBDD_Usiarios_Netflix[[#This Row],[Fecha Suscripción]],BBDD_Usiarios_Netflix[[#This Row],[Fecha Último Pago]],"M")+1</f>
        <v>9</v>
      </c>
      <c r="N716" s="4">
        <f>BBDD_Usiarios_Netflix[[#This Row],[Ingresos Mensuales]]*BBDD_Usiarios_Netflix[[#This Row],[Meses contratados]]</f>
        <v>90</v>
      </c>
      <c r="O716" t="s">
        <v>42</v>
      </c>
      <c r="P716" t="str">
        <f>IF(BBDD_Usiarios_Netflix[[#This Row],[País]]="","Desconocido",BBDD_Usiarios_Netflix[[#This Row],[País]])</f>
        <v>Reino Unido</v>
      </c>
      <c r="Q716">
        <v>43</v>
      </c>
      <c r="R716" t="s">
        <v>30</v>
      </c>
      <c r="S716" t="s">
        <v>36</v>
      </c>
      <c r="T716" t="s">
        <v>35</v>
      </c>
      <c r="U716">
        <f>IF(IFERROR(VLOOKUP(BBDD_Usiarios_Netflix[[#This Row],[Identificador Usuario]],A717:$A$5870,1,FALSE),0)&lt;&gt;0,1,0)</f>
        <v>0</v>
      </c>
      <c r="V716" s="6" t="str">
        <f>IF(BBDD_Usiarios_Netflix[[#This Row],[Duración Plan]]="12 Meses",LEFT(BBDD_Usiarios_Netflix[[#This Row],[Duración Plan]],2),LEFT(BBDD_Usiarios_Netflix[[#This Row],[Duración Plan]],1))</f>
        <v>6</v>
      </c>
      <c r="W7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17" spans="1:23" x14ac:dyDescent="0.25">
      <c r="A717">
        <v>716</v>
      </c>
      <c r="B717" t="s">
        <v>28</v>
      </c>
      <c r="C717">
        <v>14</v>
      </c>
      <c r="D717" s="3">
        <v>26</v>
      </c>
      <c r="E717" s="3">
        <v>10</v>
      </c>
      <c r="F717">
        <v>23</v>
      </c>
      <c r="G717" s="1">
        <f>DATEVALUE(_xlfn.CONCAT(BBDD_Usiarios_Netflix[[#This Row],[Día Suscripción]],"/",BBDD_Usiarios_Netflix[[#This Row],[Mes Suscripción]],"/",BBDD_Usiarios_Netflix[[#This Row],[Año Suscripción]]))</f>
        <v>45225</v>
      </c>
      <c r="H717" s="1">
        <v>30</v>
      </c>
      <c r="I717" s="1">
        <v>6</v>
      </c>
      <c r="J717" s="1">
        <v>24</v>
      </c>
      <c r="K717" s="1" t="str">
        <f>TEXT(BBDD_Usiarios_Netflix[[#This Row],[Fecha Suscripción]],"dddd")</f>
        <v>jueves</v>
      </c>
      <c r="L717" s="1">
        <f>DATEVALUE(_xlfn.CONCAT(BBDD_Usiarios_Netflix[[#This Row],[Día Último Pago]],"/",BBDD_Usiarios_Netflix[[#This Row],[Mes Último Pago]],"/",BBDD_Usiarios_Netflix[[#This Row],[Año Último Pago]]))</f>
        <v>45473</v>
      </c>
      <c r="M717" s="4">
        <f>DATEDIF(BBDD_Usiarios_Netflix[[#This Row],[Fecha Suscripción]],BBDD_Usiarios_Netflix[[#This Row],[Fecha Último Pago]],"M")+1</f>
        <v>9</v>
      </c>
      <c r="N717" s="4">
        <f>BBDD_Usiarios_Netflix[[#This Row],[Ingresos Mensuales]]*BBDD_Usiarios_Netflix[[#This Row],[Meses contratados]]</f>
        <v>126</v>
      </c>
      <c r="O717" t="s">
        <v>33</v>
      </c>
      <c r="P717" t="str">
        <f>IF(BBDD_Usiarios_Netflix[[#This Row],[País]]="","Desconocido",BBDD_Usiarios_Netflix[[#This Row],[País]])</f>
        <v>Francia</v>
      </c>
      <c r="Q717">
        <v>43</v>
      </c>
      <c r="R717" t="s">
        <v>25</v>
      </c>
      <c r="S717" t="s">
        <v>36</v>
      </c>
      <c r="T717" t="s">
        <v>27</v>
      </c>
      <c r="U717">
        <f>IF(IFERROR(VLOOKUP(BBDD_Usiarios_Netflix[[#This Row],[Identificador Usuario]],A718:$A$5870,1,FALSE),0)&lt;&gt;0,1,0)</f>
        <v>0</v>
      </c>
      <c r="V717" s="6" t="str">
        <f>IF(BBDD_Usiarios_Netflix[[#This Row],[Duración Plan]]="12 Meses",LEFT(BBDD_Usiarios_Netflix[[#This Row],[Duración Plan]],2),LEFT(BBDD_Usiarios_Netflix[[#This Row],[Duración Plan]],1))</f>
        <v>1</v>
      </c>
      <c r="W7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18" spans="1:23" x14ac:dyDescent="0.25">
      <c r="A718">
        <v>717</v>
      </c>
      <c r="B718" t="s">
        <v>23</v>
      </c>
      <c r="C718">
        <v>10</v>
      </c>
      <c r="D718" s="3">
        <v>18</v>
      </c>
      <c r="E718" s="3">
        <v>10</v>
      </c>
      <c r="F718">
        <v>23</v>
      </c>
      <c r="G718" s="1">
        <f>DATEVALUE(_xlfn.CONCAT(BBDD_Usiarios_Netflix[[#This Row],[Día Suscripción]],"/",BBDD_Usiarios_Netflix[[#This Row],[Mes Suscripción]],"/",BBDD_Usiarios_Netflix[[#This Row],[Año Suscripción]]))</f>
        <v>45217</v>
      </c>
      <c r="H718" s="1">
        <v>29</v>
      </c>
      <c r="I718" s="1">
        <v>6</v>
      </c>
      <c r="J718" s="1">
        <v>24</v>
      </c>
      <c r="K718" s="1" t="str">
        <f>TEXT(BBDD_Usiarios_Netflix[[#This Row],[Fecha Suscripción]],"dddd")</f>
        <v>miércoles</v>
      </c>
      <c r="L718" s="1">
        <f>DATEVALUE(_xlfn.CONCAT(BBDD_Usiarios_Netflix[[#This Row],[Día Último Pago]],"/",BBDD_Usiarios_Netflix[[#This Row],[Mes Último Pago]],"/",BBDD_Usiarios_Netflix[[#This Row],[Año Último Pago]]))</f>
        <v>45472</v>
      </c>
      <c r="M718" s="4">
        <f>DATEDIF(BBDD_Usiarios_Netflix[[#This Row],[Fecha Suscripción]],BBDD_Usiarios_Netflix[[#This Row],[Fecha Último Pago]],"M")+1</f>
        <v>9</v>
      </c>
      <c r="N718" s="4">
        <f>BBDD_Usiarios_Netflix[[#This Row],[Ingresos Mensuales]]*BBDD_Usiarios_Netflix[[#This Row],[Meses contratados]]</f>
        <v>90</v>
      </c>
      <c r="O718" t="s">
        <v>29</v>
      </c>
      <c r="P718" t="str">
        <f>IF(BBDD_Usiarios_Netflix[[#This Row],[País]]="","Desconocido",BBDD_Usiarios_Netflix[[#This Row],[País]])</f>
        <v>EEUU</v>
      </c>
      <c r="Q718">
        <v>39</v>
      </c>
      <c r="R718" t="s">
        <v>30</v>
      </c>
      <c r="S718" t="s">
        <v>31</v>
      </c>
      <c r="T718" t="s">
        <v>35</v>
      </c>
      <c r="U718">
        <f>IF(IFERROR(VLOOKUP(BBDD_Usiarios_Netflix[[#This Row],[Identificador Usuario]],A719:$A$5870,1,FALSE),0)&lt;&gt;0,1,0)</f>
        <v>0</v>
      </c>
      <c r="V718" s="6" t="str">
        <f>IF(BBDD_Usiarios_Netflix[[#This Row],[Duración Plan]]="12 Meses",LEFT(BBDD_Usiarios_Netflix[[#This Row],[Duración Plan]],2),LEFT(BBDD_Usiarios_Netflix[[#This Row],[Duración Plan]],1))</f>
        <v>6</v>
      </c>
      <c r="W7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19" spans="1:23" x14ac:dyDescent="0.25">
      <c r="A719">
        <v>718</v>
      </c>
      <c r="B719" t="s">
        <v>32</v>
      </c>
      <c r="C719">
        <v>12</v>
      </c>
      <c r="D719" s="3">
        <v>30</v>
      </c>
      <c r="E719" s="3">
        <v>9</v>
      </c>
      <c r="F719">
        <v>23</v>
      </c>
      <c r="G719" s="1">
        <f>DATEVALUE(_xlfn.CONCAT(BBDD_Usiarios_Netflix[[#This Row],[Día Suscripción]],"/",BBDD_Usiarios_Netflix[[#This Row],[Mes Suscripción]],"/",BBDD_Usiarios_Netflix[[#This Row],[Año Suscripción]]))</f>
        <v>45199</v>
      </c>
      <c r="H719" s="1">
        <v>30</v>
      </c>
      <c r="I719" s="1">
        <v>6</v>
      </c>
      <c r="J719" s="1">
        <v>24</v>
      </c>
      <c r="K719" s="1" t="str">
        <f>TEXT(BBDD_Usiarios_Netflix[[#This Row],[Fecha Suscripción]],"dddd")</f>
        <v>sábado</v>
      </c>
      <c r="L719" s="1">
        <f>DATEVALUE(_xlfn.CONCAT(BBDD_Usiarios_Netflix[[#This Row],[Día Último Pago]],"/",BBDD_Usiarios_Netflix[[#This Row],[Mes Último Pago]],"/",BBDD_Usiarios_Netflix[[#This Row],[Año Último Pago]]))</f>
        <v>45473</v>
      </c>
      <c r="M719" s="4">
        <f>DATEDIF(BBDD_Usiarios_Netflix[[#This Row],[Fecha Suscripción]],BBDD_Usiarios_Netflix[[#This Row],[Fecha Último Pago]],"M")+1</f>
        <v>10</v>
      </c>
      <c r="N719" s="4">
        <f>BBDD_Usiarios_Netflix[[#This Row],[Ingresos Mensuales]]*BBDD_Usiarios_Netflix[[#This Row],[Meses contratados]]</f>
        <v>120</v>
      </c>
      <c r="O719" t="s">
        <v>24</v>
      </c>
      <c r="P719" t="str">
        <f>IF(BBDD_Usiarios_Netflix[[#This Row],[País]]="","Desconocido",BBDD_Usiarios_Netflix[[#This Row],[País]])</f>
        <v>Australia</v>
      </c>
      <c r="Q719">
        <v>27</v>
      </c>
      <c r="R719" t="s">
        <v>25</v>
      </c>
      <c r="S719" t="s">
        <v>31</v>
      </c>
      <c r="T719" t="s">
        <v>38</v>
      </c>
      <c r="U719">
        <f>IF(IFERROR(VLOOKUP(BBDD_Usiarios_Netflix[[#This Row],[Identificador Usuario]],A720:$A$5870,1,FALSE),0)&lt;&gt;0,1,0)</f>
        <v>0</v>
      </c>
      <c r="V719" s="6" t="str">
        <f>IF(BBDD_Usiarios_Netflix[[#This Row],[Duración Plan]]="12 Meses",LEFT(BBDD_Usiarios_Netflix[[#This Row],[Duración Plan]],2),LEFT(BBDD_Usiarios_Netflix[[#This Row],[Duración Plan]],1))</f>
        <v>3</v>
      </c>
      <c r="W7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20" spans="1:23" x14ac:dyDescent="0.25">
      <c r="A720">
        <v>719</v>
      </c>
      <c r="B720" t="s">
        <v>32</v>
      </c>
      <c r="C720">
        <v>12</v>
      </c>
      <c r="D720" s="3">
        <v>3</v>
      </c>
      <c r="E720" s="3">
        <v>9</v>
      </c>
      <c r="F720">
        <v>23</v>
      </c>
      <c r="G720" s="1">
        <f>DATEVALUE(_xlfn.CONCAT(BBDD_Usiarios_Netflix[[#This Row],[Día Suscripción]],"/",BBDD_Usiarios_Netflix[[#This Row],[Mes Suscripción]],"/",BBDD_Usiarios_Netflix[[#This Row],[Año Suscripción]]))</f>
        <v>45172</v>
      </c>
      <c r="H720" s="1">
        <v>29</v>
      </c>
      <c r="I720" s="1">
        <v>6</v>
      </c>
      <c r="J720" s="1">
        <v>24</v>
      </c>
      <c r="K720" s="1" t="str">
        <f>TEXT(BBDD_Usiarios_Netflix[[#This Row],[Fecha Suscripción]],"dddd")</f>
        <v>domingo</v>
      </c>
      <c r="L720" s="1">
        <f>DATEVALUE(_xlfn.CONCAT(BBDD_Usiarios_Netflix[[#This Row],[Día Último Pago]],"/",BBDD_Usiarios_Netflix[[#This Row],[Mes Último Pago]],"/",BBDD_Usiarios_Netflix[[#This Row],[Año Último Pago]]))</f>
        <v>45472</v>
      </c>
      <c r="M720" s="4">
        <f>DATEDIF(BBDD_Usiarios_Netflix[[#This Row],[Fecha Suscripción]],BBDD_Usiarios_Netflix[[#This Row],[Fecha Último Pago]],"M")+1</f>
        <v>10</v>
      </c>
      <c r="N720" s="4">
        <f>BBDD_Usiarios_Netflix[[#This Row],[Ingresos Mensuales]]*BBDD_Usiarios_Netflix[[#This Row],[Meses contratados]]</f>
        <v>120</v>
      </c>
      <c r="O720" t="s">
        <v>24</v>
      </c>
      <c r="P720" t="str">
        <f>IF(BBDD_Usiarios_Netflix[[#This Row],[País]]="","Desconocido",BBDD_Usiarios_Netflix[[#This Row],[País]])</f>
        <v>Australia</v>
      </c>
      <c r="Q720">
        <v>33</v>
      </c>
      <c r="R720" t="s">
        <v>30</v>
      </c>
      <c r="S720" t="s">
        <v>31</v>
      </c>
      <c r="T720" t="s">
        <v>27</v>
      </c>
      <c r="U720">
        <f>IF(IFERROR(VLOOKUP(BBDD_Usiarios_Netflix[[#This Row],[Identificador Usuario]],A721:$A$5870,1,FALSE),0)&lt;&gt;0,1,0)</f>
        <v>0</v>
      </c>
      <c r="V720" s="6" t="str">
        <f>IF(BBDD_Usiarios_Netflix[[#This Row],[Duración Plan]]="12 Meses",LEFT(BBDD_Usiarios_Netflix[[#This Row],[Duración Plan]],2),LEFT(BBDD_Usiarios_Netflix[[#This Row],[Duración Plan]],1))</f>
        <v>1</v>
      </c>
      <c r="W7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21" spans="1:23" x14ac:dyDescent="0.25">
      <c r="A721">
        <v>720</v>
      </c>
      <c r="B721" t="s">
        <v>23</v>
      </c>
      <c r="C721">
        <v>10</v>
      </c>
      <c r="D721" s="3">
        <v>23</v>
      </c>
      <c r="E721" s="3">
        <v>8</v>
      </c>
      <c r="F721">
        <v>23</v>
      </c>
      <c r="G721" s="1">
        <f>DATEVALUE(_xlfn.CONCAT(BBDD_Usiarios_Netflix[[#This Row],[Día Suscripción]],"/",BBDD_Usiarios_Netflix[[#This Row],[Mes Suscripción]],"/",BBDD_Usiarios_Netflix[[#This Row],[Año Suscripción]]))</f>
        <v>45161</v>
      </c>
      <c r="H721" s="1">
        <v>29</v>
      </c>
      <c r="I721" s="1">
        <v>6</v>
      </c>
      <c r="J721" s="1">
        <v>24</v>
      </c>
      <c r="K721" s="1" t="str">
        <f>TEXT(BBDD_Usiarios_Netflix[[#This Row],[Fecha Suscripción]],"dddd")</f>
        <v>miércoles</v>
      </c>
      <c r="L721" s="1">
        <f>DATEVALUE(_xlfn.CONCAT(BBDD_Usiarios_Netflix[[#This Row],[Día Último Pago]],"/",BBDD_Usiarios_Netflix[[#This Row],[Mes Último Pago]],"/",BBDD_Usiarios_Netflix[[#This Row],[Año Último Pago]]))</f>
        <v>45472</v>
      </c>
      <c r="M721" s="4">
        <f>DATEDIF(BBDD_Usiarios_Netflix[[#This Row],[Fecha Suscripción]],BBDD_Usiarios_Netflix[[#This Row],[Fecha Último Pago]],"M")+1</f>
        <v>11</v>
      </c>
      <c r="N721" s="4">
        <f>BBDD_Usiarios_Netflix[[#This Row],[Ingresos Mensuales]]*BBDD_Usiarios_Netflix[[#This Row],[Meses contratados]]</f>
        <v>110</v>
      </c>
      <c r="O721" t="s">
        <v>44</v>
      </c>
      <c r="P721" t="str">
        <f>IF(BBDD_Usiarios_Netflix[[#This Row],[País]]="","Desconocido",BBDD_Usiarios_Netflix[[#This Row],[País]])</f>
        <v>Desconocido</v>
      </c>
      <c r="Q721">
        <v>32</v>
      </c>
      <c r="R721" t="s">
        <v>30</v>
      </c>
      <c r="S721" t="s">
        <v>31</v>
      </c>
      <c r="T721" t="s">
        <v>41</v>
      </c>
      <c r="U721">
        <f>IF(IFERROR(VLOOKUP(BBDD_Usiarios_Netflix[[#This Row],[Identificador Usuario]],A722:$A$5870,1,FALSE),0)&lt;&gt;0,1,0)</f>
        <v>0</v>
      </c>
      <c r="V721" s="6" t="str">
        <f>IF(BBDD_Usiarios_Netflix[[#This Row],[Duración Plan]]="12 Meses",LEFT(BBDD_Usiarios_Netflix[[#This Row],[Duración Plan]],2),LEFT(BBDD_Usiarios_Netflix[[#This Row],[Duración Plan]],1))</f>
        <v>12</v>
      </c>
      <c r="W7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22" spans="1:23" x14ac:dyDescent="0.25">
      <c r="A722">
        <v>721</v>
      </c>
      <c r="B722" t="s">
        <v>28</v>
      </c>
      <c r="C722">
        <v>14</v>
      </c>
      <c r="D722" s="3">
        <v>16</v>
      </c>
      <c r="E722" s="3">
        <v>8</v>
      </c>
      <c r="F722">
        <v>23</v>
      </c>
      <c r="G722" s="1">
        <f>DATEVALUE(_xlfn.CONCAT(BBDD_Usiarios_Netflix[[#This Row],[Día Suscripción]],"/",BBDD_Usiarios_Netflix[[#This Row],[Mes Suscripción]],"/",BBDD_Usiarios_Netflix[[#This Row],[Año Suscripción]]))</f>
        <v>45154</v>
      </c>
      <c r="H722" s="1">
        <v>29</v>
      </c>
      <c r="I722" s="1">
        <v>6</v>
      </c>
      <c r="J722" s="1">
        <v>24</v>
      </c>
      <c r="K722" s="1" t="str">
        <f>TEXT(BBDD_Usiarios_Netflix[[#This Row],[Fecha Suscripción]],"dddd")</f>
        <v>miércoles</v>
      </c>
      <c r="L722" s="1">
        <f>DATEVALUE(_xlfn.CONCAT(BBDD_Usiarios_Netflix[[#This Row],[Día Último Pago]],"/",BBDD_Usiarios_Netflix[[#This Row],[Mes Último Pago]],"/",BBDD_Usiarios_Netflix[[#This Row],[Año Último Pago]]))</f>
        <v>45472</v>
      </c>
      <c r="M722" s="4">
        <f>DATEDIF(BBDD_Usiarios_Netflix[[#This Row],[Fecha Suscripción]],BBDD_Usiarios_Netflix[[#This Row],[Fecha Último Pago]],"M")+1</f>
        <v>11</v>
      </c>
      <c r="N722" s="4">
        <f>BBDD_Usiarios_Netflix[[#This Row],[Ingresos Mensuales]]*BBDD_Usiarios_Netflix[[#This Row],[Meses contratados]]</f>
        <v>154</v>
      </c>
      <c r="O722" t="s">
        <v>24</v>
      </c>
      <c r="P722" t="str">
        <f>IF(BBDD_Usiarios_Netflix[[#This Row],[País]]="","Desconocido",BBDD_Usiarios_Netflix[[#This Row],[País]])</f>
        <v>Australia</v>
      </c>
      <c r="Q722">
        <v>37</v>
      </c>
      <c r="R722" t="s">
        <v>30</v>
      </c>
      <c r="S722" t="s">
        <v>31</v>
      </c>
      <c r="T722" t="s">
        <v>27</v>
      </c>
      <c r="U722">
        <f>IF(IFERROR(VLOOKUP(BBDD_Usiarios_Netflix[[#This Row],[Identificador Usuario]],A723:$A$5870,1,FALSE),0)&lt;&gt;0,1,0)</f>
        <v>0</v>
      </c>
      <c r="V722" s="6" t="str">
        <f>IF(BBDD_Usiarios_Netflix[[#This Row],[Duración Plan]]="12 Meses",LEFT(BBDD_Usiarios_Netflix[[#This Row],[Duración Plan]],2),LEFT(BBDD_Usiarios_Netflix[[#This Row],[Duración Plan]],1))</f>
        <v>1</v>
      </c>
      <c r="W7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23" spans="1:23" x14ac:dyDescent="0.25">
      <c r="A723">
        <v>722</v>
      </c>
      <c r="B723" t="s">
        <v>23</v>
      </c>
      <c r="C723">
        <v>10</v>
      </c>
      <c r="D723" s="3">
        <v>11</v>
      </c>
      <c r="E723" s="3">
        <v>8</v>
      </c>
      <c r="F723">
        <v>23</v>
      </c>
      <c r="G723" s="1">
        <f>DATEVALUE(_xlfn.CONCAT(BBDD_Usiarios_Netflix[[#This Row],[Día Suscripción]],"/",BBDD_Usiarios_Netflix[[#This Row],[Mes Suscripción]],"/",BBDD_Usiarios_Netflix[[#This Row],[Año Suscripción]]))</f>
        <v>45149</v>
      </c>
      <c r="H723" s="1">
        <v>30</v>
      </c>
      <c r="I723" s="1">
        <v>6</v>
      </c>
      <c r="J723" s="1">
        <v>24</v>
      </c>
      <c r="K723" s="1" t="str">
        <f>TEXT(BBDD_Usiarios_Netflix[[#This Row],[Fecha Suscripción]],"dddd")</f>
        <v>viernes</v>
      </c>
      <c r="L723" s="1">
        <f>DATEVALUE(_xlfn.CONCAT(BBDD_Usiarios_Netflix[[#This Row],[Día Último Pago]],"/",BBDD_Usiarios_Netflix[[#This Row],[Mes Último Pago]],"/",BBDD_Usiarios_Netflix[[#This Row],[Año Último Pago]]))</f>
        <v>45473</v>
      </c>
      <c r="M723" s="4">
        <f>DATEDIF(BBDD_Usiarios_Netflix[[#This Row],[Fecha Suscripción]],BBDD_Usiarios_Netflix[[#This Row],[Fecha Último Pago]],"M")+1</f>
        <v>11</v>
      </c>
      <c r="N723" s="4">
        <f>BBDD_Usiarios_Netflix[[#This Row],[Ingresos Mensuales]]*BBDD_Usiarios_Netflix[[#This Row],[Meses contratados]]</f>
        <v>110</v>
      </c>
      <c r="O723" t="s">
        <v>29</v>
      </c>
      <c r="P723" t="str">
        <f>IF(BBDD_Usiarios_Netflix[[#This Row],[País]]="","Desconocido",BBDD_Usiarios_Netflix[[#This Row],[País]])</f>
        <v>EEUU</v>
      </c>
      <c r="Q723">
        <v>45</v>
      </c>
      <c r="R723" t="s">
        <v>25</v>
      </c>
      <c r="S723" t="s">
        <v>26</v>
      </c>
      <c r="T723" t="s">
        <v>35</v>
      </c>
      <c r="U723">
        <f>IF(IFERROR(VLOOKUP(BBDD_Usiarios_Netflix[[#This Row],[Identificador Usuario]],A724:$A$5870,1,FALSE),0)&lt;&gt;0,1,0)</f>
        <v>0</v>
      </c>
      <c r="V723" s="6" t="str">
        <f>IF(BBDD_Usiarios_Netflix[[#This Row],[Duración Plan]]="12 Meses",LEFT(BBDD_Usiarios_Netflix[[#This Row],[Duración Plan]],2),LEFT(BBDD_Usiarios_Netflix[[#This Row],[Duración Plan]],1))</f>
        <v>6</v>
      </c>
      <c r="W7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24" spans="1:23" x14ac:dyDescent="0.25">
      <c r="A724">
        <v>723</v>
      </c>
      <c r="B724" t="s">
        <v>32</v>
      </c>
      <c r="C724">
        <v>12</v>
      </c>
      <c r="D724" s="3">
        <v>1</v>
      </c>
      <c r="E724" s="3">
        <v>8</v>
      </c>
      <c r="F724">
        <v>23</v>
      </c>
      <c r="G724" s="1">
        <f>DATEVALUE(_xlfn.CONCAT(BBDD_Usiarios_Netflix[[#This Row],[Día Suscripción]],"/",BBDD_Usiarios_Netflix[[#This Row],[Mes Suscripción]],"/",BBDD_Usiarios_Netflix[[#This Row],[Año Suscripción]]))</f>
        <v>45139</v>
      </c>
      <c r="H724" s="1">
        <v>30</v>
      </c>
      <c r="I724" s="1">
        <v>6</v>
      </c>
      <c r="J724" s="1">
        <v>24</v>
      </c>
      <c r="K724" s="1" t="str">
        <f>TEXT(BBDD_Usiarios_Netflix[[#This Row],[Fecha Suscripción]],"dddd")</f>
        <v>martes</v>
      </c>
      <c r="L724" s="1">
        <f>DATEVALUE(_xlfn.CONCAT(BBDD_Usiarios_Netflix[[#This Row],[Día Último Pago]],"/",BBDD_Usiarios_Netflix[[#This Row],[Mes Último Pago]],"/",BBDD_Usiarios_Netflix[[#This Row],[Año Último Pago]]))</f>
        <v>45473</v>
      </c>
      <c r="M724" s="4">
        <f>DATEDIF(BBDD_Usiarios_Netflix[[#This Row],[Fecha Suscripción]],BBDD_Usiarios_Netflix[[#This Row],[Fecha Último Pago]],"M")+1</f>
        <v>11</v>
      </c>
      <c r="N724" s="4">
        <f>BBDD_Usiarios_Netflix[[#This Row],[Ingresos Mensuales]]*BBDD_Usiarios_Netflix[[#This Row],[Meses contratados]]</f>
        <v>132</v>
      </c>
      <c r="O724" t="s">
        <v>33</v>
      </c>
      <c r="P724" t="str">
        <f>IF(BBDD_Usiarios_Netflix[[#This Row],[País]]="","Desconocido",BBDD_Usiarios_Netflix[[#This Row],[País]])</f>
        <v>Francia</v>
      </c>
      <c r="Q724">
        <v>40</v>
      </c>
      <c r="R724" t="s">
        <v>30</v>
      </c>
      <c r="S724" t="s">
        <v>26</v>
      </c>
      <c r="T724" t="s">
        <v>27</v>
      </c>
      <c r="U724">
        <f>IF(IFERROR(VLOOKUP(BBDD_Usiarios_Netflix[[#This Row],[Identificador Usuario]],A725:$A$5870,1,FALSE),0)&lt;&gt;0,1,0)</f>
        <v>0</v>
      </c>
      <c r="V724" s="6" t="str">
        <f>IF(BBDD_Usiarios_Netflix[[#This Row],[Duración Plan]]="12 Meses",LEFT(BBDD_Usiarios_Netflix[[#This Row],[Duración Plan]],2),LEFT(BBDD_Usiarios_Netflix[[#This Row],[Duración Plan]],1))</f>
        <v>1</v>
      </c>
      <c r="W7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25" spans="1:23" x14ac:dyDescent="0.25">
      <c r="A725">
        <v>724</v>
      </c>
      <c r="B725" t="s">
        <v>28</v>
      </c>
      <c r="C725">
        <v>14</v>
      </c>
      <c r="D725" s="3">
        <v>1</v>
      </c>
      <c r="E725" s="3">
        <v>8</v>
      </c>
      <c r="F725">
        <v>23</v>
      </c>
      <c r="G725" s="1">
        <f>DATEVALUE(_xlfn.CONCAT(BBDD_Usiarios_Netflix[[#This Row],[Día Suscripción]],"/",BBDD_Usiarios_Netflix[[#This Row],[Mes Suscripción]],"/",BBDD_Usiarios_Netflix[[#This Row],[Año Suscripción]]))</f>
        <v>45139</v>
      </c>
      <c r="H725" s="1">
        <v>29</v>
      </c>
      <c r="I725" s="1">
        <v>6</v>
      </c>
      <c r="J725" s="1">
        <v>24</v>
      </c>
      <c r="K725" s="1" t="str">
        <f>TEXT(BBDD_Usiarios_Netflix[[#This Row],[Fecha Suscripción]],"dddd")</f>
        <v>martes</v>
      </c>
      <c r="L725" s="1">
        <f>DATEVALUE(_xlfn.CONCAT(BBDD_Usiarios_Netflix[[#This Row],[Día Último Pago]],"/",BBDD_Usiarios_Netflix[[#This Row],[Mes Último Pago]],"/",BBDD_Usiarios_Netflix[[#This Row],[Año Último Pago]]))</f>
        <v>45472</v>
      </c>
      <c r="M725" s="4">
        <f>DATEDIF(BBDD_Usiarios_Netflix[[#This Row],[Fecha Suscripción]],BBDD_Usiarios_Netflix[[#This Row],[Fecha Último Pago]],"M")+1</f>
        <v>11</v>
      </c>
      <c r="N725" s="4">
        <f>BBDD_Usiarios_Netflix[[#This Row],[Ingresos Mensuales]]*BBDD_Usiarios_Netflix[[#This Row],[Meses contratados]]</f>
        <v>154</v>
      </c>
      <c r="O725" t="s">
        <v>40</v>
      </c>
      <c r="P725" t="str">
        <f>IF(BBDD_Usiarios_Netflix[[#This Row],[País]]="","Desconocido",BBDD_Usiarios_Netflix[[#This Row],[País]])</f>
        <v>Italia</v>
      </c>
      <c r="Q725">
        <v>44</v>
      </c>
      <c r="R725" t="s">
        <v>25</v>
      </c>
      <c r="S725" t="s">
        <v>36</v>
      </c>
      <c r="T725" t="s">
        <v>35</v>
      </c>
      <c r="U725">
        <f>IF(IFERROR(VLOOKUP(BBDD_Usiarios_Netflix[[#This Row],[Identificador Usuario]],A726:$A$5870,1,FALSE),0)&lt;&gt;0,1,0)</f>
        <v>0</v>
      </c>
      <c r="V725" s="6" t="str">
        <f>IF(BBDD_Usiarios_Netflix[[#This Row],[Duración Plan]]="12 Meses",LEFT(BBDD_Usiarios_Netflix[[#This Row],[Duración Plan]],2),LEFT(BBDD_Usiarios_Netflix[[#This Row],[Duración Plan]],1))</f>
        <v>6</v>
      </c>
      <c r="W7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26" spans="1:23" x14ac:dyDescent="0.25">
      <c r="A726">
        <v>725</v>
      </c>
      <c r="B726" t="s">
        <v>23</v>
      </c>
      <c r="C726">
        <v>10</v>
      </c>
      <c r="D726" s="3">
        <v>1</v>
      </c>
      <c r="E726" s="3">
        <v>8</v>
      </c>
      <c r="F726">
        <v>23</v>
      </c>
      <c r="G726" s="1">
        <f>DATEVALUE(_xlfn.CONCAT(BBDD_Usiarios_Netflix[[#This Row],[Día Suscripción]],"/",BBDD_Usiarios_Netflix[[#This Row],[Mes Suscripción]],"/",BBDD_Usiarios_Netflix[[#This Row],[Año Suscripción]]))</f>
        <v>45139</v>
      </c>
      <c r="H726" s="1">
        <v>29</v>
      </c>
      <c r="I726" s="1">
        <v>6</v>
      </c>
      <c r="J726" s="1">
        <v>24</v>
      </c>
      <c r="K726" s="1" t="str">
        <f>TEXT(BBDD_Usiarios_Netflix[[#This Row],[Fecha Suscripción]],"dddd")</f>
        <v>martes</v>
      </c>
      <c r="L726" s="1">
        <f>DATEVALUE(_xlfn.CONCAT(BBDD_Usiarios_Netflix[[#This Row],[Día Último Pago]],"/",BBDD_Usiarios_Netflix[[#This Row],[Mes Último Pago]],"/",BBDD_Usiarios_Netflix[[#This Row],[Año Último Pago]]))</f>
        <v>45472</v>
      </c>
      <c r="M726" s="4">
        <f>DATEDIF(BBDD_Usiarios_Netflix[[#This Row],[Fecha Suscripción]],BBDD_Usiarios_Netflix[[#This Row],[Fecha Último Pago]],"M")+1</f>
        <v>11</v>
      </c>
      <c r="N726" s="4">
        <f>BBDD_Usiarios_Netflix[[#This Row],[Ingresos Mensuales]]*BBDD_Usiarios_Netflix[[#This Row],[Meses contratados]]</f>
        <v>110</v>
      </c>
      <c r="O726" t="s">
        <v>40</v>
      </c>
      <c r="P726" t="str">
        <f>IF(BBDD_Usiarios_Netflix[[#This Row],[País]]="","Desconocido",BBDD_Usiarios_Netflix[[#This Row],[País]])</f>
        <v>Italia</v>
      </c>
      <c r="Q726">
        <v>29</v>
      </c>
      <c r="R726" t="s">
        <v>30</v>
      </c>
      <c r="S726" t="s">
        <v>31</v>
      </c>
      <c r="T726" t="s">
        <v>41</v>
      </c>
      <c r="U726">
        <f>IF(IFERROR(VLOOKUP(BBDD_Usiarios_Netflix[[#This Row],[Identificador Usuario]],A727:$A$5870,1,FALSE),0)&lt;&gt;0,1,0)</f>
        <v>0</v>
      </c>
      <c r="V726" s="6" t="str">
        <f>IF(BBDD_Usiarios_Netflix[[#This Row],[Duración Plan]]="12 Meses",LEFT(BBDD_Usiarios_Netflix[[#This Row],[Duración Plan]],2),LEFT(BBDD_Usiarios_Netflix[[#This Row],[Duración Plan]],1))</f>
        <v>12</v>
      </c>
      <c r="W7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27" spans="1:23" x14ac:dyDescent="0.25">
      <c r="A727">
        <v>726</v>
      </c>
      <c r="B727" t="s">
        <v>28</v>
      </c>
      <c r="C727">
        <v>14</v>
      </c>
      <c r="D727" s="3">
        <v>2</v>
      </c>
      <c r="E727" s="3">
        <v>8</v>
      </c>
      <c r="F727">
        <v>23</v>
      </c>
      <c r="G727" s="1">
        <f>DATEVALUE(_xlfn.CONCAT(BBDD_Usiarios_Netflix[[#This Row],[Día Suscripción]],"/",BBDD_Usiarios_Netflix[[#This Row],[Mes Suscripción]],"/",BBDD_Usiarios_Netflix[[#This Row],[Año Suscripción]]))</f>
        <v>45140</v>
      </c>
      <c r="H727" s="1">
        <v>30</v>
      </c>
      <c r="I727" s="1">
        <v>6</v>
      </c>
      <c r="J727" s="1">
        <v>24</v>
      </c>
      <c r="K727" s="1" t="str">
        <f>TEXT(BBDD_Usiarios_Netflix[[#This Row],[Fecha Suscripción]],"dddd")</f>
        <v>miércoles</v>
      </c>
      <c r="L727" s="1">
        <f>DATEVALUE(_xlfn.CONCAT(BBDD_Usiarios_Netflix[[#This Row],[Día Último Pago]],"/",BBDD_Usiarios_Netflix[[#This Row],[Mes Último Pago]],"/",BBDD_Usiarios_Netflix[[#This Row],[Año Último Pago]]))</f>
        <v>45473</v>
      </c>
      <c r="M727" s="4">
        <f>DATEDIF(BBDD_Usiarios_Netflix[[#This Row],[Fecha Suscripción]],BBDD_Usiarios_Netflix[[#This Row],[Fecha Último Pago]],"M")+1</f>
        <v>11</v>
      </c>
      <c r="N727" s="4">
        <f>BBDD_Usiarios_Netflix[[#This Row],[Ingresos Mensuales]]*BBDD_Usiarios_Netflix[[#This Row],[Meses contratados]]</f>
        <v>154</v>
      </c>
      <c r="O727" t="s">
        <v>39</v>
      </c>
      <c r="P727" t="str">
        <f>IF(BBDD_Usiarios_Netflix[[#This Row],[País]]="","Desconocido",BBDD_Usiarios_Netflix[[#This Row],[País]])</f>
        <v>Canadá</v>
      </c>
      <c r="Q727">
        <v>50</v>
      </c>
      <c r="R727" t="s">
        <v>25</v>
      </c>
      <c r="S727" t="s">
        <v>36</v>
      </c>
      <c r="T727" t="s">
        <v>38</v>
      </c>
      <c r="U727">
        <f>IF(IFERROR(VLOOKUP(BBDD_Usiarios_Netflix[[#This Row],[Identificador Usuario]],A728:$A$5870,1,FALSE),0)&lt;&gt;0,1,0)</f>
        <v>0</v>
      </c>
      <c r="V727" s="6" t="str">
        <f>IF(BBDD_Usiarios_Netflix[[#This Row],[Duración Plan]]="12 Meses",LEFT(BBDD_Usiarios_Netflix[[#This Row],[Duración Plan]],2),LEFT(BBDD_Usiarios_Netflix[[#This Row],[Duración Plan]],1))</f>
        <v>3</v>
      </c>
      <c r="W7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28" spans="1:23" x14ac:dyDescent="0.25">
      <c r="A728">
        <v>727</v>
      </c>
      <c r="B728" t="s">
        <v>23</v>
      </c>
      <c r="C728">
        <v>10</v>
      </c>
      <c r="D728" s="3">
        <v>4</v>
      </c>
      <c r="E728" s="3">
        <v>8</v>
      </c>
      <c r="F728">
        <v>23</v>
      </c>
      <c r="G728" s="1">
        <f>DATEVALUE(_xlfn.CONCAT(BBDD_Usiarios_Netflix[[#This Row],[Día Suscripción]],"/",BBDD_Usiarios_Netflix[[#This Row],[Mes Suscripción]],"/",BBDD_Usiarios_Netflix[[#This Row],[Año Suscripción]]))</f>
        <v>45142</v>
      </c>
      <c r="H728" s="1">
        <v>29</v>
      </c>
      <c r="I728" s="1">
        <v>6</v>
      </c>
      <c r="J728" s="1">
        <v>24</v>
      </c>
      <c r="K728" s="1" t="str">
        <f>TEXT(BBDD_Usiarios_Netflix[[#This Row],[Fecha Suscripción]],"dddd")</f>
        <v>viernes</v>
      </c>
      <c r="L728" s="1">
        <f>DATEVALUE(_xlfn.CONCAT(BBDD_Usiarios_Netflix[[#This Row],[Día Último Pago]],"/",BBDD_Usiarios_Netflix[[#This Row],[Mes Último Pago]],"/",BBDD_Usiarios_Netflix[[#This Row],[Año Último Pago]]))</f>
        <v>45472</v>
      </c>
      <c r="M728" s="4">
        <f>DATEDIF(BBDD_Usiarios_Netflix[[#This Row],[Fecha Suscripción]],BBDD_Usiarios_Netflix[[#This Row],[Fecha Último Pago]],"M")+1</f>
        <v>11</v>
      </c>
      <c r="N728" s="4">
        <f>BBDD_Usiarios_Netflix[[#This Row],[Ingresos Mensuales]]*BBDD_Usiarios_Netflix[[#This Row],[Meses contratados]]</f>
        <v>110</v>
      </c>
      <c r="O728" t="s">
        <v>42</v>
      </c>
      <c r="P728" t="str">
        <f>IF(BBDD_Usiarios_Netflix[[#This Row],[País]]="","Desconocido",BBDD_Usiarios_Netflix[[#This Row],[País]])</f>
        <v>Reino Unido</v>
      </c>
      <c r="Q728">
        <v>32</v>
      </c>
      <c r="R728" t="s">
        <v>30</v>
      </c>
      <c r="S728" t="s">
        <v>36</v>
      </c>
      <c r="T728" t="s">
        <v>27</v>
      </c>
      <c r="U728">
        <f>IF(IFERROR(VLOOKUP(BBDD_Usiarios_Netflix[[#This Row],[Identificador Usuario]],A729:$A$5870,1,FALSE),0)&lt;&gt;0,1,0)</f>
        <v>0</v>
      </c>
      <c r="V728" s="6" t="str">
        <f>IF(BBDD_Usiarios_Netflix[[#This Row],[Duración Plan]]="12 Meses",LEFT(BBDD_Usiarios_Netflix[[#This Row],[Duración Plan]],2),LEFT(BBDD_Usiarios_Netflix[[#This Row],[Duración Plan]],1))</f>
        <v>1</v>
      </c>
      <c r="W7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29" spans="1:23" x14ac:dyDescent="0.25">
      <c r="A729">
        <v>728</v>
      </c>
      <c r="B729" t="s">
        <v>32</v>
      </c>
      <c r="C729">
        <v>12</v>
      </c>
      <c r="D729" s="3">
        <v>4</v>
      </c>
      <c r="E729" s="3">
        <v>8</v>
      </c>
      <c r="F729">
        <v>23</v>
      </c>
      <c r="G729" s="1">
        <f>DATEVALUE(_xlfn.CONCAT(BBDD_Usiarios_Netflix[[#This Row],[Día Suscripción]],"/",BBDD_Usiarios_Netflix[[#This Row],[Mes Suscripción]],"/",BBDD_Usiarios_Netflix[[#This Row],[Año Suscripción]]))</f>
        <v>45142</v>
      </c>
      <c r="H729" s="1">
        <v>29</v>
      </c>
      <c r="I729" s="1">
        <v>6</v>
      </c>
      <c r="J729" s="1">
        <v>24</v>
      </c>
      <c r="K729" s="1" t="str">
        <f>TEXT(BBDD_Usiarios_Netflix[[#This Row],[Fecha Suscripción]],"dddd")</f>
        <v>viernes</v>
      </c>
      <c r="L729" s="1">
        <f>DATEVALUE(_xlfn.CONCAT(BBDD_Usiarios_Netflix[[#This Row],[Día Último Pago]],"/",BBDD_Usiarios_Netflix[[#This Row],[Mes Último Pago]],"/",BBDD_Usiarios_Netflix[[#This Row],[Año Último Pago]]))</f>
        <v>45472</v>
      </c>
      <c r="M729" s="4">
        <f>DATEDIF(BBDD_Usiarios_Netflix[[#This Row],[Fecha Suscripción]],BBDD_Usiarios_Netflix[[#This Row],[Fecha Último Pago]],"M")+1</f>
        <v>11</v>
      </c>
      <c r="N729" s="4">
        <f>BBDD_Usiarios_Netflix[[#This Row],[Ingresos Mensuales]]*BBDD_Usiarios_Netflix[[#This Row],[Meses contratados]]</f>
        <v>132</v>
      </c>
      <c r="O729" t="s">
        <v>39</v>
      </c>
      <c r="P729" t="str">
        <f>IF(BBDD_Usiarios_Netflix[[#This Row],[País]]="","Desconocido",BBDD_Usiarios_Netflix[[#This Row],[País]])</f>
        <v>Canadá</v>
      </c>
      <c r="Q729">
        <v>39</v>
      </c>
      <c r="R729" t="s">
        <v>25</v>
      </c>
      <c r="S729" t="s">
        <v>36</v>
      </c>
      <c r="T729" t="s">
        <v>27</v>
      </c>
      <c r="U729">
        <f>IF(IFERROR(VLOOKUP(BBDD_Usiarios_Netflix[[#This Row],[Identificador Usuario]],A730:$A$5870,1,FALSE),0)&lt;&gt;0,1,0)</f>
        <v>0</v>
      </c>
      <c r="V729" s="6" t="str">
        <f>IF(BBDD_Usiarios_Netflix[[#This Row],[Duración Plan]]="12 Meses",LEFT(BBDD_Usiarios_Netflix[[#This Row],[Duración Plan]],2),LEFT(BBDD_Usiarios_Netflix[[#This Row],[Duración Plan]],1))</f>
        <v>1</v>
      </c>
      <c r="W7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30" spans="1:23" x14ac:dyDescent="0.25">
      <c r="A730">
        <v>729</v>
      </c>
      <c r="B730" t="s">
        <v>32</v>
      </c>
      <c r="C730">
        <v>12</v>
      </c>
      <c r="D730" s="3">
        <v>7</v>
      </c>
      <c r="E730" s="3">
        <v>7</v>
      </c>
      <c r="F730">
        <v>23</v>
      </c>
      <c r="G730" s="1">
        <f>DATEVALUE(_xlfn.CONCAT(BBDD_Usiarios_Netflix[[#This Row],[Día Suscripción]],"/",BBDD_Usiarios_Netflix[[#This Row],[Mes Suscripción]],"/",BBDD_Usiarios_Netflix[[#This Row],[Año Suscripción]]))</f>
        <v>45114</v>
      </c>
      <c r="H730" s="1">
        <v>30</v>
      </c>
      <c r="I730" s="1">
        <v>6</v>
      </c>
      <c r="J730" s="1">
        <v>24</v>
      </c>
      <c r="K730" s="1" t="str">
        <f>TEXT(BBDD_Usiarios_Netflix[[#This Row],[Fecha Suscripción]],"dddd")</f>
        <v>viernes</v>
      </c>
      <c r="L730" s="1">
        <f>DATEVALUE(_xlfn.CONCAT(BBDD_Usiarios_Netflix[[#This Row],[Día Último Pago]],"/",BBDD_Usiarios_Netflix[[#This Row],[Mes Último Pago]],"/",BBDD_Usiarios_Netflix[[#This Row],[Año Último Pago]]))</f>
        <v>45473</v>
      </c>
      <c r="M730" s="4">
        <f>DATEDIF(BBDD_Usiarios_Netflix[[#This Row],[Fecha Suscripción]],BBDD_Usiarios_Netflix[[#This Row],[Fecha Último Pago]],"M")+1</f>
        <v>12</v>
      </c>
      <c r="N730" s="4">
        <f>BBDD_Usiarios_Netflix[[#This Row],[Ingresos Mensuales]]*BBDD_Usiarios_Netflix[[#This Row],[Meses contratados]]</f>
        <v>144</v>
      </c>
      <c r="O730" t="s">
        <v>37</v>
      </c>
      <c r="P730" t="str">
        <f>IF(BBDD_Usiarios_Netflix[[#This Row],[País]]="","Desconocido",BBDD_Usiarios_Netflix[[#This Row],[País]])</f>
        <v>Brasil</v>
      </c>
      <c r="Q730">
        <v>43</v>
      </c>
      <c r="R730" t="s">
        <v>30</v>
      </c>
      <c r="S730" t="s">
        <v>26</v>
      </c>
      <c r="T730" t="s">
        <v>27</v>
      </c>
      <c r="U730">
        <f>IF(IFERROR(VLOOKUP(BBDD_Usiarios_Netflix[[#This Row],[Identificador Usuario]],A731:$A$5870,1,FALSE),0)&lt;&gt;0,1,0)</f>
        <v>0</v>
      </c>
      <c r="V730" s="6" t="str">
        <f>IF(BBDD_Usiarios_Netflix[[#This Row],[Duración Plan]]="12 Meses",LEFT(BBDD_Usiarios_Netflix[[#This Row],[Duración Plan]],2),LEFT(BBDD_Usiarios_Netflix[[#This Row],[Duración Plan]],1))</f>
        <v>1</v>
      </c>
      <c r="W7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31" spans="1:23" x14ac:dyDescent="0.25">
      <c r="A731">
        <v>730</v>
      </c>
      <c r="B731" t="s">
        <v>23</v>
      </c>
      <c r="C731">
        <v>10</v>
      </c>
      <c r="D731" s="3">
        <v>27</v>
      </c>
      <c r="E731" s="3">
        <v>6</v>
      </c>
      <c r="F731">
        <v>23</v>
      </c>
      <c r="G731" s="1">
        <f>DATEVALUE(_xlfn.CONCAT(BBDD_Usiarios_Netflix[[#This Row],[Día Suscripción]],"/",BBDD_Usiarios_Netflix[[#This Row],[Mes Suscripción]],"/",BBDD_Usiarios_Netflix[[#This Row],[Año Suscripción]]))</f>
        <v>45104</v>
      </c>
      <c r="H731" s="1">
        <v>30</v>
      </c>
      <c r="I731" s="1">
        <v>6</v>
      </c>
      <c r="J731" s="1">
        <v>24</v>
      </c>
      <c r="K731" s="1" t="str">
        <f>TEXT(BBDD_Usiarios_Netflix[[#This Row],[Fecha Suscripción]],"dddd")</f>
        <v>martes</v>
      </c>
      <c r="L731" s="1">
        <f>DATEVALUE(_xlfn.CONCAT(BBDD_Usiarios_Netflix[[#This Row],[Día Último Pago]],"/",BBDD_Usiarios_Netflix[[#This Row],[Mes Último Pago]],"/",BBDD_Usiarios_Netflix[[#This Row],[Año Último Pago]]))</f>
        <v>45473</v>
      </c>
      <c r="M731" s="4">
        <f>DATEDIF(BBDD_Usiarios_Netflix[[#This Row],[Fecha Suscripción]],BBDD_Usiarios_Netflix[[#This Row],[Fecha Último Pago]],"M")+1</f>
        <v>13</v>
      </c>
      <c r="N731" s="4">
        <f>BBDD_Usiarios_Netflix[[#This Row],[Ingresos Mensuales]]*BBDD_Usiarios_Netflix[[#This Row],[Meses contratados]]</f>
        <v>130</v>
      </c>
      <c r="O731" t="s">
        <v>39</v>
      </c>
      <c r="P731" t="str">
        <f>IF(BBDD_Usiarios_Netflix[[#This Row],[País]]="","Desconocido",BBDD_Usiarios_Netflix[[#This Row],[País]])</f>
        <v>Canadá</v>
      </c>
      <c r="Q731">
        <v>49</v>
      </c>
      <c r="R731" t="s">
        <v>30</v>
      </c>
      <c r="S731" t="s">
        <v>26</v>
      </c>
      <c r="T731" t="s">
        <v>27</v>
      </c>
      <c r="U731">
        <f>IF(IFERROR(VLOOKUP(BBDD_Usiarios_Netflix[[#This Row],[Identificador Usuario]],A732:$A$5870,1,FALSE),0)&lt;&gt;0,1,0)</f>
        <v>0</v>
      </c>
      <c r="V731" s="6" t="str">
        <f>IF(BBDD_Usiarios_Netflix[[#This Row],[Duración Plan]]="12 Meses",LEFT(BBDD_Usiarios_Netflix[[#This Row],[Duración Plan]],2),LEFT(BBDD_Usiarios_Netflix[[#This Row],[Duración Plan]],1))</f>
        <v>1</v>
      </c>
      <c r="W7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32" spans="1:23" x14ac:dyDescent="0.25">
      <c r="A732">
        <v>731</v>
      </c>
      <c r="B732" t="s">
        <v>28</v>
      </c>
      <c r="C732">
        <v>14</v>
      </c>
      <c r="D732" s="3">
        <v>19</v>
      </c>
      <c r="E732" s="3">
        <v>6</v>
      </c>
      <c r="F732">
        <v>23</v>
      </c>
      <c r="G732" s="1">
        <f>DATEVALUE(_xlfn.CONCAT(BBDD_Usiarios_Netflix[[#This Row],[Día Suscripción]],"/",BBDD_Usiarios_Netflix[[#This Row],[Mes Suscripción]],"/",BBDD_Usiarios_Netflix[[#This Row],[Año Suscripción]]))</f>
        <v>45096</v>
      </c>
      <c r="H732" s="1">
        <v>29</v>
      </c>
      <c r="I732" s="1">
        <v>6</v>
      </c>
      <c r="J732" s="1">
        <v>24</v>
      </c>
      <c r="K732" s="1" t="str">
        <f>TEXT(BBDD_Usiarios_Netflix[[#This Row],[Fecha Suscripción]],"dddd")</f>
        <v>lunes</v>
      </c>
      <c r="L732" s="1">
        <f>DATEVALUE(_xlfn.CONCAT(BBDD_Usiarios_Netflix[[#This Row],[Día Último Pago]],"/",BBDD_Usiarios_Netflix[[#This Row],[Mes Último Pago]],"/",BBDD_Usiarios_Netflix[[#This Row],[Año Último Pago]]))</f>
        <v>45472</v>
      </c>
      <c r="M732" s="4">
        <f>DATEDIF(BBDD_Usiarios_Netflix[[#This Row],[Fecha Suscripción]],BBDD_Usiarios_Netflix[[#This Row],[Fecha Último Pago]],"M")+1</f>
        <v>13</v>
      </c>
      <c r="N732" s="4">
        <f>BBDD_Usiarios_Netflix[[#This Row],[Ingresos Mensuales]]*BBDD_Usiarios_Netflix[[#This Row],[Meses contratados]]</f>
        <v>182</v>
      </c>
      <c r="O732" t="s">
        <v>29</v>
      </c>
      <c r="P732" t="str">
        <f>IF(BBDD_Usiarios_Netflix[[#This Row],[País]]="","Desconocido",BBDD_Usiarios_Netflix[[#This Row],[País]])</f>
        <v>EEUU</v>
      </c>
      <c r="Q732">
        <v>30</v>
      </c>
      <c r="R732" t="s">
        <v>25</v>
      </c>
      <c r="S732" t="s">
        <v>31</v>
      </c>
      <c r="T732" t="s">
        <v>27</v>
      </c>
      <c r="U732">
        <f>IF(IFERROR(VLOOKUP(BBDD_Usiarios_Netflix[[#This Row],[Identificador Usuario]],A733:$A$5870,1,FALSE),0)&lt;&gt;0,1,0)</f>
        <v>0</v>
      </c>
      <c r="V732" s="6" t="str">
        <f>IF(BBDD_Usiarios_Netflix[[#This Row],[Duración Plan]]="12 Meses",LEFT(BBDD_Usiarios_Netflix[[#This Row],[Duración Plan]],2),LEFT(BBDD_Usiarios_Netflix[[#This Row],[Duración Plan]],1))</f>
        <v>1</v>
      </c>
      <c r="W7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33" spans="1:23" x14ac:dyDescent="0.25">
      <c r="A733">
        <v>732</v>
      </c>
      <c r="B733" t="s">
        <v>23</v>
      </c>
      <c r="C733">
        <v>10</v>
      </c>
      <c r="D733" s="3">
        <v>19</v>
      </c>
      <c r="E733" s="3">
        <v>6</v>
      </c>
      <c r="F733">
        <v>23</v>
      </c>
      <c r="G733" s="1">
        <f>DATEVALUE(_xlfn.CONCAT(BBDD_Usiarios_Netflix[[#This Row],[Día Suscripción]],"/",BBDD_Usiarios_Netflix[[#This Row],[Mes Suscripción]],"/",BBDD_Usiarios_Netflix[[#This Row],[Año Suscripción]]))</f>
        <v>45096</v>
      </c>
      <c r="H733" s="1">
        <v>29</v>
      </c>
      <c r="I733" s="1">
        <v>6</v>
      </c>
      <c r="J733" s="1">
        <v>24</v>
      </c>
      <c r="K733" s="1" t="str">
        <f>TEXT(BBDD_Usiarios_Netflix[[#This Row],[Fecha Suscripción]],"dddd")</f>
        <v>lunes</v>
      </c>
      <c r="L733" s="1">
        <f>DATEVALUE(_xlfn.CONCAT(BBDD_Usiarios_Netflix[[#This Row],[Día Último Pago]],"/",BBDD_Usiarios_Netflix[[#This Row],[Mes Último Pago]],"/",BBDD_Usiarios_Netflix[[#This Row],[Año Último Pago]]))</f>
        <v>45472</v>
      </c>
      <c r="M733" s="4">
        <f>DATEDIF(BBDD_Usiarios_Netflix[[#This Row],[Fecha Suscripción]],BBDD_Usiarios_Netflix[[#This Row],[Fecha Último Pago]],"M")+1</f>
        <v>13</v>
      </c>
      <c r="N733" s="4">
        <f>BBDD_Usiarios_Netflix[[#This Row],[Ingresos Mensuales]]*BBDD_Usiarios_Netflix[[#This Row],[Meses contratados]]</f>
        <v>130</v>
      </c>
      <c r="O733" t="s">
        <v>46</v>
      </c>
      <c r="P733" t="str">
        <f>IF(BBDD_Usiarios_Netflix[[#This Row],[País]]="","Desconocido",BBDD_Usiarios_Netflix[[#This Row],[País]])</f>
        <v>Méjico</v>
      </c>
      <c r="Q733">
        <v>47</v>
      </c>
      <c r="R733" t="s">
        <v>25</v>
      </c>
      <c r="S733" t="s">
        <v>31</v>
      </c>
      <c r="T733" t="s">
        <v>27</v>
      </c>
      <c r="U733">
        <f>IF(IFERROR(VLOOKUP(BBDD_Usiarios_Netflix[[#This Row],[Identificador Usuario]],A734:$A$5870,1,FALSE),0)&lt;&gt;0,1,0)</f>
        <v>0</v>
      </c>
      <c r="V733" s="6" t="str">
        <f>IF(BBDD_Usiarios_Netflix[[#This Row],[Duración Plan]]="12 Meses",LEFT(BBDD_Usiarios_Netflix[[#This Row],[Duración Plan]],2),LEFT(BBDD_Usiarios_Netflix[[#This Row],[Duración Plan]],1))</f>
        <v>1</v>
      </c>
      <c r="W7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34" spans="1:23" x14ac:dyDescent="0.25">
      <c r="A734">
        <v>733</v>
      </c>
      <c r="B734" t="s">
        <v>32</v>
      </c>
      <c r="C734">
        <v>12</v>
      </c>
      <c r="D734" s="3">
        <v>18</v>
      </c>
      <c r="E734" s="3">
        <v>6</v>
      </c>
      <c r="F734">
        <v>23</v>
      </c>
      <c r="G734" s="1">
        <f>DATEVALUE(_xlfn.CONCAT(BBDD_Usiarios_Netflix[[#This Row],[Día Suscripción]],"/",BBDD_Usiarios_Netflix[[#This Row],[Mes Suscripción]],"/",BBDD_Usiarios_Netflix[[#This Row],[Año Suscripción]]))</f>
        <v>45095</v>
      </c>
      <c r="H734" s="1">
        <v>29</v>
      </c>
      <c r="I734" s="1">
        <v>6</v>
      </c>
      <c r="J734" s="1">
        <v>24</v>
      </c>
      <c r="K734" s="1" t="str">
        <f>TEXT(BBDD_Usiarios_Netflix[[#This Row],[Fecha Suscripción]],"dddd")</f>
        <v>domingo</v>
      </c>
      <c r="L734" s="1">
        <f>DATEVALUE(_xlfn.CONCAT(BBDD_Usiarios_Netflix[[#This Row],[Día Último Pago]],"/",BBDD_Usiarios_Netflix[[#This Row],[Mes Último Pago]],"/",BBDD_Usiarios_Netflix[[#This Row],[Año Último Pago]]))</f>
        <v>45472</v>
      </c>
      <c r="M734" s="4">
        <f>DATEDIF(BBDD_Usiarios_Netflix[[#This Row],[Fecha Suscripción]],BBDD_Usiarios_Netflix[[#This Row],[Fecha Último Pago]],"M")+1</f>
        <v>13</v>
      </c>
      <c r="N734" s="4">
        <f>BBDD_Usiarios_Netflix[[#This Row],[Ingresos Mensuales]]*BBDD_Usiarios_Netflix[[#This Row],[Meses contratados]]</f>
        <v>156</v>
      </c>
      <c r="O734" t="s">
        <v>24</v>
      </c>
      <c r="P734" t="str">
        <f>IF(BBDD_Usiarios_Netflix[[#This Row],[País]]="","Desconocido",BBDD_Usiarios_Netflix[[#This Row],[País]])</f>
        <v>Australia</v>
      </c>
      <c r="Q734">
        <v>51</v>
      </c>
      <c r="R734" t="s">
        <v>30</v>
      </c>
      <c r="S734" t="s">
        <v>36</v>
      </c>
      <c r="T734" t="s">
        <v>38</v>
      </c>
      <c r="U734">
        <f>IF(IFERROR(VLOOKUP(BBDD_Usiarios_Netflix[[#This Row],[Identificador Usuario]],A735:$A$5870,1,FALSE),0)&lt;&gt;0,1,0)</f>
        <v>0</v>
      </c>
      <c r="V734" s="6" t="str">
        <f>IF(BBDD_Usiarios_Netflix[[#This Row],[Duración Plan]]="12 Meses",LEFT(BBDD_Usiarios_Netflix[[#This Row],[Duración Plan]],2),LEFT(BBDD_Usiarios_Netflix[[#This Row],[Duración Plan]],1))</f>
        <v>3</v>
      </c>
      <c r="W7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35" spans="1:23" x14ac:dyDescent="0.25">
      <c r="A735">
        <v>734</v>
      </c>
      <c r="B735" t="s">
        <v>28</v>
      </c>
      <c r="C735">
        <v>14</v>
      </c>
      <c r="D735" s="3">
        <v>19</v>
      </c>
      <c r="E735" s="3">
        <v>6</v>
      </c>
      <c r="F735">
        <v>23</v>
      </c>
      <c r="G735" s="1">
        <f>DATEVALUE(_xlfn.CONCAT(BBDD_Usiarios_Netflix[[#This Row],[Día Suscripción]],"/",BBDD_Usiarios_Netflix[[#This Row],[Mes Suscripción]],"/",BBDD_Usiarios_Netflix[[#This Row],[Año Suscripción]]))</f>
        <v>45096</v>
      </c>
      <c r="H735" s="1">
        <v>30</v>
      </c>
      <c r="I735" s="1">
        <v>6</v>
      </c>
      <c r="J735" s="1">
        <v>24</v>
      </c>
      <c r="K735" s="1" t="str">
        <f>TEXT(BBDD_Usiarios_Netflix[[#This Row],[Fecha Suscripción]],"dddd")</f>
        <v>lunes</v>
      </c>
      <c r="L735" s="1">
        <f>DATEVALUE(_xlfn.CONCAT(BBDD_Usiarios_Netflix[[#This Row],[Día Último Pago]],"/",BBDD_Usiarios_Netflix[[#This Row],[Mes Último Pago]],"/",BBDD_Usiarios_Netflix[[#This Row],[Año Último Pago]]))</f>
        <v>45473</v>
      </c>
      <c r="M735" s="4">
        <f>DATEDIF(BBDD_Usiarios_Netflix[[#This Row],[Fecha Suscripción]],BBDD_Usiarios_Netflix[[#This Row],[Fecha Último Pago]],"M")+1</f>
        <v>13</v>
      </c>
      <c r="N735" s="4">
        <f>BBDD_Usiarios_Netflix[[#This Row],[Ingresos Mensuales]]*BBDD_Usiarios_Netflix[[#This Row],[Meses contratados]]</f>
        <v>182</v>
      </c>
      <c r="O735" t="s">
        <v>44</v>
      </c>
      <c r="P735" t="str">
        <f>IF(BBDD_Usiarios_Netflix[[#This Row],[País]]="","Desconocido",BBDD_Usiarios_Netflix[[#This Row],[País]])</f>
        <v>Desconocido</v>
      </c>
      <c r="Q735">
        <v>40</v>
      </c>
      <c r="R735" t="s">
        <v>25</v>
      </c>
      <c r="S735" t="s">
        <v>31</v>
      </c>
      <c r="T735" t="s">
        <v>35</v>
      </c>
      <c r="U735">
        <f>IF(IFERROR(VLOOKUP(BBDD_Usiarios_Netflix[[#This Row],[Identificador Usuario]],A736:$A$5870,1,FALSE),0)&lt;&gt;0,1,0)</f>
        <v>0</v>
      </c>
      <c r="V735" s="6" t="str">
        <f>IF(BBDD_Usiarios_Netflix[[#This Row],[Duración Plan]]="12 Meses",LEFT(BBDD_Usiarios_Netflix[[#This Row],[Duración Plan]],2),LEFT(BBDD_Usiarios_Netflix[[#This Row],[Duración Plan]],1))</f>
        <v>6</v>
      </c>
      <c r="W7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36" spans="1:23" x14ac:dyDescent="0.25">
      <c r="A736">
        <v>735</v>
      </c>
      <c r="B736" t="s">
        <v>23</v>
      </c>
      <c r="C736">
        <v>10</v>
      </c>
      <c r="D736" s="3">
        <v>24</v>
      </c>
      <c r="E736" s="3">
        <v>6</v>
      </c>
      <c r="F736">
        <v>23</v>
      </c>
      <c r="G736" s="1">
        <f>DATEVALUE(_xlfn.CONCAT(BBDD_Usiarios_Netflix[[#This Row],[Día Suscripción]],"/",BBDD_Usiarios_Netflix[[#This Row],[Mes Suscripción]],"/",BBDD_Usiarios_Netflix[[#This Row],[Año Suscripción]]))</f>
        <v>45101</v>
      </c>
      <c r="H736" s="1">
        <v>28</v>
      </c>
      <c r="I736" s="1">
        <v>6</v>
      </c>
      <c r="J736" s="1">
        <v>24</v>
      </c>
      <c r="K736" s="1" t="str">
        <f>TEXT(BBDD_Usiarios_Netflix[[#This Row],[Fecha Suscripción]],"dddd")</f>
        <v>sábado</v>
      </c>
      <c r="L736" s="1">
        <f>DATEVALUE(_xlfn.CONCAT(BBDD_Usiarios_Netflix[[#This Row],[Día Último Pago]],"/",BBDD_Usiarios_Netflix[[#This Row],[Mes Último Pago]],"/",BBDD_Usiarios_Netflix[[#This Row],[Año Último Pago]]))</f>
        <v>45471</v>
      </c>
      <c r="M736" s="4">
        <f>DATEDIF(BBDD_Usiarios_Netflix[[#This Row],[Fecha Suscripción]],BBDD_Usiarios_Netflix[[#This Row],[Fecha Último Pago]],"M")+1</f>
        <v>13</v>
      </c>
      <c r="N736" s="4">
        <f>BBDD_Usiarios_Netflix[[#This Row],[Ingresos Mensuales]]*BBDD_Usiarios_Netflix[[#This Row],[Meses contratados]]</f>
        <v>130</v>
      </c>
      <c r="O736" t="s">
        <v>44</v>
      </c>
      <c r="P736" t="str">
        <f>IF(BBDD_Usiarios_Netflix[[#This Row],[País]]="","Desconocido",BBDD_Usiarios_Netflix[[#This Row],[País]])</f>
        <v>Desconocido</v>
      </c>
      <c r="Q736">
        <v>40</v>
      </c>
      <c r="R736" t="s">
        <v>25</v>
      </c>
      <c r="S736" t="s">
        <v>36</v>
      </c>
      <c r="T736" t="s">
        <v>38</v>
      </c>
      <c r="U736">
        <f>IF(IFERROR(VLOOKUP(BBDD_Usiarios_Netflix[[#This Row],[Identificador Usuario]],A737:$A$5870,1,FALSE),0)&lt;&gt;0,1,0)</f>
        <v>0</v>
      </c>
      <c r="V736" s="6" t="str">
        <f>IF(BBDD_Usiarios_Netflix[[#This Row],[Duración Plan]]="12 Meses",LEFT(BBDD_Usiarios_Netflix[[#This Row],[Duración Plan]],2),LEFT(BBDD_Usiarios_Netflix[[#This Row],[Duración Plan]],1))</f>
        <v>3</v>
      </c>
      <c r="W7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37" spans="1:23" x14ac:dyDescent="0.25">
      <c r="A737">
        <v>736</v>
      </c>
      <c r="B737" t="s">
        <v>28</v>
      </c>
      <c r="C737">
        <v>14</v>
      </c>
      <c r="D737" s="3">
        <v>30</v>
      </c>
      <c r="E737" s="3">
        <v>6</v>
      </c>
      <c r="F737">
        <v>23</v>
      </c>
      <c r="G737" s="1">
        <f>DATEVALUE(_xlfn.CONCAT(BBDD_Usiarios_Netflix[[#This Row],[Día Suscripción]],"/",BBDD_Usiarios_Netflix[[#This Row],[Mes Suscripción]],"/",BBDD_Usiarios_Netflix[[#This Row],[Año Suscripción]]))</f>
        <v>45107</v>
      </c>
      <c r="H737" s="1">
        <v>30</v>
      </c>
      <c r="I737" s="1">
        <v>6</v>
      </c>
      <c r="J737" s="1">
        <v>24</v>
      </c>
      <c r="K737" s="1" t="str">
        <f>TEXT(BBDD_Usiarios_Netflix[[#This Row],[Fecha Suscripción]],"dddd")</f>
        <v>viernes</v>
      </c>
      <c r="L737" s="1">
        <f>DATEVALUE(_xlfn.CONCAT(BBDD_Usiarios_Netflix[[#This Row],[Día Último Pago]],"/",BBDD_Usiarios_Netflix[[#This Row],[Mes Último Pago]],"/",BBDD_Usiarios_Netflix[[#This Row],[Año Último Pago]]))</f>
        <v>45473</v>
      </c>
      <c r="M737" s="4">
        <f>DATEDIF(BBDD_Usiarios_Netflix[[#This Row],[Fecha Suscripción]],BBDD_Usiarios_Netflix[[#This Row],[Fecha Último Pago]],"M")+1</f>
        <v>13</v>
      </c>
      <c r="N737" s="4">
        <f>BBDD_Usiarios_Netflix[[#This Row],[Ingresos Mensuales]]*BBDD_Usiarios_Netflix[[#This Row],[Meses contratados]]</f>
        <v>182</v>
      </c>
      <c r="O737" t="s">
        <v>40</v>
      </c>
      <c r="P737" t="str">
        <f>IF(BBDD_Usiarios_Netflix[[#This Row],[País]]="","Desconocido",BBDD_Usiarios_Netflix[[#This Row],[País]])</f>
        <v>Italia</v>
      </c>
      <c r="Q737">
        <v>49</v>
      </c>
      <c r="R737" t="s">
        <v>25</v>
      </c>
      <c r="S737" t="s">
        <v>26</v>
      </c>
      <c r="T737" t="s">
        <v>38</v>
      </c>
      <c r="U737">
        <f>IF(IFERROR(VLOOKUP(BBDD_Usiarios_Netflix[[#This Row],[Identificador Usuario]],A738:$A$5870,1,FALSE),0)&lt;&gt;0,1,0)</f>
        <v>0</v>
      </c>
      <c r="V737" s="6" t="str">
        <f>IF(BBDD_Usiarios_Netflix[[#This Row],[Duración Plan]]="12 Meses",LEFT(BBDD_Usiarios_Netflix[[#This Row],[Duración Plan]],2),LEFT(BBDD_Usiarios_Netflix[[#This Row],[Duración Plan]],1))</f>
        <v>3</v>
      </c>
      <c r="W7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38" spans="1:23" x14ac:dyDescent="0.25">
      <c r="A738">
        <v>737</v>
      </c>
      <c r="B738" t="s">
        <v>23</v>
      </c>
      <c r="C738">
        <v>10</v>
      </c>
      <c r="D738" s="3">
        <v>2</v>
      </c>
      <c r="E738" s="3">
        <v>7</v>
      </c>
      <c r="F738">
        <v>23</v>
      </c>
      <c r="G738" s="1">
        <f>DATEVALUE(_xlfn.CONCAT(BBDD_Usiarios_Netflix[[#This Row],[Día Suscripción]],"/",BBDD_Usiarios_Netflix[[#This Row],[Mes Suscripción]],"/",BBDD_Usiarios_Netflix[[#This Row],[Año Suscripción]]))</f>
        <v>45109</v>
      </c>
      <c r="H738" s="1">
        <v>30</v>
      </c>
      <c r="I738" s="1">
        <v>6</v>
      </c>
      <c r="J738" s="1">
        <v>24</v>
      </c>
      <c r="K738" s="1" t="str">
        <f>TEXT(BBDD_Usiarios_Netflix[[#This Row],[Fecha Suscripción]],"dddd")</f>
        <v>domingo</v>
      </c>
      <c r="L738" s="1">
        <f>DATEVALUE(_xlfn.CONCAT(BBDD_Usiarios_Netflix[[#This Row],[Día Último Pago]],"/",BBDD_Usiarios_Netflix[[#This Row],[Mes Último Pago]],"/",BBDD_Usiarios_Netflix[[#This Row],[Año Último Pago]]))</f>
        <v>45473</v>
      </c>
      <c r="M738" s="4">
        <f>DATEDIF(BBDD_Usiarios_Netflix[[#This Row],[Fecha Suscripción]],BBDD_Usiarios_Netflix[[#This Row],[Fecha Último Pago]],"M")+1</f>
        <v>12</v>
      </c>
      <c r="N738" s="4">
        <f>BBDD_Usiarios_Netflix[[#This Row],[Ingresos Mensuales]]*BBDD_Usiarios_Netflix[[#This Row],[Meses contratados]]</f>
        <v>120</v>
      </c>
      <c r="O738" t="s">
        <v>42</v>
      </c>
      <c r="P738" t="str">
        <f>IF(BBDD_Usiarios_Netflix[[#This Row],[País]]="","Desconocido",BBDD_Usiarios_Netflix[[#This Row],[País]])</f>
        <v>Reino Unido</v>
      </c>
      <c r="Q738">
        <v>43</v>
      </c>
      <c r="R738" t="s">
        <v>30</v>
      </c>
      <c r="S738" t="s">
        <v>31</v>
      </c>
      <c r="T738" t="s">
        <v>27</v>
      </c>
      <c r="U738">
        <f>IF(IFERROR(VLOOKUP(BBDD_Usiarios_Netflix[[#This Row],[Identificador Usuario]],A739:$A$5870,1,FALSE),0)&lt;&gt;0,1,0)</f>
        <v>0</v>
      </c>
      <c r="V738" s="6" t="str">
        <f>IF(BBDD_Usiarios_Netflix[[#This Row],[Duración Plan]]="12 Meses",LEFT(BBDD_Usiarios_Netflix[[#This Row],[Duración Plan]],2),LEFT(BBDD_Usiarios_Netflix[[#This Row],[Duración Plan]],1))</f>
        <v>1</v>
      </c>
      <c r="W7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39" spans="1:23" x14ac:dyDescent="0.25">
      <c r="A739">
        <v>738</v>
      </c>
      <c r="B739" t="s">
        <v>32</v>
      </c>
      <c r="C739">
        <v>12</v>
      </c>
      <c r="D739" s="3">
        <v>26</v>
      </c>
      <c r="E739" s="3">
        <v>6</v>
      </c>
      <c r="F739">
        <v>23</v>
      </c>
      <c r="G739" s="1">
        <f>DATEVALUE(_xlfn.CONCAT(BBDD_Usiarios_Netflix[[#This Row],[Día Suscripción]],"/",BBDD_Usiarios_Netflix[[#This Row],[Mes Suscripción]],"/",BBDD_Usiarios_Netflix[[#This Row],[Año Suscripción]]))</f>
        <v>45103</v>
      </c>
      <c r="H739" s="1">
        <v>1</v>
      </c>
      <c r="I739" s="1">
        <v>7</v>
      </c>
      <c r="J739" s="1">
        <v>24</v>
      </c>
      <c r="K739" s="1" t="str">
        <f>TEXT(BBDD_Usiarios_Netflix[[#This Row],[Fecha Suscripción]],"dddd")</f>
        <v>lunes</v>
      </c>
      <c r="L739" s="1">
        <f>DATEVALUE(_xlfn.CONCAT(BBDD_Usiarios_Netflix[[#This Row],[Día Último Pago]],"/",BBDD_Usiarios_Netflix[[#This Row],[Mes Último Pago]],"/",BBDD_Usiarios_Netflix[[#This Row],[Año Último Pago]]))</f>
        <v>45474</v>
      </c>
      <c r="M739" s="4">
        <f>DATEDIF(BBDD_Usiarios_Netflix[[#This Row],[Fecha Suscripción]],BBDD_Usiarios_Netflix[[#This Row],[Fecha Último Pago]],"M")+1</f>
        <v>13</v>
      </c>
      <c r="N739" s="4">
        <f>BBDD_Usiarios_Netflix[[#This Row],[Ingresos Mensuales]]*BBDD_Usiarios_Netflix[[#This Row],[Meses contratados]]</f>
        <v>156</v>
      </c>
      <c r="O739" t="s">
        <v>33</v>
      </c>
      <c r="P739" t="str">
        <f>IF(BBDD_Usiarios_Netflix[[#This Row],[País]]="","Desconocido",BBDD_Usiarios_Netflix[[#This Row],[País]])</f>
        <v>Francia</v>
      </c>
      <c r="Q739">
        <v>44</v>
      </c>
      <c r="R739" t="s">
        <v>30</v>
      </c>
      <c r="S739" t="s">
        <v>26</v>
      </c>
      <c r="T739" t="s">
        <v>38</v>
      </c>
      <c r="U739">
        <f>IF(IFERROR(VLOOKUP(BBDD_Usiarios_Netflix[[#This Row],[Identificador Usuario]],A740:$A$5870,1,FALSE),0)&lt;&gt;0,1,0)</f>
        <v>0</v>
      </c>
      <c r="V739" s="6" t="str">
        <f>IF(BBDD_Usiarios_Netflix[[#This Row],[Duración Plan]]="12 Meses",LEFT(BBDD_Usiarios_Netflix[[#This Row],[Duración Plan]],2),LEFT(BBDD_Usiarios_Netflix[[#This Row],[Duración Plan]],1))</f>
        <v>3</v>
      </c>
      <c r="W7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40" spans="1:23" x14ac:dyDescent="0.25">
      <c r="A740">
        <v>739</v>
      </c>
      <c r="B740" t="s">
        <v>32</v>
      </c>
      <c r="C740">
        <v>12</v>
      </c>
      <c r="D740" s="3">
        <v>21</v>
      </c>
      <c r="E740" s="3">
        <v>6</v>
      </c>
      <c r="F740">
        <v>23</v>
      </c>
      <c r="G740" s="1">
        <f>DATEVALUE(_xlfn.CONCAT(BBDD_Usiarios_Netflix[[#This Row],[Día Suscripción]],"/",BBDD_Usiarios_Netflix[[#This Row],[Mes Suscripción]],"/",BBDD_Usiarios_Netflix[[#This Row],[Año Suscripción]]))</f>
        <v>45098</v>
      </c>
      <c r="H740" s="1">
        <v>28</v>
      </c>
      <c r="I740" s="1">
        <v>6</v>
      </c>
      <c r="J740" s="1">
        <v>24</v>
      </c>
      <c r="K740" s="1" t="str">
        <f>TEXT(BBDD_Usiarios_Netflix[[#This Row],[Fecha Suscripción]],"dddd")</f>
        <v>miércoles</v>
      </c>
      <c r="L740" s="1">
        <f>DATEVALUE(_xlfn.CONCAT(BBDD_Usiarios_Netflix[[#This Row],[Día Último Pago]],"/",BBDD_Usiarios_Netflix[[#This Row],[Mes Último Pago]],"/",BBDD_Usiarios_Netflix[[#This Row],[Año Último Pago]]))</f>
        <v>45471</v>
      </c>
      <c r="M740" s="4">
        <f>DATEDIF(BBDD_Usiarios_Netflix[[#This Row],[Fecha Suscripción]],BBDD_Usiarios_Netflix[[#This Row],[Fecha Último Pago]],"M")+1</f>
        <v>13</v>
      </c>
      <c r="N740" s="4">
        <f>BBDD_Usiarios_Netflix[[#This Row],[Ingresos Mensuales]]*BBDD_Usiarios_Netflix[[#This Row],[Meses contratados]]</f>
        <v>156</v>
      </c>
      <c r="O740" t="s">
        <v>45</v>
      </c>
      <c r="P740" t="str">
        <f>IF(BBDD_Usiarios_Netflix[[#This Row],[País]]="","Desconocido",BBDD_Usiarios_Netflix[[#This Row],[País]])</f>
        <v>España</v>
      </c>
      <c r="Q740">
        <v>27</v>
      </c>
      <c r="R740" t="s">
        <v>25</v>
      </c>
      <c r="S740" t="s">
        <v>26</v>
      </c>
      <c r="T740" t="s">
        <v>35</v>
      </c>
      <c r="U740">
        <f>IF(IFERROR(VLOOKUP(BBDD_Usiarios_Netflix[[#This Row],[Identificador Usuario]],A741:$A$5870,1,FALSE),0)&lt;&gt;0,1,0)</f>
        <v>0</v>
      </c>
      <c r="V740" s="6" t="str">
        <f>IF(BBDD_Usiarios_Netflix[[#This Row],[Duración Plan]]="12 Meses",LEFT(BBDD_Usiarios_Netflix[[#This Row],[Duración Plan]],2),LEFT(BBDD_Usiarios_Netflix[[#This Row],[Duración Plan]],1))</f>
        <v>6</v>
      </c>
      <c r="W7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41" spans="1:23" x14ac:dyDescent="0.25">
      <c r="A741">
        <v>740</v>
      </c>
      <c r="B741" t="s">
        <v>23</v>
      </c>
      <c r="C741">
        <v>10</v>
      </c>
      <c r="D741" s="3">
        <v>16</v>
      </c>
      <c r="E741" s="3">
        <v>6</v>
      </c>
      <c r="F741">
        <v>23</v>
      </c>
      <c r="G741" s="1">
        <f>DATEVALUE(_xlfn.CONCAT(BBDD_Usiarios_Netflix[[#This Row],[Día Suscripción]],"/",BBDD_Usiarios_Netflix[[#This Row],[Mes Suscripción]],"/",BBDD_Usiarios_Netflix[[#This Row],[Año Suscripción]]))</f>
        <v>45093</v>
      </c>
      <c r="H741" s="1">
        <v>29</v>
      </c>
      <c r="I741" s="1">
        <v>6</v>
      </c>
      <c r="J741" s="1">
        <v>24</v>
      </c>
      <c r="K741" s="1" t="str">
        <f>TEXT(BBDD_Usiarios_Netflix[[#This Row],[Fecha Suscripción]],"dddd")</f>
        <v>viernes</v>
      </c>
      <c r="L741" s="1">
        <f>DATEVALUE(_xlfn.CONCAT(BBDD_Usiarios_Netflix[[#This Row],[Día Último Pago]],"/",BBDD_Usiarios_Netflix[[#This Row],[Mes Último Pago]],"/",BBDD_Usiarios_Netflix[[#This Row],[Año Último Pago]]))</f>
        <v>45472</v>
      </c>
      <c r="M741" s="4">
        <f>DATEDIF(BBDD_Usiarios_Netflix[[#This Row],[Fecha Suscripción]],BBDD_Usiarios_Netflix[[#This Row],[Fecha Último Pago]],"M")+1</f>
        <v>13</v>
      </c>
      <c r="N741" s="4">
        <f>BBDD_Usiarios_Netflix[[#This Row],[Ingresos Mensuales]]*BBDD_Usiarios_Netflix[[#This Row],[Meses contratados]]</f>
        <v>130</v>
      </c>
      <c r="O741" t="s">
        <v>24</v>
      </c>
      <c r="P741" t="str">
        <f>IF(BBDD_Usiarios_Netflix[[#This Row],[País]]="","Desconocido",BBDD_Usiarios_Netflix[[#This Row],[País]])</f>
        <v>Australia</v>
      </c>
      <c r="Q741">
        <v>30</v>
      </c>
      <c r="R741" t="s">
        <v>25</v>
      </c>
      <c r="S741" t="s">
        <v>31</v>
      </c>
      <c r="T741" t="s">
        <v>35</v>
      </c>
      <c r="U741">
        <f>IF(IFERROR(VLOOKUP(BBDD_Usiarios_Netflix[[#This Row],[Identificador Usuario]],A742:$A$5870,1,FALSE),0)&lt;&gt;0,1,0)</f>
        <v>0</v>
      </c>
      <c r="V741" s="6" t="str">
        <f>IF(BBDD_Usiarios_Netflix[[#This Row],[Duración Plan]]="12 Meses",LEFT(BBDD_Usiarios_Netflix[[#This Row],[Duración Plan]],2),LEFT(BBDD_Usiarios_Netflix[[#This Row],[Duración Plan]],1))</f>
        <v>6</v>
      </c>
      <c r="W7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42" spans="1:23" x14ac:dyDescent="0.25">
      <c r="A742">
        <v>741</v>
      </c>
      <c r="B742" t="s">
        <v>28</v>
      </c>
      <c r="C742">
        <v>14</v>
      </c>
      <c r="D742" s="3">
        <v>9</v>
      </c>
      <c r="E742" s="3">
        <v>6</v>
      </c>
      <c r="F742">
        <v>23</v>
      </c>
      <c r="G742" s="1">
        <f>DATEVALUE(_xlfn.CONCAT(BBDD_Usiarios_Netflix[[#This Row],[Día Suscripción]],"/",BBDD_Usiarios_Netflix[[#This Row],[Mes Suscripción]],"/",BBDD_Usiarios_Netflix[[#This Row],[Año Suscripción]]))</f>
        <v>45086</v>
      </c>
      <c r="H742" s="1">
        <v>30</v>
      </c>
      <c r="I742" s="1">
        <v>6</v>
      </c>
      <c r="J742" s="1">
        <v>24</v>
      </c>
      <c r="K742" s="1" t="str">
        <f>TEXT(BBDD_Usiarios_Netflix[[#This Row],[Fecha Suscripción]],"dddd")</f>
        <v>viernes</v>
      </c>
      <c r="L742" s="1">
        <f>DATEVALUE(_xlfn.CONCAT(BBDD_Usiarios_Netflix[[#This Row],[Día Último Pago]],"/",BBDD_Usiarios_Netflix[[#This Row],[Mes Último Pago]],"/",BBDD_Usiarios_Netflix[[#This Row],[Año Último Pago]]))</f>
        <v>45473</v>
      </c>
      <c r="M742" s="4">
        <f>DATEDIF(BBDD_Usiarios_Netflix[[#This Row],[Fecha Suscripción]],BBDD_Usiarios_Netflix[[#This Row],[Fecha Último Pago]],"M")+1</f>
        <v>13</v>
      </c>
      <c r="N742" s="4">
        <f>BBDD_Usiarios_Netflix[[#This Row],[Ingresos Mensuales]]*BBDD_Usiarios_Netflix[[#This Row],[Meses contratados]]</f>
        <v>182</v>
      </c>
      <c r="O742" t="s">
        <v>29</v>
      </c>
      <c r="P742" t="str">
        <f>IF(BBDD_Usiarios_Netflix[[#This Row],[País]]="","Desconocido",BBDD_Usiarios_Netflix[[#This Row],[País]])</f>
        <v>EEUU</v>
      </c>
      <c r="Q742">
        <v>47</v>
      </c>
      <c r="R742" t="s">
        <v>25</v>
      </c>
      <c r="S742" t="s">
        <v>34</v>
      </c>
      <c r="T742" t="s">
        <v>38</v>
      </c>
      <c r="U742">
        <f>IF(IFERROR(VLOOKUP(BBDD_Usiarios_Netflix[[#This Row],[Identificador Usuario]],A743:$A$5870,1,FALSE),0)&lt;&gt;0,1,0)</f>
        <v>0</v>
      </c>
      <c r="V742" s="6" t="str">
        <f>IF(BBDD_Usiarios_Netflix[[#This Row],[Duración Plan]]="12 Meses",LEFT(BBDD_Usiarios_Netflix[[#This Row],[Duración Plan]],2),LEFT(BBDD_Usiarios_Netflix[[#This Row],[Duración Plan]],1))</f>
        <v>3</v>
      </c>
      <c r="W7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43" spans="1:23" x14ac:dyDescent="0.25">
      <c r="A743">
        <v>742</v>
      </c>
      <c r="B743" t="s">
        <v>23</v>
      </c>
      <c r="C743">
        <v>10</v>
      </c>
      <c r="D743" s="3">
        <v>10</v>
      </c>
      <c r="E743" s="3">
        <v>6</v>
      </c>
      <c r="F743">
        <v>23</v>
      </c>
      <c r="G743" s="1">
        <f>DATEVALUE(_xlfn.CONCAT(BBDD_Usiarios_Netflix[[#This Row],[Día Suscripción]],"/",BBDD_Usiarios_Netflix[[#This Row],[Mes Suscripción]],"/",BBDD_Usiarios_Netflix[[#This Row],[Año Suscripción]]))</f>
        <v>45087</v>
      </c>
      <c r="H743" s="1">
        <v>30</v>
      </c>
      <c r="I743" s="1">
        <v>6</v>
      </c>
      <c r="J743" s="1">
        <v>24</v>
      </c>
      <c r="K743" s="1" t="str">
        <f>TEXT(BBDD_Usiarios_Netflix[[#This Row],[Fecha Suscripción]],"dddd")</f>
        <v>sábado</v>
      </c>
      <c r="L743" s="1">
        <f>DATEVALUE(_xlfn.CONCAT(BBDD_Usiarios_Netflix[[#This Row],[Día Último Pago]],"/",BBDD_Usiarios_Netflix[[#This Row],[Mes Último Pago]],"/",BBDD_Usiarios_Netflix[[#This Row],[Año Último Pago]]))</f>
        <v>45473</v>
      </c>
      <c r="M743" s="4">
        <f>DATEDIF(BBDD_Usiarios_Netflix[[#This Row],[Fecha Suscripción]],BBDD_Usiarios_Netflix[[#This Row],[Fecha Último Pago]],"M")+1</f>
        <v>13</v>
      </c>
      <c r="N743" s="4">
        <f>BBDD_Usiarios_Netflix[[#This Row],[Ingresos Mensuales]]*BBDD_Usiarios_Netflix[[#This Row],[Meses contratados]]</f>
        <v>130</v>
      </c>
      <c r="O743" t="s">
        <v>44</v>
      </c>
      <c r="P743" t="str">
        <f>IF(BBDD_Usiarios_Netflix[[#This Row],[País]]="","Desconocido",BBDD_Usiarios_Netflix[[#This Row],[País]])</f>
        <v>Desconocido</v>
      </c>
      <c r="Q743">
        <v>51</v>
      </c>
      <c r="R743" t="s">
        <v>25</v>
      </c>
      <c r="S743" t="s">
        <v>26</v>
      </c>
      <c r="T743" t="s">
        <v>35</v>
      </c>
      <c r="U743">
        <f>IF(IFERROR(VLOOKUP(BBDD_Usiarios_Netflix[[#This Row],[Identificador Usuario]],A744:$A$5870,1,FALSE),0)&lt;&gt;0,1,0)</f>
        <v>0</v>
      </c>
      <c r="V743" s="6" t="str">
        <f>IF(BBDD_Usiarios_Netflix[[#This Row],[Duración Plan]]="12 Meses",LEFT(BBDD_Usiarios_Netflix[[#This Row],[Duración Plan]],2),LEFT(BBDD_Usiarios_Netflix[[#This Row],[Duración Plan]],1))</f>
        <v>6</v>
      </c>
      <c r="W7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44" spans="1:23" x14ac:dyDescent="0.25">
      <c r="A744">
        <v>743</v>
      </c>
      <c r="B744" t="s">
        <v>32</v>
      </c>
      <c r="C744">
        <v>12</v>
      </c>
      <c r="D744" s="3">
        <v>10</v>
      </c>
      <c r="E744" s="3">
        <v>6</v>
      </c>
      <c r="F744">
        <v>23</v>
      </c>
      <c r="G744" s="1">
        <f>DATEVALUE(_xlfn.CONCAT(BBDD_Usiarios_Netflix[[#This Row],[Día Suscripción]],"/",BBDD_Usiarios_Netflix[[#This Row],[Mes Suscripción]],"/",BBDD_Usiarios_Netflix[[#This Row],[Año Suscripción]]))</f>
        <v>45087</v>
      </c>
      <c r="H744" s="1">
        <v>28</v>
      </c>
      <c r="I744" s="1">
        <v>6</v>
      </c>
      <c r="J744" s="1">
        <v>24</v>
      </c>
      <c r="K744" s="1" t="str">
        <f>TEXT(BBDD_Usiarios_Netflix[[#This Row],[Fecha Suscripción]],"dddd")</f>
        <v>sábado</v>
      </c>
      <c r="L744" s="1">
        <f>DATEVALUE(_xlfn.CONCAT(BBDD_Usiarios_Netflix[[#This Row],[Día Último Pago]],"/",BBDD_Usiarios_Netflix[[#This Row],[Mes Último Pago]],"/",BBDD_Usiarios_Netflix[[#This Row],[Año Último Pago]]))</f>
        <v>45471</v>
      </c>
      <c r="M744" s="4">
        <f>DATEDIF(BBDD_Usiarios_Netflix[[#This Row],[Fecha Suscripción]],BBDD_Usiarios_Netflix[[#This Row],[Fecha Último Pago]],"M")+1</f>
        <v>13</v>
      </c>
      <c r="N744" s="4">
        <f>BBDD_Usiarios_Netflix[[#This Row],[Ingresos Mensuales]]*BBDD_Usiarios_Netflix[[#This Row],[Meses contratados]]</f>
        <v>156</v>
      </c>
      <c r="O744" t="s">
        <v>39</v>
      </c>
      <c r="P744" t="str">
        <f>IF(BBDD_Usiarios_Netflix[[#This Row],[País]]="","Desconocido",BBDD_Usiarios_Netflix[[#This Row],[País]])</f>
        <v>Canadá</v>
      </c>
      <c r="Q744">
        <v>31</v>
      </c>
      <c r="R744" t="s">
        <v>30</v>
      </c>
      <c r="S744" t="s">
        <v>36</v>
      </c>
      <c r="T744" t="s">
        <v>38</v>
      </c>
      <c r="U744">
        <f>IF(IFERROR(VLOOKUP(BBDD_Usiarios_Netflix[[#This Row],[Identificador Usuario]],A745:$A$5870,1,FALSE),0)&lt;&gt;0,1,0)</f>
        <v>0</v>
      </c>
      <c r="V744" s="6" t="str">
        <f>IF(BBDD_Usiarios_Netflix[[#This Row],[Duración Plan]]="12 Meses",LEFT(BBDD_Usiarios_Netflix[[#This Row],[Duración Plan]],2),LEFT(BBDD_Usiarios_Netflix[[#This Row],[Duración Plan]],1))</f>
        <v>3</v>
      </c>
      <c r="W7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45" spans="1:23" x14ac:dyDescent="0.25">
      <c r="A745">
        <v>744</v>
      </c>
      <c r="B745" t="s">
        <v>28</v>
      </c>
      <c r="C745">
        <v>14</v>
      </c>
      <c r="D745" s="3">
        <v>11</v>
      </c>
      <c r="E745" s="3">
        <v>6</v>
      </c>
      <c r="F745">
        <v>23</v>
      </c>
      <c r="G745" s="1">
        <f>DATEVALUE(_xlfn.CONCAT(BBDD_Usiarios_Netflix[[#This Row],[Día Suscripción]],"/",BBDD_Usiarios_Netflix[[#This Row],[Mes Suscripción]],"/",BBDD_Usiarios_Netflix[[#This Row],[Año Suscripción]]))</f>
        <v>45088</v>
      </c>
      <c r="H745" s="1">
        <v>29</v>
      </c>
      <c r="I745" s="1">
        <v>6</v>
      </c>
      <c r="J745" s="1">
        <v>24</v>
      </c>
      <c r="K745" s="1" t="str">
        <f>TEXT(BBDD_Usiarios_Netflix[[#This Row],[Fecha Suscripción]],"dddd")</f>
        <v>domingo</v>
      </c>
      <c r="L745" s="1">
        <f>DATEVALUE(_xlfn.CONCAT(BBDD_Usiarios_Netflix[[#This Row],[Día Último Pago]],"/",BBDD_Usiarios_Netflix[[#This Row],[Mes Último Pago]],"/",BBDD_Usiarios_Netflix[[#This Row],[Año Último Pago]]))</f>
        <v>45472</v>
      </c>
      <c r="M745" s="4">
        <f>DATEDIF(BBDD_Usiarios_Netflix[[#This Row],[Fecha Suscripción]],BBDD_Usiarios_Netflix[[#This Row],[Fecha Último Pago]],"M")+1</f>
        <v>13</v>
      </c>
      <c r="N745" s="4">
        <f>BBDD_Usiarios_Netflix[[#This Row],[Ingresos Mensuales]]*BBDD_Usiarios_Netflix[[#This Row],[Meses contratados]]</f>
        <v>182</v>
      </c>
      <c r="O745" t="s">
        <v>45</v>
      </c>
      <c r="P745" t="str">
        <f>IF(BBDD_Usiarios_Netflix[[#This Row],[País]]="","Desconocido",BBDD_Usiarios_Netflix[[#This Row],[País]])</f>
        <v>España</v>
      </c>
      <c r="Q745">
        <v>34</v>
      </c>
      <c r="R745" t="s">
        <v>30</v>
      </c>
      <c r="S745" t="s">
        <v>31</v>
      </c>
      <c r="T745" t="s">
        <v>35</v>
      </c>
      <c r="U745">
        <f>IF(IFERROR(VLOOKUP(BBDD_Usiarios_Netflix[[#This Row],[Identificador Usuario]],A746:$A$5870,1,FALSE),0)&lt;&gt;0,1,0)</f>
        <v>0</v>
      </c>
      <c r="V745" s="6" t="str">
        <f>IF(BBDD_Usiarios_Netflix[[#This Row],[Duración Plan]]="12 Meses",LEFT(BBDD_Usiarios_Netflix[[#This Row],[Duración Plan]],2),LEFT(BBDD_Usiarios_Netflix[[#This Row],[Duración Plan]],1))</f>
        <v>6</v>
      </c>
      <c r="W7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46" spans="1:23" x14ac:dyDescent="0.25">
      <c r="A746">
        <v>745</v>
      </c>
      <c r="B746" t="s">
        <v>23</v>
      </c>
      <c r="C746">
        <v>10</v>
      </c>
      <c r="D746" s="3">
        <v>12</v>
      </c>
      <c r="E746" s="3">
        <v>6</v>
      </c>
      <c r="F746">
        <v>23</v>
      </c>
      <c r="G746" s="1">
        <f>DATEVALUE(_xlfn.CONCAT(BBDD_Usiarios_Netflix[[#This Row],[Día Suscripción]],"/",BBDD_Usiarios_Netflix[[#This Row],[Mes Suscripción]],"/",BBDD_Usiarios_Netflix[[#This Row],[Año Suscripción]]))</f>
        <v>45089</v>
      </c>
      <c r="H746" s="1">
        <v>30</v>
      </c>
      <c r="I746" s="1">
        <v>6</v>
      </c>
      <c r="J746" s="1">
        <v>24</v>
      </c>
      <c r="K746" s="1" t="str">
        <f>TEXT(BBDD_Usiarios_Netflix[[#This Row],[Fecha Suscripción]],"dddd")</f>
        <v>lunes</v>
      </c>
      <c r="L746" s="1">
        <f>DATEVALUE(_xlfn.CONCAT(BBDD_Usiarios_Netflix[[#This Row],[Día Último Pago]],"/",BBDD_Usiarios_Netflix[[#This Row],[Mes Último Pago]],"/",BBDD_Usiarios_Netflix[[#This Row],[Año Último Pago]]))</f>
        <v>45473</v>
      </c>
      <c r="M746" s="4">
        <f>DATEDIF(BBDD_Usiarios_Netflix[[#This Row],[Fecha Suscripción]],BBDD_Usiarios_Netflix[[#This Row],[Fecha Último Pago]],"M")+1</f>
        <v>13</v>
      </c>
      <c r="N746" s="4">
        <f>BBDD_Usiarios_Netflix[[#This Row],[Ingresos Mensuales]]*BBDD_Usiarios_Netflix[[#This Row],[Meses contratados]]</f>
        <v>130</v>
      </c>
      <c r="O746" t="s">
        <v>43</v>
      </c>
      <c r="P746" t="str">
        <f>IF(BBDD_Usiarios_Netflix[[#This Row],[País]]="","Desconocido",BBDD_Usiarios_Netflix[[#This Row],[País]])</f>
        <v>Alemania</v>
      </c>
      <c r="Q746">
        <v>28</v>
      </c>
      <c r="R746" t="s">
        <v>30</v>
      </c>
      <c r="S746" t="s">
        <v>36</v>
      </c>
      <c r="T746" t="s">
        <v>27</v>
      </c>
      <c r="U746">
        <f>IF(IFERROR(VLOOKUP(BBDD_Usiarios_Netflix[[#This Row],[Identificador Usuario]],A747:$A$5870,1,FALSE),0)&lt;&gt;0,1,0)</f>
        <v>0</v>
      </c>
      <c r="V746" s="6" t="str">
        <f>IF(BBDD_Usiarios_Netflix[[#This Row],[Duración Plan]]="12 Meses",LEFT(BBDD_Usiarios_Netflix[[#This Row],[Duración Plan]],2),LEFT(BBDD_Usiarios_Netflix[[#This Row],[Duración Plan]],1))</f>
        <v>1</v>
      </c>
      <c r="W7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47" spans="1:23" x14ac:dyDescent="0.25">
      <c r="A747">
        <v>746</v>
      </c>
      <c r="B747" t="s">
        <v>23</v>
      </c>
      <c r="C747">
        <v>10</v>
      </c>
      <c r="D747" s="3">
        <v>15</v>
      </c>
      <c r="E747" s="3">
        <v>6</v>
      </c>
      <c r="F747">
        <v>23</v>
      </c>
      <c r="G747" s="1">
        <f>DATEVALUE(_xlfn.CONCAT(BBDD_Usiarios_Netflix[[#This Row],[Día Suscripción]],"/",BBDD_Usiarios_Netflix[[#This Row],[Mes Suscripción]],"/",BBDD_Usiarios_Netflix[[#This Row],[Año Suscripción]]))</f>
        <v>45092</v>
      </c>
      <c r="H747" s="1">
        <v>30</v>
      </c>
      <c r="I747" s="1">
        <v>6</v>
      </c>
      <c r="J747" s="1">
        <v>24</v>
      </c>
      <c r="K747" s="1" t="str">
        <f>TEXT(BBDD_Usiarios_Netflix[[#This Row],[Fecha Suscripción]],"dddd")</f>
        <v>jueves</v>
      </c>
      <c r="L747" s="1">
        <f>DATEVALUE(_xlfn.CONCAT(BBDD_Usiarios_Netflix[[#This Row],[Día Último Pago]],"/",BBDD_Usiarios_Netflix[[#This Row],[Mes Último Pago]],"/",BBDD_Usiarios_Netflix[[#This Row],[Año Último Pago]]))</f>
        <v>45473</v>
      </c>
      <c r="M747" s="4">
        <f>DATEDIF(BBDD_Usiarios_Netflix[[#This Row],[Fecha Suscripción]],BBDD_Usiarios_Netflix[[#This Row],[Fecha Último Pago]],"M")+1</f>
        <v>13</v>
      </c>
      <c r="N747" s="4">
        <f>BBDD_Usiarios_Netflix[[#This Row],[Ingresos Mensuales]]*BBDD_Usiarios_Netflix[[#This Row],[Meses contratados]]</f>
        <v>130</v>
      </c>
      <c r="O747" t="s">
        <v>43</v>
      </c>
      <c r="P747" t="str">
        <f>IF(BBDD_Usiarios_Netflix[[#This Row],[País]]="","Desconocido",BBDD_Usiarios_Netflix[[#This Row],[País]])</f>
        <v>Alemania</v>
      </c>
      <c r="Q747">
        <v>32</v>
      </c>
      <c r="R747" t="s">
        <v>25</v>
      </c>
      <c r="S747" t="s">
        <v>26</v>
      </c>
      <c r="T747" t="s">
        <v>27</v>
      </c>
      <c r="U747">
        <f>IF(IFERROR(VLOOKUP(BBDD_Usiarios_Netflix[[#This Row],[Identificador Usuario]],A748:$A$5870,1,FALSE),0)&lt;&gt;0,1,0)</f>
        <v>0</v>
      </c>
      <c r="V747" s="6" t="str">
        <f>IF(BBDD_Usiarios_Netflix[[#This Row],[Duración Plan]]="12 Meses",LEFT(BBDD_Usiarios_Netflix[[#This Row],[Duración Plan]],2),LEFT(BBDD_Usiarios_Netflix[[#This Row],[Duración Plan]],1))</f>
        <v>1</v>
      </c>
      <c r="W7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48" spans="1:23" x14ac:dyDescent="0.25">
      <c r="A748">
        <v>747</v>
      </c>
      <c r="B748" t="s">
        <v>23</v>
      </c>
      <c r="C748">
        <v>10</v>
      </c>
      <c r="D748" s="3">
        <v>25</v>
      </c>
      <c r="E748" s="3">
        <v>6</v>
      </c>
      <c r="F748">
        <v>23</v>
      </c>
      <c r="G748" s="1">
        <f>DATEVALUE(_xlfn.CONCAT(BBDD_Usiarios_Netflix[[#This Row],[Día Suscripción]],"/",BBDD_Usiarios_Netflix[[#This Row],[Mes Suscripción]],"/",BBDD_Usiarios_Netflix[[#This Row],[Año Suscripción]]))</f>
        <v>45102</v>
      </c>
      <c r="H748" s="1">
        <v>29</v>
      </c>
      <c r="I748" s="1">
        <v>6</v>
      </c>
      <c r="J748" s="1">
        <v>24</v>
      </c>
      <c r="K748" s="1" t="str">
        <f>TEXT(BBDD_Usiarios_Netflix[[#This Row],[Fecha Suscripción]],"dddd")</f>
        <v>domingo</v>
      </c>
      <c r="L748" s="1">
        <f>DATEVALUE(_xlfn.CONCAT(BBDD_Usiarios_Netflix[[#This Row],[Día Último Pago]],"/",BBDD_Usiarios_Netflix[[#This Row],[Mes Último Pago]],"/",BBDD_Usiarios_Netflix[[#This Row],[Año Último Pago]]))</f>
        <v>45472</v>
      </c>
      <c r="M748" s="4">
        <f>DATEDIF(BBDD_Usiarios_Netflix[[#This Row],[Fecha Suscripción]],BBDD_Usiarios_Netflix[[#This Row],[Fecha Último Pago]],"M")+1</f>
        <v>13</v>
      </c>
      <c r="N748" s="4">
        <f>BBDD_Usiarios_Netflix[[#This Row],[Ingresos Mensuales]]*BBDD_Usiarios_Netflix[[#This Row],[Meses contratados]]</f>
        <v>130</v>
      </c>
      <c r="O748" t="s">
        <v>37</v>
      </c>
      <c r="P748" t="str">
        <f>IF(BBDD_Usiarios_Netflix[[#This Row],[País]]="","Desconocido",BBDD_Usiarios_Netflix[[#This Row],[País]])</f>
        <v>Brasil</v>
      </c>
      <c r="Q748">
        <v>41</v>
      </c>
      <c r="R748" t="s">
        <v>25</v>
      </c>
      <c r="S748" t="s">
        <v>34</v>
      </c>
      <c r="T748" t="s">
        <v>27</v>
      </c>
      <c r="U748">
        <f>IF(IFERROR(VLOOKUP(BBDD_Usiarios_Netflix[[#This Row],[Identificador Usuario]],A749:$A$5870,1,FALSE),0)&lt;&gt;0,1,0)</f>
        <v>0</v>
      </c>
      <c r="V748" s="6" t="str">
        <f>IF(BBDD_Usiarios_Netflix[[#This Row],[Duración Plan]]="12 Meses",LEFT(BBDD_Usiarios_Netflix[[#This Row],[Duración Plan]],2),LEFT(BBDD_Usiarios_Netflix[[#This Row],[Duración Plan]],1))</f>
        <v>1</v>
      </c>
      <c r="W7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49" spans="1:23" x14ac:dyDescent="0.25">
      <c r="A749">
        <v>748</v>
      </c>
      <c r="B749" t="s">
        <v>32</v>
      </c>
      <c r="C749">
        <v>12</v>
      </c>
      <c r="D749" s="3">
        <v>30</v>
      </c>
      <c r="E749" s="3">
        <v>6</v>
      </c>
      <c r="F749">
        <v>23</v>
      </c>
      <c r="G749" s="1">
        <f>DATEVALUE(_xlfn.CONCAT(BBDD_Usiarios_Netflix[[#This Row],[Día Suscripción]],"/",BBDD_Usiarios_Netflix[[#This Row],[Mes Suscripción]],"/",BBDD_Usiarios_Netflix[[#This Row],[Año Suscripción]]))</f>
        <v>45107</v>
      </c>
      <c r="H749" s="1">
        <v>28</v>
      </c>
      <c r="I749" s="1">
        <v>6</v>
      </c>
      <c r="J749" s="1">
        <v>24</v>
      </c>
      <c r="K749" s="1" t="str">
        <f>TEXT(BBDD_Usiarios_Netflix[[#This Row],[Fecha Suscripción]],"dddd")</f>
        <v>viernes</v>
      </c>
      <c r="L749" s="1">
        <f>DATEVALUE(_xlfn.CONCAT(BBDD_Usiarios_Netflix[[#This Row],[Día Último Pago]],"/",BBDD_Usiarios_Netflix[[#This Row],[Mes Último Pago]],"/",BBDD_Usiarios_Netflix[[#This Row],[Año Último Pago]]))</f>
        <v>45471</v>
      </c>
      <c r="M749" s="4">
        <f>DATEDIF(BBDD_Usiarios_Netflix[[#This Row],[Fecha Suscripción]],BBDD_Usiarios_Netflix[[#This Row],[Fecha Último Pago]],"M")+1</f>
        <v>12</v>
      </c>
      <c r="N749" s="4">
        <f>BBDD_Usiarios_Netflix[[#This Row],[Ingresos Mensuales]]*BBDD_Usiarios_Netflix[[#This Row],[Meses contratados]]</f>
        <v>144</v>
      </c>
      <c r="O749" t="s">
        <v>43</v>
      </c>
      <c r="P749" t="str">
        <f>IF(BBDD_Usiarios_Netflix[[#This Row],[País]]="","Desconocido",BBDD_Usiarios_Netflix[[#This Row],[País]])</f>
        <v>Alemania</v>
      </c>
      <c r="Q749">
        <v>40</v>
      </c>
      <c r="R749" t="s">
        <v>25</v>
      </c>
      <c r="S749" t="s">
        <v>34</v>
      </c>
      <c r="T749" t="s">
        <v>35</v>
      </c>
      <c r="U749">
        <f>IF(IFERROR(VLOOKUP(BBDD_Usiarios_Netflix[[#This Row],[Identificador Usuario]],A750:$A$5870,1,FALSE),0)&lt;&gt;0,1,0)</f>
        <v>0</v>
      </c>
      <c r="V749" s="6" t="str">
        <f>IF(BBDD_Usiarios_Netflix[[#This Row],[Duración Plan]]="12 Meses",LEFT(BBDD_Usiarios_Netflix[[#This Row],[Duración Plan]],2),LEFT(BBDD_Usiarios_Netflix[[#This Row],[Duración Plan]],1))</f>
        <v>6</v>
      </c>
      <c r="W7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50" spans="1:23" x14ac:dyDescent="0.25">
      <c r="A750">
        <v>749</v>
      </c>
      <c r="B750" t="s">
        <v>28</v>
      </c>
      <c r="C750">
        <v>14</v>
      </c>
      <c r="D750" s="3">
        <v>6</v>
      </c>
      <c r="E750" s="3">
        <v>7</v>
      </c>
      <c r="F750">
        <v>23</v>
      </c>
      <c r="G750" s="1">
        <f>DATEVALUE(_xlfn.CONCAT(BBDD_Usiarios_Netflix[[#This Row],[Día Suscripción]],"/",BBDD_Usiarios_Netflix[[#This Row],[Mes Suscripción]],"/",BBDD_Usiarios_Netflix[[#This Row],[Año Suscripción]]))</f>
        <v>45113</v>
      </c>
      <c r="H750" s="1">
        <v>30</v>
      </c>
      <c r="I750" s="1">
        <v>6</v>
      </c>
      <c r="J750" s="1">
        <v>24</v>
      </c>
      <c r="K750" s="1" t="str">
        <f>TEXT(BBDD_Usiarios_Netflix[[#This Row],[Fecha Suscripción]],"dddd")</f>
        <v>jueves</v>
      </c>
      <c r="L750" s="1">
        <f>DATEVALUE(_xlfn.CONCAT(BBDD_Usiarios_Netflix[[#This Row],[Día Último Pago]],"/",BBDD_Usiarios_Netflix[[#This Row],[Mes Último Pago]],"/",BBDD_Usiarios_Netflix[[#This Row],[Año Último Pago]]))</f>
        <v>45473</v>
      </c>
      <c r="M750" s="4">
        <f>DATEDIF(BBDD_Usiarios_Netflix[[#This Row],[Fecha Suscripción]],BBDD_Usiarios_Netflix[[#This Row],[Fecha Último Pago]],"M")+1</f>
        <v>12</v>
      </c>
      <c r="N750" s="4">
        <f>BBDD_Usiarios_Netflix[[#This Row],[Ingresos Mensuales]]*BBDD_Usiarios_Netflix[[#This Row],[Meses contratados]]</f>
        <v>168</v>
      </c>
      <c r="O750" t="s">
        <v>44</v>
      </c>
      <c r="P750" t="str">
        <f>IF(BBDD_Usiarios_Netflix[[#This Row],[País]]="","Desconocido",BBDD_Usiarios_Netflix[[#This Row],[País]])</f>
        <v>Desconocido</v>
      </c>
      <c r="Q750">
        <v>46</v>
      </c>
      <c r="R750" t="s">
        <v>25</v>
      </c>
      <c r="S750" t="s">
        <v>34</v>
      </c>
      <c r="T750" t="s">
        <v>38</v>
      </c>
      <c r="U750">
        <f>IF(IFERROR(VLOOKUP(BBDD_Usiarios_Netflix[[#This Row],[Identificador Usuario]],A751:$A$5870,1,FALSE),0)&lt;&gt;0,1,0)</f>
        <v>0</v>
      </c>
      <c r="V750" s="6" t="str">
        <f>IF(BBDD_Usiarios_Netflix[[#This Row],[Duración Plan]]="12 Meses",LEFT(BBDD_Usiarios_Netflix[[#This Row],[Duración Plan]],2),LEFT(BBDD_Usiarios_Netflix[[#This Row],[Duración Plan]],1))</f>
        <v>3</v>
      </c>
      <c r="W7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51" spans="1:23" x14ac:dyDescent="0.25">
      <c r="A751">
        <v>750</v>
      </c>
      <c r="B751" t="s">
        <v>23</v>
      </c>
      <c r="C751">
        <v>10</v>
      </c>
      <c r="D751" s="3">
        <v>9</v>
      </c>
      <c r="E751" s="3">
        <v>7</v>
      </c>
      <c r="F751">
        <v>23</v>
      </c>
      <c r="G751" s="1">
        <f>DATEVALUE(_xlfn.CONCAT(BBDD_Usiarios_Netflix[[#This Row],[Día Suscripción]],"/",BBDD_Usiarios_Netflix[[#This Row],[Mes Suscripción]],"/",BBDD_Usiarios_Netflix[[#This Row],[Año Suscripción]]))</f>
        <v>45116</v>
      </c>
      <c r="H751" s="1">
        <v>29</v>
      </c>
      <c r="I751" s="1">
        <v>6</v>
      </c>
      <c r="J751" s="1">
        <v>24</v>
      </c>
      <c r="K751" s="1" t="str">
        <f>TEXT(BBDD_Usiarios_Netflix[[#This Row],[Fecha Suscripción]],"dddd")</f>
        <v>domingo</v>
      </c>
      <c r="L751" s="1">
        <f>DATEVALUE(_xlfn.CONCAT(BBDD_Usiarios_Netflix[[#This Row],[Día Último Pago]],"/",BBDD_Usiarios_Netflix[[#This Row],[Mes Último Pago]],"/",BBDD_Usiarios_Netflix[[#This Row],[Año Último Pago]]))</f>
        <v>45472</v>
      </c>
      <c r="M751" s="4">
        <f>DATEDIF(BBDD_Usiarios_Netflix[[#This Row],[Fecha Suscripción]],BBDD_Usiarios_Netflix[[#This Row],[Fecha Último Pago]],"M")+1</f>
        <v>12</v>
      </c>
      <c r="N751" s="4">
        <f>BBDD_Usiarios_Netflix[[#This Row],[Ingresos Mensuales]]*BBDD_Usiarios_Netflix[[#This Row],[Meses contratados]]</f>
        <v>120</v>
      </c>
      <c r="O751" t="s">
        <v>43</v>
      </c>
      <c r="P751" t="str">
        <f>IF(BBDD_Usiarios_Netflix[[#This Row],[País]]="","Desconocido",BBDD_Usiarios_Netflix[[#This Row],[País]])</f>
        <v>Alemania</v>
      </c>
      <c r="Q751">
        <v>47</v>
      </c>
      <c r="R751" t="s">
        <v>25</v>
      </c>
      <c r="S751" t="s">
        <v>34</v>
      </c>
      <c r="T751" t="s">
        <v>27</v>
      </c>
      <c r="U751">
        <f>IF(IFERROR(VLOOKUP(BBDD_Usiarios_Netflix[[#This Row],[Identificador Usuario]],A752:$A$5870,1,FALSE),0)&lt;&gt;0,1,0)</f>
        <v>0</v>
      </c>
      <c r="V751" s="6" t="str">
        <f>IF(BBDD_Usiarios_Netflix[[#This Row],[Duración Plan]]="12 Meses",LEFT(BBDD_Usiarios_Netflix[[#This Row],[Duración Plan]],2),LEFT(BBDD_Usiarios_Netflix[[#This Row],[Duración Plan]],1))</f>
        <v>1</v>
      </c>
      <c r="W7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52" spans="1:23" x14ac:dyDescent="0.25">
      <c r="A752">
        <v>751</v>
      </c>
      <c r="B752" t="s">
        <v>23</v>
      </c>
      <c r="C752">
        <v>10</v>
      </c>
      <c r="D752" s="3">
        <v>18</v>
      </c>
      <c r="E752" s="3">
        <v>7</v>
      </c>
      <c r="F752">
        <v>23</v>
      </c>
      <c r="G752" s="1">
        <f>DATEVALUE(_xlfn.CONCAT(BBDD_Usiarios_Netflix[[#This Row],[Día Suscripción]],"/",BBDD_Usiarios_Netflix[[#This Row],[Mes Suscripción]],"/",BBDD_Usiarios_Netflix[[#This Row],[Año Suscripción]]))</f>
        <v>45125</v>
      </c>
      <c r="H752" s="1">
        <v>29</v>
      </c>
      <c r="I752" s="1">
        <v>6</v>
      </c>
      <c r="J752" s="1">
        <v>24</v>
      </c>
      <c r="K752" s="1" t="str">
        <f>TEXT(BBDD_Usiarios_Netflix[[#This Row],[Fecha Suscripción]],"dddd")</f>
        <v>martes</v>
      </c>
      <c r="L752" s="1">
        <f>DATEVALUE(_xlfn.CONCAT(BBDD_Usiarios_Netflix[[#This Row],[Día Último Pago]],"/",BBDD_Usiarios_Netflix[[#This Row],[Mes Último Pago]],"/",BBDD_Usiarios_Netflix[[#This Row],[Año Último Pago]]))</f>
        <v>45472</v>
      </c>
      <c r="M752" s="4">
        <f>DATEDIF(BBDD_Usiarios_Netflix[[#This Row],[Fecha Suscripción]],BBDD_Usiarios_Netflix[[#This Row],[Fecha Último Pago]],"M")+1</f>
        <v>12</v>
      </c>
      <c r="N752" s="4">
        <f>BBDD_Usiarios_Netflix[[#This Row],[Ingresos Mensuales]]*BBDD_Usiarios_Netflix[[#This Row],[Meses contratados]]</f>
        <v>120</v>
      </c>
      <c r="O752" t="s">
        <v>33</v>
      </c>
      <c r="P752" t="str">
        <f>IF(BBDD_Usiarios_Netflix[[#This Row],[País]]="","Desconocido",BBDD_Usiarios_Netflix[[#This Row],[País]])</f>
        <v>Francia</v>
      </c>
      <c r="Q752">
        <v>45</v>
      </c>
      <c r="R752" t="s">
        <v>30</v>
      </c>
      <c r="S752" t="s">
        <v>36</v>
      </c>
      <c r="T752" t="s">
        <v>41</v>
      </c>
      <c r="U752">
        <f>IF(IFERROR(VLOOKUP(BBDD_Usiarios_Netflix[[#This Row],[Identificador Usuario]],A753:$A$5870,1,FALSE),0)&lt;&gt;0,1,0)</f>
        <v>0</v>
      </c>
      <c r="V752" s="6" t="str">
        <f>IF(BBDD_Usiarios_Netflix[[#This Row],[Duración Plan]]="12 Meses",LEFT(BBDD_Usiarios_Netflix[[#This Row],[Duración Plan]],2),LEFT(BBDD_Usiarios_Netflix[[#This Row],[Duración Plan]],1))</f>
        <v>12</v>
      </c>
      <c r="W7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53" spans="1:23" x14ac:dyDescent="0.25">
      <c r="A753">
        <v>752</v>
      </c>
      <c r="B753" t="s">
        <v>28</v>
      </c>
      <c r="C753">
        <v>14</v>
      </c>
      <c r="D753" s="3">
        <v>24</v>
      </c>
      <c r="E753" s="3">
        <v>7</v>
      </c>
      <c r="F753">
        <v>23</v>
      </c>
      <c r="G753" s="1">
        <f>DATEVALUE(_xlfn.CONCAT(BBDD_Usiarios_Netflix[[#This Row],[Día Suscripción]],"/",BBDD_Usiarios_Netflix[[#This Row],[Mes Suscripción]],"/",BBDD_Usiarios_Netflix[[#This Row],[Año Suscripción]]))</f>
        <v>45131</v>
      </c>
      <c r="H753" s="1">
        <v>28</v>
      </c>
      <c r="I753" s="1">
        <v>6</v>
      </c>
      <c r="J753" s="1">
        <v>24</v>
      </c>
      <c r="K753" s="1" t="str">
        <f>TEXT(BBDD_Usiarios_Netflix[[#This Row],[Fecha Suscripción]],"dddd")</f>
        <v>lunes</v>
      </c>
      <c r="L753" s="1">
        <f>DATEVALUE(_xlfn.CONCAT(BBDD_Usiarios_Netflix[[#This Row],[Día Último Pago]],"/",BBDD_Usiarios_Netflix[[#This Row],[Mes Último Pago]],"/",BBDD_Usiarios_Netflix[[#This Row],[Año Último Pago]]))</f>
        <v>45471</v>
      </c>
      <c r="M753" s="4">
        <f>DATEDIF(BBDD_Usiarios_Netflix[[#This Row],[Fecha Suscripción]],BBDD_Usiarios_Netflix[[#This Row],[Fecha Último Pago]],"M")+1</f>
        <v>12</v>
      </c>
      <c r="N753" s="4">
        <f>BBDD_Usiarios_Netflix[[#This Row],[Ingresos Mensuales]]*BBDD_Usiarios_Netflix[[#This Row],[Meses contratados]]</f>
        <v>168</v>
      </c>
      <c r="O753" t="s">
        <v>29</v>
      </c>
      <c r="P753" t="str">
        <f>IF(BBDD_Usiarios_Netflix[[#This Row],[País]]="","Desconocido",BBDD_Usiarios_Netflix[[#This Row],[País]])</f>
        <v>EEUU</v>
      </c>
      <c r="Q753">
        <v>28</v>
      </c>
      <c r="R753" t="s">
        <v>30</v>
      </c>
      <c r="S753" t="s">
        <v>26</v>
      </c>
      <c r="T753" t="s">
        <v>41</v>
      </c>
      <c r="U753">
        <f>IF(IFERROR(VLOOKUP(BBDD_Usiarios_Netflix[[#This Row],[Identificador Usuario]],A754:$A$5870,1,FALSE),0)&lt;&gt;0,1,0)</f>
        <v>0</v>
      </c>
      <c r="V753" s="6" t="str">
        <f>IF(BBDD_Usiarios_Netflix[[#This Row],[Duración Plan]]="12 Meses",LEFT(BBDD_Usiarios_Netflix[[#This Row],[Duración Plan]],2),LEFT(BBDD_Usiarios_Netflix[[#This Row],[Duración Plan]],1))</f>
        <v>12</v>
      </c>
      <c r="W7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54" spans="1:23" x14ac:dyDescent="0.25">
      <c r="A754">
        <v>753</v>
      </c>
      <c r="B754" t="s">
        <v>32</v>
      </c>
      <c r="C754">
        <v>12</v>
      </c>
      <c r="D754" s="3">
        <v>27</v>
      </c>
      <c r="E754" s="3">
        <v>7</v>
      </c>
      <c r="F754">
        <v>23</v>
      </c>
      <c r="G754" s="1">
        <f>DATEVALUE(_xlfn.CONCAT(BBDD_Usiarios_Netflix[[#This Row],[Día Suscripción]],"/",BBDD_Usiarios_Netflix[[#This Row],[Mes Suscripción]],"/",BBDD_Usiarios_Netflix[[#This Row],[Año Suscripción]]))</f>
        <v>45134</v>
      </c>
      <c r="H754" s="1">
        <v>30</v>
      </c>
      <c r="I754" s="1">
        <v>6</v>
      </c>
      <c r="J754" s="1">
        <v>24</v>
      </c>
      <c r="K754" s="1" t="str">
        <f>TEXT(BBDD_Usiarios_Netflix[[#This Row],[Fecha Suscripción]],"dddd")</f>
        <v>jueves</v>
      </c>
      <c r="L754" s="1">
        <f>DATEVALUE(_xlfn.CONCAT(BBDD_Usiarios_Netflix[[#This Row],[Día Último Pago]],"/",BBDD_Usiarios_Netflix[[#This Row],[Mes Último Pago]],"/",BBDD_Usiarios_Netflix[[#This Row],[Año Último Pago]]))</f>
        <v>45473</v>
      </c>
      <c r="M754" s="4">
        <f>DATEDIF(BBDD_Usiarios_Netflix[[#This Row],[Fecha Suscripción]],BBDD_Usiarios_Netflix[[#This Row],[Fecha Último Pago]],"M")+1</f>
        <v>12</v>
      </c>
      <c r="N754" s="4">
        <f>BBDD_Usiarios_Netflix[[#This Row],[Ingresos Mensuales]]*BBDD_Usiarios_Netflix[[#This Row],[Meses contratados]]</f>
        <v>144</v>
      </c>
      <c r="O754" t="s">
        <v>39</v>
      </c>
      <c r="P754" t="str">
        <f>IF(BBDD_Usiarios_Netflix[[#This Row],[País]]="","Desconocido",BBDD_Usiarios_Netflix[[#This Row],[País]])</f>
        <v>Canadá</v>
      </c>
      <c r="Q754">
        <v>43</v>
      </c>
      <c r="R754" t="s">
        <v>30</v>
      </c>
      <c r="S754" t="s">
        <v>26</v>
      </c>
      <c r="T754" t="s">
        <v>41</v>
      </c>
      <c r="U754">
        <f>IF(IFERROR(VLOOKUP(BBDD_Usiarios_Netflix[[#This Row],[Identificador Usuario]],A755:$A$5870,1,FALSE),0)&lt;&gt;0,1,0)</f>
        <v>0</v>
      </c>
      <c r="V754" s="6" t="str">
        <f>IF(BBDD_Usiarios_Netflix[[#This Row],[Duración Plan]]="12 Meses",LEFT(BBDD_Usiarios_Netflix[[#This Row],[Duración Plan]],2),LEFT(BBDD_Usiarios_Netflix[[#This Row],[Duración Plan]],1))</f>
        <v>12</v>
      </c>
      <c r="W7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55" spans="1:23" x14ac:dyDescent="0.25">
      <c r="A755">
        <v>754</v>
      </c>
      <c r="B755" t="s">
        <v>32</v>
      </c>
      <c r="C755">
        <v>12</v>
      </c>
      <c r="D755" s="3">
        <v>10</v>
      </c>
      <c r="E755" s="3">
        <v>8</v>
      </c>
      <c r="F755">
        <v>23</v>
      </c>
      <c r="G755" s="1">
        <f>DATEVALUE(_xlfn.CONCAT(BBDD_Usiarios_Netflix[[#This Row],[Día Suscripción]],"/",BBDD_Usiarios_Netflix[[#This Row],[Mes Suscripción]],"/",BBDD_Usiarios_Netflix[[#This Row],[Año Suscripción]]))</f>
        <v>45148</v>
      </c>
      <c r="H755" s="1">
        <v>29</v>
      </c>
      <c r="I755" s="1">
        <v>6</v>
      </c>
      <c r="J755" s="1">
        <v>24</v>
      </c>
      <c r="K755" s="1" t="str">
        <f>TEXT(BBDD_Usiarios_Netflix[[#This Row],[Fecha Suscripción]],"dddd")</f>
        <v>jueves</v>
      </c>
      <c r="L755" s="1">
        <f>DATEVALUE(_xlfn.CONCAT(BBDD_Usiarios_Netflix[[#This Row],[Día Último Pago]],"/",BBDD_Usiarios_Netflix[[#This Row],[Mes Último Pago]],"/",BBDD_Usiarios_Netflix[[#This Row],[Año Último Pago]]))</f>
        <v>45472</v>
      </c>
      <c r="M755" s="4">
        <f>DATEDIF(BBDD_Usiarios_Netflix[[#This Row],[Fecha Suscripción]],BBDD_Usiarios_Netflix[[#This Row],[Fecha Último Pago]],"M")+1</f>
        <v>11</v>
      </c>
      <c r="N755" s="4">
        <f>BBDD_Usiarios_Netflix[[#This Row],[Ingresos Mensuales]]*BBDD_Usiarios_Netflix[[#This Row],[Meses contratados]]</f>
        <v>132</v>
      </c>
      <c r="O755" t="s">
        <v>29</v>
      </c>
      <c r="P755" t="str">
        <f>IF(BBDD_Usiarios_Netflix[[#This Row],[País]]="","Desconocido",BBDD_Usiarios_Netflix[[#This Row],[País]])</f>
        <v>EEUU</v>
      </c>
      <c r="Q755">
        <v>41</v>
      </c>
      <c r="R755" t="s">
        <v>25</v>
      </c>
      <c r="S755" t="s">
        <v>36</v>
      </c>
      <c r="T755" t="s">
        <v>35</v>
      </c>
      <c r="U755">
        <f>IF(IFERROR(VLOOKUP(BBDD_Usiarios_Netflix[[#This Row],[Identificador Usuario]],A756:$A$5870,1,FALSE),0)&lt;&gt;0,1,0)</f>
        <v>0</v>
      </c>
      <c r="V755" s="6" t="str">
        <f>IF(BBDD_Usiarios_Netflix[[#This Row],[Duración Plan]]="12 Meses",LEFT(BBDD_Usiarios_Netflix[[#This Row],[Duración Plan]],2),LEFT(BBDD_Usiarios_Netflix[[#This Row],[Duración Plan]],1))</f>
        <v>6</v>
      </c>
      <c r="W7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56" spans="1:23" x14ac:dyDescent="0.25">
      <c r="A756">
        <v>755</v>
      </c>
      <c r="B756" t="s">
        <v>23</v>
      </c>
      <c r="C756">
        <v>10</v>
      </c>
      <c r="D756" s="3">
        <v>16</v>
      </c>
      <c r="E756" s="3">
        <v>8</v>
      </c>
      <c r="F756">
        <v>23</v>
      </c>
      <c r="G756" s="1">
        <f>DATEVALUE(_xlfn.CONCAT(BBDD_Usiarios_Netflix[[#This Row],[Día Suscripción]],"/",BBDD_Usiarios_Netflix[[#This Row],[Mes Suscripción]],"/",BBDD_Usiarios_Netflix[[#This Row],[Año Suscripción]]))</f>
        <v>45154</v>
      </c>
      <c r="H756" s="1">
        <v>30</v>
      </c>
      <c r="I756" s="1">
        <v>6</v>
      </c>
      <c r="J756" s="1">
        <v>24</v>
      </c>
      <c r="K756" s="1" t="str">
        <f>TEXT(BBDD_Usiarios_Netflix[[#This Row],[Fecha Suscripción]],"dddd")</f>
        <v>miércoles</v>
      </c>
      <c r="L756" s="1">
        <f>DATEVALUE(_xlfn.CONCAT(BBDD_Usiarios_Netflix[[#This Row],[Día Último Pago]],"/",BBDD_Usiarios_Netflix[[#This Row],[Mes Último Pago]],"/",BBDD_Usiarios_Netflix[[#This Row],[Año Último Pago]]))</f>
        <v>45473</v>
      </c>
      <c r="M756" s="4">
        <f>DATEDIF(BBDD_Usiarios_Netflix[[#This Row],[Fecha Suscripción]],BBDD_Usiarios_Netflix[[#This Row],[Fecha Último Pago]],"M")+1</f>
        <v>11</v>
      </c>
      <c r="N756" s="4">
        <f>BBDD_Usiarios_Netflix[[#This Row],[Ingresos Mensuales]]*BBDD_Usiarios_Netflix[[#This Row],[Meses contratados]]</f>
        <v>110</v>
      </c>
      <c r="O756" t="s">
        <v>43</v>
      </c>
      <c r="P756" t="str">
        <f>IF(BBDD_Usiarios_Netflix[[#This Row],[País]]="","Desconocido",BBDD_Usiarios_Netflix[[#This Row],[País]])</f>
        <v>Alemania</v>
      </c>
      <c r="Q756">
        <v>32</v>
      </c>
      <c r="R756" t="s">
        <v>25</v>
      </c>
      <c r="S756" t="s">
        <v>31</v>
      </c>
      <c r="T756" t="s">
        <v>35</v>
      </c>
      <c r="U756">
        <f>IF(IFERROR(VLOOKUP(BBDD_Usiarios_Netflix[[#This Row],[Identificador Usuario]],A757:$A$5870,1,FALSE),0)&lt;&gt;0,1,0)</f>
        <v>0</v>
      </c>
      <c r="V756" s="6" t="str">
        <f>IF(BBDD_Usiarios_Netflix[[#This Row],[Duración Plan]]="12 Meses",LEFT(BBDD_Usiarios_Netflix[[#This Row],[Duración Plan]],2),LEFT(BBDD_Usiarios_Netflix[[#This Row],[Duración Plan]],1))</f>
        <v>6</v>
      </c>
      <c r="W7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57" spans="1:23" x14ac:dyDescent="0.25">
      <c r="A757">
        <v>756</v>
      </c>
      <c r="B757" t="s">
        <v>28</v>
      </c>
      <c r="C757">
        <v>14</v>
      </c>
      <c r="D757" s="3">
        <v>23</v>
      </c>
      <c r="E757" s="3">
        <v>8</v>
      </c>
      <c r="F757">
        <v>23</v>
      </c>
      <c r="G757" s="1">
        <f>DATEVALUE(_xlfn.CONCAT(BBDD_Usiarios_Netflix[[#This Row],[Día Suscripción]],"/",BBDD_Usiarios_Netflix[[#This Row],[Mes Suscripción]],"/",BBDD_Usiarios_Netflix[[#This Row],[Año Suscripción]]))</f>
        <v>45161</v>
      </c>
      <c r="H757" s="1">
        <v>29</v>
      </c>
      <c r="I757" s="1">
        <v>6</v>
      </c>
      <c r="J757" s="1">
        <v>24</v>
      </c>
      <c r="K757" s="1" t="str">
        <f>TEXT(BBDD_Usiarios_Netflix[[#This Row],[Fecha Suscripción]],"dddd")</f>
        <v>miércoles</v>
      </c>
      <c r="L757" s="1">
        <f>DATEVALUE(_xlfn.CONCAT(BBDD_Usiarios_Netflix[[#This Row],[Día Último Pago]],"/",BBDD_Usiarios_Netflix[[#This Row],[Mes Último Pago]],"/",BBDD_Usiarios_Netflix[[#This Row],[Año Último Pago]]))</f>
        <v>45472</v>
      </c>
      <c r="M757" s="4">
        <f>DATEDIF(BBDD_Usiarios_Netflix[[#This Row],[Fecha Suscripción]],BBDD_Usiarios_Netflix[[#This Row],[Fecha Último Pago]],"M")+1</f>
        <v>11</v>
      </c>
      <c r="N757" s="4">
        <f>BBDD_Usiarios_Netflix[[#This Row],[Ingresos Mensuales]]*BBDD_Usiarios_Netflix[[#This Row],[Meses contratados]]</f>
        <v>154</v>
      </c>
      <c r="O757" t="s">
        <v>33</v>
      </c>
      <c r="P757" t="str">
        <f>IF(BBDD_Usiarios_Netflix[[#This Row],[País]]="","Desconocido",BBDD_Usiarios_Netflix[[#This Row],[País]])</f>
        <v>Francia</v>
      </c>
      <c r="Q757">
        <v>44</v>
      </c>
      <c r="R757" t="s">
        <v>30</v>
      </c>
      <c r="S757" t="s">
        <v>26</v>
      </c>
      <c r="T757" t="s">
        <v>27</v>
      </c>
      <c r="U757">
        <f>IF(IFERROR(VLOOKUP(BBDD_Usiarios_Netflix[[#This Row],[Identificador Usuario]],A758:$A$5870,1,FALSE),0)&lt;&gt;0,1,0)</f>
        <v>0</v>
      </c>
      <c r="V757" s="6" t="str">
        <f>IF(BBDD_Usiarios_Netflix[[#This Row],[Duración Plan]]="12 Meses",LEFT(BBDD_Usiarios_Netflix[[#This Row],[Duración Plan]],2),LEFT(BBDD_Usiarios_Netflix[[#This Row],[Duración Plan]],1))</f>
        <v>1</v>
      </c>
      <c r="W7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58" spans="1:23" x14ac:dyDescent="0.25">
      <c r="A758">
        <v>757</v>
      </c>
      <c r="B758" t="s">
        <v>32</v>
      </c>
      <c r="C758">
        <v>12</v>
      </c>
      <c r="D758" s="3">
        <v>3</v>
      </c>
      <c r="E758" s="3">
        <v>9</v>
      </c>
      <c r="F758">
        <v>23</v>
      </c>
      <c r="G758" s="1">
        <f>DATEVALUE(_xlfn.CONCAT(BBDD_Usiarios_Netflix[[#This Row],[Día Suscripción]],"/",BBDD_Usiarios_Netflix[[#This Row],[Mes Suscripción]],"/",BBDD_Usiarios_Netflix[[#This Row],[Año Suscripción]]))</f>
        <v>45172</v>
      </c>
      <c r="H758" s="1">
        <v>30</v>
      </c>
      <c r="I758" s="1">
        <v>6</v>
      </c>
      <c r="J758" s="1">
        <v>24</v>
      </c>
      <c r="K758" s="1" t="str">
        <f>TEXT(BBDD_Usiarios_Netflix[[#This Row],[Fecha Suscripción]],"dddd")</f>
        <v>domingo</v>
      </c>
      <c r="L758" s="1">
        <f>DATEVALUE(_xlfn.CONCAT(BBDD_Usiarios_Netflix[[#This Row],[Día Último Pago]],"/",BBDD_Usiarios_Netflix[[#This Row],[Mes Último Pago]],"/",BBDD_Usiarios_Netflix[[#This Row],[Año Último Pago]]))</f>
        <v>45473</v>
      </c>
      <c r="M758" s="4">
        <f>DATEDIF(BBDD_Usiarios_Netflix[[#This Row],[Fecha Suscripción]],BBDD_Usiarios_Netflix[[#This Row],[Fecha Último Pago]],"M")+1</f>
        <v>10</v>
      </c>
      <c r="N758" s="4">
        <f>BBDD_Usiarios_Netflix[[#This Row],[Ingresos Mensuales]]*BBDD_Usiarios_Netflix[[#This Row],[Meses contratados]]</f>
        <v>120</v>
      </c>
      <c r="O758" t="s">
        <v>45</v>
      </c>
      <c r="P758" t="str">
        <f>IF(BBDD_Usiarios_Netflix[[#This Row],[País]]="","Desconocido",BBDD_Usiarios_Netflix[[#This Row],[País]])</f>
        <v>España</v>
      </c>
      <c r="Q758">
        <v>32</v>
      </c>
      <c r="R758" t="s">
        <v>25</v>
      </c>
      <c r="S758" t="s">
        <v>36</v>
      </c>
      <c r="T758" t="s">
        <v>35</v>
      </c>
      <c r="U758">
        <f>IF(IFERROR(VLOOKUP(BBDD_Usiarios_Netflix[[#This Row],[Identificador Usuario]],A759:$A$5870,1,FALSE),0)&lt;&gt;0,1,0)</f>
        <v>0</v>
      </c>
      <c r="V758" s="6" t="str">
        <f>IF(BBDD_Usiarios_Netflix[[#This Row],[Duración Plan]]="12 Meses",LEFT(BBDD_Usiarios_Netflix[[#This Row],[Duración Plan]],2),LEFT(BBDD_Usiarios_Netflix[[#This Row],[Duración Plan]],1))</f>
        <v>6</v>
      </c>
      <c r="W7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59" spans="1:23" x14ac:dyDescent="0.25">
      <c r="A759">
        <v>758</v>
      </c>
      <c r="B759" t="s">
        <v>23</v>
      </c>
      <c r="C759">
        <v>10</v>
      </c>
      <c r="D759" s="3">
        <v>4</v>
      </c>
      <c r="E759" s="3">
        <v>9</v>
      </c>
      <c r="F759">
        <v>23</v>
      </c>
      <c r="G759" s="1">
        <f>DATEVALUE(_xlfn.CONCAT(BBDD_Usiarios_Netflix[[#This Row],[Día Suscripción]],"/",BBDD_Usiarios_Netflix[[#This Row],[Mes Suscripción]],"/",BBDD_Usiarios_Netflix[[#This Row],[Año Suscripción]]))</f>
        <v>45173</v>
      </c>
      <c r="H759" s="1">
        <v>29</v>
      </c>
      <c r="I759" s="1">
        <v>6</v>
      </c>
      <c r="J759" s="1">
        <v>24</v>
      </c>
      <c r="K759" s="1" t="str">
        <f>TEXT(BBDD_Usiarios_Netflix[[#This Row],[Fecha Suscripción]],"dddd")</f>
        <v>lunes</v>
      </c>
      <c r="L759" s="1">
        <f>DATEVALUE(_xlfn.CONCAT(BBDD_Usiarios_Netflix[[#This Row],[Día Último Pago]],"/",BBDD_Usiarios_Netflix[[#This Row],[Mes Último Pago]],"/",BBDD_Usiarios_Netflix[[#This Row],[Año Último Pago]]))</f>
        <v>45472</v>
      </c>
      <c r="M759" s="4">
        <f>DATEDIF(BBDD_Usiarios_Netflix[[#This Row],[Fecha Suscripción]],BBDD_Usiarios_Netflix[[#This Row],[Fecha Último Pago]],"M")+1</f>
        <v>10</v>
      </c>
      <c r="N759" s="4">
        <f>BBDD_Usiarios_Netflix[[#This Row],[Ingresos Mensuales]]*BBDD_Usiarios_Netflix[[#This Row],[Meses contratados]]</f>
        <v>100</v>
      </c>
      <c r="O759" t="s">
        <v>33</v>
      </c>
      <c r="P759" t="str">
        <f>IF(BBDD_Usiarios_Netflix[[#This Row],[País]]="","Desconocido",BBDD_Usiarios_Netflix[[#This Row],[País]])</f>
        <v>Francia</v>
      </c>
      <c r="Q759">
        <v>47</v>
      </c>
      <c r="R759" t="s">
        <v>25</v>
      </c>
      <c r="S759" t="s">
        <v>36</v>
      </c>
      <c r="T759" t="s">
        <v>41</v>
      </c>
      <c r="U759">
        <f>IF(IFERROR(VLOOKUP(BBDD_Usiarios_Netflix[[#This Row],[Identificador Usuario]],A760:$A$5870,1,FALSE),0)&lt;&gt;0,1,0)</f>
        <v>0</v>
      </c>
      <c r="V759" s="6" t="str">
        <f>IF(BBDD_Usiarios_Netflix[[#This Row],[Duración Plan]]="12 Meses",LEFT(BBDD_Usiarios_Netflix[[#This Row],[Duración Plan]],2),LEFT(BBDD_Usiarios_Netflix[[#This Row],[Duración Plan]],1))</f>
        <v>12</v>
      </c>
      <c r="W7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60" spans="1:23" x14ac:dyDescent="0.25">
      <c r="A760">
        <v>759</v>
      </c>
      <c r="B760" t="s">
        <v>32</v>
      </c>
      <c r="C760">
        <v>12</v>
      </c>
      <c r="D760" s="3">
        <v>5</v>
      </c>
      <c r="E760" s="3">
        <v>9</v>
      </c>
      <c r="F760">
        <v>23</v>
      </c>
      <c r="G760" s="1">
        <f>DATEVALUE(_xlfn.CONCAT(BBDD_Usiarios_Netflix[[#This Row],[Día Suscripción]],"/",BBDD_Usiarios_Netflix[[#This Row],[Mes Suscripción]],"/",BBDD_Usiarios_Netflix[[#This Row],[Año Suscripción]]))</f>
        <v>45174</v>
      </c>
      <c r="H760" s="1">
        <v>29</v>
      </c>
      <c r="I760" s="1">
        <v>6</v>
      </c>
      <c r="J760" s="1">
        <v>24</v>
      </c>
      <c r="K760" s="1" t="str">
        <f>TEXT(BBDD_Usiarios_Netflix[[#This Row],[Fecha Suscripción]],"dddd")</f>
        <v>martes</v>
      </c>
      <c r="L760" s="1">
        <f>DATEVALUE(_xlfn.CONCAT(BBDD_Usiarios_Netflix[[#This Row],[Día Último Pago]],"/",BBDD_Usiarios_Netflix[[#This Row],[Mes Último Pago]],"/",BBDD_Usiarios_Netflix[[#This Row],[Año Último Pago]]))</f>
        <v>45472</v>
      </c>
      <c r="M760" s="4">
        <f>DATEDIF(BBDD_Usiarios_Netflix[[#This Row],[Fecha Suscripción]],BBDD_Usiarios_Netflix[[#This Row],[Fecha Último Pago]],"M")+1</f>
        <v>10</v>
      </c>
      <c r="N760" s="4">
        <f>BBDD_Usiarios_Netflix[[#This Row],[Ingresos Mensuales]]*BBDD_Usiarios_Netflix[[#This Row],[Meses contratados]]</f>
        <v>120</v>
      </c>
      <c r="O760" t="s">
        <v>24</v>
      </c>
      <c r="P760" t="str">
        <f>IF(BBDD_Usiarios_Netflix[[#This Row],[País]]="","Desconocido",BBDD_Usiarios_Netflix[[#This Row],[País]])</f>
        <v>Australia</v>
      </c>
      <c r="Q760">
        <v>37</v>
      </c>
      <c r="R760" t="s">
        <v>25</v>
      </c>
      <c r="S760" t="s">
        <v>34</v>
      </c>
      <c r="T760" t="s">
        <v>27</v>
      </c>
      <c r="U760">
        <f>IF(IFERROR(VLOOKUP(BBDD_Usiarios_Netflix[[#This Row],[Identificador Usuario]],A761:$A$5870,1,FALSE),0)&lt;&gt;0,1,0)</f>
        <v>0</v>
      </c>
      <c r="V760" s="6" t="str">
        <f>IF(BBDD_Usiarios_Netflix[[#This Row],[Duración Plan]]="12 Meses",LEFT(BBDD_Usiarios_Netflix[[#This Row],[Duración Plan]],2),LEFT(BBDD_Usiarios_Netflix[[#This Row],[Duración Plan]],1))</f>
        <v>1</v>
      </c>
      <c r="W7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61" spans="1:23" x14ac:dyDescent="0.25">
      <c r="A761">
        <v>760</v>
      </c>
      <c r="B761" t="s">
        <v>28</v>
      </c>
      <c r="C761">
        <v>14</v>
      </c>
      <c r="D761" s="3">
        <v>4</v>
      </c>
      <c r="E761" s="3">
        <v>9</v>
      </c>
      <c r="F761">
        <v>23</v>
      </c>
      <c r="G761" s="1">
        <f>DATEVALUE(_xlfn.CONCAT(BBDD_Usiarios_Netflix[[#This Row],[Día Suscripción]],"/",BBDD_Usiarios_Netflix[[#This Row],[Mes Suscripción]],"/",BBDD_Usiarios_Netflix[[#This Row],[Año Suscripción]]))</f>
        <v>45173</v>
      </c>
      <c r="H761" s="1">
        <v>1</v>
      </c>
      <c r="I761" s="1">
        <v>7</v>
      </c>
      <c r="J761" s="1">
        <v>24</v>
      </c>
      <c r="K761" s="1" t="str">
        <f>TEXT(BBDD_Usiarios_Netflix[[#This Row],[Fecha Suscripción]],"dddd")</f>
        <v>lunes</v>
      </c>
      <c r="L761" s="1">
        <f>DATEVALUE(_xlfn.CONCAT(BBDD_Usiarios_Netflix[[#This Row],[Día Último Pago]],"/",BBDD_Usiarios_Netflix[[#This Row],[Mes Último Pago]],"/",BBDD_Usiarios_Netflix[[#This Row],[Año Último Pago]]))</f>
        <v>45474</v>
      </c>
      <c r="M761" s="4">
        <f>DATEDIF(BBDD_Usiarios_Netflix[[#This Row],[Fecha Suscripción]],BBDD_Usiarios_Netflix[[#This Row],[Fecha Último Pago]],"M")+1</f>
        <v>10</v>
      </c>
      <c r="N761" s="4">
        <f>BBDD_Usiarios_Netflix[[#This Row],[Ingresos Mensuales]]*BBDD_Usiarios_Netflix[[#This Row],[Meses contratados]]</f>
        <v>140</v>
      </c>
      <c r="O761" t="s">
        <v>45</v>
      </c>
      <c r="P761" t="str">
        <f>IF(BBDD_Usiarios_Netflix[[#This Row],[País]]="","Desconocido",BBDD_Usiarios_Netflix[[#This Row],[País]])</f>
        <v>España</v>
      </c>
      <c r="Q761">
        <v>40</v>
      </c>
      <c r="R761" t="s">
        <v>30</v>
      </c>
      <c r="S761" t="s">
        <v>26</v>
      </c>
      <c r="T761" t="s">
        <v>27</v>
      </c>
      <c r="U761">
        <f>IF(IFERROR(VLOOKUP(BBDD_Usiarios_Netflix[[#This Row],[Identificador Usuario]],A762:$A$5870,1,FALSE),0)&lt;&gt;0,1,0)</f>
        <v>0</v>
      </c>
      <c r="V761" s="6" t="str">
        <f>IF(BBDD_Usiarios_Netflix[[#This Row],[Duración Plan]]="12 Meses",LEFT(BBDD_Usiarios_Netflix[[#This Row],[Duración Plan]],2),LEFT(BBDD_Usiarios_Netflix[[#This Row],[Duración Plan]],1))</f>
        <v>1</v>
      </c>
      <c r="W7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62" spans="1:23" x14ac:dyDescent="0.25">
      <c r="A762">
        <v>761</v>
      </c>
      <c r="B762" t="s">
        <v>23</v>
      </c>
      <c r="C762">
        <v>10</v>
      </c>
      <c r="D762" s="3">
        <v>31</v>
      </c>
      <c r="E762" s="3">
        <v>8</v>
      </c>
      <c r="F762">
        <v>23</v>
      </c>
      <c r="G762" s="1">
        <f>DATEVALUE(_xlfn.CONCAT(BBDD_Usiarios_Netflix[[#This Row],[Día Suscripción]],"/",BBDD_Usiarios_Netflix[[#This Row],[Mes Suscripción]],"/",BBDD_Usiarios_Netflix[[#This Row],[Año Suscripción]]))</f>
        <v>45169</v>
      </c>
      <c r="H762" s="1">
        <v>29</v>
      </c>
      <c r="I762" s="1">
        <v>6</v>
      </c>
      <c r="J762" s="1">
        <v>24</v>
      </c>
      <c r="K762" s="1" t="str">
        <f>TEXT(BBDD_Usiarios_Netflix[[#This Row],[Fecha Suscripción]],"dddd")</f>
        <v>jueves</v>
      </c>
      <c r="L762" s="1">
        <f>DATEVALUE(_xlfn.CONCAT(BBDD_Usiarios_Netflix[[#This Row],[Día Último Pago]],"/",BBDD_Usiarios_Netflix[[#This Row],[Mes Último Pago]],"/",BBDD_Usiarios_Netflix[[#This Row],[Año Último Pago]]))</f>
        <v>45472</v>
      </c>
      <c r="M762" s="4">
        <f>DATEDIF(BBDD_Usiarios_Netflix[[#This Row],[Fecha Suscripción]],BBDD_Usiarios_Netflix[[#This Row],[Fecha Último Pago]],"M")+1</f>
        <v>10</v>
      </c>
      <c r="N762" s="4">
        <f>BBDD_Usiarios_Netflix[[#This Row],[Ingresos Mensuales]]*BBDD_Usiarios_Netflix[[#This Row],[Meses contratados]]</f>
        <v>100</v>
      </c>
      <c r="O762" t="s">
        <v>29</v>
      </c>
      <c r="P762" t="str">
        <f>IF(BBDD_Usiarios_Netflix[[#This Row],[País]]="","Desconocido",BBDD_Usiarios_Netflix[[#This Row],[País]])</f>
        <v>EEUU</v>
      </c>
      <c r="Q762">
        <v>48</v>
      </c>
      <c r="R762" t="s">
        <v>30</v>
      </c>
      <c r="S762" t="s">
        <v>34</v>
      </c>
      <c r="T762" t="s">
        <v>27</v>
      </c>
      <c r="U762">
        <f>IF(IFERROR(VLOOKUP(BBDD_Usiarios_Netflix[[#This Row],[Identificador Usuario]],A763:$A$5870,1,FALSE),0)&lt;&gt;0,1,0)</f>
        <v>0</v>
      </c>
      <c r="V762" s="6" t="str">
        <f>IF(BBDD_Usiarios_Netflix[[#This Row],[Duración Plan]]="12 Meses",LEFT(BBDD_Usiarios_Netflix[[#This Row],[Duración Plan]],2),LEFT(BBDD_Usiarios_Netflix[[#This Row],[Duración Plan]],1))</f>
        <v>1</v>
      </c>
      <c r="W7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63" spans="1:23" x14ac:dyDescent="0.25">
      <c r="A763">
        <v>762</v>
      </c>
      <c r="B763" t="s">
        <v>28</v>
      </c>
      <c r="C763">
        <v>14</v>
      </c>
      <c r="D763" s="3">
        <v>1</v>
      </c>
      <c r="E763" s="3">
        <v>9</v>
      </c>
      <c r="F763">
        <v>23</v>
      </c>
      <c r="G763" s="1">
        <f>DATEVALUE(_xlfn.CONCAT(BBDD_Usiarios_Netflix[[#This Row],[Día Suscripción]],"/",BBDD_Usiarios_Netflix[[#This Row],[Mes Suscripción]],"/",BBDD_Usiarios_Netflix[[#This Row],[Año Suscripción]]))</f>
        <v>45170</v>
      </c>
      <c r="H763" s="1">
        <v>2</v>
      </c>
      <c r="I763" s="1">
        <v>7</v>
      </c>
      <c r="J763" s="1">
        <v>24</v>
      </c>
      <c r="K763" s="1" t="str">
        <f>TEXT(BBDD_Usiarios_Netflix[[#This Row],[Fecha Suscripción]],"dddd")</f>
        <v>viernes</v>
      </c>
      <c r="L763" s="1">
        <f>DATEVALUE(_xlfn.CONCAT(BBDD_Usiarios_Netflix[[#This Row],[Día Último Pago]],"/",BBDD_Usiarios_Netflix[[#This Row],[Mes Último Pago]],"/",BBDD_Usiarios_Netflix[[#This Row],[Año Último Pago]]))</f>
        <v>45475</v>
      </c>
      <c r="M763" s="4">
        <f>DATEDIF(BBDD_Usiarios_Netflix[[#This Row],[Fecha Suscripción]],BBDD_Usiarios_Netflix[[#This Row],[Fecha Último Pago]],"M")+1</f>
        <v>11</v>
      </c>
      <c r="N763" s="4">
        <f>BBDD_Usiarios_Netflix[[#This Row],[Ingresos Mensuales]]*BBDD_Usiarios_Netflix[[#This Row],[Meses contratados]]</f>
        <v>154</v>
      </c>
      <c r="O763" t="s">
        <v>43</v>
      </c>
      <c r="P763" t="str">
        <f>IF(BBDD_Usiarios_Netflix[[#This Row],[País]]="","Desconocido",BBDD_Usiarios_Netflix[[#This Row],[País]])</f>
        <v>Alemania</v>
      </c>
      <c r="Q763">
        <v>48</v>
      </c>
      <c r="R763" t="s">
        <v>25</v>
      </c>
      <c r="S763" t="s">
        <v>36</v>
      </c>
      <c r="T763" t="s">
        <v>38</v>
      </c>
      <c r="U763">
        <f>IF(IFERROR(VLOOKUP(BBDD_Usiarios_Netflix[[#This Row],[Identificador Usuario]],A764:$A$5870,1,FALSE),0)&lt;&gt;0,1,0)</f>
        <v>0</v>
      </c>
      <c r="V763" s="6" t="str">
        <f>IF(BBDD_Usiarios_Netflix[[#This Row],[Duración Plan]]="12 Meses",LEFT(BBDD_Usiarios_Netflix[[#This Row],[Duración Plan]],2),LEFT(BBDD_Usiarios_Netflix[[#This Row],[Duración Plan]],1))</f>
        <v>3</v>
      </c>
      <c r="W7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64" spans="1:23" x14ac:dyDescent="0.25">
      <c r="A764">
        <v>763</v>
      </c>
      <c r="B764" t="s">
        <v>32</v>
      </c>
      <c r="C764">
        <v>12</v>
      </c>
      <c r="D764" s="3">
        <v>15</v>
      </c>
      <c r="E764" s="3">
        <v>9</v>
      </c>
      <c r="F764">
        <v>23</v>
      </c>
      <c r="G764" s="1">
        <f>DATEVALUE(_xlfn.CONCAT(BBDD_Usiarios_Netflix[[#This Row],[Día Suscripción]],"/",BBDD_Usiarios_Netflix[[#This Row],[Mes Suscripción]],"/",BBDD_Usiarios_Netflix[[#This Row],[Año Suscripción]]))</f>
        <v>45184</v>
      </c>
      <c r="H764" s="1">
        <v>29</v>
      </c>
      <c r="I764" s="1">
        <v>6</v>
      </c>
      <c r="J764" s="1">
        <v>24</v>
      </c>
      <c r="K764" s="1" t="str">
        <f>TEXT(BBDD_Usiarios_Netflix[[#This Row],[Fecha Suscripción]],"dddd")</f>
        <v>viernes</v>
      </c>
      <c r="L764" s="1">
        <f>DATEVALUE(_xlfn.CONCAT(BBDD_Usiarios_Netflix[[#This Row],[Día Último Pago]],"/",BBDD_Usiarios_Netflix[[#This Row],[Mes Último Pago]],"/",BBDD_Usiarios_Netflix[[#This Row],[Año Último Pago]]))</f>
        <v>45472</v>
      </c>
      <c r="M764" s="4">
        <f>DATEDIF(BBDD_Usiarios_Netflix[[#This Row],[Fecha Suscripción]],BBDD_Usiarios_Netflix[[#This Row],[Fecha Último Pago]],"M")+1</f>
        <v>10</v>
      </c>
      <c r="N764" s="4">
        <f>BBDD_Usiarios_Netflix[[#This Row],[Ingresos Mensuales]]*BBDD_Usiarios_Netflix[[#This Row],[Meses contratados]]</f>
        <v>120</v>
      </c>
      <c r="O764" t="s">
        <v>29</v>
      </c>
      <c r="P764" t="str">
        <f>IF(BBDD_Usiarios_Netflix[[#This Row],[País]]="","Desconocido",BBDD_Usiarios_Netflix[[#This Row],[País]])</f>
        <v>EEUU</v>
      </c>
      <c r="Q764">
        <v>35</v>
      </c>
      <c r="R764" t="s">
        <v>25</v>
      </c>
      <c r="S764" t="s">
        <v>36</v>
      </c>
      <c r="T764" t="s">
        <v>35</v>
      </c>
      <c r="U764">
        <f>IF(IFERROR(VLOOKUP(BBDD_Usiarios_Netflix[[#This Row],[Identificador Usuario]],A765:$A$5870,1,FALSE),0)&lt;&gt;0,1,0)</f>
        <v>0</v>
      </c>
      <c r="V764" s="6" t="str">
        <f>IF(BBDD_Usiarios_Netflix[[#This Row],[Duración Plan]]="12 Meses",LEFT(BBDD_Usiarios_Netflix[[#This Row],[Duración Plan]],2),LEFT(BBDD_Usiarios_Netflix[[#This Row],[Duración Plan]],1))</f>
        <v>6</v>
      </c>
      <c r="W7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65" spans="1:23" x14ac:dyDescent="0.25">
      <c r="A765">
        <v>764</v>
      </c>
      <c r="B765" t="s">
        <v>23</v>
      </c>
      <c r="C765">
        <v>10</v>
      </c>
      <c r="D765" s="3">
        <v>18</v>
      </c>
      <c r="E765" s="3">
        <v>9</v>
      </c>
      <c r="F765">
        <v>23</v>
      </c>
      <c r="G765" s="1">
        <f>DATEVALUE(_xlfn.CONCAT(BBDD_Usiarios_Netflix[[#This Row],[Día Suscripción]],"/",BBDD_Usiarios_Netflix[[#This Row],[Mes Suscripción]],"/",BBDD_Usiarios_Netflix[[#This Row],[Año Suscripción]]))</f>
        <v>45187</v>
      </c>
      <c r="H765" s="1">
        <v>3</v>
      </c>
      <c r="I765" s="1">
        <v>7</v>
      </c>
      <c r="J765" s="1">
        <v>24</v>
      </c>
      <c r="K765" s="1" t="str">
        <f>TEXT(BBDD_Usiarios_Netflix[[#This Row],[Fecha Suscripción]],"dddd")</f>
        <v>lunes</v>
      </c>
      <c r="L765" s="1">
        <f>DATEVALUE(_xlfn.CONCAT(BBDD_Usiarios_Netflix[[#This Row],[Día Último Pago]],"/",BBDD_Usiarios_Netflix[[#This Row],[Mes Último Pago]],"/",BBDD_Usiarios_Netflix[[#This Row],[Año Último Pago]]))</f>
        <v>45476</v>
      </c>
      <c r="M765" s="4">
        <f>DATEDIF(BBDD_Usiarios_Netflix[[#This Row],[Fecha Suscripción]],BBDD_Usiarios_Netflix[[#This Row],[Fecha Último Pago]],"M")+1</f>
        <v>10</v>
      </c>
      <c r="N765" s="4">
        <f>BBDD_Usiarios_Netflix[[#This Row],[Ingresos Mensuales]]*BBDD_Usiarios_Netflix[[#This Row],[Meses contratados]]</f>
        <v>100</v>
      </c>
      <c r="O765" t="s">
        <v>24</v>
      </c>
      <c r="P765" t="str">
        <f>IF(BBDD_Usiarios_Netflix[[#This Row],[País]]="","Desconocido",BBDD_Usiarios_Netflix[[#This Row],[País]])</f>
        <v>Australia</v>
      </c>
      <c r="Q765">
        <v>28</v>
      </c>
      <c r="R765" t="s">
        <v>25</v>
      </c>
      <c r="S765" t="s">
        <v>34</v>
      </c>
      <c r="T765" t="s">
        <v>27</v>
      </c>
      <c r="U765">
        <f>IF(IFERROR(VLOOKUP(BBDD_Usiarios_Netflix[[#This Row],[Identificador Usuario]],A766:$A$5870,1,FALSE),0)&lt;&gt;0,1,0)</f>
        <v>0</v>
      </c>
      <c r="V765" s="6" t="str">
        <f>IF(BBDD_Usiarios_Netflix[[#This Row],[Duración Plan]]="12 Meses",LEFT(BBDD_Usiarios_Netflix[[#This Row],[Duración Plan]],2),LEFT(BBDD_Usiarios_Netflix[[#This Row],[Duración Plan]],1))</f>
        <v>1</v>
      </c>
      <c r="W7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66" spans="1:23" x14ac:dyDescent="0.25">
      <c r="A766">
        <v>765</v>
      </c>
      <c r="B766" t="s">
        <v>32</v>
      </c>
      <c r="C766">
        <v>12</v>
      </c>
      <c r="D766" s="3">
        <v>28</v>
      </c>
      <c r="E766" s="3">
        <v>9</v>
      </c>
      <c r="F766">
        <v>23</v>
      </c>
      <c r="G766" s="1">
        <f>DATEVALUE(_xlfn.CONCAT(BBDD_Usiarios_Netflix[[#This Row],[Día Suscripción]],"/",BBDD_Usiarios_Netflix[[#This Row],[Mes Suscripción]],"/",BBDD_Usiarios_Netflix[[#This Row],[Año Suscripción]]))</f>
        <v>45197</v>
      </c>
      <c r="H766" s="1">
        <v>29</v>
      </c>
      <c r="I766" s="1">
        <v>6</v>
      </c>
      <c r="J766" s="1">
        <v>24</v>
      </c>
      <c r="K766" s="1" t="str">
        <f>TEXT(BBDD_Usiarios_Netflix[[#This Row],[Fecha Suscripción]],"dddd")</f>
        <v>jueves</v>
      </c>
      <c r="L766" s="1">
        <f>DATEVALUE(_xlfn.CONCAT(BBDD_Usiarios_Netflix[[#This Row],[Día Último Pago]],"/",BBDD_Usiarios_Netflix[[#This Row],[Mes Último Pago]],"/",BBDD_Usiarios_Netflix[[#This Row],[Año Último Pago]]))</f>
        <v>45472</v>
      </c>
      <c r="M766" s="4">
        <f>DATEDIF(BBDD_Usiarios_Netflix[[#This Row],[Fecha Suscripción]],BBDD_Usiarios_Netflix[[#This Row],[Fecha Último Pago]],"M")+1</f>
        <v>10</v>
      </c>
      <c r="N766" s="4">
        <f>BBDD_Usiarios_Netflix[[#This Row],[Ingresos Mensuales]]*BBDD_Usiarios_Netflix[[#This Row],[Meses contratados]]</f>
        <v>120</v>
      </c>
      <c r="O766" t="s">
        <v>42</v>
      </c>
      <c r="P766" t="str">
        <f>IF(BBDD_Usiarios_Netflix[[#This Row],[País]]="","Desconocido",BBDD_Usiarios_Netflix[[#This Row],[País]])</f>
        <v>Reino Unido</v>
      </c>
      <c r="Q766">
        <v>35</v>
      </c>
      <c r="R766" t="s">
        <v>30</v>
      </c>
      <c r="S766" t="s">
        <v>34</v>
      </c>
      <c r="T766" t="s">
        <v>35</v>
      </c>
      <c r="U766">
        <f>IF(IFERROR(VLOOKUP(BBDD_Usiarios_Netflix[[#This Row],[Identificador Usuario]],A767:$A$5870,1,FALSE),0)&lt;&gt;0,1,0)</f>
        <v>0</v>
      </c>
      <c r="V766" s="6" t="str">
        <f>IF(BBDD_Usiarios_Netflix[[#This Row],[Duración Plan]]="12 Meses",LEFT(BBDD_Usiarios_Netflix[[#This Row],[Duración Plan]],2),LEFT(BBDD_Usiarios_Netflix[[#This Row],[Duración Plan]],1))</f>
        <v>6</v>
      </c>
      <c r="W7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67" spans="1:23" x14ac:dyDescent="0.25">
      <c r="A767">
        <v>766</v>
      </c>
      <c r="B767" t="s">
        <v>28</v>
      </c>
      <c r="C767">
        <v>14</v>
      </c>
      <c r="D767" s="3">
        <v>30</v>
      </c>
      <c r="E767" s="3">
        <v>9</v>
      </c>
      <c r="F767">
        <v>23</v>
      </c>
      <c r="G767" s="1">
        <f>DATEVALUE(_xlfn.CONCAT(BBDD_Usiarios_Netflix[[#This Row],[Día Suscripción]],"/",BBDD_Usiarios_Netflix[[#This Row],[Mes Suscripción]],"/",BBDD_Usiarios_Netflix[[#This Row],[Año Suscripción]]))</f>
        <v>45199</v>
      </c>
      <c r="H767" s="1">
        <v>1</v>
      </c>
      <c r="I767" s="1">
        <v>7</v>
      </c>
      <c r="J767" s="1">
        <v>24</v>
      </c>
      <c r="K767" s="1" t="str">
        <f>TEXT(BBDD_Usiarios_Netflix[[#This Row],[Fecha Suscripción]],"dddd")</f>
        <v>sábado</v>
      </c>
      <c r="L767" s="1">
        <f>DATEVALUE(_xlfn.CONCAT(BBDD_Usiarios_Netflix[[#This Row],[Día Último Pago]],"/",BBDD_Usiarios_Netflix[[#This Row],[Mes Último Pago]],"/",BBDD_Usiarios_Netflix[[#This Row],[Año Último Pago]]))</f>
        <v>45474</v>
      </c>
      <c r="M767" s="4">
        <f>DATEDIF(BBDD_Usiarios_Netflix[[#This Row],[Fecha Suscripción]],BBDD_Usiarios_Netflix[[#This Row],[Fecha Último Pago]],"M")+1</f>
        <v>10</v>
      </c>
      <c r="N767" s="4">
        <f>BBDD_Usiarios_Netflix[[#This Row],[Ingresos Mensuales]]*BBDD_Usiarios_Netflix[[#This Row],[Meses contratados]]</f>
        <v>140</v>
      </c>
      <c r="O767" t="s">
        <v>29</v>
      </c>
      <c r="P767" t="str">
        <f>IF(BBDD_Usiarios_Netflix[[#This Row],[País]]="","Desconocido",BBDD_Usiarios_Netflix[[#This Row],[País]])</f>
        <v>EEUU</v>
      </c>
      <c r="Q767">
        <v>43</v>
      </c>
      <c r="R767" t="s">
        <v>25</v>
      </c>
      <c r="S767" t="s">
        <v>26</v>
      </c>
      <c r="T767" t="s">
        <v>38</v>
      </c>
      <c r="U767">
        <f>IF(IFERROR(VLOOKUP(BBDD_Usiarios_Netflix[[#This Row],[Identificador Usuario]],A768:$A$5870,1,FALSE),0)&lt;&gt;0,1,0)</f>
        <v>0</v>
      </c>
      <c r="V767" s="6" t="str">
        <f>IF(BBDD_Usiarios_Netflix[[#This Row],[Duración Plan]]="12 Meses",LEFT(BBDD_Usiarios_Netflix[[#This Row],[Duración Plan]],2),LEFT(BBDD_Usiarios_Netflix[[#This Row],[Duración Plan]],1))</f>
        <v>3</v>
      </c>
      <c r="W7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68" spans="1:23" x14ac:dyDescent="0.25">
      <c r="A768">
        <v>767</v>
      </c>
      <c r="B768" t="s">
        <v>23</v>
      </c>
      <c r="C768">
        <v>10</v>
      </c>
      <c r="D768" s="3">
        <v>7</v>
      </c>
      <c r="E768" s="3">
        <v>10</v>
      </c>
      <c r="F768">
        <v>23</v>
      </c>
      <c r="G768" s="1">
        <f>DATEVALUE(_xlfn.CONCAT(BBDD_Usiarios_Netflix[[#This Row],[Día Suscripción]],"/",BBDD_Usiarios_Netflix[[#This Row],[Mes Suscripción]],"/",BBDD_Usiarios_Netflix[[#This Row],[Año Suscripción]]))</f>
        <v>45206</v>
      </c>
      <c r="H768" s="1">
        <v>29</v>
      </c>
      <c r="I768" s="1">
        <v>6</v>
      </c>
      <c r="J768" s="1">
        <v>24</v>
      </c>
      <c r="K768" s="1" t="str">
        <f>TEXT(BBDD_Usiarios_Netflix[[#This Row],[Fecha Suscripción]],"dddd")</f>
        <v>sábado</v>
      </c>
      <c r="L768" s="1">
        <f>DATEVALUE(_xlfn.CONCAT(BBDD_Usiarios_Netflix[[#This Row],[Día Último Pago]],"/",BBDD_Usiarios_Netflix[[#This Row],[Mes Último Pago]],"/",BBDD_Usiarios_Netflix[[#This Row],[Año Último Pago]]))</f>
        <v>45472</v>
      </c>
      <c r="M768" s="4">
        <f>DATEDIF(BBDD_Usiarios_Netflix[[#This Row],[Fecha Suscripción]],BBDD_Usiarios_Netflix[[#This Row],[Fecha Último Pago]],"M")+1</f>
        <v>9</v>
      </c>
      <c r="N768" s="4">
        <f>BBDD_Usiarios_Netflix[[#This Row],[Ingresos Mensuales]]*BBDD_Usiarios_Netflix[[#This Row],[Meses contratados]]</f>
        <v>90</v>
      </c>
      <c r="O768" t="s">
        <v>29</v>
      </c>
      <c r="P768" t="str">
        <f>IF(BBDD_Usiarios_Netflix[[#This Row],[País]]="","Desconocido",BBDD_Usiarios_Netflix[[#This Row],[País]])</f>
        <v>EEUU</v>
      </c>
      <c r="Q768">
        <v>39</v>
      </c>
      <c r="R768" t="s">
        <v>25</v>
      </c>
      <c r="S768" t="s">
        <v>36</v>
      </c>
      <c r="T768" t="s">
        <v>35</v>
      </c>
      <c r="U768">
        <f>IF(IFERROR(VLOOKUP(BBDD_Usiarios_Netflix[[#This Row],[Identificador Usuario]],A769:$A$5870,1,FALSE),0)&lt;&gt;0,1,0)</f>
        <v>0</v>
      </c>
      <c r="V768" s="6" t="str">
        <f>IF(BBDD_Usiarios_Netflix[[#This Row],[Duración Plan]]="12 Meses",LEFT(BBDD_Usiarios_Netflix[[#This Row],[Duración Plan]],2),LEFT(BBDD_Usiarios_Netflix[[#This Row],[Duración Plan]],1))</f>
        <v>6</v>
      </c>
      <c r="W7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69" spans="1:23" x14ac:dyDescent="0.25">
      <c r="A769">
        <v>768</v>
      </c>
      <c r="B769" t="s">
        <v>32</v>
      </c>
      <c r="C769">
        <v>12</v>
      </c>
      <c r="D769" s="3">
        <v>8</v>
      </c>
      <c r="E769" s="3">
        <v>10</v>
      </c>
      <c r="F769">
        <v>23</v>
      </c>
      <c r="G769" s="1">
        <f>DATEVALUE(_xlfn.CONCAT(BBDD_Usiarios_Netflix[[#This Row],[Día Suscripción]],"/",BBDD_Usiarios_Netflix[[#This Row],[Mes Suscripción]],"/",BBDD_Usiarios_Netflix[[#This Row],[Año Suscripción]]))</f>
        <v>45207</v>
      </c>
      <c r="H769" s="1">
        <v>2</v>
      </c>
      <c r="I769" s="1">
        <v>7</v>
      </c>
      <c r="J769" s="1">
        <v>24</v>
      </c>
      <c r="K769" s="1" t="str">
        <f>TEXT(BBDD_Usiarios_Netflix[[#This Row],[Fecha Suscripción]],"dddd")</f>
        <v>domingo</v>
      </c>
      <c r="L769" s="1">
        <f>DATEVALUE(_xlfn.CONCAT(BBDD_Usiarios_Netflix[[#This Row],[Día Último Pago]],"/",BBDD_Usiarios_Netflix[[#This Row],[Mes Último Pago]],"/",BBDD_Usiarios_Netflix[[#This Row],[Año Último Pago]]))</f>
        <v>45475</v>
      </c>
      <c r="M769" s="4">
        <f>DATEDIF(BBDD_Usiarios_Netflix[[#This Row],[Fecha Suscripción]],BBDD_Usiarios_Netflix[[#This Row],[Fecha Último Pago]],"M")+1</f>
        <v>9</v>
      </c>
      <c r="N769" s="4">
        <f>BBDD_Usiarios_Netflix[[#This Row],[Ingresos Mensuales]]*BBDD_Usiarios_Netflix[[#This Row],[Meses contratados]]</f>
        <v>108</v>
      </c>
      <c r="O769" t="s">
        <v>42</v>
      </c>
      <c r="P769" t="str">
        <f>IF(BBDD_Usiarios_Netflix[[#This Row],[País]]="","Desconocido",BBDD_Usiarios_Netflix[[#This Row],[País]])</f>
        <v>Reino Unido</v>
      </c>
      <c r="Q769">
        <v>38</v>
      </c>
      <c r="R769" t="s">
        <v>30</v>
      </c>
      <c r="S769" t="s">
        <v>36</v>
      </c>
      <c r="T769" t="s">
        <v>41</v>
      </c>
      <c r="U769">
        <f>IF(IFERROR(VLOOKUP(BBDD_Usiarios_Netflix[[#This Row],[Identificador Usuario]],A770:$A$5870,1,FALSE),0)&lt;&gt;0,1,0)</f>
        <v>0</v>
      </c>
      <c r="V769" s="6" t="str">
        <f>IF(BBDD_Usiarios_Netflix[[#This Row],[Duración Plan]]="12 Meses",LEFT(BBDD_Usiarios_Netflix[[#This Row],[Duración Plan]],2),LEFT(BBDD_Usiarios_Netflix[[#This Row],[Duración Plan]],1))</f>
        <v>12</v>
      </c>
      <c r="W7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70" spans="1:23" x14ac:dyDescent="0.25">
      <c r="A770">
        <v>769</v>
      </c>
      <c r="B770" t="s">
        <v>28</v>
      </c>
      <c r="C770">
        <v>14</v>
      </c>
      <c r="D770" s="3">
        <v>8</v>
      </c>
      <c r="E770" s="3">
        <v>10</v>
      </c>
      <c r="F770">
        <v>23</v>
      </c>
      <c r="G770" s="1">
        <f>DATEVALUE(_xlfn.CONCAT(BBDD_Usiarios_Netflix[[#This Row],[Día Suscripción]],"/",BBDD_Usiarios_Netflix[[#This Row],[Mes Suscripción]],"/",BBDD_Usiarios_Netflix[[#This Row],[Año Suscripción]]))</f>
        <v>45207</v>
      </c>
      <c r="H770" s="1">
        <v>30</v>
      </c>
      <c r="I770" s="1">
        <v>6</v>
      </c>
      <c r="J770" s="1">
        <v>24</v>
      </c>
      <c r="K770" s="1" t="str">
        <f>TEXT(BBDD_Usiarios_Netflix[[#This Row],[Fecha Suscripción]],"dddd")</f>
        <v>domingo</v>
      </c>
      <c r="L770" s="1">
        <f>DATEVALUE(_xlfn.CONCAT(BBDD_Usiarios_Netflix[[#This Row],[Día Último Pago]],"/",BBDD_Usiarios_Netflix[[#This Row],[Mes Último Pago]],"/",BBDD_Usiarios_Netflix[[#This Row],[Año Último Pago]]))</f>
        <v>45473</v>
      </c>
      <c r="M770" s="4">
        <f>DATEDIF(BBDD_Usiarios_Netflix[[#This Row],[Fecha Suscripción]],BBDD_Usiarios_Netflix[[#This Row],[Fecha Último Pago]],"M")+1</f>
        <v>9</v>
      </c>
      <c r="N770" s="4">
        <f>BBDD_Usiarios_Netflix[[#This Row],[Ingresos Mensuales]]*BBDD_Usiarios_Netflix[[#This Row],[Meses contratados]]</f>
        <v>126</v>
      </c>
      <c r="O770" t="s">
        <v>45</v>
      </c>
      <c r="P770" t="str">
        <f>IF(BBDD_Usiarios_Netflix[[#This Row],[País]]="","Desconocido",BBDD_Usiarios_Netflix[[#This Row],[País]])</f>
        <v>España</v>
      </c>
      <c r="Q770">
        <v>36</v>
      </c>
      <c r="R770" t="s">
        <v>30</v>
      </c>
      <c r="S770" t="s">
        <v>34</v>
      </c>
      <c r="T770" t="s">
        <v>35</v>
      </c>
      <c r="U770">
        <f>IF(IFERROR(VLOOKUP(BBDD_Usiarios_Netflix[[#This Row],[Identificador Usuario]],A771:$A$5870,1,FALSE),0)&lt;&gt;0,1,0)</f>
        <v>0</v>
      </c>
      <c r="V770" s="6" t="str">
        <f>IF(BBDD_Usiarios_Netflix[[#This Row],[Duración Plan]]="12 Meses",LEFT(BBDD_Usiarios_Netflix[[#This Row],[Duración Plan]],2),LEFT(BBDD_Usiarios_Netflix[[#This Row],[Duración Plan]],1))</f>
        <v>6</v>
      </c>
      <c r="W7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71" spans="1:23" x14ac:dyDescent="0.25">
      <c r="A771">
        <v>770</v>
      </c>
      <c r="B771" t="s">
        <v>23</v>
      </c>
      <c r="C771">
        <v>10</v>
      </c>
      <c r="D771" s="3">
        <v>3</v>
      </c>
      <c r="E771" s="3">
        <v>10</v>
      </c>
      <c r="F771">
        <v>23</v>
      </c>
      <c r="G771" s="1">
        <f>DATEVALUE(_xlfn.CONCAT(BBDD_Usiarios_Netflix[[#This Row],[Día Suscripción]],"/",BBDD_Usiarios_Netflix[[#This Row],[Mes Suscripción]],"/",BBDD_Usiarios_Netflix[[#This Row],[Año Suscripción]]))</f>
        <v>45202</v>
      </c>
      <c r="H771" s="1">
        <v>1</v>
      </c>
      <c r="I771" s="1">
        <v>7</v>
      </c>
      <c r="J771" s="1">
        <v>24</v>
      </c>
      <c r="K771" s="1" t="str">
        <f>TEXT(BBDD_Usiarios_Netflix[[#This Row],[Fecha Suscripción]],"dddd")</f>
        <v>martes</v>
      </c>
      <c r="L771" s="1">
        <f>DATEVALUE(_xlfn.CONCAT(BBDD_Usiarios_Netflix[[#This Row],[Día Último Pago]],"/",BBDD_Usiarios_Netflix[[#This Row],[Mes Último Pago]],"/",BBDD_Usiarios_Netflix[[#This Row],[Año Último Pago]]))</f>
        <v>45474</v>
      </c>
      <c r="M771" s="4">
        <f>DATEDIF(BBDD_Usiarios_Netflix[[#This Row],[Fecha Suscripción]],BBDD_Usiarios_Netflix[[#This Row],[Fecha Último Pago]],"M")+1</f>
        <v>9</v>
      </c>
      <c r="N771" s="4">
        <f>BBDD_Usiarios_Netflix[[#This Row],[Ingresos Mensuales]]*BBDD_Usiarios_Netflix[[#This Row],[Meses contratados]]</f>
        <v>90</v>
      </c>
      <c r="O771" t="s">
        <v>44</v>
      </c>
      <c r="P771" t="str">
        <f>IF(BBDD_Usiarios_Netflix[[#This Row],[País]]="","Desconocido",BBDD_Usiarios_Netflix[[#This Row],[País]])</f>
        <v>Desconocido</v>
      </c>
      <c r="Q771">
        <v>42</v>
      </c>
      <c r="R771" t="s">
        <v>30</v>
      </c>
      <c r="S771" t="s">
        <v>36</v>
      </c>
      <c r="T771" t="s">
        <v>27</v>
      </c>
      <c r="U771">
        <f>IF(IFERROR(VLOOKUP(BBDD_Usiarios_Netflix[[#This Row],[Identificador Usuario]],A772:$A$5870,1,FALSE),0)&lt;&gt;0,1,0)</f>
        <v>0</v>
      </c>
      <c r="V771" s="6" t="str">
        <f>IF(BBDD_Usiarios_Netflix[[#This Row],[Duración Plan]]="12 Meses",LEFT(BBDD_Usiarios_Netflix[[#This Row],[Duración Plan]],2),LEFT(BBDD_Usiarios_Netflix[[#This Row],[Duración Plan]],1))</f>
        <v>1</v>
      </c>
      <c r="W7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72" spans="1:23" x14ac:dyDescent="0.25">
      <c r="A772">
        <v>771</v>
      </c>
      <c r="B772" t="s">
        <v>28</v>
      </c>
      <c r="C772">
        <v>14</v>
      </c>
      <c r="D772" s="3">
        <v>4</v>
      </c>
      <c r="E772" s="3">
        <v>10</v>
      </c>
      <c r="F772">
        <v>23</v>
      </c>
      <c r="G772" s="1">
        <f>DATEVALUE(_xlfn.CONCAT(BBDD_Usiarios_Netflix[[#This Row],[Día Suscripción]],"/",BBDD_Usiarios_Netflix[[#This Row],[Mes Suscripción]],"/",BBDD_Usiarios_Netflix[[#This Row],[Año Suscripción]]))</f>
        <v>45203</v>
      </c>
      <c r="H772" s="1">
        <v>28</v>
      </c>
      <c r="I772" s="1">
        <v>6</v>
      </c>
      <c r="J772" s="1">
        <v>24</v>
      </c>
      <c r="K772" s="1" t="str">
        <f>TEXT(BBDD_Usiarios_Netflix[[#This Row],[Fecha Suscripción]],"dddd")</f>
        <v>miércoles</v>
      </c>
      <c r="L772" s="1">
        <f>DATEVALUE(_xlfn.CONCAT(BBDD_Usiarios_Netflix[[#This Row],[Día Último Pago]],"/",BBDD_Usiarios_Netflix[[#This Row],[Mes Último Pago]],"/",BBDD_Usiarios_Netflix[[#This Row],[Año Último Pago]]))</f>
        <v>45471</v>
      </c>
      <c r="M772" s="4">
        <f>DATEDIF(BBDD_Usiarios_Netflix[[#This Row],[Fecha Suscripción]],BBDD_Usiarios_Netflix[[#This Row],[Fecha Último Pago]],"M")+1</f>
        <v>9</v>
      </c>
      <c r="N772" s="4">
        <f>BBDD_Usiarios_Netflix[[#This Row],[Ingresos Mensuales]]*BBDD_Usiarios_Netflix[[#This Row],[Meses contratados]]</f>
        <v>126</v>
      </c>
      <c r="O772" t="s">
        <v>29</v>
      </c>
      <c r="P772" t="str">
        <f>IF(BBDD_Usiarios_Netflix[[#This Row],[País]]="","Desconocido",BBDD_Usiarios_Netflix[[#This Row],[País]])</f>
        <v>EEUU</v>
      </c>
      <c r="Q772">
        <v>27</v>
      </c>
      <c r="R772" t="s">
        <v>25</v>
      </c>
      <c r="S772" t="s">
        <v>31</v>
      </c>
      <c r="T772" t="s">
        <v>27</v>
      </c>
      <c r="U772">
        <f>IF(IFERROR(VLOOKUP(BBDD_Usiarios_Netflix[[#This Row],[Identificador Usuario]],A773:$A$5870,1,FALSE),0)&lt;&gt;0,1,0)</f>
        <v>0</v>
      </c>
      <c r="V772" s="6" t="str">
        <f>IF(BBDD_Usiarios_Netflix[[#This Row],[Duración Plan]]="12 Meses",LEFT(BBDD_Usiarios_Netflix[[#This Row],[Duración Plan]],2),LEFT(BBDD_Usiarios_Netflix[[#This Row],[Duración Plan]],1))</f>
        <v>1</v>
      </c>
      <c r="W7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73" spans="1:23" x14ac:dyDescent="0.25">
      <c r="A773">
        <v>772</v>
      </c>
      <c r="B773" t="s">
        <v>23</v>
      </c>
      <c r="C773">
        <v>10</v>
      </c>
      <c r="D773" s="3">
        <v>2</v>
      </c>
      <c r="E773" s="3">
        <v>10</v>
      </c>
      <c r="F773">
        <v>23</v>
      </c>
      <c r="G773" s="1">
        <f>DATEVALUE(_xlfn.CONCAT(BBDD_Usiarios_Netflix[[#This Row],[Día Suscripción]],"/",BBDD_Usiarios_Netflix[[#This Row],[Mes Suscripción]],"/",BBDD_Usiarios_Netflix[[#This Row],[Año Suscripción]]))</f>
        <v>45201</v>
      </c>
      <c r="H773" s="1">
        <v>1</v>
      </c>
      <c r="I773" s="1">
        <v>7</v>
      </c>
      <c r="J773" s="1">
        <v>24</v>
      </c>
      <c r="K773" s="1" t="str">
        <f>TEXT(BBDD_Usiarios_Netflix[[#This Row],[Fecha Suscripción]],"dddd")</f>
        <v>lunes</v>
      </c>
      <c r="L773" s="1">
        <f>DATEVALUE(_xlfn.CONCAT(BBDD_Usiarios_Netflix[[#This Row],[Día Último Pago]],"/",BBDD_Usiarios_Netflix[[#This Row],[Mes Último Pago]],"/",BBDD_Usiarios_Netflix[[#This Row],[Año Último Pago]]))</f>
        <v>45474</v>
      </c>
      <c r="M773" s="4">
        <f>DATEDIF(BBDD_Usiarios_Netflix[[#This Row],[Fecha Suscripción]],BBDD_Usiarios_Netflix[[#This Row],[Fecha Último Pago]],"M")+1</f>
        <v>9</v>
      </c>
      <c r="N773" s="4">
        <f>BBDD_Usiarios_Netflix[[#This Row],[Ingresos Mensuales]]*BBDD_Usiarios_Netflix[[#This Row],[Meses contratados]]</f>
        <v>90</v>
      </c>
      <c r="O773" t="s">
        <v>24</v>
      </c>
      <c r="P773" t="str">
        <f>IF(BBDD_Usiarios_Netflix[[#This Row],[País]]="","Desconocido",BBDD_Usiarios_Netflix[[#This Row],[País]])</f>
        <v>Australia</v>
      </c>
      <c r="Q773">
        <v>48</v>
      </c>
      <c r="R773" t="s">
        <v>25</v>
      </c>
      <c r="S773" t="s">
        <v>36</v>
      </c>
      <c r="T773" t="s">
        <v>27</v>
      </c>
      <c r="U773">
        <f>IF(IFERROR(VLOOKUP(BBDD_Usiarios_Netflix[[#This Row],[Identificador Usuario]],A774:$A$5870,1,FALSE),0)&lt;&gt;0,1,0)</f>
        <v>0</v>
      </c>
      <c r="V773" s="6" t="str">
        <f>IF(BBDD_Usiarios_Netflix[[#This Row],[Duración Plan]]="12 Meses",LEFT(BBDD_Usiarios_Netflix[[#This Row],[Duración Plan]],2),LEFT(BBDD_Usiarios_Netflix[[#This Row],[Duración Plan]],1))</f>
        <v>1</v>
      </c>
      <c r="W7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74" spans="1:23" x14ac:dyDescent="0.25">
      <c r="A774">
        <v>773</v>
      </c>
      <c r="B774" t="s">
        <v>32</v>
      </c>
      <c r="C774">
        <v>12</v>
      </c>
      <c r="D774" s="3">
        <v>1</v>
      </c>
      <c r="E774" s="3">
        <v>10</v>
      </c>
      <c r="F774">
        <v>23</v>
      </c>
      <c r="G774" s="1">
        <f>DATEVALUE(_xlfn.CONCAT(BBDD_Usiarios_Netflix[[#This Row],[Día Suscripción]],"/",BBDD_Usiarios_Netflix[[#This Row],[Mes Suscripción]],"/",BBDD_Usiarios_Netflix[[#This Row],[Año Suscripción]]))</f>
        <v>45200</v>
      </c>
      <c r="H774" s="1">
        <v>30</v>
      </c>
      <c r="I774" s="1">
        <v>6</v>
      </c>
      <c r="J774" s="1">
        <v>24</v>
      </c>
      <c r="K774" s="1" t="str">
        <f>TEXT(BBDD_Usiarios_Netflix[[#This Row],[Fecha Suscripción]],"dddd")</f>
        <v>domingo</v>
      </c>
      <c r="L774" s="1">
        <f>DATEVALUE(_xlfn.CONCAT(BBDD_Usiarios_Netflix[[#This Row],[Día Último Pago]],"/",BBDD_Usiarios_Netflix[[#This Row],[Mes Último Pago]],"/",BBDD_Usiarios_Netflix[[#This Row],[Año Último Pago]]))</f>
        <v>45473</v>
      </c>
      <c r="M774" s="4">
        <f>DATEDIF(BBDD_Usiarios_Netflix[[#This Row],[Fecha Suscripción]],BBDD_Usiarios_Netflix[[#This Row],[Fecha Último Pago]],"M")+1</f>
        <v>9</v>
      </c>
      <c r="N774" s="4">
        <f>BBDD_Usiarios_Netflix[[#This Row],[Ingresos Mensuales]]*BBDD_Usiarios_Netflix[[#This Row],[Meses contratados]]</f>
        <v>108</v>
      </c>
      <c r="O774" t="s">
        <v>40</v>
      </c>
      <c r="P774" t="str">
        <f>IF(BBDD_Usiarios_Netflix[[#This Row],[País]]="","Desconocido",BBDD_Usiarios_Netflix[[#This Row],[País]])</f>
        <v>Italia</v>
      </c>
      <c r="Q774">
        <v>27</v>
      </c>
      <c r="R774" t="s">
        <v>30</v>
      </c>
      <c r="S774" t="s">
        <v>34</v>
      </c>
      <c r="T774" t="s">
        <v>38</v>
      </c>
      <c r="U774">
        <f>IF(IFERROR(VLOOKUP(BBDD_Usiarios_Netflix[[#This Row],[Identificador Usuario]],A775:$A$5870,1,FALSE),0)&lt;&gt;0,1,0)</f>
        <v>0</v>
      </c>
      <c r="V774" s="6" t="str">
        <f>IF(BBDD_Usiarios_Netflix[[#This Row],[Duración Plan]]="12 Meses",LEFT(BBDD_Usiarios_Netflix[[#This Row],[Duración Plan]],2),LEFT(BBDD_Usiarios_Netflix[[#This Row],[Duración Plan]],1))</f>
        <v>3</v>
      </c>
      <c r="W7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75" spans="1:23" x14ac:dyDescent="0.25">
      <c r="A775">
        <v>774</v>
      </c>
      <c r="B775" t="s">
        <v>32</v>
      </c>
      <c r="C775">
        <v>12</v>
      </c>
      <c r="D775" s="3">
        <v>3</v>
      </c>
      <c r="E775" s="3">
        <v>10</v>
      </c>
      <c r="F775">
        <v>23</v>
      </c>
      <c r="G775" s="1">
        <f>DATEVALUE(_xlfn.CONCAT(BBDD_Usiarios_Netflix[[#This Row],[Día Suscripción]],"/",BBDD_Usiarios_Netflix[[#This Row],[Mes Suscripción]],"/",BBDD_Usiarios_Netflix[[#This Row],[Año Suscripción]]))</f>
        <v>45202</v>
      </c>
      <c r="H775" s="1">
        <v>2</v>
      </c>
      <c r="I775" s="1">
        <v>7</v>
      </c>
      <c r="J775" s="1">
        <v>24</v>
      </c>
      <c r="K775" s="1" t="str">
        <f>TEXT(BBDD_Usiarios_Netflix[[#This Row],[Fecha Suscripción]],"dddd")</f>
        <v>martes</v>
      </c>
      <c r="L775" s="1">
        <f>DATEVALUE(_xlfn.CONCAT(BBDD_Usiarios_Netflix[[#This Row],[Día Último Pago]],"/",BBDD_Usiarios_Netflix[[#This Row],[Mes Último Pago]],"/",BBDD_Usiarios_Netflix[[#This Row],[Año Último Pago]]))</f>
        <v>45475</v>
      </c>
      <c r="M775" s="4">
        <f>DATEDIF(BBDD_Usiarios_Netflix[[#This Row],[Fecha Suscripción]],BBDD_Usiarios_Netflix[[#This Row],[Fecha Último Pago]],"M")+1</f>
        <v>9</v>
      </c>
      <c r="N775" s="4">
        <f>BBDD_Usiarios_Netflix[[#This Row],[Ingresos Mensuales]]*BBDD_Usiarios_Netflix[[#This Row],[Meses contratados]]</f>
        <v>108</v>
      </c>
      <c r="O775" t="s">
        <v>45</v>
      </c>
      <c r="P775" t="str">
        <f>IF(BBDD_Usiarios_Netflix[[#This Row],[País]]="","Desconocido",BBDD_Usiarios_Netflix[[#This Row],[País]])</f>
        <v>España</v>
      </c>
      <c r="Q775">
        <v>49</v>
      </c>
      <c r="R775" t="s">
        <v>25</v>
      </c>
      <c r="S775" t="s">
        <v>26</v>
      </c>
      <c r="T775" t="s">
        <v>38</v>
      </c>
      <c r="U775">
        <f>IF(IFERROR(VLOOKUP(BBDD_Usiarios_Netflix[[#This Row],[Identificador Usuario]],A776:$A$5870,1,FALSE),0)&lt;&gt;0,1,0)</f>
        <v>0</v>
      </c>
      <c r="V775" s="6" t="str">
        <f>IF(BBDD_Usiarios_Netflix[[#This Row],[Duración Plan]]="12 Meses",LEFT(BBDD_Usiarios_Netflix[[#This Row],[Duración Plan]],2),LEFT(BBDD_Usiarios_Netflix[[#This Row],[Duración Plan]],1))</f>
        <v>3</v>
      </c>
      <c r="W7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76" spans="1:23" x14ac:dyDescent="0.25">
      <c r="A776">
        <v>775</v>
      </c>
      <c r="B776" t="s">
        <v>23</v>
      </c>
      <c r="C776">
        <v>10</v>
      </c>
      <c r="D776" s="3">
        <v>20</v>
      </c>
      <c r="E776" s="3">
        <v>10</v>
      </c>
      <c r="F776">
        <v>23</v>
      </c>
      <c r="G776" s="1">
        <f>DATEVALUE(_xlfn.CONCAT(BBDD_Usiarios_Netflix[[#This Row],[Día Suscripción]],"/",BBDD_Usiarios_Netflix[[#This Row],[Mes Suscripción]],"/",BBDD_Usiarios_Netflix[[#This Row],[Año Suscripción]]))</f>
        <v>45219</v>
      </c>
      <c r="H776" s="1">
        <v>28</v>
      </c>
      <c r="I776" s="1">
        <v>6</v>
      </c>
      <c r="J776" s="1">
        <v>24</v>
      </c>
      <c r="K776" s="1" t="str">
        <f>TEXT(BBDD_Usiarios_Netflix[[#This Row],[Fecha Suscripción]],"dddd")</f>
        <v>viernes</v>
      </c>
      <c r="L776" s="1">
        <f>DATEVALUE(_xlfn.CONCAT(BBDD_Usiarios_Netflix[[#This Row],[Día Último Pago]],"/",BBDD_Usiarios_Netflix[[#This Row],[Mes Último Pago]],"/",BBDD_Usiarios_Netflix[[#This Row],[Año Último Pago]]))</f>
        <v>45471</v>
      </c>
      <c r="M776" s="4">
        <f>DATEDIF(BBDD_Usiarios_Netflix[[#This Row],[Fecha Suscripción]],BBDD_Usiarios_Netflix[[#This Row],[Fecha Último Pago]],"M")+1</f>
        <v>9</v>
      </c>
      <c r="N776" s="4">
        <f>BBDD_Usiarios_Netflix[[#This Row],[Ingresos Mensuales]]*BBDD_Usiarios_Netflix[[#This Row],[Meses contratados]]</f>
        <v>90</v>
      </c>
      <c r="O776" t="s">
        <v>45</v>
      </c>
      <c r="P776" t="str">
        <f>IF(BBDD_Usiarios_Netflix[[#This Row],[País]]="","Desconocido",BBDD_Usiarios_Netflix[[#This Row],[País]])</f>
        <v>España</v>
      </c>
      <c r="Q776">
        <v>29</v>
      </c>
      <c r="R776" t="s">
        <v>25</v>
      </c>
      <c r="S776" t="s">
        <v>31</v>
      </c>
      <c r="T776" t="s">
        <v>35</v>
      </c>
      <c r="U776">
        <f>IF(IFERROR(VLOOKUP(BBDD_Usiarios_Netflix[[#This Row],[Identificador Usuario]],A777:$A$5870,1,FALSE),0)&lt;&gt;0,1,0)</f>
        <v>0</v>
      </c>
      <c r="V776" s="6" t="str">
        <f>IF(BBDD_Usiarios_Netflix[[#This Row],[Duración Plan]]="12 Meses",LEFT(BBDD_Usiarios_Netflix[[#This Row],[Duración Plan]],2),LEFT(BBDD_Usiarios_Netflix[[#This Row],[Duración Plan]],1))</f>
        <v>6</v>
      </c>
      <c r="W7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77" spans="1:23" x14ac:dyDescent="0.25">
      <c r="A777">
        <v>776</v>
      </c>
      <c r="B777" t="s">
        <v>28</v>
      </c>
      <c r="C777">
        <v>14</v>
      </c>
      <c r="D777" s="3">
        <v>21</v>
      </c>
      <c r="E777" s="3">
        <v>10</v>
      </c>
      <c r="F777">
        <v>23</v>
      </c>
      <c r="G777" s="1">
        <f>DATEVALUE(_xlfn.CONCAT(BBDD_Usiarios_Netflix[[#This Row],[Día Suscripción]],"/",BBDD_Usiarios_Netflix[[#This Row],[Mes Suscripción]],"/",BBDD_Usiarios_Netflix[[#This Row],[Año Suscripción]]))</f>
        <v>45220</v>
      </c>
      <c r="H777" s="1">
        <v>1</v>
      </c>
      <c r="I777" s="1">
        <v>7</v>
      </c>
      <c r="J777" s="1">
        <v>24</v>
      </c>
      <c r="K777" s="1" t="str">
        <f>TEXT(BBDD_Usiarios_Netflix[[#This Row],[Fecha Suscripción]],"dddd")</f>
        <v>sábado</v>
      </c>
      <c r="L777" s="1">
        <f>DATEVALUE(_xlfn.CONCAT(BBDD_Usiarios_Netflix[[#This Row],[Día Último Pago]],"/",BBDD_Usiarios_Netflix[[#This Row],[Mes Último Pago]],"/",BBDD_Usiarios_Netflix[[#This Row],[Año Último Pago]]))</f>
        <v>45474</v>
      </c>
      <c r="M777" s="4">
        <f>DATEDIF(BBDD_Usiarios_Netflix[[#This Row],[Fecha Suscripción]],BBDD_Usiarios_Netflix[[#This Row],[Fecha Último Pago]],"M")+1</f>
        <v>9</v>
      </c>
      <c r="N777" s="4">
        <f>BBDD_Usiarios_Netflix[[#This Row],[Ingresos Mensuales]]*BBDD_Usiarios_Netflix[[#This Row],[Meses contratados]]</f>
        <v>126</v>
      </c>
      <c r="O777" t="s">
        <v>29</v>
      </c>
      <c r="P777" t="str">
        <f>IF(BBDD_Usiarios_Netflix[[#This Row],[País]]="","Desconocido",BBDD_Usiarios_Netflix[[#This Row],[País]])</f>
        <v>EEUU</v>
      </c>
      <c r="Q777">
        <v>44</v>
      </c>
      <c r="R777" t="s">
        <v>25</v>
      </c>
      <c r="S777" t="s">
        <v>36</v>
      </c>
      <c r="T777" t="s">
        <v>27</v>
      </c>
      <c r="U777">
        <f>IF(IFERROR(VLOOKUP(BBDD_Usiarios_Netflix[[#This Row],[Identificador Usuario]],A778:$A$5870,1,FALSE),0)&lt;&gt;0,1,0)</f>
        <v>0</v>
      </c>
      <c r="V777" s="6" t="str">
        <f>IF(BBDD_Usiarios_Netflix[[#This Row],[Duración Plan]]="12 Meses",LEFT(BBDD_Usiarios_Netflix[[#This Row],[Duración Plan]],2),LEFT(BBDD_Usiarios_Netflix[[#This Row],[Duración Plan]],1))</f>
        <v>1</v>
      </c>
      <c r="W7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78" spans="1:23" x14ac:dyDescent="0.25">
      <c r="A778">
        <v>777</v>
      </c>
      <c r="B778" t="s">
        <v>23</v>
      </c>
      <c r="C778">
        <v>10</v>
      </c>
      <c r="D778" s="3">
        <v>28</v>
      </c>
      <c r="E778" s="3">
        <v>10</v>
      </c>
      <c r="F778">
        <v>23</v>
      </c>
      <c r="G778" s="1">
        <f>DATEVALUE(_xlfn.CONCAT(BBDD_Usiarios_Netflix[[#This Row],[Día Suscripción]],"/",BBDD_Usiarios_Netflix[[#This Row],[Mes Suscripción]],"/",BBDD_Usiarios_Netflix[[#This Row],[Año Suscripción]]))</f>
        <v>45227</v>
      </c>
      <c r="H778" s="1">
        <v>30</v>
      </c>
      <c r="I778" s="1">
        <v>6</v>
      </c>
      <c r="J778" s="1">
        <v>24</v>
      </c>
      <c r="K778" s="1" t="str">
        <f>TEXT(BBDD_Usiarios_Netflix[[#This Row],[Fecha Suscripción]],"dddd")</f>
        <v>sábado</v>
      </c>
      <c r="L778" s="1">
        <f>DATEVALUE(_xlfn.CONCAT(BBDD_Usiarios_Netflix[[#This Row],[Día Último Pago]],"/",BBDD_Usiarios_Netflix[[#This Row],[Mes Último Pago]],"/",BBDD_Usiarios_Netflix[[#This Row],[Año Último Pago]]))</f>
        <v>45473</v>
      </c>
      <c r="M778" s="4">
        <f>DATEDIF(BBDD_Usiarios_Netflix[[#This Row],[Fecha Suscripción]],BBDD_Usiarios_Netflix[[#This Row],[Fecha Último Pago]],"M")+1</f>
        <v>9</v>
      </c>
      <c r="N778" s="4">
        <f>BBDD_Usiarios_Netflix[[#This Row],[Ingresos Mensuales]]*BBDD_Usiarios_Netflix[[#This Row],[Meses contratados]]</f>
        <v>90</v>
      </c>
      <c r="O778" t="s">
        <v>43</v>
      </c>
      <c r="P778" t="str">
        <f>IF(BBDD_Usiarios_Netflix[[#This Row],[País]]="","Desconocido",BBDD_Usiarios_Netflix[[#This Row],[País]])</f>
        <v>Alemania</v>
      </c>
      <c r="Q778">
        <v>31</v>
      </c>
      <c r="R778" t="s">
        <v>25</v>
      </c>
      <c r="S778" t="s">
        <v>26</v>
      </c>
      <c r="T778" t="s">
        <v>27</v>
      </c>
      <c r="U778">
        <f>IF(IFERROR(VLOOKUP(BBDD_Usiarios_Netflix[[#This Row],[Identificador Usuario]],A779:$A$5870,1,FALSE),0)&lt;&gt;0,1,0)</f>
        <v>0</v>
      </c>
      <c r="V778" s="6" t="str">
        <f>IF(BBDD_Usiarios_Netflix[[#This Row],[Duración Plan]]="12 Meses",LEFT(BBDD_Usiarios_Netflix[[#This Row],[Duración Plan]],2),LEFT(BBDD_Usiarios_Netflix[[#This Row],[Duración Plan]],1))</f>
        <v>1</v>
      </c>
      <c r="W7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79" spans="1:23" x14ac:dyDescent="0.25">
      <c r="A779">
        <v>778</v>
      </c>
      <c r="B779" t="s">
        <v>32</v>
      </c>
      <c r="C779">
        <v>12</v>
      </c>
      <c r="D779" s="3">
        <v>3</v>
      </c>
      <c r="E779" s="3">
        <v>11</v>
      </c>
      <c r="F779">
        <v>23</v>
      </c>
      <c r="G779" s="1">
        <f>DATEVALUE(_xlfn.CONCAT(BBDD_Usiarios_Netflix[[#This Row],[Día Suscripción]],"/",BBDD_Usiarios_Netflix[[#This Row],[Mes Suscripción]],"/",BBDD_Usiarios_Netflix[[#This Row],[Año Suscripción]]))</f>
        <v>45233</v>
      </c>
      <c r="H779" s="1">
        <v>1</v>
      </c>
      <c r="I779" s="1">
        <v>7</v>
      </c>
      <c r="J779" s="1">
        <v>24</v>
      </c>
      <c r="K779" s="1" t="str">
        <f>TEXT(BBDD_Usiarios_Netflix[[#This Row],[Fecha Suscripción]],"dddd")</f>
        <v>viernes</v>
      </c>
      <c r="L779" s="1">
        <f>DATEVALUE(_xlfn.CONCAT(BBDD_Usiarios_Netflix[[#This Row],[Día Último Pago]],"/",BBDD_Usiarios_Netflix[[#This Row],[Mes Último Pago]],"/",BBDD_Usiarios_Netflix[[#This Row],[Año Último Pago]]))</f>
        <v>45474</v>
      </c>
      <c r="M779" s="4">
        <f>DATEDIF(BBDD_Usiarios_Netflix[[#This Row],[Fecha Suscripción]],BBDD_Usiarios_Netflix[[#This Row],[Fecha Último Pago]],"M")+1</f>
        <v>8</v>
      </c>
      <c r="N779" s="4">
        <f>BBDD_Usiarios_Netflix[[#This Row],[Ingresos Mensuales]]*BBDD_Usiarios_Netflix[[#This Row],[Meses contratados]]</f>
        <v>96</v>
      </c>
      <c r="O779" t="s">
        <v>29</v>
      </c>
      <c r="P779" t="str">
        <f>IF(BBDD_Usiarios_Netflix[[#This Row],[País]]="","Desconocido",BBDD_Usiarios_Netflix[[#This Row],[País]])</f>
        <v>EEUU</v>
      </c>
      <c r="Q779">
        <v>33</v>
      </c>
      <c r="R779" t="s">
        <v>25</v>
      </c>
      <c r="S779" t="s">
        <v>31</v>
      </c>
      <c r="T779" t="s">
        <v>27</v>
      </c>
      <c r="U779">
        <f>IF(IFERROR(VLOOKUP(BBDD_Usiarios_Netflix[[#This Row],[Identificador Usuario]],A780:$A$5870,1,FALSE),0)&lt;&gt;0,1,0)</f>
        <v>0</v>
      </c>
      <c r="V779" s="6" t="str">
        <f>IF(BBDD_Usiarios_Netflix[[#This Row],[Duración Plan]]="12 Meses",LEFT(BBDD_Usiarios_Netflix[[#This Row],[Duración Plan]],2),LEFT(BBDD_Usiarios_Netflix[[#This Row],[Duración Plan]],1))</f>
        <v>1</v>
      </c>
      <c r="W7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0" spans="1:23" x14ac:dyDescent="0.25">
      <c r="A780">
        <v>779</v>
      </c>
      <c r="B780" t="s">
        <v>28</v>
      </c>
      <c r="C780">
        <v>14</v>
      </c>
      <c r="D780" s="3">
        <v>7</v>
      </c>
      <c r="E780" s="3">
        <v>11</v>
      </c>
      <c r="F780">
        <v>23</v>
      </c>
      <c r="G780" s="1">
        <f>DATEVALUE(_xlfn.CONCAT(BBDD_Usiarios_Netflix[[#This Row],[Día Suscripción]],"/",BBDD_Usiarios_Netflix[[#This Row],[Mes Suscripción]],"/",BBDD_Usiarios_Netflix[[#This Row],[Año Suscripción]]))</f>
        <v>45237</v>
      </c>
      <c r="H780" s="1">
        <v>28</v>
      </c>
      <c r="I780" s="1">
        <v>6</v>
      </c>
      <c r="J780" s="1">
        <v>24</v>
      </c>
      <c r="K780" s="1" t="str">
        <f>TEXT(BBDD_Usiarios_Netflix[[#This Row],[Fecha Suscripción]],"dddd")</f>
        <v>martes</v>
      </c>
      <c r="L780" s="1">
        <f>DATEVALUE(_xlfn.CONCAT(BBDD_Usiarios_Netflix[[#This Row],[Día Último Pago]],"/",BBDD_Usiarios_Netflix[[#This Row],[Mes Último Pago]],"/",BBDD_Usiarios_Netflix[[#This Row],[Año Último Pago]]))</f>
        <v>45471</v>
      </c>
      <c r="M780" s="4">
        <f>DATEDIF(BBDD_Usiarios_Netflix[[#This Row],[Fecha Suscripción]],BBDD_Usiarios_Netflix[[#This Row],[Fecha Último Pago]],"M")+1</f>
        <v>8</v>
      </c>
      <c r="N780" s="4">
        <f>BBDD_Usiarios_Netflix[[#This Row],[Ingresos Mensuales]]*BBDD_Usiarios_Netflix[[#This Row],[Meses contratados]]</f>
        <v>112</v>
      </c>
      <c r="O780" t="s">
        <v>37</v>
      </c>
      <c r="P780" t="str">
        <f>IF(BBDD_Usiarios_Netflix[[#This Row],[País]]="","Desconocido",BBDD_Usiarios_Netflix[[#This Row],[País]])</f>
        <v>Brasil</v>
      </c>
      <c r="Q780">
        <v>36</v>
      </c>
      <c r="R780" t="s">
        <v>30</v>
      </c>
      <c r="S780" t="s">
        <v>34</v>
      </c>
      <c r="T780" t="s">
        <v>27</v>
      </c>
      <c r="U780">
        <f>IF(IFERROR(VLOOKUP(BBDD_Usiarios_Netflix[[#This Row],[Identificador Usuario]],A781:$A$5870,1,FALSE),0)&lt;&gt;0,1,0)</f>
        <v>0</v>
      </c>
      <c r="V780" s="6" t="str">
        <f>IF(BBDD_Usiarios_Netflix[[#This Row],[Duración Plan]]="12 Meses",LEFT(BBDD_Usiarios_Netflix[[#This Row],[Duración Plan]],2),LEFT(BBDD_Usiarios_Netflix[[#This Row],[Duración Plan]],1))</f>
        <v>1</v>
      </c>
      <c r="W7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1" spans="1:23" x14ac:dyDescent="0.25">
      <c r="A781">
        <v>780</v>
      </c>
      <c r="B781" t="s">
        <v>23</v>
      </c>
      <c r="C781">
        <v>10</v>
      </c>
      <c r="D781" s="3">
        <v>12</v>
      </c>
      <c r="E781" s="3">
        <v>11</v>
      </c>
      <c r="F781">
        <v>23</v>
      </c>
      <c r="G781" s="1">
        <f>DATEVALUE(_xlfn.CONCAT(BBDD_Usiarios_Netflix[[#This Row],[Día Suscripción]],"/",BBDD_Usiarios_Netflix[[#This Row],[Mes Suscripción]],"/",BBDD_Usiarios_Netflix[[#This Row],[Año Suscripción]]))</f>
        <v>45242</v>
      </c>
      <c r="H781" s="1">
        <v>30</v>
      </c>
      <c r="I781" s="1">
        <v>6</v>
      </c>
      <c r="J781" s="1">
        <v>24</v>
      </c>
      <c r="K781" s="1" t="str">
        <f>TEXT(BBDD_Usiarios_Netflix[[#This Row],[Fecha Suscripción]],"dddd")</f>
        <v>domingo</v>
      </c>
      <c r="L781" s="1">
        <f>DATEVALUE(_xlfn.CONCAT(BBDD_Usiarios_Netflix[[#This Row],[Día Último Pago]],"/",BBDD_Usiarios_Netflix[[#This Row],[Mes Último Pago]],"/",BBDD_Usiarios_Netflix[[#This Row],[Año Último Pago]]))</f>
        <v>45473</v>
      </c>
      <c r="M781" s="4">
        <f>DATEDIF(BBDD_Usiarios_Netflix[[#This Row],[Fecha Suscripción]],BBDD_Usiarios_Netflix[[#This Row],[Fecha Último Pago]],"M")+1</f>
        <v>8</v>
      </c>
      <c r="N781" s="4">
        <f>BBDD_Usiarios_Netflix[[#This Row],[Ingresos Mensuales]]*BBDD_Usiarios_Netflix[[#This Row],[Meses contratados]]</f>
        <v>80</v>
      </c>
      <c r="O781" t="s">
        <v>45</v>
      </c>
      <c r="P781" t="str">
        <f>IF(BBDD_Usiarios_Netflix[[#This Row],[País]]="","Desconocido",BBDD_Usiarios_Netflix[[#This Row],[País]])</f>
        <v>España</v>
      </c>
      <c r="Q781">
        <v>43</v>
      </c>
      <c r="R781" t="s">
        <v>30</v>
      </c>
      <c r="S781" t="s">
        <v>36</v>
      </c>
      <c r="T781" t="s">
        <v>41</v>
      </c>
      <c r="U781">
        <f>IF(IFERROR(VLOOKUP(BBDD_Usiarios_Netflix[[#This Row],[Identificador Usuario]],A782:$A$5870,1,FALSE),0)&lt;&gt;0,1,0)</f>
        <v>0</v>
      </c>
      <c r="V781" s="6" t="str">
        <f>IF(BBDD_Usiarios_Netflix[[#This Row],[Duración Plan]]="12 Meses",LEFT(BBDD_Usiarios_Netflix[[#This Row],[Duración Plan]],2),LEFT(BBDD_Usiarios_Netflix[[#This Row],[Duración Plan]],1))</f>
        <v>12</v>
      </c>
      <c r="W7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82" spans="1:23" x14ac:dyDescent="0.25">
      <c r="A782">
        <v>781</v>
      </c>
      <c r="B782" t="s">
        <v>28</v>
      </c>
      <c r="C782">
        <v>14</v>
      </c>
      <c r="D782" s="3">
        <v>13</v>
      </c>
      <c r="E782" s="3">
        <v>11</v>
      </c>
      <c r="F782">
        <v>23</v>
      </c>
      <c r="G782" s="1">
        <f>DATEVALUE(_xlfn.CONCAT(BBDD_Usiarios_Netflix[[#This Row],[Día Suscripción]],"/",BBDD_Usiarios_Netflix[[#This Row],[Mes Suscripción]],"/",BBDD_Usiarios_Netflix[[#This Row],[Año Suscripción]]))</f>
        <v>45243</v>
      </c>
      <c r="H782" s="1">
        <v>29</v>
      </c>
      <c r="I782" s="1">
        <v>6</v>
      </c>
      <c r="J782" s="1">
        <v>24</v>
      </c>
      <c r="K782" s="1" t="str">
        <f>TEXT(BBDD_Usiarios_Netflix[[#This Row],[Fecha Suscripción]],"dddd")</f>
        <v>lunes</v>
      </c>
      <c r="L782" s="1">
        <f>DATEVALUE(_xlfn.CONCAT(BBDD_Usiarios_Netflix[[#This Row],[Día Último Pago]],"/",BBDD_Usiarios_Netflix[[#This Row],[Mes Último Pago]],"/",BBDD_Usiarios_Netflix[[#This Row],[Año Último Pago]]))</f>
        <v>45472</v>
      </c>
      <c r="M782" s="4">
        <f>DATEDIF(BBDD_Usiarios_Netflix[[#This Row],[Fecha Suscripción]],BBDD_Usiarios_Netflix[[#This Row],[Fecha Último Pago]],"M")+1</f>
        <v>8</v>
      </c>
      <c r="N782" s="4">
        <f>BBDD_Usiarios_Netflix[[#This Row],[Ingresos Mensuales]]*BBDD_Usiarios_Netflix[[#This Row],[Meses contratados]]</f>
        <v>112</v>
      </c>
      <c r="O782" t="s">
        <v>44</v>
      </c>
      <c r="P782" t="str">
        <f>IF(BBDD_Usiarios_Netflix[[#This Row],[País]]="","Desconocido",BBDD_Usiarios_Netflix[[#This Row],[País]])</f>
        <v>Desconocido</v>
      </c>
      <c r="Q782">
        <v>30</v>
      </c>
      <c r="R782" t="s">
        <v>30</v>
      </c>
      <c r="S782" t="s">
        <v>26</v>
      </c>
      <c r="T782" t="s">
        <v>27</v>
      </c>
      <c r="U782">
        <f>IF(IFERROR(VLOOKUP(BBDD_Usiarios_Netflix[[#This Row],[Identificador Usuario]],A783:$A$5870,1,FALSE),0)&lt;&gt;0,1,0)</f>
        <v>0</v>
      </c>
      <c r="V782" s="6" t="str">
        <f>IF(BBDD_Usiarios_Netflix[[#This Row],[Duración Plan]]="12 Meses",LEFT(BBDD_Usiarios_Netflix[[#This Row],[Duración Plan]],2),LEFT(BBDD_Usiarios_Netflix[[#This Row],[Duración Plan]],1))</f>
        <v>1</v>
      </c>
      <c r="W7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3" spans="1:23" x14ac:dyDescent="0.25">
      <c r="A783">
        <v>782</v>
      </c>
      <c r="B783" t="s">
        <v>23</v>
      </c>
      <c r="C783">
        <v>10</v>
      </c>
      <c r="D783" s="3">
        <v>2</v>
      </c>
      <c r="E783" s="3">
        <v>11</v>
      </c>
      <c r="F783">
        <v>23</v>
      </c>
      <c r="G783" s="1">
        <f>DATEVALUE(_xlfn.CONCAT(BBDD_Usiarios_Netflix[[#This Row],[Día Suscripción]],"/",BBDD_Usiarios_Netflix[[#This Row],[Mes Suscripción]],"/",BBDD_Usiarios_Netflix[[#This Row],[Año Suscripción]]))</f>
        <v>45232</v>
      </c>
      <c r="H783" s="1">
        <v>1</v>
      </c>
      <c r="I783" s="1">
        <v>7</v>
      </c>
      <c r="J783" s="1">
        <v>24</v>
      </c>
      <c r="K783" s="1" t="str">
        <f>TEXT(BBDD_Usiarios_Netflix[[#This Row],[Fecha Suscripción]],"dddd")</f>
        <v>jueves</v>
      </c>
      <c r="L783" s="1">
        <f>DATEVALUE(_xlfn.CONCAT(BBDD_Usiarios_Netflix[[#This Row],[Día Último Pago]],"/",BBDD_Usiarios_Netflix[[#This Row],[Mes Último Pago]],"/",BBDD_Usiarios_Netflix[[#This Row],[Año Último Pago]]))</f>
        <v>45474</v>
      </c>
      <c r="M783" s="4">
        <f>DATEDIF(BBDD_Usiarios_Netflix[[#This Row],[Fecha Suscripción]],BBDD_Usiarios_Netflix[[#This Row],[Fecha Último Pago]],"M")+1</f>
        <v>8</v>
      </c>
      <c r="N783" s="4">
        <f>BBDD_Usiarios_Netflix[[#This Row],[Ingresos Mensuales]]*BBDD_Usiarios_Netflix[[#This Row],[Meses contratados]]</f>
        <v>80</v>
      </c>
      <c r="O783" t="s">
        <v>42</v>
      </c>
      <c r="P783" t="str">
        <f>IF(BBDD_Usiarios_Netflix[[#This Row],[País]]="","Desconocido",BBDD_Usiarios_Netflix[[#This Row],[País]])</f>
        <v>Reino Unido</v>
      </c>
      <c r="Q783">
        <v>44</v>
      </c>
      <c r="R783" t="s">
        <v>30</v>
      </c>
      <c r="S783" t="s">
        <v>36</v>
      </c>
      <c r="T783" t="s">
        <v>41</v>
      </c>
      <c r="U783">
        <f>IF(IFERROR(VLOOKUP(BBDD_Usiarios_Netflix[[#This Row],[Identificador Usuario]],A784:$A$5870,1,FALSE),0)&lt;&gt;0,1,0)</f>
        <v>0</v>
      </c>
      <c r="V783" s="6" t="str">
        <f>IF(BBDD_Usiarios_Netflix[[#This Row],[Duración Plan]]="12 Meses",LEFT(BBDD_Usiarios_Netflix[[#This Row],[Duración Plan]],2),LEFT(BBDD_Usiarios_Netflix[[#This Row],[Duración Plan]],1))</f>
        <v>12</v>
      </c>
      <c r="W7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84" spans="1:23" x14ac:dyDescent="0.25">
      <c r="A784">
        <v>783</v>
      </c>
      <c r="B784" t="s">
        <v>32</v>
      </c>
      <c r="C784">
        <v>12</v>
      </c>
      <c r="D784" s="3">
        <v>1</v>
      </c>
      <c r="E784" s="3">
        <v>11</v>
      </c>
      <c r="F784">
        <v>23</v>
      </c>
      <c r="G784" s="1">
        <f>DATEVALUE(_xlfn.CONCAT(BBDD_Usiarios_Netflix[[#This Row],[Día Suscripción]],"/",BBDD_Usiarios_Netflix[[#This Row],[Mes Suscripción]],"/",BBDD_Usiarios_Netflix[[#This Row],[Año Suscripción]]))</f>
        <v>45231</v>
      </c>
      <c r="H784" s="1">
        <v>29</v>
      </c>
      <c r="I784" s="1">
        <v>6</v>
      </c>
      <c r="J784" s="1">
        <v>24</v>
      </c>
      <c r="K784" s="1" t="str">
        <f>TEXT(BBDD_Usiarios_Netflix[[#This Row],[Fecha Suscripción]],"dddd")</f>
        <v>miércoles</v>
      </c>
      <c r="L784" s="1">
        <f>DATEVALUE(_xlfn.CONCAT(BBDD_Usiarios_Netflix[[#This Row],[Día Último Pago]],"/",BBDD_Usiarios_Netflix[[#This Row],[Mes Último Pago]],"/",BBDD_Usiarios_Netflix[[#This Row],[Año Último Pago]]))</f>
        <v>45472</v>
      </c>
      <c r="M784" s="4">
        <f>DATEDIF(BBDD_Usiarios_Netflix[[#This Row],[Fecha Suscripción]],BBDD_Usiarios_Netflix[[#This Row],[Fecha Último Pago]],"M")+1</f>
        <v>8</v>
      </c>
      <c r="N784" s="4">
        <f>BBDD_Usiarios_Netflix[[#This Row],[Ingresos Mensuales]]*BBDD_Usiarios_Netflix[[#This Row],[Meses contratados]]</f>
        <v>96</v>
      </c>
      <c r="O784" t="s">
        <v>33</v>
      </c>
      <c r="P784" t="str">
        <f>IF(BBDD_Usiarios_Netflix[[#This Row],[País]]="","Desconocido",BBDD_Usiarios_Netflix[[#This Row],[País]])</f>
        <v>Francia</v>
      </c>
      <c r="Q784">
        <v>37</v>
      </c>
      <c r="R784" t="s">
        <v>30</v>
      </c>
      <c r="S784" t="s">
        <v>36</v>
      </c>
      <c r="T784" t="s">
        <v>38</v>
      </c>
      <c r="U784">
        <f>IF(IFERROR(VLOOKUP(BBDD_Usiarios_Netflix[[#This Row],[Identificador Usuario]],A785:$A$5870,1,FALSE),0)&lt;&gt;0,1,0)</f>
        <v>0</v>
      </c>
      <c r="V784" s="6" t="str">
        <f>IF(BBDD_Usiarios_Netflix[[#This Row],[Duración Plan]]="12 Meses",LEFT(BBDD_Usiarios_Netflix[[#This Row],[Duración Plan]],2),LEFT(BBDD_Usiarios_Netflix[[#This Row],[Duración Plan]],1))</f>
        <v>3</v>
      </c>
      <c r="W7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85" spans="1:23" x14ac:dyDescent="0.25">
      <c r="A785">
        <v>784</v>
      </c>
      <c r="B785" t="s">
        <v>32</v>
      </c>
      <c r="C785">
        <v>12</v>
      </c>
      <c r="D785" s="3">
        <v>31</v>
      </c>
      <c r="E785" s="3">
        <v>10</v>
      </c>
      <c r="F785">
        <v>23</v>
      </c>
      <c r="G785" s="1">
        <f>DATEVALUE(_xlfn.CONCAT(BBDD_Usiarios_Netflix[[#This Row],[Día Suscripción]],"/",BBDD_Usiarios_Netflix[[#This Row],[Mes Suscripción]],"/",BBDD_Usiarios_Netflix[[#This Row],[Año Suscripción]]))</f>
        <v>45230</v>
      </c>
      <c r="H785" s="1">
        <v>30</v>
      </c>
      <c r="I785" s="1">
        <v>6</v>
      </c>
      <c r="J785" s="1">
        <v>24</v>
      </c>
      <c r="K785" s="1" t="str">
        <f>TEXT(BBDD_Usiarios_Netflix[[#This Row],[Fecha Suscripción]],"dddd")</f>
        <v>martes</v>
      </c>
      <c r="L785" s="1">
        <f>DATEVALUE(_xlfn.CONCAT(BBDD_Usiarios_Netflix[[#This Row],[Día Último Pago]],"/",BBDD_Usiarios_Netflix[[#This Row],[Mes Último Pago]],"/",BBDD_Usiarios_Netflix[[#This Row],[Año Último Pago]]))</f>
        <v>45473</v>
      </c>
      <c r="M785" s="4">
        <f>DATEDIF(BBDD_Usiarios_Netflix[[#This Row],[Fecha Suscripción]],BBDD_Usiarios_Netflix[[#This Row],[Fecha Último Pago]],"M")+1</f>
        <v>8</v>
      </c>
      <c r="N785" s="4">
        <f>BBDD_Usiarios_Netflix[[#This Row],[Ingresos Mensuales]]*BBDD_Usiarios_Netflix[[#This Row],[Meses contratados]]</f>
        <v>96</v>
      </c>
      <c r="O785" t="s">
        <v>24</v>
      </c>
      <c r="P785" t="str">
        <f>IF(BBDD_Usiarios_Netflix[[#This Row],[País]]="","Desconocido",BBDD_Usiarios_Netflix[[#This Row],[País]])</f>
        <v>Australia</v>
      </c>
      <c r="Q785">
        <v>27</v>
      </c>
      <c r="R785" t="s">
        <v>25</v>
      </c>
      <c r="S785" t="s">
        <v>36</v>
      </c>
      <c r="T785" t="s">
        <v>27</v>
      </c>
      <c r="U785">
        <f>IF(IFERROR(VLOOKUP(BBDD_Usiarios_Netflix[[#This Row],[Identificador Usuario]],A786:$A$5870,1,FALSE),0)&lt;&gt;0,1,0)</f>
        <v>0</v>
      </c>
      <c r="V785" s="6" t="str">
        <f>IF(BBDD_Usiarios_Netflix[[#This Row],[Duración Plan]]="12 Meses",LEFT(BBDD_Usiarios_Netflix[[#This Row],[Duración Plan]],2),LEFT(BBDD_Usiarios_Netflix[[#This Row],[Duración Plan]],1))</f>
        <v>1</v>
      </c>
      <c r="W7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6" spans="1:23" x14ac:dyDescent="0.25">
      <c r="A786">
        <v>785</v>
      </c>
      <c r="B786" t="s">
        <v>23</v>
      </c>
      <c r="C786">
        <v>10</v>
      </c>
      <c r="D786" s="3">
        <v>28</v>
      </c>
      <c r="E786" s="3">
        <v>10</v>
      </c>
      <c r="F786">
        <v>23</v>
      </c>
      <c r="G786" s="1">
        <f>DATEVALUE(_xlfn.CONCAT(BBDD_Usiarios_Netflix[[#This Row],[Día Suscripción]],"/",BBDD_Usiarios_Netflix[[#This Row],[Mes Suscripción]],"/",BBDD_Usiarios_Netflix[[#This Row],[Año Suscripción]]))</f>
        <v>45227</v>
      </c>
      <c r="H786" s="1">
        <v>29</v>
      </c>
      <c r="I786" s="1">
        <v>6</v>
      </c>
      <c r="J786" s="1">
        <v>24</v>
      </c>
      <c r="K786" s="1" t="str">
        <f>TEXT(BBDD_Usiarios_Netflix[[#This Row],[Fecha Suscripción]],"dddd")</f>
        <v>sábado</v>
      </c>
      <c r="L786" s="1">
        <f>DATEVALUE(_xlfn.CONCAT(BBDD_Usiarios_Netflix[[#This Row],[Día Último Pago]],"/",BBDD_Usiarios_Netflix[[#This Row],[Mes Último Pago]],"/",BBDD_Usiarios_Netflix[[#This Row],[Año Último Pago]]))</f>
        <v>45472</v>
      </c>
      <c r="M786" s="4">
        <f>DATEDIF(BBDD_Usiarios_Netflix[[#This Row],[Fecha Suscripción]],BBDD_Usiarios_Netflix[[#This Row],[Fecha Último Pago]],"M")+1</f>
        <v>9</v>
      </c>
      <c r="N786" s="4">
        <f>BBDD_Usiarios_Netflix[[#This Row],[Ingresos Mensuales]]*BBDD_Usiarios_Netflix[[#This Row],[Meses contratados]]</f>
        <v>90</v>
      </c>
      <c r="O786" t="s">
        <v>42</v>
      </c>
      <c r="P786" t="str">
        <f>IF(BBDD_Usiarios_Netflix[[#This Row],[País]]="","Desconocido",BBDD_Usiarios_Netflix[[#This Row],[País]])</f>
        <v>Reino Unido</v>
      </c>
      <c r="Q786">
        <v>35</v>
      </c>
      <c r="R786" t="s">
        <v>30</v>
      </c>
      <c r="S786" t="s">
        <v>36</v>
      </c>
      <c r="T786" t="s">
        <v>27</v>
      </c>
      <c r="U786">
        <f>IF(IFERROR(VLOOKUP(BBDD_Usiarios_Netflix[[#This Row],[Identificador Usuario]],A787:$A$5870,1,FALSE),0)&lt;&gt;0,1,0)</f>
        <v>0</v>
      </c>
      <c r="V786" s="6" t="str">
        <f>IF(BBDD_Usiarios_Netflix[[#This Row],[Duración Plan]]="12 Meses",LEFT(BBDD_Usiarios_Netflix[[#This Row],[Duración Plan]],2),LEFT(BBDD_Usiarios_Netflix[[#This Row],[Duración Plan]],1))</f>
        <v>1</v>
      </c>
      <c r="W7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7" spans="1:23" x14ac:dyDescent="0.25">
      <c r="A787">
        <v>786</v>
      </c>
      <c r="B787" t="s">
        <v>28</v>
      </c>
      <c r="C787">
        <v>14</v>
      </c>
      <c r="D787" s="3">
        <v>24</v>
      </c>
      <c r="E787" s="3">
        <v>10</v>
      </c>
      <c r="F787">
        <v>23</v>
      </c>
      <c r="G787" s="1">
        <f>DATEVALUE(_xlfn.CONCAT(BBDD_Usiarios_Netflix[[#This Row],[Día Suscripción]],"/",BBDD_Usiarios_Netflix[[#This Row],[Mes Suscripción]],"/",BBDD_Usiarios_Netflix[[#This Row],[Año Suscripción]]))</f>
        <v>45223</v>
      </c>
      <c r="H787" s="1">
        <v>30</v>
      </c>
      <c r="I787" s="1">
        <v>6</v>
      </c>
      <c r="J787" s="1">
        <v>24</v>
      </c>
      <c r="K787" s="1" t="str">
        <f>TEXT(BBDD_Usiarios_Netflix[[#This Row],[Fecha Suscripción]],"dddd")</f>
        <v>martes</v>
      </c>
      <c r="L787" s="1">
        <f>DATEVALUE(_xlfn.CONCAT(BBDD_Usiarios_Netflix[[#This Row],[Día Último Pago]],"/",BBDD_Usiarios_Netflix[[#This Row],[Mes Último Pago]],"/",BBDD_Usiarios_Netflix[[#This Row],[Año Último Pago]]))</f>
        <v>45473</v>
      </c>
      <c r="M787" s="4">
        <f>DATEDIF(BBDD_Usiarios_Netflix[[#This Row],[Fecha Suscripción]],BBDD_Usiarios_Netflix[[#This Row],[Fecha Último Pago]],"M")+1</f>
        <v>9</v>
      </c>
      <c r="N787" s="4">
        <f>BBDD_Usiarios_Netflix[[#This Row],[Ingresos Mensuales]]*BBDD_Usiarios_Netflix[[#This Row],[Meses contratados]]</f>
        <v>126</v>
      </c>
      <c r="O787" t="s">
        <v>42</v>
      </c>
      <c r="P787" t="str">
        <f>IF(BBDD_Usiarios_Netflix[[#This Row],[País]]="","Desconocido",BBDD_Usiarios_Netflix[[#This Row],[País]])</f>
        <v>Reino Unido</v>
      </c>
      <c r="Q787">
        <v>32</v>
      </c>
      <c r="R787" t="s">
        <v>25</v>
      </c>
      <c r="S787" t="s">
        <v>34</v>
      </c>
      <c r="T787" t="s">
        <v>27</v>
      </c>
      <c r="U787">
        <f>IF(IFERROR(VLOOKUP(BBDD_Usiarios_Netflix[[#This Row],[Identificador Usuario]],A788:$A$5870,1,FALSE),0)&lt;&gt;0,1,0)</f>
        <v>0</v>
      </c>
      <c r="V787" s="6" t="str">
        <f>IF(BBDD_Usiarios_Netflix[[#This Row],[Duración Plan]]="12 Meses",LEFT(BBDD_Usiarios_Netflix[[#This Row],[Duración Plan]],2),LEFT(BBDD_Usiarios_Netflix[[#This Row],[Duración Plan]],1))</f>
        <v>1</v>
      </c>
      <c r="W7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88" spans="1:23" x14ac:dyDescent="0.25">
      <c r="A788">
        <v>787</v>
      </c>
      <c r="B788" t="s">
        <v>23</v>
      </c>
      <c r="C788">
        <v>10</v>
      </c>
      <c r="D788" s="3">
        <v>3</v>
      </c>
      <c r="E788" s="3">
        <v>10</v>
      </c>
      <c r="F788">
        <v>23</v>
      </c>
      <c r="G788" s="1">
        <f>DATEVALUE(_xlfn.CONCAT(BBDD_Usiarios_Netflix[[#This Row],[Día Suscripción]],"/",BBDD_Usiarios_Netflix[[#This Row],[Mes Suscripción]],"/",BBDD_Usiarios_Netflix[[#This Row],[Año Suscripción]]))</f>
        <v>45202</v>
      </c>
      <c r="H788" s="1">
        <v>29</v>
      </c>
      <c r="I788" s="1">
        <v>6</v>
      </c>
      <c r="J788" s="1">
        <v>24</v>
      </c>
      <c r="K788" s="1" t="str">
        <f>TEXT(BBDD_Usiarios_Netflix[[#This Row],[Fecha Suscripción]],"dddd")</f>
        <v>martes</v>
      </c>
      <c r="L788" s="1">
        <f>DATEVALUE(_xlfn.CONCAT(BBDD_Usiarios_Netflix[[#This Row],[Día Último Pago]],"/",BBDD_Usiarios_Netflix[[#This Row],[Mes Último Pago]],"/",BBDD_Usiarios_Netflix[[#This Row],[Año Último Pago]]))</f>
        <v>45472</v>
      </c>
      <c r="M788" s="4">
        <f>DATEDIF(BBDD_Usiarios_Netflix[[#This Row],[Fecha Suscripción]],BBDD_Usiarios_Netflix[[#This Row],[Fecha Último Pago]],"M")+1</f>
        <v>9</v>
      </c>
      <c r="N788" s="4">
        <f>BBDD_Usiarios_Netflix[[#This Row],[Ingresos Mensuales]]*BBDD_Usiarios_Netflix[[#This Row],[Meses contratados]]</f>
        <v>90</v>
      </c>
      <c r="O788" t="s">
        <v>29</v>
      </c>
      <c r="P788" t="str">
        <f>IF(BBDD_Usiarios_Netflix[[#This Row],[País]]="","Desconocido",BBDD_Usiarios_Netflix[[#This Row],[País]])</f>
        <v>EEUU</v>
      </c>
      <c r="Q788">
        <v>49</v>
      </c>
      <c r="R788" t="s">
        <v>30</v>
      </c>
      <c r="S788" t="s">
        <v>36</v>
      </c>
      <c r="T788" t="s">
        <v>38</v>
      </c>
      <c r="U788">
        <f>IF(IFERROR(VLOOKUP(BBDD_Usiarios_Netflix[[#This Row],[Identificador Usuario]],A789:$A$5870,1,FALSE),0)&lt;&gt;0,1,0)</f>
        <v>0</v>
      </c>
      <c r="V788" s="6" t="str">
        <f>IF(BBDD_Usiarios_Netflix[[#This Row],[Duración Plan]]="12 Meses",LEFT(BBDD_Usiarios_Netflix[[#This Row],[Duración Plan]],2),LEFT(BBDD_Usiarios_Netflix[[#This Row],[Duración Plan]],1))</f>
        <v>3</v>
      </c>
      <c r="W7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89" spans="1:23" x14ac:dyDescent="0.25">
      <c r="A789">
        <v>788</v>
      </c>
      <c r="B789" t="s">
        <v>32</v>
      </c>
      <c r="C789">
        <v>12</v>
      </c>
      <c r="D789" s="3">
        <v>13</v>
      </c>
      <c r="E789" s="3">
        <v>9</v>
      </c>
      <c r="F789">
        <v>23</v>
      </c>
      <c r="G789" s="1">
        <f>DATEVALUE(_xlfn.CONCAT(BBDD_Usiarios_Netflix[[#This Row],[Día Suscripción]],"/",BBDD_Usiarios_Netflix[[#This Row],[Mes Suscripción]],"/",BBDD_Usiarios_Netflix[[#This Row],[Año Suscripción]]))</f>
        <v>45182</v>
      </c>
      <c r="H789" s="1">
        <v>30</v>
      </c>
      <c r="I789" s="1">
        <v>6</v>
      </c>
      <c r="J789" s="1">
        <v>24</v>
      </c>
      <c r="K789" s="1" t="str">
        <f>TEXT(BBDD_Usiarios_Netflix[[#This Row],[Fecha Suscripción]],"dddd")</f>
        <v>miércoles</v>
      </c>
      <c r="L789" s="1">
        <f>DATEVALUE(_xlfn.CONCAT(BBDD_Usiarios_Netflix[[#This Row],[Día Último Pago]],"/",BBDD_Usiarios_Netflix[[#This Row],[Mes Último Pago]],"/",BBDD_Usiarios_Netflix[[#This Row],[Año Último Pago]]))</f>
        <v>45473</v>
      </c>
      <c r="M789" s="4">
        <f>DATEDIF(BBDD_Usiarios_Netflix[[#This Row],[Fecha Suscripción]],BBDD_Usiarios_Netflix[[#This Row],[Fecha Último Pago]],"M")+1</f>
        <v>10</v>
      </c>
      <c r="N789" s="4">
        <f>BBDD_Usiarios_Netflix[[#This Row],[Ingresos Mensuales]]*BBDD_Usiarios_Netflix[[#This Row],[Meses contratados]]</f>
        <v>120</v>
      </c>
      <c r="O789" t="s">
        <v>33</v>
      </c>
      <c r="P789" t="str">
        <f>IF(BBDD_Usiarios_Netflix[[#This Row],[País]]="","Desconocido",BBDD_Usiarios_Netflix[[#This Row],[País]])</f>
        <v>Francia</v>
      </c>
      <c r="Q789">
        <v>45</v>
      </c>
      <c r="R789" t="s">
        <v>30</v>
      </c>
      <c r="S789" t="s">
        <v>31</v>
      </c>
      <c r="T789" t="s">
        <v>41</v>
      </c>
      <c r="U789">
        <f>IF(IFERROR(VLOOKUP(BBDD_Usiarios_Netflix[[#This Row],[Identificador Usuario]],A790:$A$5870,1,FALSE),0)&lt;&gt;0,1,0)</f>
        <v>0</v>
      </c>
      <c r="V789" s="6" t="str">
        <f>IF(BBDD_Usiarios_Netflix[[#This Row],[Duración Plan]]="12 Meses",LEFT(BBDD_Usiarios_Netflix[[#This Row],[Duración Plan]],2),LEFT(BBDD_Usiarios_Netflix[[#This Row],[Duración Plan]],1))</f>
        <v>12</v>
      </c>
      <c r="W7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90" spans="1:23" x14ac:dyDescent="0.25">
      <c r="A790">
        <v>789</v>
      </c>
      <c r="B790" t="s">
        <v>28</v>
      </c>
      <c r="C790">
        <v>14</v>
      </c>
      <c r="D790" s="3">
        <v>2</v>
      </c>
      <c r="E790" s="3">
        <v>9</v>
      </c>
      <c r="F790">
        <v>23</v>
      </c>
      <c r="G790" s="1">
        <f>DATEVALUE(_xlfn.CONCAT(BBDD_Usiarios_Netflix[[#This Row],[Día Suscripción]],"/",BBDD_Usiarios_Netflix[[#This Row],[Mes Suscripción]],"/",BBDD_Usiarios_Netflix[[#This Row],[Año Suscripción]]))</f>
        <v>45171</v>
      </c>
      <c r="H790" s="1">
        <v>30</v>
      </c>
      <c r="I790" s="1">
        <v>6</v>
      </c>
      <c r="J790" s="1">
        <v>24</v>
      </c>
      <c r="K790" s="1" t="str">
        <f>TEXT(BBDD_Usiarios_Netflix[[#This Row],[Fecha Suscripción]],"dddd")</f>
        <v>sábado</v>
      </c>
      <c r="L790" s="1">
        <f>DATEVALUE(_xlfn.CONCAT(BBDD_Usiarios_Netflix[[#This Row],[Día Último Pago]],"/",BBDD_Usiarios_Netflix[[#This Row],[Mes Último Pago]],"/",BBDD_Usiarios_Netflix[[#This Row],[Año Último Pago]]))</f>
        <v>45473</v>
      </c>
      <c r="M790" s="4">
        <f>DATEDIF(BBDD_Usiarios_Netflix[[#This Row],[Fecha Suscripción]],BBDD_Usiarios_Netflix[[#This Row],[Fecha Último Pago]],"M")+1</f>
        <v>10</v>
      </c>
      <c r="N790" s="4">
        <f>BBDD_Usiarios_Netflix[[#This Row],[Ingresos Mensuales]]*BBDD_Usiarios_Netflix[[#This Row],[Meses contratados]]</f>
        <v>140</v>
      </c>
      <c r="O790" t="s">
        <v>24</v>
      </c>
      <c r="P790" t="str">
        <f>IF(BBDD_Usiarios_Netflix[[#This Row],[País]]="","Desconocido",BBDD_Usiarios_Netflix[[#This Row],[País]])</f>
        <v>Australia</v>
      </c>
      <c r="Q790">
        <v>33</v>
      </c>
      <c r="R790" t="s">
        <v>30</v>
      </c>
      <c r="S790" t="s">
        <v>26</v>
      </c>
      <c r="T790" t="s">
        <v>27</v>
      </c>
      <c r="U790">
        <f>IF(IFERROR(VLOOKUP(BBDD_Usiarios_Netflix[[#This Row],[Identificador Usuario]],A791:$A$5870,1,FALSE),0)&lt;&gt;0,1,0)</f>
        <v>0</v>
      </c>
      <c r="V790" s="6" t="str">
        <f>IF(BBDD_Usiarios_Netflix[[#This Row],[Duración Plan]]="12 Meses",LEFT(BBDD_Usiarios_Netflix[[#This Row],[Duración Plan]],2),LEFT(BBDD_Usiarios_Netflix[[#This Row],[Duración Plan]],1))</f>
        <v>1</v>
      </c>
      <c r="W7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91" spans="1:23" x14ac:dyDescent="0.25">
      <c r="A791">
        <v>790</v>
      </c>
      <c r="B791" t="s">
        <v>23</v>
      </c>
      <c r="C791">
        <v>10</v>
      </c>
      <c r="D791" s="3">
        <v>30</v>
      </c>
      <c r="E791" s="3">
        <v>8</v>
      </c>
      <c r="F791">
        <v>23</v>
      </c>
      <c r="G791" s="1">
        <f>DATEVALUE(_xlfn.CONCAT(BBDD_Usiarios_Netflix[[#This Row],[Día Suscripción]],"/",BBDD_Usiarios_Netflix[[#This Row],[Mes Suscripción]],"/",BBDD_Usiarios_Netflix[[#This Row],[Año Suscripción]]))</f>
        <v>45168</v>
      </c>
      <c r="H791" s="1">
        <v>30</v>
      </c>
      <c r="I791" s="1">
        <v>6</v>
      </c>
      <c r="J791" s="1">
        <v>24</v>
      </c>
      <c r="K791" s="1" t="str">
        <f>TEXT(BBDD_Usiarios_Netflix[[#This Row],[Fecha Suscripción]],"dddd")</f>
        <v>miércoles</v>
      </c>
      <c r="L791" s="1">
        <f>DATEVALUE(_xlfn.CONCAT(BBDD_Usiarios_Netflix[[#This Row],[Día Último Pago]],"/",BBDD_Usiarios_Netflix[[#This Row],[Mes Último Pago]],"/",BBDD_Usiarios_Netflix[[#This Row],[Año Último Pago]]))</f>
        <v>45473</v>
      </c>
      <c r="M791" s="4">
        <f>DATEDIF(BBDD_Usiarios_Netflix[[#This Row],[Fecha Suscripción]],BBDD_Usiarios_Netflix[[#This Row],[Fecha Último Pago]],"M")+1</f>
        <v>11</v>
      </c>
      <c r="N791" s="4">
        <f>BBDD_Usiarios_Netflix[[#This Row],[Ingresos Mensuales]]*BBDD_Usiarios_Netflix[[#This Row],[Meses contratados]]</f>
        <v>110</v>
      </c>
      <c r="O791" t="s">
        <v>43</v>
      </c>
      <c r="P791" t="str">
        <f>IF(BBDD_Usiarios_Netflix[[#This Row],[País]]="","Desconocido",BBDD_Usiarios_Netflix[[#This Row],[País]])</f>
        <v>Alemania</v>
      </c>
      <c r="Q791">
        <v>37</v>
      </c>
      <c r="R791" t="s">
        <v>30</v>
      </c>
      <c r="S791" t="s">
        <v>26</v>
      </c>
      <c r="T791" t="s">
        <v>35</v>
      </c>
      <c r="U791">
        <f>IF(IFERROR(VLOOKUP(BBDD_Usiarios_Netflix[[#This Row],[Identificador Usuario]],A792:$A$5870,1,FALSE),0)&lt;&gt;0,1,0)</f>
        <v>0</v>
      </c>
      <c r="V791" s="6" t="str">
        <f>IF(BBDD_Usiarios_Netflix[[#This Row],[Duración Plan]]="12 Meses",LEFT(BBDD_Usiarios_Netflix[[#This Row],[Duración Plan]],2),LEFT(BBDD_Usiarios_Netflix[[#This Row],[Duración Plan]],1))</f>
        <v>6</v>
      </c>
      <c r="W7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92" spans="1:23" x14ac:dyDescent="0.25">
      <c r="A792">
        <v>791</v>
      </c>
      <c r="B792" t="s">
        <v>28</v>
      </c>
      <c r="C792">
        <v>14</v>
      </c>
      <c r="D792" s="3">
        <v>25</v>
      </c>
      <c r="E792" s="3">
        <v>8</v>
      </c>
      <c r="F792">
        <v>23</v>
      </c>
      <c r="G792" s="1">
        <f>DATEVALUE(_xlfn.CONCAT(BBDD_Usiarios_Netflix[[#This Row],[Día Suscripción]],"/",BBDD_Usiarios_Netflix[[#This Row],[Mes Suscripción]],"/",BBDD_Usiarios_Netflix[[#This Row],[Año Suscripción]]))</f>
        <v>45163</v>
      </c>
      <c r="H792" s="1">
        <v>30</v>
      </c>
      <c r="I792" s="1">
        <v>6</v>
      </c>
      <c r="J792" s="1">
        <v>24</v>
      </c>
      <c r="K792" s="1" t="str">
        <f>TEXT(BBDD_Usiarios_Netflix[[#This Row],[Fecha Suscripción]],"dddd")</f>
        <v>viernes</v>
      </c>
      <c r="L792" s="1">
        <f>DATEVALUE(_xlfn.CONCAT(BBDD_Usiarios_Netflix[[#This Row],[Día Último Pago]],"/",BBDD_Usiarios_Netflix[[#This Row],[Mes Último Pago]],"/",BBDD_Usiarios_Netflix[[#This Row],[Año Último Pago]]))</f>
        <v>45473</v>
      </c>
      <c r="M792" s="4">
        <f>DATEDIF(BBDD_Usiarios_Netflix[[#This Row],[Fecha Suscripción]],BBDD_Usiarios_Netflix[[#This Row],[Fecha Último Pago]],"M")+1</f>
        <v>11</v>
      </c>
      <c r="N792" s="4">
        <f>BBDD_Usiarios_Netflix[[#This Row],[Ingresos Mensuales]]*BBDD_Usiarios_Netflix[[#This Row],[Meses contratados]]</f>
        <v>154</v>
      </c>
      <c r="O792" t="s">
        <v>29</v>
      </c>
      <c r="P792" t="str">
        <f>IF(BBDD_Usiarios_Netflix[[#This Row],[País]]="","Desconocido",BBDD_Usiarios_Netflix[[#This Row],[País]])</f>
        <v>EEUU</v>
      </c>
      <c r="Q792">
        <v>29</v>
      </c>
      <c r="R792" t="s">
        <v>25</v>
      </c>
      <c r="S792" t="s">
        <v>26</v>
      </c>
      <c r="T792" t="s">
        <v>27</v>
      </c>
      <c r="U792">
        <f>IF(IFERROR(VLOOKUP(BBDD_Usiarios_Netflix[[#This Row],[Identificador Usuario]],A793:$A$5870,1,FALSE),0)&lt;&gt;0,1,0)</f>
        <v>0</v>
      </c>
      <c r="V792" s="6" t="str">
        <f>IF(BBDD_Usiarios_Netflix[[#This Row],[Duración Plan]]="12 Meses",LEFT(BBDD_Usiarios_Netflix[[#This Row],[Duración Plan]],2),LEFT(BBDD_Usiarios_Netflix[[#This Row],[Duración Plan]],1))</f>
        <v>1</v>
      </c>
      <c r="W7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93" spans="1:23" x14ac:dyDescent="0.25">
      <c r="A793">
        <v>792</v>
      </c>
      <c r="B793" t="s">
        <v>23</v>
      </c>
      <c r="C793">
        <v>10</v>
      </c>
      <c r="D793" s="3">
        <v>11</v>
      </c>
      <c r="E793" s="3">
        <v>8</v>
      </c>
      <c r="F793">
        <v>23</v>
      </c>
      <c r="G793" s="1">
        <f>DATEVALUE(_xlfn.CONCAT(BBDD_Usiarios_Netflix[[#This Row],[Día Suscripción]],"/",BBDD_Usiarios_Netflix[[#This Row],[Mes Suscripción]],"/",BBDD_Usiarios_Netflix[[#This Row],[Año Suscripción]]))</f>
        <v>45149</v>
      </c>
      <c r="H793" s="1">
        <v>30</v>
      </c>
      <c r="I793" s="1">
        <v>6</v>
      </c>
      <c r="J793" s="1">
        <v>24</v>
      </c>
      <c r="K793" s="1" t="str">
        <f>TEXT(BBDD_Usiarios_Netflix[[#This Row],[Fecha Suscripción]],"dddd")</f>
        <v>viernes</v>
      </c>
      <c r="L793" s="1">
        <f>DATEVALUE(_xlfn.CONCAT(BBDD_Usiarios_Netflix[[#This Row],[Día Último Pago]],"/",BBDD_Usiarios_Netflix[[#This Row],[Mes Último Pago]],"/",BBDD_Usiarios_Netflix[[#This Row],[Año Último Pago]]))</f>
        <v>45473</v>
      </c>
      <c r="M793" s="4">
        <f>DATEDIF(BBDD_Usiarios_Netflix[[#This Row],[Fecha Suscripción]],BBDD_Usiarios_Netflix[[#This Row],[Fecha Último Pago]],"M")+1</f>
        <v>11</v>
      </c>
      <c r="N793" s="4">
        <f>BBDD_Usiarios_Netflix[[#This Row],[Ingresos Mensuales]]*BBDD_Usiarios_Netflix[[#This Row],[Meses contratados]]</f>
        <v>110</v>
      </c>
      <c r="O793" t="s">
        <v>43</v>
      </c>
      <c r="P793" t="str">
        <f>IF(BBDD_Usiarios_Netflix[[#This Row],[País]]="","Desconocido",BBDD_Usiarios_Netflix[[#This Row],[País]])</f>
        <v>Alemania</v>
      </c>
      <c r="Q793">
        <v>45</v>
      </c>
      <c r="R793" t="s">
        <v>25</v>
      </c>
      <c r="S793" t="s">
        <v>34</v>
      </c>
      <c r="T793" t="s">
        <v>41</v>
      </c>
      <c r="U793">
        <f>IF(IFERROR(VLOOKUP(BBDD_Usiarios_Netflix[[#This Row],[Identificador Usuario]],A794:$A$5870,1,FALSE),0)&lt;&gt;0,1,0)</f>
        <v>0</v>
      </c>
      <c r="V793" s="6" t="str">
        <f>IF(BBDD_Usiarios_Netflix[[#This Row],[Duración Plan]]="12 Meses",LEFT(BBDD_Usiarios_Netflix[[#This Row],[Duración Plan]],2),LEFT(BBDD_Usiarios_Netflix[[#This Row],[Duración Plan]],1))</f>
        <v>12</v>
      </c>
      <c r="W7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94" spans="1:23" x14ac:dyDescent="0.25">
      <c r="A794">
        <v>793</v>
      </c>
      <c r="B794" t="s">
        <v>32</v>
      </c>
      <c r="C794">
        <v>12</v>
      </c>
      <c r="D794" s="3">
        <v>5</v>
      </c>
      <c r="E794" s="3">
        <v>8</v>
      </c>
      <c r="F794">
        <v>23</v>
      </c>
      <c r="G794" s="1">
        <f>DATEVALUE(_xlfn.CONCAT(BBDD_Usiarios_Netflix[[#This Row],[Día Suscripción]],"/",BBDD_Usiarios_Netflix[[#This Row],[Mes Suscripción]],"/",BBDD_Usiarios_Netflix[[#This Row],[Año Suscripción]]))</f>
        <v>45143</v>
      </c>
      <c r="H794" s="1">
        <v>30</v>
      </c>
      <c r="I794" s="1">
        <v>6</v>
      </c>
      <c r="J794" s="1">
        <v>24</v>
      </c>
      <c r="K794" s="1" t="str">
        <f>TEXT(BBDD_Usiarios_Netflix[[#This Row],[Fecha Suscripción]],"dddd")</f>
        <v>sábado</v>
      </c>
      <c r="L794" s="1">
        <f>DATEVALUE(_xlfn.CONCAT(BBDD_Usiarios_Netflix[[#This Row],[Día Último Pago]],"/",BBDD_Usiarios_Netflix[[#This Row],[Mes Último Pago]],"/",BBDD_Usiarios_Netflix[[#This Row],[Año Último Pago]]))</f>
        <v>45473</v>
      </c>
      <c r="M794" s="4">
        <f>DATEDIF(BBDD_Usiarios_Netflix[[#This Row],[Fecha Suscripción]],BBDD_Usiarios_Netflix[[#This Row],[Fecha Último Pago]],"M")+1</f>
        <v>11</v>
      </c>
      <c r="N794" s="4">
        <f>BBDD_Usiarios_Netflix[[#This Row],[Ingresos Mensuales]]*BBDD_Usiarios_Netflix[[#This Row],[Meses contratados]]</f>
        <v>132</v>
      </c>
      <c r="O794" t="s">
        <v>29</v>
      </c>
      <c r="P794" t="str">
        <f>IF(BBDD_Usiarios_Netflix[[#This Row],[País]]="","Desconocido",BBDD_Usiarios_Netflix[[#This Row],[País]])</f>
        <v>EEUU</v>
      </c>
      <c r="Q794">
        <v>42</v>
      </c>
      <c r="R794" t="s">
        <v>30</v>
      </c>
      <c r="S794" t="s">
        <v>26</v>
      </c>
      <c r="T794" t="s">
        <v>35</v>
      </c>
      <c r="U794">
        <f>IF(IFERROR(VLOOKUP(BBDD_Usiarios_Netflix[[#This Row],[Identificador Usuario]],A795:$A$5870,1,FALSE),0)&lt;&gt;0,1,0)</f>
        <v>0</v>
      </c>
      <c r="V794" s="6" t="str">
        <f>IF(BBDD_Usiarios_Netflix[[#This Row],[Duración Plan]]="12 Meses",LEFT(BBDD_Usiarios_Netflix[[#This Row],[Duración Plan]],2),LEFT(BBDD_Usiarios_Netflix[[#This Row],[Duración Plan]],1))</f>
        <v>6</v>
      </c>
      <c r="W7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95" spans="1:23" x14ac:dyDescent="0.25">
      <c r="A795">
        <v>794</v>
      </c>
      <c r="B795" t="s">
        <v>32</v>
      </c>
      <c r="C795">
        <v>12</v>
      </c>
      <c r="D795" s="3">
        <v>2</v>
      </c>
      <c r="E795" s="3">
        <v>8</v>
      </c>
      <c r="F795">
        <v>23</v>
      </c>
      <c r="G795" s="1">
        <f>DATEVALUE(_xlfn.CONCAT(BBDD_Usiarios_Netflix[[#This Row],[Día Suscripción]],"/",BBDD_Usiarios_Netflix[[#This Row],[Mes Suscripción]],"/",BBDD_Usiarios_Netflix[[#This Row],[Año Suscripción]]))</f>
        <v>45140</v>
      </c>
      <c r="H795" s="1">
        <v>30</v>
      </c>
      <c r="I795" s="1">
        <v>6</v>
      </c>
      <c r="J795" s="1">
        <v>24</v>
      </c>
      <c r="K795" s="1" t="str">
        <f>TEXT(BBDD_Usiarios_Netflix[[#This Row],[Fecha Suscripción]],"dddd")</f>
        <v>miércoles</v>
      </c>
      <c r="L795" s="1">
        <f>DATEVALUE(_xlfn.CONCAT(BBDD_Usiarios_Netflix[[#This Row],[Día Último Pago]],"/",BBDD_Usiarios_Netflix[[#This Row],[Mes Último Pago]],"/",BBDD_Usiarios_Netflix[[#This Row],[Año Último Pago]]))</f>
        <v>45473</v>
      </c>
      <c r="M795" s="4">
        <f>DATEDIF(BBDD_Usiarios_Netflix[[#This Row],[Fecha Suscripción]],BBDD_Usiarios_Netflix[[#This Row],[Fecha Último Pago]],"M")+1</f>
        <v>11</v>
      </c>
      <c r="N795" s="4">
        <f>BBDD_Usiarios_Netflix[[#This Row],[Ingresos Mensuales]]*BBDD_Usiarios_Netflix[[#This Row],[Meses contratados]]</f>
        <v>132</v>
      </c>
      <c r="O795" t="s">
        <v>24</v>
      </c>
      <c r="P795" t="str">
        <f>IF(BBDD_Usiarios_Netflix[[#This Row],[País]]="","Desconocido",BBDD_Usiarios_Netflix[[#This Row],[País]])</f>
        <v>Australia</v>
      </c>
      <c r="Q795">
        <v>32</v>
      </c>
      <c r="R795" t="s">
        <v>30</v>
      </c>
      <c r="S795" t="s">
        <v>34</v>
      </c>
      <c r="T795" t="s">
        <v>41</v>
      </c>
      <c r="U795">
        <f>IF(IFERROR(VLOOKUP(BBDD_Usiarios_Netflix[[#This Row],[Identificador Usuario]],A796:$A$5870,1,FALSE),0)&lt;&gt;0,1,0)</f>
        <v>0</v>
      </c>
      <c r="V795" s="6" t="str">
        <f>IF(BBDD_Usiarios_Netflix[[#This Row],[Duración Plan]]="12 Meses",LEFT(BBDD_Usiarios_Netflix[[#This Row],[Duración Plan]],2),LEFT(BBDD_Usiarios_Netflix[[#This Row],[Duración Plan]],1))</f>
        <v>12</v>
      </c>
      <c r="W7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796" spans="1:23" x14ac:dyDescent="0.25">
      <c r="A796">
        <v>795</v>
      </c>
      <c r="B796" t="s">
        <v>23</v>
      </c>
      <c r="C796">
        <v>10</v>
      </c>
      <c r="D796" s="3">
        <v>3</v>
      </c>
      <c r="E796" s="3">
        <v>8</v>
      </c>
      <c r="F796">
        <v>23</v>
      </c>
      <c r="G796" s="1">
        <f>DATEVALUE(_xlfn.CONCAT(BBDD_Usiarios_Netflix[[#This Row],[Día Suscripción]],"/",BBDD_Usiarios_Netflix[[#This Row],[Mes Suscripción]],"/",BBDD_Usiarios_Netflix[[#This Row],[Año Suscripción]]))</f>
        <v>45141</v>
      </c>
      <c r="H796" s="1">
        <v>1</v>
      </c>
      <c r="I796" s="1">
        <v>7</v>
      </c>
      <c r="J796" s="1">
        <v>24</v>
      </c>
      <c r="K796" s="1" t="str">
        <f>TEXT(BBDD_Usiarios_Netflix[[#This Row],[Fecha Suscripción]],"dddd")</f>
        <v>jueves</v>
      </c>
      <c r="L796" s="1">
        <f>DATEVALUE(_xlfn.CONCAT(BBDD_Usiarios_Netflix[[#This Row],[Día Último Pago]],"/",BBDD_Usiarios_Netflix[[#This Row],[Mes Último Pago]],"/",BBDD_Usiarios_Netflix[[#This Row],[Año Último Pago]]))</f>
        <v>45474</v>
      </c>
      <c r="M796" s="4">
        <f>DATEDIF(BBDD_Usiarios_Netflix[[#This Row],[Fecha Suscripción]],BBDD_Usiarios_Netflix[[#This Row],[Fecha Último Pago]],"M")+1</f>
        <v>11</v>
      </c>
      <c r="N796" s="4">
        <f>BBDD_Usiarios_Netflix[[#This Row],[Ingresos Mensuales]]*BBDD_Usiarios_Netflix[[#This Row],[Meses contratados]]</f>
        <v>110</v>
      </c>
      <c r="O796" t="s">
        <v>33</v>
      </c>
      <c r="P796" t="str">
        <f>IF(BBDD_Usiarios_Netflix[[#This Row],[País]]="","Desconocido",BBDD_Usiarios_Netflix[[#This Row],[País]])</f>
        <v>Francia</v>
      </c>
      <c r="Q796">
        <v>47</v>
      </c>
      <c r="R796" t="s">
        <v>25</v>
      </c>
      <c r="S796" t="s">
        <v>26</v>
      </c>
      <c r="T796" t="s">
        <v>27</v>
      </c>
      <c r="U796">
        <f>IF(IFERROR(VLOOKUP(BBDD_Usiarios_Netflix[[#This Row],[Identificador Usuario]],A797:$A$5870,1,FALSE),0)&lt;&gt;0,1,0)</f>
        <v>0</v>
      </c>
      <c r="V796" s="6" t="str">
        <f>IF(BBDD_Usiarios_Netflix[[#This Row],[Duración Plan]]="12 Meses",LEFT(BBDD_Usiarios_Netflix[[#This Row],[Duración Plan]],2),LEFT(BBDD_Usiarios_Netflix[[#This Row],[Duración Plan]],1))</f>
        <v>1</v>
      </c>
      <c r="W7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797" spans="1:23" x14ac:dyDescent="0.25">
      <c r="A797">
        <v>796</v>
      </c>
      <c r="B797" t="s">
        <v>28</v>
      </c>
      <c r="C797">
        <v>14</v>
      </c>
      <c r="D797" s="3">
        <v>4</v>
      </c>
      <c r="E797" s="3">
        <v>8</v>
      </c>
      <c r="F797">
        <v>23</v>
      </c>
      <c r="G797" s="1">
        <f>DATEVALUE(_xlfn.CONCAT(BBDD_Usiarios_Netflix[[#This Row],[Día Suscripción]],"/",BBDD_Usiarios_Netflix[[#This Row],[Mes Suscripción]],"/",BBDD_Usiarios_Netflix[[#This Row],[Año Suscripción]]))</f>
        <v>45142</v>
      </c>
      <c r="H797" s="1">
        <v>1</v>
      </c>
      <c r="I797" s="1">
        <v>7</v>
      </c>
      <c r="J797" s="1">
        <v>24</v>
      </c>
      <c r="K797" s="1" t="str">
        <f>TEXT(BBDD_Usiarios_Netflix[[#This Row],[Fecha Suscripción]],"dddd")</f>
        <v>viernes</v>
      </c>
      <c r="L797" s="1">
        <f>DATEVALUE(_xlfn.CONCAT(BBDD_Usiarios_Netflix[[#This Row],[Día Último Pago]],"/",BBDD_Usiarios_Netflix[[#This Row],[Mes Último Pago]],"/",BBDD_Usiarios_Netflix[[#This Row],[Año Último Pago]]))</f>
        <v>45474</v>
      </c>
      <c r="M797" s="4">
        <f>DATEDIF(BBDD_Usiarios_Netflix[[#This Row],[Fecha Suscripción]],BBDD_Usiarios_Netflix[[#This Row],[Fecha Último Pago]],"M")+1</f>
        <v>11</v>
      </c>
      <c r="N797" s="4">
        <f>BBDD_Usiarios_Netflix[[#This Row],[Ingresos Mensuales]]*BBDD_Usiarios_Netflix[[#This Row],[Meses contratados]]</f>
        <v>154</v>
      </c>
      <c r="O797" t="s">
        <v>24</v>
      </c>
      <c r="P797" t="str">
        <f>IF(BBDD_Usiarios_Netflix[[#This Row],[País]]="","Desconocido",BBDD_Usiarios_Netflix[[#This Row],[País]])</f>
        <v>Australia</v>
      </c>
      <c r="Q797">
        <v>27</v>
      </c>
      <c r="R797" t="s">
        <v>25</v>
      </c>
      <c r="S797" t="s">
        <v>34</v>
      </c>
      <c r="T797" t="s">
        <v>38</v>
      </c>
      <c r="U797">
        <f>IF(IFERROR(VLOOKUP(BBDD_Usiarios_Netflix[[#This Row],[Identificador Usuario]],A798:$A$5870,1,FALSE),0)&lt;&gt;0,1,0)</f>
        <v>0</v>
      </c>
      <c r="V797" s="6" t="str">
        <f>IF(BBDD_Usiarios_Netflix[[#This Row],[Duración Plan]]="12 Meses",LEFT(BBDD_Usiarios_Netflix[[#This Row],[Duración Plan]],2),LEFT(BBDD_Usiarios_Netflix[[#This Row],[Duración Plan]],1))</f>
        <v>3</v>
      </c>
      <c r="W7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798" spans="1:23" x14ac:dyDescent="0.25">
      <c r="A798">
        <v>797</v>
      </c>
      <c r="B798" t="s">
        <v>23</v>
      </c>
      <c r="C798">
        <v>10</v>
      </c>
      <c r="D798" s="3">
        <v>5</v>
      </c>
      <c r="E798" s="3">
        <v>8</v>
      </c>
      <c r="F798">
        <v>23</v>
      </c>
      <c r="G798" s="1">
        <f>DATEVALUE(_xlfn.CONCAT(BBDD_Usiarios_Netflix[[#This Row],[Día Suscripción]],"/",BBDD_Usiarios_Netflix[[#This Row],[Mes Suscripción]],"/",BBDD_Usiarios_Netflix[[#This Row],[Año Suscripción]]))</f>
        <v>45143</v>
      </c>
      <c r="H798" s="1">
        <v>30</v>
      </c>
      <c r="I798" s="1">
        <v>6</v>
      </c>
      <c r="J798" s="1">
        <v>24</v>
      </c>
      <c r="K798" s="1" t="str">
        <f>TEXT(BBDD_Usiarios_Netflix[[#This Row],[Fecha Suscripción]],"dddd")</f>
        <v>sábado</v>
      </c>
      <c r="L798" s="1">
        <f>DATEVALUE(_xlfn.CONCAT(BBDD_Usiarios_Netflix[[#This Row],[Día Último Pago]],"/",BBDD_Usiarios_Netflix[[#This Row],[Mes Último Pago]],"/",BBDD_Usiarios_Netflix[[#This Row],[Año Último Pago]]))</f>
        <v>45473</v>
      </c>
      <c r="M798" s="4">
        <f>DATEDIF(BBDD_Usiarios_Netflix[[#This Row],[Fecha Suscripción]],BBDD_Usiarios_Netflix[[#This Row],[Fecha Último Pago]],"M")+1</f>
        <v>11</v>
      </c>
      <c r="N798" s="4">
        <f>BBDD_Usiarios_Netflix[[#This Row],[Ingresos Mensuales]]*BBDD_Usiarios_Netflix[[#This Row],[Meses contratados]]</f>
        <v>110</v>
      </c>
      <c r="O798" t="s">
        <v>24</v>
      </c>
      <c r="P798" t="str">
        <f>IF(BBDD_Usiarios_Netflix[[#This Row],[País]]="","Desconocido",BBDD_Usiarios_Netflix[[#This Row],[País]])</f>
        <v>Australia</v>
      </c>
      <c r="Q798">
        <v>35</v>
      </c>
      <c r="R798" t="s">
        <v>25</v>
      </c>
      <c r="S798" t="s">
        <v>31</v>
      </c>
      <c r="T798" t="s">
        <v>35</v>
      </c>
      <c r="U798">
        <f>IF(IFERROR(VLOOKUP(BBDD_Usiarios_Netflix[[#This Row],[Identificador Usuario]],A799:$A$5870,1,FALSE),0)&lt;&gt;0,1,0)</f>
        <v>0</v>
      </c>
      <c r="V798" s="6" t="str">
        <f>IF(BBDD_Usiarios_Netflix[[#This Row],[Duración Plan]]="12 Meses",LEFT(BBDD_Usiarios_Netflix[[#This Row],[Duración Plan]],2),LEFT(BBDD_Usiarios_Netflix[[#This Row],[Duración Plan]],1))</f>
        <v>6</v>
      </c>
      <c r="W7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799" spans="1:23" x14ac:dyDescent="0.25">
      <c r="A799">
        <v>798</v>
      </c>
      <c r="B799" t="s">
        <v>32</v>
      </c>
      <c r="C799">
        <v>12</v>
      </c>
      <c r="D799" s="3">
        <v>12</v>
      </c>
      <c r="E799" s="3">
        <v>7</v>
      </c>
      <c r="F799">
        <v>23</v>
      </c>
      <c r="G799" s="1">
        <f>DATEVALUE(_xlfn.CONCAT(BBDD_Usiarios_Netflix[[#This Row],[Día Suscripción]],"/",BBDD_Usiarios_Netflix[[#This Row],[Mes Suscripción]],"/",BBDD_Usiarios_Netflix[[#This Row],[Año Suscripción]]))</f>
        <v>45119</v>
      </c>
      <c r="H799" s="1">
        <v>30</v>
      </c>
      <c r="I799" s="1">
        <v>6</v>
      </c>
      <c r="J799" s="1">
        <v>24</v>
      </c>
      <c r="K799" s="1" t="str">
        <f>TEXT(BBDD_Usiarios_Netflix[[#This Row],[Fecha Suscripción]],"dddd")</f>
        <v>miércoles</v>
      </c>
      <c r="L799" s="1">
        <f>DATEVALUE(_xlfn.CONCAT(BBDD_Usiarios_Netflix[[#This Row],[Día Último Pago]],"/",BBDD_Usiarios_Netflix[[#This Row],[Mes Último Pago]],"/",BBDD_Usiarios_Netflix[[#This Row],[Año Último Pago]]))</f>
        <v>45473</v>
      </c>
      <c r="M799" s="4">
        <f>DATEDIF(BBDD_Usiarios_Netflix[[#This Row],[Fecha Suscripción]],BBDD_Usiarios_Netflix[[#This Row],[Fecha Último Pago]],"M")+1</f>
        <v>12</v>
      </c>
      <c r="N799" s="4">
        <f>BBDD_Usiarios_Netflix[[#This Row],[Ingresos Mensuales]]*BBDD_Usiarios_Netflix[[#This Row],[Meses contratados]]</f>
        <v>144</v>
      </c>
      <c r="O799" t="s">
        <v>24</v>
      </c>
      <c r="P799" t="str">
        <f>IF(BBDD_Usiarios_Netflix[[#This Row],[País]]="","Desconocido",BBDD_Usiarios_Netflix[[#This Row],[País]])</f>
        <v>Australia</v>
      </c>
      <c r="Q799">
        <v>35</v>
      </c>
      <c r="R799" t="s">
        <v>25</v>
      </c>
      <c r="S799" t="s">
        <v>36</v>
      </c>
      <c r="T799" t="s">
        <v>35</v>
      </c>
      <c r="U799">
        <f>IF(IFERROR(VLOOKUP(BBDD_Usiarios_Netflix[[#This Row],[Identificador Usuario]],A800:$A$5870,1,FALSE),0)&lt;&gt;0,1,0)</f>
        <v>0</v>
      </c>
      <c r="V799" s="6" t="str">
        <f>IF(BBDD_Usiarios_Netflix[[#This Row],[Duración Plan]]="12 Meses",LEFT(BBDD_Usiarios_Netflix[[#This Row],[Duración Plan]],2),LEFT(BBDD_Usiarios_Netflix[[#This Row],[Duración Plan]],1))</f>
        <v>6</v>
      </c>
      <c r="W7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00" spans="1:23" x14ac:dyDescent="0.25">
      <c r="A800">
        <v>799</v>
      </c>
      <c r="B800" t="s">
        <v>28</v>
      </c>
      <c r="C800">
        <v>14</v>
      </c>
      <c r="D800" s="3">
        <v>2</v>
      </c>
      <c r="E800" s="3">
        <v>7</v>
      </c>
      <c r="F800">
        <v>23</v>
      </c>
      <c r="G800" s="1">
        <f>DATEVALUE(_xlfn.CONCAT(BBDD_Usiarios_Netflix[[#This Row],[Día Suscripción]],"/",BBDD_Usiarios_Netflix[[#This Row],[Mes Suscripción]],"/",BBDD_Usiarios_Netflix[[#This Row],[Año Suscripción]]))</f>
        <v>45109</v>
      </c>
      <c r="H800" s="1">
        <v>30</v>
      </c>
      <c r="I800" s="1">
        <v>6</v>
      </c>
      <c r="J800" s="1">
        <v>24</v>
      </c>
      <c r="K800" s="1" t="str">
        <f>TEXT(BBDD_Usiarios_Netflix[[#This Row],[Fecha Suscripción]],"dddd")</f>
        <v>domingo</v>
      </c>
      <c r="L800" s="1">
        <f>DATEVALUE(_xlfn.CONCAT(BBDD_Usiarios_Netflix[[#This Row],[Día Último Pago]],"/",BBDD_Usiarios_Netflix[[#This Row],[Mes Último Pago]],"/",BBDD_Usiarios_Netflix[[#This Row],[Año Último Pago]]))</f>
        <v>45473</v>
      </c>
      <c r="M800" s="4">
        <f>DATEDIF(BBDD_Usiarios_Netflix[[#This Row],[Fecha Suscripción]],BBDD_Usiarios_Netflix[[#This Row],[Fecha Último Pago]],"M")+1</f>
        <v>12</v>
      </c>
      <c r="N800" s="4">
        <f>BBDD_Usiarios_Netflix[[#This Row],[Ingresos Mensuales]]*BBDD_Usiarios_Netflix[[#This Row],[Meses contratados]]</f>
        <v>168</v>
      </c>
      <c r="O800" t="s">
        <v>42</v>
      </c>
      <c r="P800" t="str">
        <f>IF(BBDD_Usiarios_Netflix[[#This Row],[País]]="","Desconocido",BBDD_Usiarios_Netflix[[#This Row],[País]])</f>
        <v>Reino Unido</v>
      </c>
      <c r="Q800">
        <v>48</v>
      </c>
      <c r="R800" t="s">
        <v>25</v>
      </c>
      <c r="S800" t="s">
        <v>31</v>
      </c>
      <c r="T800" t="s">
        <v>27</v>
      </c>
      <c r="U800">
        <f>IF(IFERROR(VLOOKUP(BBDD_Usiarios_Netflix[[#This Row],[Identificador Usuario]],A801:$A$5870,1,FALSE),0)&lt;&gt;0,1,0)</f>
        <v>0</v>
      </c>
      <c r="V800" s="6" t="str">
        <f>IF(BBDD_Usiarios_Netflix[[#This Row],[Duración Plan]]="12 Meses",LEFT(BBDD_Usiarios_Netflix[[#This Row],[Duración Plan]],2),LEFT(BBDD_Usiarios_Netflix[[#This Row],[Duración Plan]],1))</f>
        <v>1</v>
      </c>
      <c r="W8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01" spans="1:23" x14ac:dyDescent="0.25">
      <c r="A801">
        <v>800</v>
      </c>
      <c r="B801" t="s">
        <v>23</v>
      </c>
      <c r="C801">
        <v>10</v>
      </c>
      <c r="D801" s="3">
        <v>26</v>
      </c>
      <c r="E801" s="3">
        <v>6</v>
      </c>
      <c r="F801">
        <v>23</v>
      </c>
      <c r="G801" s="1">
        <f>DATEVALUE(_xlfn.CONCAT(BBDD_Usiarios_Netflix[[#This Row],[Día Suscripción]],"/",BBDD_Usiarios_Netflix[[#This Row],[Mes Suscripción]],"/",BBDD_Usiarios_Netflix[[#This Row],[Año Suscripción]]))</f>
        <v>45103</v>
      </c>
      <c r="H801" s="1">
        <v>30</v>
      </c>
      <c r="I801" s="1">
        <v>6</v>
      </c>
      <c r="J801" s="1">
        <v>24</v>
      </c>
      <c r="K801" s="1" t="str">
        <f>TEXT(BBDD_Usiarios_Netflix[[#This Row],[Fecha Suscripción]],"dddd")</f>
        <v>lunes</v>
      </c>
      <c r="L801" s="1">
        <f>DATEVALUE(_xlfn.CONCAT(BBDD_Usiarios_Netflix[[#This Row],[Día Último Pago]],"/",BBDD_Usiarios_Netflix[[#This Row],[Mes Último Pago]],"/",BBDD_Usiarios_Netflix[[#This Row],[Año Último Pago]]))</f>
        <v>45473</v>
      </c>
      <c r="M801" s="4">
        <f>DATEDIF(BBDD_Usiarios_Netflix[[#This Row],[Fecha Suscripción]],BBDD_Usiarios_Netflix[[#This Row],[Fecha Último Pago]],"M")+1</f>
        <v>13</v>
      </c>
      <c r="N801" s="4">
        <f>BBDD_Usiarios_Netflix[[#This Row],[Ingresos Mensuales]]*BBDD_Usiarios_Netflix[[#This Row],[Meses contratados]]</f>
        <v>130</v>
      </c>
      <c r="O801" t="s">
        <v>29</v>
      </c>
      <c r="P801" t="str">
        <f>IF(BBDD_Usiarios_Netflix[[#This Row],[País]]="","Desconocido",BBDD_Usiarios_Netflix[[#This Row],[País]])</f>
        <v>EEUU</v>
      </c>
      <c r="Q801">
        <v>36</v>
      </c>
      <c r="R801" t="s">
        <v>25</v>
      </c>
      <c r="S801" t="s">
        <v>26</v>
      </c>
      <c r="T801" t="s">
        <v>41</v>
      </c>
      <c r="U801">
        <f>IF(IFERROR(VLOOKUP(BBDD_Usiarios_Netflix[[#This Row],[Identificador Usuario]],A802:$A$5870,1,FALSE),0)&lt;&gt;0,1,0)</f>
        <v>0</v>
      </c>
      <c r="V801" s="6" t="str">
        <f>IF(BBDD_Usiarios_Netflix[[#This Row],[Duración Plan]]="12 Meses",LEFT(BBDD_Usiarios_Netflix[[#This Row],[Duración Plan]],2),LEFT(BBDD_Usiarios_Netflix[[#This Row],[Duración Plan]],1))</f>
        <v>12</v>
      </c>
      <c r="W8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02" spans="1:23" x14ac:dyDescent="0.25">
      <c r="A802">
        <v>801</v>
      </c>
      <c r="B802" t="s">
        <v>28</v>
      </c>
      <c r="C802">
        <v>14</v>
      </c>
      <c r="D802" s="3">
        <v>22</v>
      </c>
      <c r="E802" s="3">
        <v>6</v>
      </c>
      <c r="F802">
        <v>23</v>
      </c>
      <c r="G802" s="1">
        <f>DATEVALUE(_xlfn.CONCAT(BBDD_Usiarios_Netflix[[#This Row],[Día Suscripción]],"/",BBDD_Usiarios_Netflix[[#This Row],[Mes Suscripción]],"/",BBDD_Usiarios_Netflix[[#This Row],[Año Suscripción]]))</f>
        <v>45099</v>
      </c>
      <c r="H802" s="1">
        <v>29</v>
      </c>
      <c r="I802" s="1">
        <v>6</v>
      </c>
      <c r="J802" s="1">
        <v>24</v>
      </c>
      <c r="K802" s="1" t="str">
        <f>TEXT(BBDD_Usiarios_Netflix[[#This Row],[Fecha Suscripción]],"dddd")</f>
        <v>jueves</v>
      </c>
      <c r="L802" s="1">
        <f>DATEVALUE(_xlfn.CONCAT(BBDD_Usiarios_Netflix[[#This Row],[Día Último Pago]],"/",BBDD_Usiarios_Netflix[[#This Row],[Mes Último Pago]],"/",BBDD_Usiarios_Netflix[[#This Row],[Año Último Pago]]))</f>
        <v>45472</v>
      </c>
      <c r="M802" s="4">
        <f>DATEDIF(BBDD_Usiarios_Netflix[[#This Row],[Fecha Suscripción]],BBDD_Usiarios_Netflix[[#This Row],[Fecha Último Pago]],"M")+1</f>
        <v>13</v>
      </c>
      <c r="N802" s="4">
        <f>BBDD_Usiarios_Netflix[[#This Row],[Ingresos Mensuales]]*BBDD_Usiarios_Netflix[[#This Row],[Meses contratados]]</f>
        <v>182</v>
      </c>
      <c r="O802" t="s">
        <v>40</v>
      </c>
      <c r="P802" t="str">
        <f>IF(BBDD_Usiarios_Netflix[[#This Row],[País]]="","Desconocido",BBDD_Usiarios_Netflix[[#This Row],[País]])</f>
        <v>Italia</v>
      </c>
      <c r="Q802">
        <v>46</v>
      </c>
      <c r="R802" t="s">
        <v>25</v>
      </c>
      <c r="S802" t="s">
        <v>26</v>
      </c>
      <c r="T802" t="s">
        <v>38</v>
      </c>
      <c r="U802">
        <f>IF(IFERROR(VLOOKUP(BBDD_Usiarios_Netflix[[#This Row],[Identificador Usuario]],A803:$A$5870,1,FALSE),0)&lt;&gt;0,1,0)</f>
        <v>0</v>
      </c>
      <c r="V802" s="6" t="str">
        <f>IF(BBDD_Usiarios_Netflix[[#This Row],[Duración Plan]]="12 Meses",LEFT(BBDD_Usiarios_Netflix[[#This Row],[Duración Plan]],2),LEFT(BBDD_Usiarios_Netflix[[#This Row],[Duración Plan]],1))</f>
        <v>3</v>
      </c>
      <c r="W8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03" spans="1:23" x14ac:dyDescent="0.25">
      <c r="A803">
        <v>802</v>
      </c>
      <c r="B803" t="s">
        <v>23</v>
      </c>
      <c r="C803">
        <v>10</v>
      </c>
      <c r="D803" s="3">
        <v>22</v>
      </c>
      <c r="E803" s="3">
        <v>6</v>
      </c>
      <c r="F803">
        <v>23</v>
      </c>
      <c r="G803" s="1">
        <f>DATEVALUE(_xlfn.CONCAT(BBDD_Usiarios_Netflix[[#This Row],[Día Suscripción]],"/",BBDD_Usiarios_Netflix[[#This Row],[Mes Suscripción]],"/",BBDD_Usiarios_Netflix[[#This Row],[Año Suscripción]]))</f>
        <v>45099</v>
      </c>
      <c r="H803" s="1">
        <v>30</v>
      </c>
      <c r="I803" s="1">
        <v>6</v>
      </c>
      <c r="J803" s="1">
        <v>24</v>
      </c>
      <c r="K803" s="1" t="str">
        <f>TEXT(BBDD_Usiarios_Netflix[[#This Row],[Fecha Suscripción]],"dddd")</f>
        <v>jueves</v>
      </c>
      <c r="L803" s="1">
        <f>DATEVALUE(_xlfn.CONCAT(BBDD_Usiarios_Netflix[[#This Row],[Día Último Pago]],"/",BBDD_Usiarios_Netflix[[#This Row],[Mes Último Pago]],"/",BBDD_Usiarios_Netflix[[#This Row],[Año Último Pago]]))</f>
        <v>45473</v>
      </c>
      <c r="M803" s="4">
        <f>DATEDIF(BBDD_Usiarios_Netflix[[#This Row],[Fecha Suscripción]],BBDD_Usiarios_Netflix[[#This Row],[Fecha Último Pago]],"M")+1</f>
        <v>13</v>
      </c>
      <c r="N803" s="4">
        <f>BBDD_Usiarios_Netflix[[#This Row],[Ingresos Mensuales]]*BBDD_Usiarios_Netflix[[#This Row],[Meses contratados]]</f>
        <v>130</v>
      </c>
      <c r="O803" t="s">
        <v>29</v>
      </c>
      <c r="P803" t="str">
        <f>IF(BBDD_Usiarios_Netflix[[#This Row],[País]]="","Desconocido",BBDD_Usiarios_Netflix[[#This Row],[País]])</f>
        <v>EEUU</v>
      </c>
      <c r="Q803">
        <v>33</v>
      </c>
      <c r="R803" t="s">
        <v>30</v>
      </c>
      <c r="S803" t="s">
        <v>26</v>
      </c>
      <c r="T803" t="s">
        <v>38</v>
      </c>
      <c r="U803">
        <f>IF(IFERROR(VLOOKUP(BBDD_Usiarios_Netflix[[#This Row],[Identificador Usuario]],A804:$A$5870,1,FALSE),0)&lt;&gt;0,1,0)</f>
        <v>0</v>
      </c>
      <c r="V803" s="6" t="str">
        <f>IF(BBDD_Usiarios_Netflix[[#This Row],[Duración Plan]]="12 Meses",LEFT(BBDD_Usiarios_Netflix[[#This Row],[Duración Plan]],2),LEFT(BBDD_Usiarios_Netflix[[#This Row],[Duración Plan]],1))</f>
        <v>3</v>
      </c>
      <c r="W8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04" spans="1:23" x14ac:dyDescent="0.25">
      <c r="A804">
        <v>803</v>
      </c>
      <c r="B804" t="s">
        <v>32</v>
      </c>
      <c r="C804">
        <v>12</v>
      </c>
      <c r="D804" s="3">
        <v>19</v>
      </c>
      <c r="E804" s="3">
        <v>6</v>
      </c>
      <c r="F804">
        <v>23</v>
      </c>
      <c r="G804" s="1">
        <f>DATEVALUE(_xlfn.CONCAT(BBDD_Usiarios_Netflix[[#This Row],[Día Suscripción]],"/",BBDD_Usiarios_Netflix[[#This Row],[Mes Suscripción]],"/",BBDD_Usiarios_Netflix[[#This Row],[Año Suscripción]]))</f>
        <v>45096</v>
      </c>
      <c r="H804" s="1">
        <v>1</v>
      </c>
      <c r="I804" s="1">
        <v>7</v>
      </c>
      <c r="J804" s="1">
        <v>24</v>
      </c>
      <c r="K804" s="1" t="str">
        <f>TEXT(BBDD_Usiarios_Netflix[[#This Row],[Fecha Suscripción]],"dddd")</f>
        <v>lunes</v>
      </c>
      <c r="L804" s="1">
        <f>DATEVALUE(_xlfn.CONCAT(BBDD_Usiarios_Netflix[[#This Row],[Día Último Pago]],"/",BBDD_Usiarios_Netflix[[#This Row],[Mes Último Pago]],"/",BBDD_Usiarios_Netflix[[#This Row],[Año Último Pago]]))</f>
        <v>45474</v>
      </c>
      <c r="M804" s="4">
        <f>DATEDIF(BBDD_Usiarios_Netflix[[#This Row],[Fecha Suscripción]],BBDD_Usiarios_Netflix[[#This Row],[Fecha Último Pago]],"M")+1</f>
        <v>13</v>
      </c>
      <c r="N804" s="4">
        <f>BBDD_Usiarios_Netflix[[#This Row],[Ingresos Mensuales]]*BBDD_Usiarios_Netflix[[#This Row],[Meses contratados]]</f>
        <v>156</v>
      </c>
      <c r="O804" t="s">
        <v>42</v>
      </c>
      <c r="P804" t="str">
        <f>IF(BBDD_Usiarios_Netflix[[#This Row],[País]]="","Desconocido",BBDD_Usiarios_Netflix[[#This Row],[País]])</f>
        <v>Reino Unido</v>
      </c>
      <c r="Q804">
        <v>43</v>
      </c>
      <c r="R804" t="s">
        <v>25</v>
      </c>
      <c r="S804" t="s">
        <v>34</v>
      </c>
      <c r="T804" t="s">
        <v>35</v>
      </c>
      <c r="U804">
        <f>IF(IFERROR(VLOOKUP(BBDD_Usiarios_Netflix[[#This Row],[Identificador Usuario]],A805:$A$5870,1,FALSE),0)&lt;&gt;0,1,0)</f>
        <v>0</v>
      </c>
      <c r="V804" s="6" t="str">
        <f>IF(BBDD_Usiarios_Netflix[[#This Row],[Duración Plan]]="12 Meses",LEFT(BBDD_Usiarios_Netflix[[#This Row],[Duración Plan]],2),LEFT(BBDD_Usiarios_Netflix[[#This Row],[Duración Plan]],1))</f>
        <v>6</v>
      </c>
      <c r="W8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05" spans="1:23" x14ac:dyDescent="0.25">
      <c r="A805">
        <v>804</v>
      </c>
      <c r="B805" t="s">
        <v>32</v>
      </c>
      <c r="C805">
        <v>12</v>
      </c>
      <c r="D805" s="3">
        <v>22</v>
      </c>
      <c r="E805" s="3">
        <v>6</v>
      </c>
      <c r="F805">
        <v>23</v>
      </c>
      <c r="G805" s="1">
        <f>DATEVALUE(_xlfn.CONCAT(BBDD_Usiarios_Netflix[[#This Row],[Día Suscripción]],"/",BBDD_Usiarios_Netflix[[#This Row],[Mes Suscripción]],"/",BBDD_Usiarios_Netflix[[#This Row],[Año Suscripción]]))</f>
        <v>45099</v>
      </c>
      <c r="H805" s="1">
        <v>2</v>
      </c>
      <c r="I805" s="1">
        <v>7</v>
      </c>
      <c r="J805" s="1">
        <v>24</v>
      </c>
      <c r="K805" s="1" t="str">
        <f>TEXT(BBDD_Usiarios_Netflix[[#This Row],[Fecha Suscripción]],"dddd")</f>
        <v>jueves</v>
      </c>
      <c r="L805" s="1">
        <f>DATEVALUE(_xlfn.CONCAT(BBDD_Usiarios_Netflix[[#This Row],[Día Último Pago]],"/",BBDD_Usiarios_Netflix[[#This Row],[Mes Último Pago]],"/",BBDD_Usiarios_Netflix[[#This Row],[Año Último Pago]]))</f>
        <v>45475</v>
      </c>
      <c r="M805" s="4">
        <f>DATEDIF(BBDD_Usiarios_Netflix[[#This Row],[Fecha Suscripción]],BBDD_Usiarios_Netflix[[#This Row],[Fecha Último Pago]],"M")+1</f>
        <v>13</v>
      </c>
      <c r="N805" s="4">
        <f>BBDD_Usiarios_Netflix[[#This Row],[Ingresos Mensuales]]*BBDD_Usiarios_Netflix[[#This Row],[Meses contratados]]</f>
        <v>156</v>
      </c>
      <c r="O805" t="s">
        <v>42</v>
      </c>
      <c r="P805" t="str">
        <f>IF(BBDD_Usiarios_Netflix[[#This Row],[País]]="","Desconocido",BBDD_Usiarios_Netflix[[#This Row],[País]])</f>
        <v>Reino Unido</v>
      </c>
      <c r="Q805">
        <v>47</v>
      </c>
      <c r="R805" t="s">
        <v>30</v>
      </c>
      <c r="S805" t="s">
        <v>26</v>
      </c>
      <c r="T805" t="s">
        <v>27</v>
      </c>
      <c r="U805">
        <f>IF(IFERROR(VLOOKUP(BBDD_Usiarios_Netflix[[#This Row],[Identificador Usuario]],A806:$A$5870,1,FALSE),0)&lt;&gt;0,1,0)</f>
        <v>0</v>
      </c>
      <c r="V805" s="6" t="str">
        <f>IF(BBDD_Usiarios_Netflix[[#This Row],[Duración Plan]]="12 Meses",LEFT(BBDD_Usiarios_Netflix[[#This Row],[Duración Plan]],2),LEFT(BBDD_Usiarios_Netflix[[#This Row],[Duración Plan]],1))</f>
        <v>1</v>
      </c>
      <c r="W8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06" spans="1:23" x14ac:dyDescent="0.25">
      <c r="A806">
        <v>805</v>
      </c>
      <c r="B806" t="s">
        <v>23</v>
      </c>
      <c r="C806">
        <v>10</v>
      </c>
      <c r="D806" s="3">
        <v>27</v>
      </c>
      <c r="E806" s="3">
        <v>6</v>
      </c>
      <c r="F806">
        <v>23</v>
      </c>
      <c r="G806" s="1">
        <f>DATEVALUE(_xlfn.CONCAT(BBDD_Usiarios_Netflix[[#This Row],[Día Suscripción]],"/",BBDD_Usiarios_Netflix[[#This Row],[Mes Suscripción]],"/",BBDD_Usiarios_Netflix[[#This Row],[Año Suscripción]]))</f>
        <v>45104</v>
      </c>
      <c r="H806" s="1">
        <v>28</v>
      </c>
      <c r="I806" s="1">
        <v>6</v>
      </c>
      <c r="J806" s="1">
        <v>24</v>
      </c>
      <c r="K806" s="1" t="str">
        <f>TEXT(BBDD_Usiarios_Netflix[[#This Row],[Fecha Suscripción]],"dddd")</f>
        <v>martes</v>
      </c>
      <c r="L806" s="1">
        <f>DATEVALUE(_xlfn.CONCAT(BBDD_Usiarios_Netflix[[#This Row],[Día Último Pago]],"/",BBDD_Usiarios_Netflix[[#This Row],[Mes Último Pago]],"/",BBDD_Usiarios_Netflix[[#This Row],[Año Último Pago]]))</f>
        <v>45471</v>
      </c>
      <c r="M806" s="4">
        <f>DATEDIF(BBDD_Usiarios_Netflix[[#This Row],[Fecha Suscripción]],BBDD_Usiarios_Netflix[[#This Row],[Fecha Último Pago]],"M")+1</f>
        <v>13</v>
      </c>
      <c r="N806" s="4">
        <f>BBDD_Usiarios_Netflix[[#This Row],[Ingresos Mensuales]]*BBDD_Usiarios_Netflix[[#This Row],[Meses contratados]]</f>
        <v>130</v>
      </c>
      <c r="O806" t="s">
        <v>39</v>
      </c>
      <c r="P806" t="str">
        <f>IF(BBDD_Usiarios_Netflix[[#This Row],[País]]="","Desconocido",BBDD_Usiarios_Netflix[[#This Row],[País]])</f>
        <v>Canadá</v>
      </c>
      <c r="Q806">
        <v>39</v>
      </c>
      <c r="R806" t="s">
        <v>30</v>
      </c>
      <c r="S806" t="s">
        <v>36</v>
      </c>
      <c r="T806" t="s">
        <v>35</v>
      </c>
      <c r="U806">
        <f>IF(IFERROR(VLOOKUP(BBDD_Usiarios_Netflix[[#This Row],[Identificador Usuario]],A807:$A$5870,1,FALSE),0)&lt;&gt;0,1,0)</f>
        <v>0</v>
      </c>
      <c r="V806" s="6" t="str">
        <f>IF(BBDD_Usiarios_Netflix[[#This Row],[Duración Plan]]="12 Meses",LEFT(BBDD_Usiarios_Netflix[[#This Row],[Duración Plan]],2),LEFT(BBDD_Usiarios_Netflix[[#This Row],[Duración Plan]],1))</f>
        <v>6</v>
      </c>
      <c r="W8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07" spans="1:23" x14ac:dyDescent="0.25">
      <c r="A807">
        <v>806</v>
      </c>
      <c r="B807" t="s">
        <v>28</v>
      </c>
      <c r="C807">
        <v>14</v>
      </c>
      <c r="D807" s="3">
        <v>1</v>
      </c>
      <c r="E807" s="3">
        <v>7</v>
      </c>
      <c r="F807">
        <v>23</v>
      </c>
      <c r="G807" s="1">
        <f>DATEVALUE(_xlfn.CONCAT(BBDD_Usiarios_Netflix[[#This Row],[Día Suscripción]],"/",BBDD_Usiarios_Netflix[[#This Row],[Mes Suscripción]],"/",BBDD_Usiarios_Netflix[[#This Row],[Año Suscripción]]))</f>
        <v>45108</v>
      </c>
      <c r="H807" s="1">
        <v>30</v>
      </c>
      <c r="I807" s="1">
        <v>6</v>
      </c>
      <c r="J807" s="1">
        <v>24</v>
      </c>
      <c r="K807" s="1" t="str">
        <f>TEXT(BBDD_Usiarios_Netflix[[#This Row],[Fecha Suscripción]],"dddd")</f>
        <v>sábado</v>
      </c>
      <c r="L807" s="1">
        <f>DATEVALUE(_xlfn.CONCAT(BBDD_Usiarios_Netflix[[#This Row],[Día Último Pago]],"/",BBDD_Usiarios_Netflix[[#This Row],[Mes Último Pago]],"/",BBDD_Usiarios_Netflix[[#This Row],[Año Último Pago]]))</f>
        <v>45473</v>
      </c>
      <c r="M807" s="4">
        <f>DATEDIF(BBDD_Usiarios_Netflix[[#This Row],[Fecha Suscripción]],BBDD_Usiarios_Netflix[[#This Row],[Fecha Último Pago]],"M")+1</f>
        <v>12</v>
      </c>
      <c r="N807" s="4">
        <f>BBDD_Usiarios_Netflix[[#This Row],[Ingresos Mensuales]]*BBDD_Usiarios_Netflix[[#This Row],[Meses contratados]]</f>
        <v>168</v>
      </c>
      <c r="O807" t="s">
        <v>37</v>
      </c>
      <c r="P807" t="str">
        <f>IF(BBDD_Usiarios_Netflix[[#This Row],[País]]="","Desconocido",BBDD_Usiarios_Netflix[[#This Row],[País]])</f>
        <v>Brasil</v>
      </c>
      <c r="Q807">
        <v>30</v>
      </c>
      <c r="R807" t="s">
        <v>30</v>
      </c>
      <c r="S807" t="s">
        <v>36</v>
      </c>
      <c r="T807" t="s">
        <v>35</v>
      </c>
      <c r="U807">
        <f>IF(IFERROR(VLOOKUP(BBDD_Usiarios_Netflix[[#This Row],[Identificador Usuario]],A808:$A$5870,1,FALSE),0)&lt;&gt;0,1,0)</f>
        <v>0</v>
      </c>
      <c r="V807" s="6" t="str">
        <f>IF(BBDD_Usiarios_Netflix[[#This Row],[Duración Plan]]="12 Meses",LEFT(BBDD_Usiarios_Netflix[[#This Row],[Duración Plan]],2),LEFT(BBDD_Usiarios_Netflix[[#This Row],[Duración Plan]],1))</f>
        <v>6</v>
      </c>
      <c r="W8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08" spans="1:23" x14ac:dyDescent="0.25">
      <c r="A808">
        <v>807</v>
      </c>
      <c r="B808" t="s">
        <v>23</v>
      </c>
      <c r="C808">
        <v>10</v>
      </c>
      <c r="D808" s="3">
        <v>28</v>
      </c>
      <c r="E808" s="3">
        <v>6</v>
      </c>
      <c r="F808">
        <v>23</v>
      </c>
      <c r="G808" s="1">
        <f>DATEVALUE(_xlfn.CONCAT(BBDD_Usiarios_Netflix[[#This Row],[Día Suscripción]],"/",BBDD_Usiarios_Netflix[[#This Row],[Mes Suscripción]],"/",BBDD_Usiarios_Netflix[[#This Row],[Año Suscripción]]))</f>
        <v>45105</v>
      </c>
      <c r="H808" s="1">
        <v>30</v>
      </c>
      <c r="I808" s="1">
        <v>6</v>
      </c>
      <c r="J808" s="1">
        <v>24</v>
      </c>
      <c r="K808" s="1" t="str">
        <f>TEXT(BBDD_Usiarios_Netflix[[#This Row],[Fecha Suscripción]],"dddd")</f>
        <v>miércoles</v>
      </c>
      <c r="L808" s="1">
        <f>DATEVALUE(_xlfn.CONCAT(BBDD_Usiarios_Netflix[[#This Row],[Día Último Pago]],"/",BBDD_Usiarios_Netflix[[#This Row],[Mes Último Pago]],"/",BBDD_Usiarios_Netflix[[#This Row],[Año Último Pago]]))</f>
        <v>45473</v>
      </c>
      <c r="M808" s="4">
        <f>DATEDIF(BBDD_Usiarios_Netflix[[#This Row],[Fecha Suscripción]],BBDD_Usiarios_Netflix[[#This Row],[Fecha Último Pago]],"M")+1</f>
        <v>13</v>
      </c>
      <c r="N808" s="4">
        <f>BBDD_Usiarios_Netflix[[#This Row],[Ingresos Mensuales]]*BBDD_Usiarios_Netflix[[#This Row],[Meses contratados]]</f>
        <v>130</v>
      </c>
      <c r="O808" t="s">
        <v>29</v>
      </c>
      <c r="P808" t="str">
        <f>IF(BBDD_Usiarios_Netflix[[#This Row],[País]]="","Desconocido",BBDD_Usiarios_Netflix[[#This Row],[País]])</f>
        <v>EEUU</v>
      </c>
      <c r="Q808">
        <v>46</v>
      </c>
      <c r="R808" t="s">
        <v>25</v>
      </c>
      <c r="S808" t="s">
        <v>31</v>
      </c>
      <c r="T808" t="s">
        <v>38</v>
      </c>
      <c r="U808">
        <f>IF(IFERROR(VLOOKUP(BBDD_Usiarios_Netflix[[#This Row],[Identificador Usuario]],A809:$A$5870,1,FALSE),0)&lt;&gt;0,1,0)</f>
        <v>0</v>
      </c>
      <c r="V808" s="6" t="str">
        <f>IF(BBDD_Usiarios_Netflix[[#This Row],[Duración Plan]]="12 Meses",LEFT(BBDD_Usiarios_Netflix[[#This Row],[Duración Plan]],2),LEFT(BBDD_Usiarios_Netflix[[#This Row],[Duración Plan]],1))</f>
        <v>3</v>
      </c>
      <c r="W8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09" spans="1:23" x14ac:dyDescent="0.25">
      <c r="A809">
        <v>808</v>
      </c>
      <c r="B809" t="s">
        <v>32</v>
      </c>
      <c r="C809">
        <v>12</v>
      </c>
      <c r="D809" s="3">
        <v>25</v>
      </c>
      <c r="E809" s="3">
        <v>6</v>
      </c>
      <c r="F809">
        <v>23</v>
      </c>
      <c r="G809" s="1">
        <f>DATEVALUE(_xlfn.CONCAT(BBDD_Usiarios_Netflix[[#This Row],[Día Suscripción]],"/",BBDD_Usiarios_Netflix[[#This Row],[Mes Suscripción]],"/",BBDD_Usiarios_Netflix[[#This Row],[Año Suscripción]]))</f>
        <v>45102</v>
      </c>
      <c r="H809" s="1">
        <v>1</v>
      </c>
      <c r="I809" s="1">
        <v>7</v>
      </c>
      <c r="J809" s="1">
        <v>24</v>
      </c>
      <c r="K809" s="1" t="str">
        <f>TEXT(BBDD_Usiarios_Netflix[[#This Row],[Fecha Suscripción]],"dddd")</f>
        <v>domingo</v>
      </c>
      <c r="L809" s="1">
        <f>DATEVALUE(_xlfn.CONCAT(BBDD_Usiarios_Netflix[[#This Row],[Día Último Pago]],"/",BBDD_Usiarios_Netflix[[#This Row],[Mes Último Pago]],"/",BBDD_Usiarios_Netflix[[#This Row],[Año Último Pago]]))</f>
        <v>45474</v>
      </c>
      <c r="M809" s="4">
        <f>DATEDIF(BBDD_Usiarios_Netflix[[#This Row],[Fecha Suscripción]],BBDD_Usiarios_Netflix[[#This Row],[Fecha Último Pago]],"M")+1</f>
        <v>13</v>
      </c>
      <c r="N809" s="4">
        <f>BBDD_Usiarios_Netflix[[#This Row],[Ingresos Mensuales]]*BBDD_Usiarios_Netflix[[#This Row],[Meses contratados]]</f>
        <v>156</v>
      </c>
      <c r="O809" t="s">
        <v>24</v>
      </c>
      <c r="P809" t="str">
        <f>IF(BBDD_Usiarios_Netflix[[#This Row],[País]]="","Desconocido",BBDD_Usiarios_Netflix[[#This Row],[País]])</f>
        <v>Australia</v>
      </c>
      <c r="Q809">
        <v>39</v>
      </c>
      <c r="R809" t="s">
        <v>25</v>
      </c>
      <c r="S809" t="s">
        <v>34</v>
      </c>
      <c r="T809" t="s">
        <v>27</v>
      </c>
      <c r="U809">
        <f>IF(IFERROR(VLOOKUP(BBDD_Usiarios_Netflix[[#This Row],[Identificador Usuario]],A810:$A$5870,1,FALSE),0)&lt;&gt;0,1,0)</f>
        <v>0</v>
      </c>
      <c r="V809" s="6" t="str">
        <f>IF(BBDD_Usiarios_Netflix[[#This Row],[Duración Plan]]="12 Meses",LEFT(BBDD_Usiarios_Netflix[[#This Row],[Duración Plan]],2),LEFT(BBDD_Usiarios_Netflix[[#This Row],[Duración Plan]],1))</f>
        <v>1</v>
      </c>
      <c r="W8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0" spans="1:23" x14ac:dyDescent="0.25">
      <c r="A810">
        <v>809</v>
      </c>
      <c r="B810" t="s">
        <v>28</v>
      </c>
      <c r="C810">
        <v>14</v>
      </c>
      <c r="D810" s="3">
        <v>22</v>
      </c>
      <c r="E810" s="3">
        <v>6</v>
      </c>
      <c r="F810">
        <v>23</v>
      </c>
      <c r="G810" s="1">
        <f>DATEVALUE(_xlfn.CONCAT(BBDD_Usiarios_Netflix[[#This Row],[Día Suscripción]],"/",BBDD_Usiarios_Netflix[[#This Row],[Mes Suscripción]],"/",BBDD_Usiarios_Netflix[[#This Row],[Año Suscripción]]))</f>
        <v>45099</v>
      </c>
      <c r="H810" s="1">
        <v>28</v>
      </c>
      <c r="I810" s="1">
        <v>6</v>
      </c>
      <c r="J810" s="1">
        <v>24</v>
      </c>
      <c r="K810" s="1" t="str">
        <f>TEXT(BBDD_Usiarios_Netflix[[#This Row],[Fecha Suscripción]],"dddd")</f>
        <v>jueves</v>
      </c>
      <c r="L810" s="1">
        <f>DATEVALUE(_xlfn.CONCAT(BBDD_Usiarios_Netflix[[#This Row],[Día Último Pago]],"/",BBDD_Usiarios_Netflix[[#This Row],[Mes Último Pago]],"/",BBDD_Usiarios_Netflix[[#This Row],[Año Último Pago]]))</f>
        <v>45471</v>
      </c>
      <c r="M810" s="4">
        <f>DATEDIF(BBDD_Usiarios_Netflix[[#This Row],[Fecha Suscripción]],BBDD_Usiarios_Netflix[[#This Row],[Fecha Último Pago]],"M")+1</f>
        <v>13</v>
      </c>
      <c r="N810" s="4">
        <f>BBDD_Usiarios_Netflix[[#This Row],[Ingresos Mensuales]]*BBDD_Usiarios_Netflix[[#This Row],[Meses contratados]]</f>
        <v>182</v>
      </c>
      <c r="O810" t="s">
        <v>37</v>
      </c>
      <c r="P810" t="str">
        <f>IF(BBDD_Usiarios_Netflix[[#This Row],[País]]="","Desconocido",BBDD_Usiarios_Netflix[[#This Row],[País]])</f>
        <v>Brasil</v>
      </c>
      <c r="Q810">
        <v>28</v>
      </c>
      <c r="R810" t="s">
        <v>25</v>
      </c>
      <c r="S810" t="s">
        <v>26</v>
      </c>
      <c r="T810" t="s">
        <v>27</v>
      </c>
      <c r="U810">
        <f>IF(IFERROR(VLOOKUP(BBDD_Usiarios_Netflix[[#This Row],[Identificador Usuario]],A811:$A$5870,1,FALSE),0)&lt;&gt;0,1,0)</f>
        <v>0</v>
      </c>
      <c r="V810" s="6" t="str">
        <f>IF(BBDD_Usiarios_Netflix[[#This Row],[Duración Plan]]="12 Meses",LEFT(BBDD_Usiarios_Netflix[[#This Row],[Duración Plan]],2),LEFT(BBDD_Usiarios_Netflix[[#This Row],[Duración Plan]],1))</f>
        <v>1</v>
      </c>
      <c r="W8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1" spans="1:23" x14ac:dyDescent="0.25">
      <c r="A811">
        <v>810</v>
      </c>
      <c r="B811" t="s">
        <v>23</v>
      </c>
      <c r="C811">
        <v>10</v>
      </c>
      <c r="D811" s="3">
        <v>9</v>
      </c>
      <c r="E811" s="3">
        <v>6</v>
      </c>
      <c r="F811">
        <v>23</v>
      </c>
      <c r="G811" s="1">
        <f>DATEVALUE(_xlfn.CONCAT(BBDD_Usiarios_Netflix[[#This Row],[Día Suscripción]],"/",BBDD_Usiarios_Netflix[[#This Row],[Mes Suscripción]],"/",BBDD_Usiarios_Netflix[[#This Row],[Año Suscripción]]))</f>
        <v>45086</v>
      </c>
      <c r="H811" s="1">
        <v>29</v>
      </c>
      <c r="I811" s="1">
        <v>6</v>
      </c>
      <c r="J811" s="1">
        <v>24</v>
      </c>
      <c r="K811" s="1" t="str">
        <f>TEXT(BBDD_Usiarios_Netflix[[#This Row],[Fecha Suscripción]],"dddd")</f>
        <v>viernes</v>
      </c>
      <c r="L811" s="1">
        <f>DATEVALUE(_xlfn.CONCAT(BBDD_Usiarios_Netflix[[#This Row],[Día Último Pago]],"/",BBDD_Usiarios_Netflix[[#This Row],[Mes Último Pago]],"/",BBDD_Usiarios_Netflix[[#This Row],[Año Último Pago]]))</f>
        <v>45472</v>
      </c>
      <c r="M811" s="4">
        <f>DATEDIF(BBDD_Usiarios_Netflix[[#This Row],[Fecha Suscripción]],BBDD_Usiarios_Netflix[[#This Row],[Fecha Último Pago]],"M")+1</f>
        <v>13</v>
      </c>
      <c r="N811" s="4">
        <f>BBDD_Usiarios_Netflix[[#This Row],[Ingresos Mensuales]]*BBDD_Usiarios_Netflix[[#This Row],[Meses contratados]]</f>
        <v>130</v>
      </c>
      <c r="O811" t="s">
        <v>24</v>
      </c>
      <c r="P811" t="str">
        <f>IF(BBDD_Usiarios_Netflix[[#This Row],[País]]="","Desconocido",BBDD_Usiarios_Netflix[[#This Row],[País]])</f>
        <v>Australia</v>
      </c>
      <c r="Q811">
        <v>38</v>
      </c>
      <c r="R811" t="s">
        <v>25</v>
      </c>
      <c r="S811" t="s">
        <v>26</v>
      </c>
      <c r="T811" t="s">
        <v>27</v>
      </c>
      <c r="U811">
        <f>IF(IFERROR(VLOOKUP(BBDD_Usiarios_Netflix[[#This Row],[Identificador Usuario]],A812:$A$5870,1,FALSE),0)&lt;&gt;0,1,0)</f>
        <v>0</v>
      </c>
      <c r="V811" s="6" t="str">
        <f>IF(BBDD_Usiarios_Netflix[[#This Row],[Duración Plan]]="12 Meses",LEFT(BBDD_Usiarios_Netflix[[#This Row],[Duración Plan]],2),LEFT(BBDD_Usiarios_Netflix[[#This Row],[Duración Plan]],1))</f>
        <v>1</v>
      </c>
      <c r="W8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2" spans="1:23" x14ac:dyDescent="0.25">
      <c r="A812">
        <v>811</v>
      </c>
      <c r="B812" t="s">
        <v>28</v>
      </c>
      <c r="C812">
        <v>14</v>
      </c>
      <c r="D812" s="3">
        <v>10</v>
      </c>
      <c r="E812" s="3">
        <v>6</v>
      </c>
      <c r="F812">
        <v>23</v>
      </c>
      <c r="G812" s="1">
        <f>DATEVALUE(_xlfn.CONCAT(BBDD_Usiarios_Netflix[[#This Row],[Día Suscripción]],"/",BBDD_Usiarios_Netflix[[#This Row],[Mes Suscripción]],"/",BBDD_Usiarios_Netflix[[#This Row],[Año Suscripción]]))</f>
        <v>45087</v>
      </c>
      <c r="H812" s="1">
        <v>30</v>
      </c>
      <c r="I812" s="1">
        <v>6</v>
      </c>
      <c r="J812" s="1">
        <v>24</v>
      </c>
      <c r="K812" s="1" t="str">
        <f>TEXT(BBDD_Usiarios_Netflix[[#This Row],[Fecha Suscripción]],"dddd")</f>
        <v>sábado</v>
      </c>
      <c r="L812" s="1">
        <f>DATEVALUE(_xlfn.CONCAT(BBDD_Usiarios_Netflix[[#This Row],[Día Último Pago]],"/",BBDD_Usiarios_Netflix[[#This Row],[Mes Último Pago]],"/",BBDD_Usiarios_Netflix[[#This Row],[Año Último Pago]]))</f>
        <v>45473</v>
      </c>
      <c r="M812" s="4">
        <f>DATEDIF(BBDD_Usiarios_Netflix[[#This Row],[Fecha Suscripción]],BBDD_Usiarios_Netflix[[#This Row],[Fecha Último Pago]],"M")+1</f>
        <v>13</v>
      </c>
      <c r="N812" s="4">
        <f>BBDD_Usiarios_Netflix[[#This Row],[Ingresos Mensuales]]*BBDD_Usiarios_Netflix[[#This Row],[Meses contratados]]</f>
        <v>182</v>
      </c>
      <c r="O812" t="s">
        <v>24</v>
      </c>
      <c r="P812" t="str">
        <f>IF(BBDD_Usiarios_Netflix[[#This Row],[País]]="","Desconocido",BBDD_Usiarios_Netflix[[#This Row],[País]])</f>
        <v>Australia</v>
      </c>
      <c r="Q812">
        <v>36</v>
      </c>
      <c r="R812" t="s">
        <v>25</v>
      </c>
      <c r="S812" t="s">
        <v>36</v>
      </c>
      <c r="T812" t="s">
        <v>27</v>
      </c>
      <c r="U812">
        <f>IF(IFERROR(VLOOKUP(BBDD_Usiarios_Netflix[[#This Row],[Identificador Usuario]],A813:$A$5870,1,FALSE),0)&lt;&gt;0,1,0)</f>
        <v>0</v>
      </c>
      <c r="V812" s="6" t="str">
        <f>IF(BBDD_Usiarios_Netflix[[#This Row],[Duración Plan]]="12 Meses",LEFT(BBDD_Usiarios_Netflix[[#This Row],[Duración Plan]],2),LEFT(BBDD_Usiarios_Netflix[[#This Row],[Duración Plan]],1))</f>
        <v>1</v>
      </c>
      <c r="W8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3" spans="1:23" x14ac:dyDescent="0.25">
      <c r="A813">
        <v>812</v>
      </c>
      <c r="B813" t="s">
        <v>23</v>
      </c>
      <c r="C813">
        <v>10</v>
      </c>
      <c r="D813" s="3">
        <v>11</v>
      </c>
      <c r="E813" s="3">
        <v>6</v>
      </c>
      <c r="F813">
        <v>23</v>
      </c>
      <c r="G813" s="1">
        <f>DATEVALUE(_xlfn.CONCAT(BBDD_Usiarios_Netflix[[#This Row],[Día Suscripción]],"/",BBDD_Usiarios_Netflix[[#This Row],[Mes Suscripción]],"/",BBDD_Usiarios_Netflix[[#This Row],[Año Suscripción]]))</f>
        <v>45088</v>
      </c>
      <c r="H813" s="1">
        <v>1</v>
      </c>
      <c r="I813" s="1">
        <v>7</v>
      </c>
      <c r="J813" s="1">
        <v>24</v>
      </c>
      <c r="K813" s="1" t="str">
        <f>TEXT(BBDD_Usiarios_Netflix[[#This Row],[Fecha Suscripción]],"dddd")</f>
        <v>domingo</v>
      </c>
      <c r="L813" s="1">
        <f>DATEVALUE(_xlfn.CONCAT(BBDD_Usiarios_Netflix[[#This Row],[Día Último Pago]],"/",BBDD_Usiarios_Netflix[[#This Row],[Mes Último Pago]],"/",BBDD_Usiarios_Netflix[[#This Row],[Año Último Pago]]))</f>
        <v>45474</v>
      </c>
      <c r="M813" s="4">
        <f>DATEDIF(BBDD_Usiarios_Netflix[[#This Row],[Fecha Suscripción]],BBDD_Usiarios_Netflix[[#This Row],[Fecha Último Pago]],"M")+1</f>
        <v>13</v>
      </c>
      <c r="N813" s="4">
        <f>BBDD_Usiarios_Netflix[[#This Row],[Ingresos Mensuales]]*BBDD_Usiarios_Netflix[[#This Row],[Meses contratados]]</f>
        <v>130</v>
      </c>
      <c r="O813" t="s">
        <v>33</v>
      </c>
      <c r="P813" t="str">
        <f>IF(BBDD_Usiarios_Netflix[[#This Row],[País]]="","Desconocido",BBDD_Usiarios_Netflix[[#This Row],[País]])</f>
        <v>Francia</v>
      </c>
      <c r="Q813">
        <v>33</v>
      </c>
      <c r="R813" t="s">
        <v>25</v>
      </c>
      <c r="S813" t="s">
        <v>36</v>
      </c>
      <c r="T813" t="s">
        <v>35</v>
      </c>
      <c r="U813">
        <f>IF(IFERROR(VLOOKUP(BBDD_Usiarios_Netflix[[#This Row],[Identificador Usuario]],A814:$A$5870,1,FALSE),0)&lt;&gt;0,1,0)</f>
        <v>0</v>
      </c>
      <c r="V813" s="6" t="str">
        <f>IF(BBDD_Usiarios_Netflix[[#This Row],[Duración Plan]]="12 Meses",LEFT(BBDD_Usiarios_Netflix[[#This Row],[Duración Plan]],2),LEFT(BBDD_Usiarios_Netflix[[#This Row],[Duración Plan]],1))</f>
        <v>6</v>
      </c>
      <c r="W8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14" spans="1:23" x14ac:dyDescent="0.25">
      <c r="A814">
        <v>813</v>
      </c>
      <c r="B814" t="s">
        <v>32</v>
      </c>
      <c r="C814">
        <v>12</v>
      </c>
      <c r="D814" s="3">
        <v>11</v>
      </c>
      <c r="E814" s="3">
        <v>6</v>
      </c>
      <c r="F814">
        <v>23</v>
      </c>
      <c r="G814" s="1">
        <f>DATEVALUE(_xlfn.CONCAT(BBDD_Usiarios_Netflix[[#This Row],[Día Suscripción]],"/",BBDD_Usiarios_Netflix[[#This Row],[Mes Suscripción]],"/",BBDD_Usiarios_Netflix[[#This Row],[Año Suscripción]]))</f>
        <v>45088</v>
      </c>
      <c r="H814" s="1">
        <v>28</v>
      </c>
      <c r="I814" s="1">
        <v>6</v>
      </c>
      <c r="J814" s="1">
        <v>24</v>
      </c>
      <c r="K814" s="1" t="str">
        <f>TEXT(BBDD_Usiarios_Netflix[[#This Row],[Fecha Suscripción]],"dddd")</f>
        <v>domingo</v>
      </c>
      <c r="L814" s="1">
        <f>DATEVALUE(_xlfn.CONCAT(BBDD_Usiarios_Netflix[[#This Row],[Día Último Pago]],"/",BBDD_Usiarios_Netflix[[#This Row],[Mes Último Pago]],"/",BBDD_Usiarios_Netflix[[#This Row],[Año Último Pago]]))</f>
        <v>45471</v>
      </c>
      <c r="M814" s="4">
        <f>DATEDIF(BBDD_Usiarios_Netflix[[#This Row],[Fecha Suscripción]],BBDD_Usiarios_Netflix[[#This Row],[Fecha Último Pago]],"M")+1</f>
        <v>13</v>
      </c>
      <c r="N814" s="4">
        <f>BBDD_Usiarios_Netflix[[#This Row],[Ingresos Mensuales]]*BBDD_Usiarios_Netflix[[#This Row],[Meses contratados]]</f>
        <v>156</v>
      </c>
      <c r="O814" t="s">
        <v>33</v>
      </c>
      <c r="P814" t="str">
        <f>IF(BBDD_Usiarios_Netflix[[#This Row],[País]]="","Desconocido",BBDD_Usiarios_Netflix[[#This Row],[País]])</f>
        <v>Francia</v>
      </c>
      <c r="Q814">
        <v>50</v>
      </c>
      <c r="R814" t="s">
        <v>25</v>
      </c>
      <c r="S814" t="s">
        <v>26</v>
      </c>
      <c r="T814" t="s">
        <v>27</v>
      </c>
      <c r="U814">
        <f>IF(IFERROR(VLOOKUP(BBDD_Usiarios_Netflix[[#This Row],[Identificador Usuario]],A815:$A$5870,1,FALSE),0)&lt;&gt;0,1,0)</f>
        <v>0</v>
      </c>
      <c r="V814" s="6" t="str">
        <f>IF(BBDD_Usiarios_Netflix[[#This Row],[Duración Plan]]="12 Meses",LEFT(BBDD_Usiarios_Netflix[[#This Row],[Duración Plan]],2),LEFT(BBDD_Usiarios_Netflix[[#This Row],[Duración Plan]],1))</f>
        <v>1</v>
      </c>
      <c r="W8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5" spans="1:23" x14ac:dyDescent="0.25">
      <c r="A815">
        <v>814</v>
      </c>
      <c r="B815" t="s">
        <v>32</v>
      </c>
      <c r="C815">
        <v>12</v>
      </c>
      <c r="D815" s="3">
        <v>12</v>
      </c>
      <c r="E815" s="3">
        <v>6</v>
      </c>
      <c r="F815">
        <v>23</v>
      </c>
      <c r="G815" s="1">
        <f>DATEVALUE(_xlfn.CONCAT(BBDD_Usiarios_Netflix[[#This Row],[Día Suscripción]],"/",BBDD_Usiarios_Netflix[[#This Row],[Mes Suscripción]],"/",BBDD_Usiarios_Netflix[[#This Row],[Año Suscripción]]))</f>
        <v>45089</v>
      </c>
      <c r="H815" s="1">
        <v>29</v>
      </c>
      <c r="I815" s="1">
        <v>6</v>
      </c>
      <c r="J815" s="1">
        <v>24</v>
      </c>
      <c r="K815" s="1" t="str">
        <f>TEXT(BBDD_Usiarios_Netflix[[#This Row],[Fecha Suscripción]],"dddd")</f>
        <v>lunes</v>
      </c>
      <c r="L815" s="1">
        <f>DATEVALUE(_xlfn.CONCAT(BBDD_Usiarios_Netflix[[#This Row],[Día Último Pago]],"/",BBDD_Usiarios_Netflix[[#This Row],[Mes Último Pago]],"/",BBDD_Usiarios_Netflix[[#This Row],[Año Último Pago]]))</f>
        <v>45472</v>
      </c>
      <c r="M815" s="4">
        <f>DATEDIF(BBDD_Usiarios_Netflix[[#This Row],[Fecha Suscripción]],BBDD_Usiarios_Netflix[[#This Row],[Fecha Último Pago]],"M")+1</f>
        <v>13</v>
      </c>
      <c r="N815" s="4">
        <f>BBDD_Usiarios_Netflix[[#This Row],[Ingresos Mensuales]]*BBDD_Usiarios_Netflix[[#This Row],[Meses contratados]]</f>
        <v>156</v>
      </c>
      <c r="O815" t="s">
        <v>40</v>
      </c>
      <c r="P815" t="str">
        <f>IF(BBDD_Usiarios_Netflix[[#This Row],[País]]="","Desconocido",BBDD_Usiarios_Netflix[[#This Row],[País]])</f>
        <v>Italia</v>
      </c>
      <c r="Q815">
        <v>38</v>
      </c>
      <c r="R815" t="s">
        <v>25</v>
      </c>
      <c r="S815" t="s">
        <v>26</v>
      </c>
      <c r="T815" t="s">
        <v>27</v>
      </c>
      <c r="U815">
        <f>IF(IFERROR(VLOOKUP(BBDD_Usiarios_Netflix[[#This Row],[Identificador Usuario]],A816:$A$5870,1,FALSE),0)&lt;&gt;0,1,0)</f>
        <v>0</v>
      </c>
      <c r="V815" s="6" t="str">
        <f>IF(BBDD_Usiarios_Netflix[[#This Row],[Duración Plan]]="12 Meses",LEFT(BBDD_Usiarios_Netflix[[#This Row],[Duración Plan]],2),LEFT(BBDD_Usiarios_Netflix[[#This Row],[Duración Plan]],1))</f>
        <v>1</v>
      </c>
      <c r="W8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6" spans="1:23" x14ac:dyDescent="0.25">
      <c r="A816">
        <v>815</v>
      </c>
      <c r="B816" t="s">
        <v>23</v>
      </c>
      <c r="C816">
        <v>10</v>
      </c>
      <c r="D816" s="3">
        <v>13</v>
      </c>
      <c r="E816" s="3">
        <v>6</v>
      </c>
      <c r="F816">
        <v>23</v>
      </c>
      <c r="G816" s="1">
        <f>DATEVALUE(_xlfn.CONCAT(BBDD_Usiarios_Netflix[[#This Row],[Día Suscripción]],"/",BBDD_Usiarios_Netflix[[#This Row],[Mes Suscripción]],"/",BBDD_Usiarios_Netflix[[#This Row],[Año Suscripción]]))</f>
        <v>45090</v>
      </c>
      <c r="H816" s="1">
        <v>30</v>
      </c>
      <c r="I816" s="1">
        <v>6</v>
      </c>
      <c r="J816" s="1">
        <v>24</v>
      </c>
      <c r="K816" s="1" t="str">
        <f>TEXT(BBDD_Usiarios_Netflix[[#This Row],[Fecha Suscripción]],"dddd")</f>
        <v>martes</v>
      </c>
      <c r="L816" s="1">
        <f>DATEVALUE(_xlfn.CONCAT(BBDD_Usiarios_Netflix[[#This Row],[Día Último Pago]],"/",BBDD_Usiarios_Netflix[[#This Row],[Mes Último Pago]],"/",BBDD_Usiarios_Netflix[[#This Row],[Año Último Pago]]))</f>
        <v>45473</v>
      </c>
      <c r="M816" s="4">
        <f>DATEDIF(BBDD_Usiarios_Netflix[[#This Row],[Fecha Suscripción]],BBDD_Usiarios_Netflix[[#This Row],[Fecha Último Pago]],"M")+1</f>
        <v>13</v>
      </c>
      <c r="N816" s="4">
        <f>BBDD_Usiarios_Netflix[[#This Row],[Ingresos Mensuales]]*BBDD_Usiarios_Netflix[[#This Row],[Meses contratados]]</f>
        <v>130</v>
      </c>
      <c r="O816" t="s">
        <v>29</v>
      </c>
      <c r="P816" t="str">
        <f>IF(BBDD_Usiarios_Netflix[[#This Row],[País]]="","Desconocido",BBDD_Usiarios_Netflix[[#This Row],[País]])</f>
        <v>EEUU</v>
      </c>
      <c r="Q816">
        <v>29</v>
      </c>
      <c r="R816" t="s">
        <v>25</v>
      </c>
      <c r="S816" t="s">
        <v>26</v>
      </c>
      <c r="T816" t="s">
        <v>27</v>
      </c>
      <c r="U816">
        <f>IF(IFERROR(VLOOKUP(BBDD_Usiarios_Netflix[[#This Row],[Identificador Usuario]],A817:$A$5870,1,FALSE),0)&lt;&gt;0,1,0)</f>
        <v>0</v>
      </c>
      <c r="V816" s="6" t="str">
        <f>IF(BBDD_Usiarios_Netflix[[#This Row],[Duración Plan]]="12 Meses",LEFT(BBDD_Usiarios_Netflix[[#This Row],[Duración Plan]],2),LEFT(BBDD_Usiarios_Netflix[[#This Row],[Duración Plan]],1))</f>
        <v>1</v>
      </c>
      <c r="W8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7" spans="1:23" x14ac:dyDescent="0.25">
      <c r="A817">
        <v>816</v>
      </c>
      <c r="B817" t="s">
        <v>28</v>
      </c>
      <c r="C817">
        <v>14</v>
      </c>
      <c r="D817" s="3">
        <v>18</v>
      </c>
      <c r="E817" s="3">
        <v>6</v>
      </c>
      <c r="F817">
        <v>23</v>
      </c>
      <c r="G817" s="1">
        <f>DATEVALUE(_xlfn.CONCAT(BBDD_Usiarios_Netflix[[#This Row],[Día Suscripción]],"/",BBDD_Usiarios_Netflix[[#This Row],[Mes Suscripción]],"/",BBDD_Usiarios_Netflix[[#This Row],[Año Suscripción]]))</f>
        <v>45095</v>
      </c>
      <c r="H817" s="1">
        <v>30</v>
      </c>
      <c r="I817" s="1">
        <v>6</v>
      </c>
      <c r="J817" s="1">
        <v>24</v>
      </c>
      <c r="K817" s="1" t="str">
        <f>TEXT(BBDD_Usiarios_Netflix[[#This Row],[Fecha Suscripción]],"dddd")</f>
        <v>domingo</v>
      </c>
      <c r="L817" s="1">
        <f>DATEVALUE(_xlfn.CONCAT(BBDD_Usiarios_Netflix[[#This Row],[Día Último Pago]],"/",BBDD_Usiarios_Netflix[[#This Row],[Mes Último Pago]],"/",BBDD_Usiarios_Netflix[[#This Row],[Año Último Pago]]))</f>
        <v>45473</v>
      </c>
      <c r="M817" s="4">
        <f>DATEDIF(BBDD_Usiarios_Netflix[[#This Row],[Fecha Suscripción]],BBDD_Usiarios_Netflix[[#This Row],[Fecha Último Pago]],"M")+1</f>
        <v>13</v>
      </c>
      <c r="N817" s="4">
        <f>BBDD_Usiarios_Netflix[[#This Row],[Ingresos Mensuales]]*BBDD_Usiarios_Netflix[[#This Row],[Meses contratados]]</f>
        <v>182</v>
      </c>
      <c r="O817" t="s">
        <v>37</v>
      </c>
      <c r="P817" t="str">
        <f>IF(BBDD_Usiarios_Netflix[[#This Row],[País]]="","Desconocido",BBDD_Usiarios_Netflix[[#This Row],[País]])</f>
        <v>Brasil</v>
      </c>
      <c r="Q817">
        <v>47</v>
      </c>
      <c r="R817" t="s">
        <v>30</v>
      </c>
      <c r="S817" t="s">
        <v>34</v>
      </c>
      <c r="T817" t="s">
        <v>38</v>
      </c>
      <c r="U817">
        <f>IF(IFERROR(VLOOKUP(BBDD_Usiarios_Netflix[[#This Row],[Identificador Usuario]],A818:$A$5870,1,FALSE),0)&lt;&gt;0,1,0)</f>
        <v>0</v>
      </c>
      <c r="V817" s="6" t="str">
        <f>IF(BBDD_Usiarios_Netflix[[#This Row],[Duración Plan]]="12 Meses",LEFT(BBDD_Usiarios_Netflix[[#This Row],[Duración Plan]],2),LEFT(BBDD_Usiarios_Netflix[[#This Row],[Duración Plan]],1))</f>
        <v>3</v>
      </c>
      <c r="W8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18" spans="1:23" x14ac:dyDescent="0.25">
      <c r="A818">
        <v>817</v>
      </c>
      <c r="B818" t="s">
        <v>23</v>
      </c>
      <c r="C818">
        <v>10</v>
      </c>
      <c r="D818" s="3">
        <v>29</v>
      </c>
      <c r="E818" s="3">
        <v>6</v>
      </c>
      <c r="F818">
        <v>23</v>
      </c>
      <c r="G818" s="1">
        <f>DATEVALUE(_xlfn.CONCAT(BBDD_Usiarios_Netflix[[#This Row],[Día Suscripción]],"/",BBDD_Usiarios_Netflix[[#This Row],[Mes Suscripción]],"/",BBDD_Usiarios_Netflix[[#This Row],[Año Suscripción]]))</f>
        <v>45106</v>
      </c>
      <c r="H818" s="1">
        <v>30</v>
      </c>
      <c r="I818" s="1">
        <v>6</v>
      </c>
      <c r="J818" s="1">
        <v>24</v>
      </c>
      <c r="K818" s="1" t="str">
        <f>TEXT(BBDD_Usiarios_Netflix[[#This Row],[Fecha Suscripción]],"dddd")</f>
        <v>jueves</v>
      </c>
      <c r="L818" s="1">
        <f>DATEVALUE(_xlfn.CONCAT(BBDD_Usiarios_Netflix[[#This Row],[Día Último Pago]],"/",BBDD_Usiarios_Netflix[[#This Row],[Mes Último Pago]],"/",BBDD_Usiarios_Netflix[[#This Row],[Año Último Pago]]))</f>
        <v>45473</v>
      </c>
      <c r="M818" s="4">
        <f>DATEDIF(BBDD_Usiarios_Netflix[[#This Row],[Fecha Suscripción]],BBDD_Usiarios_Netflix[[#This Row],[Fecha Último Pago]],"M")+1</f>
        <v>13</v>
      </c>
      <c r="N818" s="4">
        <f>BBDD_Usiarios_Netflix[[#This Row],[Ingresos Mensuales]]*BBDD_Usiarios_Netflix[[#This Row],[Meses contratados]]</f>
        <v>130</v>
      </c>
      <c r="O818" t="s">
        <v>29</v>
      </c>
      <c r="P818" t="str">
        <f>IF(BBDD_Usiarios_Netflix[[#This Row],[País]]="","Desconocido",BBDD_Usiarios_Netflix[[#This Row],[País]])</f>
        <v>EEUU</v>
      </c>
      <c r="Q818">
        <v>31</v>
      </c>
      <c r="R818" t="s">
        <v>30</v>
      </c>
      <c r="S818" t="s">
        <v>31</v>
      </c>
      <c r="T818" t="s">
        <v>27</v>
      </c>
      <c r="U818">
        <f>IF(IFERROR(VLOOKUP(BBDD_Usiarios_Netflix[[#This Row],[Identificador Usuario]],A819:$A$5870,1,FALSE),0)&lt;&gt;0,1,0)</f>
        <v>0</v>
      </c>
      <c r="V818" s="6" t="str">
        <f>IF(BBDD_Usiarios_Netflix[[#This Row],[Duración Plan]]="12 Meses",LEFT(BBDD_Usiarios_Netflix[[#This Row],[Duración Plan]],2),LEFT(BBDD_Usiarios_Netflix[[#This Row],[Duración Plan]],1))</f>
        <v>1</v>
      </c>
      <c r="W8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19" spans="1:23" x14ac:dyDescent="0.25">
      <c r="A819">
        <v>818</v>
      </c>
      <c r="B819" t="s">
        <v>32</v>
      </c>
      <c r="C819">
        <v>12</v>
      </c>
      <c r="D819" s="3">
        <v>30</v>
      </c>
      <c r="E819" s="3">
        <v>6</v>
      </c>
      <c r="F819">
        <v>23</v>
      </c>
      <c r="G819" s="1">
        <f>DATEVALUE(_xlfn.CONCAT(BBDD_Usiarios_Netflix[[#This Row],[Día Suscripción]],"/",BBDD_Usiarios_Netflix[[#This Row],[Mes Suscripción]],"/",BBDD_Usiarios_Netflix[[#This Row],[Año Suscripción]]))</f>
        <v>45107</v>
      </c>
      <c r="H819" s="1">
        <v>28</v>
      </c>
      <c r="I819" s="1">
        <v>6</v>
      </c>
      <c r="J819" s="1">
        <v>24</v>
      </c>
      <c r="K819" s="1" t="str">
        <f>TEXT(BBDD_Usiarios_Netflix[[#This Row],[Fecha Suscripción]],"dddd")</f>
        <v>viernes</v>
      </c>
      <c r="L819" s="1">
        <f>DATEVALUE(_xlfn.CONCAT(BBDD_Usiarios_Netflix[[#This Row],[Día Último Pago]],"/",BBDD_Usiarios_Netflix[[#This Row],[Mes Último Pago]],"/",BBDD_Usiarios_Netflix[[#This Row],[Año Último Pago]]))</f>
        <v>45471</v>
      </c>
      <c r="M819" s="4">
        <f>DATEDIF(BBDD_Usiarios_Netflix[[#This Row],[Fecha Suscripción]],BBDD_Usiarios_Netflix[[#This Row],[Fecha Último Pago]],"M")+1</f>
        <v>12</v>
      </c>
      <c r="N819" s="4">
        <f>BBDD_Usiarios_Netflix[[#This Row],[Ingresos Mensuales]]*BBDD_Usiarios_Netflix[[#This Row],[Meses contratados]]</f>
        <v>144</v>
      </c>
      <c r="O819" t="s">
        <v>24</v>
      </c>
      <c r="P819" t="str">
        <f>IF(BBDD_Usiarios_Netflix[[#This Row],[País]]="","Desconocido",BBDD_Usiarios_Netflix[[#This Row],[País]])</f>
        <v>Australia</v>
      </c>
      <c r="Q819">
        <v>85</v>
      </c>
      <c r="R819" t="s">
        <v>25</v>
      </c>
      <c r="S819" t="s">
        <v>31</v>
      </c>
      <c r="T819" t="s">
        <v>27</v>
      </c>
      <c r="U819">
        <f>IF(IFERROR(VLOOKUP(BBDD_Usiarios_Netflix[[#This Row],[Identificador Usuario]],A820:$A$5870,1,FALSE),0)&lt;&gt;0,1,0)</f>
        <v>0</v>
      </c>
      <c r="V819" s="6" t="str">
        <f>IF(BBDD_Usiarios_Netflix[[#This Row],[Duración Plan]]="12 Meses",LEFT(BBDD_Usiarios_Netflix[[#This Row],[Duración Plan]],2),LEFT(BBDD_Usiarios_Netflix[[#This Row],[Duración Plan]],1))</f>
        <v>1</v>
      </c>
      <c r="W8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20" spans="1:23" x14ac:dyDescent="0.25">
      <c r="A820">
        <v>819</v>
      </c>
      <c r="B820" t="s">
        <v>28</v>
      </c>
      <c r="C820">
        <v>14</v>
      </c>
      <c r="D820" s="3">
        <v>1</v>
      </c>
      <c r="E820" s="3">
        <v>7</v>
      </c>
      <c r="F820">
        <v>23</v>
      </c>
      <c r="G820" s="1">
        <f>DATEVALUE(_xlfn.CONCAT(BBDD_Usiarios_Netflix[[#This Row],[Día Suscripción]],"/",BBDD_Usiarios_Netflix[[#This Row],[Mes Suscripción]],"/",BBDD_Usiarios_Netflix[[#This Row],[Año Suscripción]]))</f>
        <v>45108</v>
      </c>
      <c r="H820" s="1">
        <v>1</v>
      </c>
      <c r="I820" s="1">
        <v>7</v>
      </c>
      <c r="J820" s="1">
        <v>24</v>
      </c>
      <c r="K820" s="1" t="str">
        <f>TEXT(BBDD_Usiarios_Netflix[[#This Row],[Fecha Suscripción]],"dddd")</f>
        <v>sábado</v>
      </c>
      <c r="L820" s="1">
        <f>DATEVALUE(_xlfn.CONCAT(BBDD_Usiarios_Netflix[[#This Row],[Día Último Pago]],"/",BBDD_Usiarios_Netflix[[#This Row],[Mes Último Pago]],"/",BBDD_Usiarios_Netflix[[#This Row],[Año Último Pago]]))</f>
        <v>45474</v>
      </c>
      <c r="M820" s="4">
        <f>DATEDIF(BBDD_Usiarios_Netflix[[#This Row],[Fecha Suscripción]],BBDD_Usiarios_Netflix[[#This Row],[Fecha Último Pago]],"M")+1</f>
        <v>13</v>
      </c>
      <c r="N820" s="4">
        <f>BBDD_Usiarios_Netflix[[#This Row],[Ingresos Mensuales]]*BBDD_Usiarios_Netflix[[#This Row],[Meses contratados]]</f>
        <v>182</v>
      </c>
      <c r="O820" t="s">
        <v>39</v>
      </c>
      <c r="P820" t="str">
        <f>IF(BBDD_Usiarios_Netflix[[#This Row],[País]]="","Desconocido",BBDD_Usiarios_Netflix[[#This Row],[País]])</f>
        <v>Canadá</v>
      </c>
      <c r="Q820">
        <v>50</v>
      </c>
      <c r="R820" t="s">
        <v>25</v>
      </c>
      <c r="S820" t="s">
        <v>36</v>
      </c>
      <c r="T820" t="s">
        <v>41</v>
      </c>
      <c r="U820">
        <f>IF(IFERROR(VLOOKUP(BBDD_Usiarios_Netflix[[#This Row],[Identificador Usuario]],A821:$A$5870,1,FALSE),0)&lt;&gt;0,1,0)</f>
        <v>0</v>
      </c>
      <c r="V820" s="6" t="str">
        <f>IF(BBDD_Usiarios_Netflix[[#This Row],[Duración Plan]]="12 Meses",LEFT(BBDD_Usiarios_Netflix[[#This Row],[Duración Plan]],2),LEFT(BBDD_Usiarios_Netflix[[#This Row],[Duración Plan]],1))</f>
        <v>12</v>
      </c>
      <c r="W8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21" spans="1:23" x14ac:dyDescent="0.25">
      <c r="A821">
        <v>820</v>
      </c>
      <c r="B821" t="s">
        <v>23</v>
      </c>
      <c r="C821">
        <v>10</v>
      </c>
      <c r="D821" s="3">
        <v>7</v>
      </c>
      <c r="E821" s="3">
        <v>7</v>
      </c>
      <c r="F821">
        <v>23</v>
      </c>
      <c r="G821" s="1">
        <f>DATEVALUE(_xlfn.CONCAT(BBDD_Usiarios_Netflix[[#This Row],[Día Suscripción]],"/",BBDD_Usiarios_Netflix[[#This Row],[Mes Suscripción]],"/",BBDD_Usiarios_Netflix[[#This Row],[Año Suscripción]]))</f>
        <v>45114</v>
      </c>
      <c r="H821" s="1">
        <v>30</v>
      </c>
      <c r="I821" s="1">
        <v>6</v>
      </c>
      <c r="J821" s="1">
        <v>24</v>
      </c>
      <c r="K821" s="1" t="str">
        <f>TEXT(BBDD_Usiarios_Netflix[[#This Row],[Fecha Suscripción]],"dddd")</f>
        <v>viernes</v>
      </c>
      <c r="L821" s="1">
        <f>DATEVALUE(_xlfn.CONCAT(BBDD_Usiarios_Netflix[[#This Row],[Día Último Pago]],"/",BBDD_Usiarios_Netflix[[#This Row],[Mes Último Pago]],"/",BBDD_Usiarios_Netflix[[#This Row],[Año Último Pago]]))</f>
        <v>45473</v>
      </c>
      <c r="M821" s="4">
        <f>DATEDIF(BBDD_Usiarios_Netflix[[#This Row],[Fecha Suscripción]],BBDD_Usiarios_Netflix[[#This Row],[Fecha Último Pago]],"M")+1</f>
        <v>12</v>
      </c>
      <c r="N821" s="4">
        <f>BBDD_Usiarios_Netflix[[#This Row],[Ingresos Mensuales]]*BBDD_Usiarios_Netflix[[#This Row],[Meses contratados]]</f>
        <v>120</v>
      </c>
      <c r="O821" t="s">
        <v>29</v>
      </c>
      <c r="P821" t="str">
        <f>IF(BBDD_Usiarios_Netflix[[#This Row],[País]]="","Desconocido",BBDD_Usiarios_Netflix[[#This Row],[País]])</f>
        <v>EEUU</v>
      </c>
      <c r="Q821">
        <v>43</v>
      </c>
      <c r="R821" t="s">
        <v>30</v>
      </c>
      <c r="S821" t="s">
        <v>31</v>
      </c>
      <c r="T821" t="s">
        <v>41</v>
      </c>
      <c r="U821">
        <f>IF(IFERROR(VLOOKUP(BBDD_Usiarios_Netflix[[#This Row],[Identificador Usuario]],A822:$A$5870,1,FALSE),0)&lt;&gt;0,1,0)</f>
        <v>0</v>
      </c>
      <c r="V821" s="6" t="str">
        <f>IF(BBDD_Usiarios_Netflix[[#This Row],[Duración Plan]]="12 Meses",LEFT(BBDD_Usiarios_Netflix[[#This Row],[Duración Plan]],2),LEFT(BBDD_Usiarios_Netflix[[#This Row],[Duración Plan]],1))</f>
        <v>12</v>
      </c>
      <c r="W8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22" spans="1:23" x14ac:dyDescent="0.25">
      <c r="A822">
        <v>821</v>
      </c>
      <c r="B822" t="s">
        <v>23</v>
      </c>
      <c r="C822">
        <v>10</v>
      </c>
      <c r="D822" s="3">
        <v>13</v>
      </c>
      <c r="E822" s="3">
        <v>7</v>
      </c>
      <c r="F822">
        <v>23</v>
      </c>
      <c r="G822" s="1">
        <f>DATEVALUE(_xlfn.CONCAT(BBDD_Usiarios_Netflix[[#This Row],[Día Suscripción]],"/",BBDD_Usiarios_Netflix[[#This Row],[Mes Suscripción]],"/",BBDD_Usiarios_Netflix[[#This Row],[Año Suscripción]]))</f>
        <v>45120</v>
      </c>
      <c r="H822" s="1">
        <v>29</v>
      </c>
      <c r="I822" s="1">
        <v>6</v>
      </c>
      <c r="J822" s="1">
        <v>24</v>
      </c>
      <c r="K822" s="1" t="str">
        <f>TEXT(BBDD_Usiarios_Netflix[[#This Row],[Fecha Suscripción]],"dddd")</f>
        <v>jueves</v>
      </c>
      <c r="L822" s="1">
        <f>DATEVALUE(_xlfn.CONCAT(BBDD_Usiarios_Netflix[[#This Row],[Día Último Pago]],"/",BBDD_Usiarios_Netflix[[#This Row],[Mes Último Pago]],"/",BBDD_Usiarios_Netflix[[#This Row],[Año Último Pago]]))</f>
        <v>45472</v>
      </c>
      <c r="M822" s="4">
        <f>DATEDIF(BBDD_Usiarios_Netflix[[#This Row],[Fecha Suscripción]],BBDD_Usiarios_Netflix[[#This Row],[Fecha Último Pago]],"M")+1</f>
        <v>12</v>
      </c>
      <c r="N822" s="4">
        <f>BBDD_Usiarios_Netflix[[#This Row],[Ingresos Mensuales]]*BBDD_Usiarios_Netflix[[#This Row],[Meses contratados]]</f>
        <v>120</v>
      </c>
      <c r="O822" t="s">
        <v>44</v>
      </c>
      <c r="P822" t="str">
        <f>IF(BBDD_Usiarios_Netflix[[#This Row],[País]]="","Desconocido",BBDD_Usiarios_Netflix[[#This Row],[País]])</f>
        <v>Desconocido</v>
      </c>
      <c r="Q822">
        <v>35</v>
      </c>
      <c r="R822" t="s">
        <v>30</v>
      </c>
      <c r="S822" t="s">
        <v>36</v>
      </c>
      <c r="T822" t="s">
        <v>27</v>
      </c>
      <c r="U822">
        <f>IF(IFERROR(VLOOKUP(BBDD_Usiarios_Netflix[[#This Row],[Identificador Usuario]],A823:$A$5870,1,FALSE),0)&lt;&gt;0,1,0)</f>
        <v>0</v>
      </c>
      <c r="V822" s="6" t="str">
        <f>IF(BBDD_Usiarios_Netflix[[#This Row],[Duración Plan]]="12 Meses",LEFT(BBDD_Usiarios_Netflix[[#This Row],[Duración Plan]],2),LEFT(BBDD_Usiarios_Netflix[[#This Row],[Duración Plan]],1))</f>
        <v>1</v>
      </c>
      <c r="W8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23" spans="1:23" x14ac:dyDescent="0.25">
      <c r="A823">
        <v>822</v>
      </c>
      <c r="B823" t="s">
        <v>23</v>
      </c>
      <c r="C823">
        <v>10</v>
      </c>
      <c r="D823" s="3">
        <v>24</v>
      </c>
      <c r="E823" s="3">
        <v>7</v>
      </c>
      <c r="F823">
        <v>23</v>
      </c>
      <c r="G823" s="1">
        <f>DATEVALUE(_xlfn.CONCAT(BBDD_Usiarios_Netflix[[#This Row],[Día Suscripción]],"/",BBDD_Usiarios_Netflix[[#This Row],[Mes Suscripción]],"/",BBDD_Usiarios_Netflix[[#This Row],[Año Suscripción]]))</f>
        <v>45131</v>
      </c>
      <c r="H823" s="1">
        <v>29</v>
      </c>
      <c r="I823" s="1">
        <v>6</v>
      </c>
      <c r="J823" s="1">
        <v>24</v>
      </c>
      <c r="K823" s="1" t="str">
        <f>TEXT(BBDD_Usiarios_Netflix[[#This Row],[Fecha Suscripción]],"dddd")</f>
        <v>lunes</v>
      </c>
      <c r="L823" s="1">
        <f>DATEVALUE(_xlfn.CONCAT(BBDD_Usiarios_Netflix[[#This Row],[Día Último Pago]],"/",BBDD_Usiarios_Netflix[[#This Row],[Mes Último Pago]],"/",BBDD_Usiarios_Netflix[[#This Row],[Año Último Pago]]))</f>
        <v>45472</v>
      </c>
      <c r="M823" s="4">
        <f>DATEDIF(BBDD_Usiarios_Netflix[[#This Row],[Fecha Suscripción]],BBDD_Usiarios_Netflix[[#This Row],[Fecha Último Pago]],"M")+1</f>
        <v>12</v>
      </c>
      <c r="N823" s="4">
        <f>BBDD_Usiarios_Netflix[[#This Row],[Ingresos Mensuales]]*BBDD_Usiarios_Netflix[[#This Row],[Meses contratados]]</f>
        <v>120</v>
      </c>
      <c r="O823" t="s">
        <v>45</v>
      </c>
      <c r="P823" t="str">
        <f>IF(BBDD_Usiarios_Netflix[[#This Row],[País]]="","Desconocido",BBDD_Usiarios_Netflix[[#This Row],[País]])</f>
        <v>España</v>
      </c>
      <c r="Q823">
        <v>36</v>
      </c>
      <c r="R823" t="s">
        <v>25</v>
      </c>
      <c r="S823" t="s">
        <v>36</v>
      </c>
      <c r="T823" t="s">
        <v>27</v>
      </c>
      <c r="U823">
        <f>IF(IFERROR(VLOOKUP(BBDD_Usiarios_Netflix[[#This Row],[Identificador Usuario]],A824:$A$5870,1,FALSE),0)&lt;&gt;0,1,0)</f>
        <v>0</v>
      </c>
      <c r="V823" s="6" t="str">
        <f>IF(BBDD_Usiarios_Netflix[[#This Row],[Duración Plan]]="12 Meses",LEFT(BBDD_Usiarios_Netflix[[#This Row],[Duración Plan]],2),LEFT(BBDD_Usiarios_Netflix[[#This Row],[Duración Plan]],1))</f>
        <v>1</v>
      </c>
      <c r="W8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24" spans="1:23" x14ac:dyDescent="0.25">
      <c r="A824">
        <v>823</v>
      </c>
      <c r="B824" t="s">
        <v>32</v>
      </c>
      <c r="C824">
        <v>12</v>
      </c>
      <c r="D824" s="3">
        <v>29</v>
      </c>
      <c r="E824" s="3">
        <v>7</v>
      </c>
      <c r="F824">
        <v>23</v>
      </c>
      <c r="G824" s="1">
        <f>DATEVALUE(_xlfn.CONCAT(BBDD_Usiarios_Netflix[[#This Row],[Día Suscripción]],"/",BBDD_Usiarios_Netflix[[#This Row],[Mes Suscripción]],"/",BBDD_Usiarios_Netflix[[#This Row],[Año Suscripción]]))</f>
        <v>45136</v>
      </c>
      <c r="H824" s="1">
        <v>30</v>
      </c>
      <c r="I824" s="1">
        <v>6</v>
      </c>
      <c r="J824" s="1">
        <v>24</v>
      </c>
      <c r="K824" s="1" t="str">
        <f>TEXT(BBDD_Usiarios_Netflix[[#This Row],[Fecha Suscripción]],"dddd")</f>
        <v>sábado</v>
      </c>
      <c r="L824" s="1">
        <f>DATEVALUE(_xlfn.CONCAT(BBDD_Usiarios_Netflix[[#This Row],[Día Último Pago]],"/",BBDD_Usiarios_Netflix[[#This Row],[Mes Último Pago]],"/",BBDD_Usiarios_Netflix[[#This Row],[Año Último Pago]]))</f>
        <v>45473</v>
      </c>
      <c r="M824" s="4">
        <f>DATEDIF(BBDD_Usiarios_Netflix[[#This Row],[Fecha Suscripción]],BBDD_Usiarios_Netflix[[#This Row],[Fecha Último Pago]],"M")+1</f>
        <v>12</v>
      </c>
      <c r="N824" s="4">
        <f>BBDD_Usiarios_Netflix[[#This Row],[Ingresos Mensuales]]*BBDD_Usiarios_Netflix[[#This Row],[Meses contratados]]</f>
        <v>144</v>
      </c>
      <c r="O824" t="s">
        <v>24</v>
      </c>
      <c r="P824" t="str">
        <f>IF(BBDD_Usiarios_Netflix[[#This Row],[País]]="","Desconocido",BBDD_Usiarios_Netflix[[#This Row],[País]])</f>
        <v>Australia</v>
      </c>
      <c r="Q824">
        <v>30</v>
      </c>
      <c r="R824" t="s">
        <v>25</v>
      </c>
      <c r="S824" t="s">
        <v>26</v>
      </c>
      <c r="T824" t="s">
        <v>27</v>
      </c>
      <c r="U824">
        <f>IF(IFERROR(VLOOKUP(BBDD_Usiarios_Netflix[[#This Row],[Identificador Usuario]],A825:$A$5870,1,FALSE),0)&lt;&gt;0,1,0)</f>
        <v>0</v>
      </c>
      <c r="V824" s="6" t="str">
        <f>IF(BBDD_Usiarios_Netflix[[#This Row],[Duración Plan]]="12 Meses",LEFT(BBDD_Usiarios_Netflix[[#This Row],[Duración Plan]],2),LEFT(BBDD_Usiarios_Netflix[[#This Row],[Duración Plan]],1))</f>
        <v>1</v>
      </c>
      <c r="W8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25" spans="1:23" x14ac:dyDescent="0.25">
      <c r="A825">
        <v>824</v>
      </c>
      <c r="B825" t="s">
        <v>28</v>
      </c>
      <c r="C825">
        <v>14</v>
      </c>
      <c r="D825" s="3">
        <v>31</v>
      </c>
      <c r="E825" s="3">
        <v>7</v>
      </c>
      <c r="F825">
        <v>23</v>
      </c>
      <c r="G825" s="1">
        <f>DATEVALUE(_xlfn.CONCAT(BBDD_Usiarios_Netflix[[#This Row],[Día Suscripción]],"/",BBDD_Usiarios_Netflix[[#This Row],[Mes Suscripción]],"/",BBDD_Usiarios_Netflix[[#This Row],[Año Suscripción]]))</f>
        <v>45138</v>
      </c>
      <c r="H825" s="1">
        <v>30</v>
      </c>
      <c r="I825" s="1">
        <v>6</v>
      </c>
      <c r="J825" s="1">
        <v>24</v>
      </c>
      <c r="K825" s="1" t="str">
        <f>TEXT(BBDD_Usiarios_Netflix[[#This Row],[Fecha Suscripción]],"dddd")</f>
        <v>lunes</v>
      </c>
      <c r="L825" s="1">
        <f>DATEVALUE(_xlfn.CONCAT(BBDD_Usiarios_Netflix[[#This Row],[Día Último Pago]],"/",BBDD_Usiarios_Netflix[[#This Row],[Mes Último Pago]],"/",BBDD_Usiarios_Netflix[[#This Row],[Año Último Pago]]))</f>
        <v>45473</v>
      </c>
      <c r="M825" s="4">
        <f>DATEDIF(BBDD_Usiarios_Netflix[[#This Row],[Fecha Suscripción]],BBDD_Usiarios_Netflix[[#This Row],[Fecha Último Pago]],"M")+1</f>
        <v>11</v>
      </c>
      <c r="N825" s="4">
        <f>BBDD_Usiarios_Netflix[[#This Row],[Ingresos Mensuales]]*BBDD_Usiarios_Netflix[[#This Row],[Meses contratados]]</f>
        <v>154</v>
      </c>
      <c r="O825" t="s">
        <v>42</v>
      </c>
      <c r="P825" t="str">
        <f>IF(BBDD_Usiarios_Netflix[[#This Row],[País]]="","Desconocido",BBDD_Usiarios_Netflix[[#This Row],[País]])</f>
        <v>Reino Unido</v>
      </c>
      <c r="Q825">
        <v>47</v>
      </c>
      <c r="R825" t="s">
        <v>30</v>
      </c>
      <c r="S825" t="s">
        <v>26</v>
      </c>
      <c r="T825" t="s">
        <v>27</v>
      </c>
      <c r="U825">
        <f>IF(IFERROR(VLOOKUP(BBDD_Usiarios_Netflix[[#This Row],[Identificador Usuario]],A826:$A$5870,1,FALSE),0)&lt;&gt;0,1,0)</f>
        <v>0</v>
      </c>
      <c r="V825" s="6" t="str">
        <f>IF(BBDD_Usiarios_Netflix[[#This Row],[Duración Plan]]="12 Meses",LEFT(BBDD_Usiarios_Netflix[[#This Row],[Duración Plan]],2),LEFT(BBDD_Usiarios_Netflix[[#This Row],[Duración Plan]],1))</f>
        <v>1</v>
      </c>
      <c r="W8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26" spans="1:23" x14ac:dyDescent="0.25">
      <c r="A826">
        <v>825</v>
      </c>
      <c r="B826" t="s">
        <v>23</v>
      </c>
      <c r="C826">
        <v>10</v>
      </c>
      <c r="D826" s="3">
        <v>9</v>
      </c>
      <c r="E826" s="3">
        <v>8</v>
      </c>
      <c r="F826">
        <v>23</v>
      </c>
      <c r="G826" s="1">
        <f>DATEVALUE(_xlfn.CONCAT(BBDD_Usiarios_Netflix[[#This Row],[Día Suscripción]],"/",BBDD_Usiarios_Netflix[[#This Row],[Mes Suscripción]],"/",BBDD_Usiarios_Netflix[[#This Row],[Año Suscripción]]))</f>
        <v>45147</v>
      </c>
      <c r="H826" s="1">
        <v>30</v>
      </c>
      <c r="I826" s="1">
        <v>6</v>
      </c>
      <c r="J826" s="1">
        <v>24</v>
      </c>
      <c r="K826" s="1" t="str">
        <f>TEXT(BBDD_Usiarios_Netflix[[#This Row],[Fecha Suscripción]],"dddd")</f>
        <v>miércoles</v>
      </c>
      <c r="L826" s="1">
        <f>DATEVALUE(_xlfn.CONCAT(BBDD_Usiarios_Netflix[[#This Row],[Día Último Pago]],"/",BBDD_Usiarios_Netflix[[#This Row],[Mes Último Pago]],"/",BBDD_Usiarios_Netflix[[#This Row],[Año Último Pago]]))</f>
        <v>45473</v>
      </c>
      <c r="M826" s="4">
        <f>DATEDIF(BBDD_Usiarios_Netflix[[#This Row],[Fecha Suscripción]],BBDD_Usiarios_Netflix[[#This Row],[Fecha Último Pago]],"M")+1</f>
        <v>11</v>
      </c>
      <c r="N826" s="4">
        <f>BBDD_Usiarios_Netflix[[#This Row],[Ingresos Mensuales]]*BBDD_Usiarios_Netflix[[#This Row],[Meses contratados]]</f>
        <v>110</v>
      </c>
      <c r="O826" t="s">
        <v>44</v>
      </c>
      <c r="P826" t="str">
        <f>IF(BBDD_Usiarios_Netflix[[#This Row],[País]]="","Desconocido",BBDD_Usiarios_Netflix[[#This Row],[País]])</f>
        <v>Desconocido</v>
      </c>
      <c r="Q826">
        <v>30</v>
      </c>
      <c r="R826" t="s">
        <v>30</v>
      </c>
      <c r="S826" t="s">
        <v>36</v>
      </c>
      <c r="T826" t="s">
        <v>35</v>
      </c>
      <c r="U826">
        <f>IF(IFERROR(VLOOKUP(BBDD_Usiarios_Netflix[[#This Row],[Identificador Usuario]],A827:$A$5870,1,FALSE),0)&lt;&gt;0,1,0)</f>
        <v>0</v>
      </c>
      <c r="V826" s="6" t="str">
        <f>IF(BBDD_Usiarios_Netflix[[#This Row],[Duración Plan]]="12 Meses",LEFT(BBDD_Usiarios_Netflix[[#This Row],[Duración Plan]],2),LEFT(BBDD_Usiarios_Netflix[[#This Row],[Duración Plan]],1))</f>
        <v>6</v>
      </c>
      <c r="W8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27" spans="1:23" x14ac:dyDescent="0.25">
      <c r="A827">
        <v>826</v>
      </c>
      <c r="B827" t="s">
        <v>23</v>
      </c>
      <c r="C827">
        <v>10</v>
      </c>
      <c r="D827" s="3">
        <v>18</v>
      </c>
      <c r="E827" s="3">
        <v>8</v>
      </c>
      <c r="F827">
        <v>23</v>
      </c>
      <c r="G827" s="1">
        <f>DATEVALUE(_xlfn.CONCAT(BBDD_Usiarios_Netflix[[#This Row],[Día Suscripción]],"/",BBDD_Usiarios_Netflix[[#This Row],[Mes Suscripción]],"/",BBDD_Usiarios_Netflix[[#This Row],[Año Suscripción]]))</f>
        <v>45156</v>
      </c>
      <c r="H827" s="1">
        <v>1</v>
      </c>
      <c r="I827" s="1">
        <v>7</v>
      </c>
      <c r="J827" s="1">
        <v>24</v>
      </c>
      <c r="K827" s="1" t="str">
        <f>TEXT(BBDD_Usiarios_Netflix[[#This Row],[Fecha Suscripción]],"dddd")</f>
        <v>viernes</v>
      </c>
      <c r="L827" s="1">
        <f>DATEVALUE(_xlfn.CONCAT(BBDD_Usiarios_Netflix[[#This Row],[Día Último Pago]],"/",BBDD_Usiarios_Netflix[[#This Row],[Mes Último Pago]],"/",BBDD_Usiarios_Netflix[[#This Row],[Año Último Pago]]))</f>
        <v>45474</v>
      </c>
      <c r="M827" s="4">
        <f>DATEDIF(BBDD_Usiarios_Netflix[[#This Row],[Fecha Suscripción]],BBDD_Usiarios_Netflix[[#This Row],[Fecha Último Pago]],"M")+1</f>
        <v>11</v>
      </c>
      <c r="N827" s="4">
        <f>BBDD_Usiarios_Netflix[[#This Row],[Ingresos Mensuales]]*BBDD_Usiarios_Netflix[[#This Row],[Meses contratados]]</f>
        <v>110</v>
      </c>
      <c r="O827" t="s">
        <v>39</v>
      </c>
      <c r="P827" t="str">
        <f>IF(BBDD_Usiarios_Netflix[[#This Row],[País]]="","Desconocido",BBDD_Usiarios_Netflix[[#This Row],[País]])</f>
        <v>Canadá</v>
      </c>
      <c r="Q827">
        <v>37</v>
      </c>
      <c r="R827" t="s">
        <v>25</v>
      </c>
      <c r="S827" t="s">
        <v>34</v>
      </c>
      <c r="T827" t="s">
        <v>27</v>
      </c>
      <c r="U827">
        <f>IF(IFERROR(VLOOKUP(BBDD_Usiarios_Netflix[[#This Row],[Identificador Usuario]],A828:$A$5870,1,FALSE),0)&lt;&gt;0,1,0)</f>
        <v>0</v>
      </c>
      <c r="V827" s="6" t="str">
        <f>IF(BBDD_Usiarios_Netflix[[#This Row],[Duración Plan]]="12 Meses",LEFT(BBDD_Usiarios_Netflix[[#This Row],[Duración Plan]],2),LEFT(BBDD_Usiarios_Netflix[[#This Row],[Duración Plan]],1))</f>
        <v>1</v>
      </c>
      <c r="W8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28" spans="1:23" x14ac:dyDescent="0.25">
      <c r="A828">
        <v>827</v>
      </c>
      <c r="B828" t="s">
        <v>28</v>
      </c>
      <c r="C828">
        <v>14</v>
      </c>
      <c r="D828" s="3">
        <v>20</v>
      </c>
      <c r="E828" s="3">
        <v>8</v>
      </c>
      <c r="F828">
        <v>23</v>
      </c>
      <c r="G828" s="1">
        <f>DATEVALUE(_xlfn.CONCAT(BBDD_Usiarios_Netflix[[#This Row],[Día Suscripción]],"/",BBDD_Usiarios_Netflix[[#This Row],[Mes Suscripción]],"/",BBDD_Usiarios_Netflix[[#This Row],[Año Suscripción]]))</f>
        <v>45158</v>
      </c>
      <c r="H828" s="1">
        <v>30</v>
      </c>
      <c r="I828" s="1">
        <v>6</v>
      </c>
      <c r="J828" s="1">
        <v>24</v>
      </c>
      <c r="K828" s="1" t="str">
        <f>TEXT(BBDD_Usiarios_Netflix[[#This Row],[Fecha Suscripción]],"dddd")</f>
        <v>domingo</v>
      </c>
      <c r="L828" s="1">
        <f>DATEVALUE(_xlfn.CONCAT(BBDD_Usiarios_Netflix[[#This Row],[Día Último Pago]],"/",BBDD_Usiarios_Netflix[[#This Row],[Mes Último Pago]],"/",BBDD_Usiarios_Netflix[[#This Row],[Año Último Pago]]))</f>
        <v>45473</v>
      </c>
      <c r="M828" s="4">
        <f>DATEDIF(BBDD_Usiarios_Netflix[[#This Row],[Fecha Suscripción]],BBDD_Usiarios_Netflix[[#This Row],[Fecha Último Pago]],"M")+1</f>
        <v>11</v>
      </c>
      <c r="N828" s="4">
        <f>BBDD_Usiarios_Netflix[[#This Row],[Ingresos Mensuales]]*BBDD_Usiarios_Netflix[[#This Row],[Meses contratados]]</f>
        <v>154</v>
      </c>
      <c r="O828" t="s">
        <v>33</v>
      </c>
      <c r="P828" t="str">
        <f>IF(BBDD_Usiarios_Netflix[[#This Row],[País]]="","Desconocido",BBDD_Usiarios_Netflix[[#This Row],[País]])</f>
        <v>Francia</v>
      </c>
      <c r="Q828">
        <v>34</v>
      </c>
      <c r="R828" t="s">
        <v>25</v>
      </c>
      <c r="S828" t="s">
        <v>26</v>
      </c>
      <c r="T828" t="s">
        <v>35</v>
      </c>
      <c r="U828">
        <f>IF(IFERROR(VLOOKUP(BBDD_Usiarios_Netflix[[#This Row],[Identificador Usuario]],A829:$A$5870,1,FALSE),0)&lt;&gt;0,1,0)</f>
        <v>0</v>
      </c>
      <c r="V828" s="6" t="str">
        <f>IF(BBDD_Usiarios_Netflix[[#This Row],[Duración Plan]]="12 Meses",LEFT(BBDD_Usiarios_Netflix[[#This Row],[Duración Plan]],2),LEFT(BBDD_Usiarios_Netflix[[#This Row],[Duración Plan]],1))</f>
        <v>6</v>
      </c>
      <c r="W8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29" spans="1:23" x14ac:dyDescent="0.25">
      <c r="A829">
        <v>828</v>
      </c>
      <c r="B829" t="s">
        <v>32</v>
      </c>
      <c r="C829">
        <v>12</v>
      </c>
      <c r="D829" s="3">
        <v>30</v>
      </c>
      <c r="E829" s="3">
        <v>8</v>
      </c>
      <c r="F829">
        <v>23</v>
      </c>
      <c r="G829" s="1">
        <f>DATEVALUE(_xlfn.CONCAT(BBDD_Usiarios_Netflix[[#This Row],[Día Suscripción]],"/",BBDD_Usiarios_Netflix[[#This Row],[Mes Suscripción]],"/",BBDD_Usiarios_Netflix[[#This Row],[Año Suscripción]]))</f>
        <v>45168</v>
      </c>
      <c r="H829" s="1">
        <v>30</v>
      </c>
      <c r="I829" s="1">
        <v>6</v>
      </c>
      <c r="J829" s="1">
        <v>24</v>
      </c>
      <c r="K829" s="1" t="str">
        <f>TEXT(BBDD_Usiarios_Netflix[[#This Row],[Fecha Suscripción]],"dddd")</f>
        <v>miércoles</v>
      </c>
      <c r="L829" s="1">
        <f>DATEVALUE(_xlfn.CONCAT(BBDD_Usiarios_Netflix[[#This Row],[Día Último Pago]],"/",BBDD_Usiarios_Netflix[[#This Row],[Mes Último Pago]],"/",BBDD_Usiarios_Netflix[[#This Row],[Año Último Pago]]))</f>
        <v>45473</v>
      </c>
      <c r="M829" s="4">
        <f>DATEDIF(BBDD_Usiarios_Netflix[[#This Row],[Fecha Suscripción]],BBDD_Usiarios_Netflix[[#This Row],[Fecha Último Pago]],"M")+1</f>
        <v>11</v>
      </c>
      <c r="N829" s="4">
        <f>BBDD_Usiarios_Netflix[[#This Row],[Ingresos Mensuales]]*BBDD_Usiarios_Netflix[[#This Row],[Meses contratados]]</f>
        <v>132</v>
      </c>
      <c r="O829" t="s">
        <v>42</v>
      </c>
      <c r="P829" t="str">
        <f>IF(BBDD_Usiarios_Netflix[[#This Row],[País]]="","Desconocido",BBDD_Usiarios_Netflix[[#This Row],[País]])</f>
        <v>Reino Unido</v>
      </c>
      <c r="Q829">
        <v>33</v>
      </c>
      <c r="R829" t="s">
        <v>30</v>
      </c>
      <c r="S829" t="s">
        <v>34</v>
      </c>
      <c r="T829" t="s">
        <v>35</v>
      </c>
      <c r="U829">
        <f>IF(IFERROR(VLOOKUP(BBDD_Usiarios_Netflix[[#This Row],[Identificador Usuario]],A830:$A$5870,1,FALSE),0)&lt;&gt;0,1,0)</f>
        <v>0</v>
      </c>
      <c r="V829" s="6" t="str">
        <f>IF(BBDD_Usiarios_Netflix[[#This Row],[Duración Plan]]="12 Meses",LEFT(BBDD_Usiarios_Netflix[[#This Row],[Duración Plan]],2),LEFT(BBDD_Usiarios_Netflix[[#This Row],[Duración Plan]],1))</f>
        <v>6</v>
      </c>
      <c r="W8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30" spans="1:23" x14ac:dyDescent="0.25">
      <c r="A830">
        <v>829</v>
      </c>
      <c r="B830" t="s">
        <v>32</v>
      </c>
      <c r="C830">
        <v>12</v>
      </c>
      <c r="D830" s="3">
        <v>1</v>
      </c>
      <c r="E830" s="3">
        <v>9</v>
      </c>
      <c r="F830">
        <v>23</v>
      </c>
      <c r="G830" s="1">
        <f>DATEVALUE(_xlfn.CONCAT(BBDD_Usiarios_Netflix[[#This Row],[Día Suscripción]],"/",BBDD_Usiarios_Netflix[[#This Row],[Mes Suscripción]],"/",BBDD_Usiarios_Netflix[[#This Row],[Año Suscripción]]))</f>
        <v>45170</v>
      </c>
      <c r="H830" s="1">
        <v>29</v>
      </c>
      <c r="I830" s="1">
        <v>6</v>
      </c>
      <c r="J830" s="1">
        <v>24</v>
      </c>
      <c r="K830" s="1" t="str">
        <f>TEXT(BBDD_Usiarios_Netflix[[#This Row],[Fecha Suscripción]],"dddd")</f>
        <v>viernes</v>
      </c>
      <c r="L830" s="1">
        <f>DATEVALUE(_xlfn.CONCAT(BBDD_Usiarios_Netflix[[#This Row],[Día Último Pago]],"/",BBDD_Usiarios_Netflix[[#This Row],[Mes Último Pago]],"/",BBDD_Usiarios_Netflix[[#This Row],[Año Último Pago]]))</f>
        <v>45472</v>
      </c>
      <c r="M830" s="4">
        <f>DATEDIF(BBDD_Usiarios_Netflix[[#This Row],[Fecha Suscripción]],BBDD_Usiarios_Netflix[[#This Row],[Fecha Último Pago]],"M")+1</f>
        <v>10</v>
      </c>
      <c r="N830" s="4">
        <f>BBDD_Usiarios_Netflix[[#This Row],[Ingresos Mensuales]]*BBDD_Usiarios_Netflix[[#This Row],[Meses contratados]]</f>
        <v>120</v>
      </c>
      <c r="O830" t="s">
        <v>29</v>
      </c>
      <c r="P830" t="str">
        <f>IF(BBDD_Usiarios_Netflix[[#This Row],[País]]="","Desconocido",BBDD_Usiarios_Netflix[[#This Row],[País]])</f>
        <v>EEUU</v>
      </c>
      <c r="Q830">
        <v>31</v>
      </c>
      <c r="R830" t="s">
        <v>25</v>
      </c>
      <c r="S830" t="s">
        <v>31</v>
      </c>
      <c r="T830" t="s">
        <v>27</v>
      </c>
      <c r="U830">
        <f>IF(IFERROR(VLOOKUP(BBDD_Usiarios_Netflix[[#This Row],[Identificador Usuario]],A831:$A$5870,1,FALSE),0)&lt;&gt;0,1,0)</f>
        <v>0</v>
      </c>
      <c r="V830" s="6" t="str">
        <f>IF(BBDD_Usiarios_Netflix[[#This Row],[Duración Plan]]="12 Meses",LEFT(BBDD_Usiarios_Netflix[[#This Row],[Duración Plan]],2),LEFT(BBDD_Usiarios_Netflix[[#This Row],[Duración Plan]],1))</f>
        <v>1</v>
      </c>
      <c r="W8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31" spans="1:23" x14ac:dyDescent="0.25">
      <c r="A831">
        <v>830</v>
      </c>
      <c r="B831" t="s">
        <v>23</v>
      </c>
      <c r="C831">
        <v>10</v>
      </c>
      <c r="D831" s="3">
        <v>2</v>
      </c>
      <c r="E831" s="3">
        <v>9</v>
      </c>
      <c r="F831">
        <v>23</v>
      </c>
      <c r="G831" s="1">
        <f>DATEVALUE(_xlfn.CONCAT(BBDD_Usiarios_Netflix[[#This Row],[Día Suscripción]],"/",BBDD_Usiarios_Netflix[[#This Row],[Mes Suscripción]],"/",BBDD_Usiarios_Netflix[[#This Row],[Año Suscripción]]))</f>
        <v>45171</v>
      </c>
      <c r="H831" s="1">
        <v>3</v>
      </c>
      <c r="I831" s="1">
        <v>7</v>
      </c>
      <c r="J831" s="1">
        <v>24</v>
      </c>
      <c r="K831" s="1" t="str">
        <f>TEXT(BBDD_Usiarios_Netflix[[#This Row],[Fecha Suscripción]],"dddd")</f>
        <v>sábado</v>
      </c>
      <c r="L831" s="1">
        <f>DATEVALUE(_xlfn.CONCAT(BBDD_Usiarios_Netflix[[#This Row],[Día Último Pago]],"/",BBDD_Usiarios_Netflix[[#This Row],[Mes Último Pago]],"/",BBDD_Usiarios_Netflix[[#This Row],[Año Último Pago]]))</f>
        <v>45476</v>
      </c>
      <c r="M831" s="4">
        <f>DATEDIF(BBDD_Usiarios_Netflix[[#This Row],[Fecha Suscripción]],BBDD_Usiarios_Netflix[[#This Row],[Fecha Último Pago]],"M")+1</f>
        <v>11</v>
      </c>
      <c r="N831" s="4">
        <f>BBDD_Usiarios_Netflix[[#This Row],[Ingresos Mensuales]]*BBDD_Usiarios_Netflix[[#This Row],[Meses contratados]]</f>
        <v>110</v>
      </c>
      <c r="O831" t="s">
        <v>43</v>
      </c>
      <c r="P831" t="str">
        <f>IF(BBDD_Usiarios_Netflix[[#This Row],[País]]="","Desconocido",BBDD_Usiarios_Netflix[[#This Row],[País]])</f>
        <v>Alemania</v>
      </c>
      <c r="Q831">
        <v>30</v>
      </c>
      <c r="R831" t="s">
        <v>30</v>
      </c>
      <c r="S831" t="s">
        <v>26</v>
      </c>
      <c r="T831" t="s">
        <v>38</v>
      </c>
      <c r="U831">
        <f>IF(IFERROR(VLOOKUP(BBDD_Usiarios_Netflix[[#This Row],[Identificador Usuario]],A832:$A$5870,1,FALSE),0)&lt;&gt;0,1,0)</f>
        <v>0</v>
      </c>
      <c r="V831" s="6" t="str">
        <f>IF(BBDD_Usiarios_Netflix[[#This Row],[Duración Plan]]="12 Meses",LEFT(BBDD_Usiarios_Netflix[[#This Row],[Duración Plan]],2),LEFT(BBDD_Usiarios_Netflix[[#This Row],[Duración Plan]],1))</f>
        <v>3</v>
      </c>
      <c r="W8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32" spans="1:23" x14ac:dyDescent="0.25">
      <c r="A832">
        <v>831</v>
      </c>
      <c r="B832" t="s">
        <v>28</v>
      </c>
      <c r="C832">
        <v>14</v>
      </c>
      <c r="D832" s="3">
        <v>2</v>
      </c>
      <c r="E832" s="3">
        <v>9</v>
      </c>
      <c r="F832">
        <v>23</v>
      </c>
      <c r="G832" s="1">
        <f>DATEVALUE(_xlfn.CONCAT(BBDD_Usiarios_Netflix[[#This Row],[Día Suscripción]],"/",BBDD_Usiarios_Netflix[[#This Row],[Mes Suscripción]],"/",BBDD_Usiarios_Netflix[[#This Row],[Año Suscripción]]))</f>
        <v>45171</v>
      </c>
      <c r="H832" s="1">
        <v>29</v>
      </c>
      <c r="I832" s="1">
        <v>6</v>
      </c>
      <c r="J832" s="1">
        <v>24</v>
      </c>
      <c r="K832" s="1" t="str">
        <f>TEXT(BBDD_Usiarios_Netflix[[#This Row],[Fecha Suscripción]],"dddd")</f>
        <v>sábado</v>
      </c>
      <c r="L832" s="1">
        <f>DATEVALUE(_xlfn.CONCAT(BBDD_Usiarios_Netflix[[#This Row],[Día Último Pago]],"/",BBDD_Usiarios_Netflix[[#This Row],[Mes Último Pago]],"/",BBDD_Usiarios_Netflix[[#This Row],[Año Último Pago]]))</f>
        <v>45472</v>
      </c>
      <c r="M832" s="4">
        <f>DATEDIF(BBDD_Usiarios_Netflix[[#This Row],[Fecha Suscripción]],BBDD_Usiarios_Netflix[[#This Row],[Fecha Último Pago]],"M")+1</f>
        <v>10</v>
      </c>
      <c r="N832" s="4">
        <f>BBDD_Usiarios_Netflix[[#This Row],[Ingresos Mensuales]]*BBDD_Usiarios_Netflix[[#This Row],[Meses contratados]]</f>
        <v>140</v>
      </c>
      <c r="O832" t="s">
        <v>45</v>
      </c>
      <c r="P832" t="str">
        <f>IF(BBDD_Usiarios_Netflix[[#This Row],[País]]="","Desconocido",BBDD_Usiarios_Netflix[[#This Row],[País]])</f>
        <v>España</v>
      </c>
      <c r="Q832">
        <v>35</v>
      </c>
      <c r="R832" t="s">
        <v>25</v>
      </c>
      <c r="S832" t="s">
        <v>26</v>
      </c>
      <c r="T832" t="s">
        <v>38</v>
      </c>
      <c r="U832">
        <f>IF(IFERROR(VLOOKUP(BBDD_Usiarios_Netflix[[#This Row],[Identificador Usuario]],A833:$A$5870,1,FALSE),0)&lt;&gt;0,1,0)</f>
        <v>0</v>
      </c>
      <c r="V832" s="6" t="str">
        <f>IF(BBDD_Usiarios_Netflix[[#This Row],[Duración Plan]]="12 Meses",LEFT(BBDD_Usiarios_Netflix[[#This Row],[Duración Plan]],2),LEFT(BBDD_Usiarios_Netflix[[#This Row],[Duración Plan]],1))</f>
        <v>3</v>
      </c>
      <c r="W8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33" spans="1:23" x14ac:dyDescent="0.25">
      <c r="A833">
        <v>832</v>
      </c>
      <c r="B833" t="s">
        <v>32</v>
      </c>
      <c r="C833">
        <v>12</v>
      </c>
      <c r="D833" s="3">
        <v>15</v>
      </c>
      <c r="E833" s="3">
        <v>9</v>
      </c>
      <c r="F833">
        <v>23</v>
      </c>
      <c r="G833" s="1">
        <f>DATEVALUE(_xlfn.CONCAT(BBDD_Usiarios_Netflix[[#This Row],[Día Suscripción]],"/",BBDD_Usiarios_Netflix[[#This Row],[Mes Suscripción]],"/",BBDD_Usiarios_Netflix[[#This Row],[Año Suscripción]]))</f>
        <v>45184</v>
      </c>
      <c r="H833" s="1">
        <v>2</v>
      </c>
      <c r="I833" s="1">
        <v>7</v>
      </c>
      <c r="J833" s="1">
        <v>24</v>
      </c>
      <c r="K833" s="1" t="str">
        <f>TEXT(BBDD_Usiarios_Netflix[[#This Row],[Fecha Suscripción]],"dddd")</f>
        <v>viernes</v>
      </c>
      <c r="L833" s="1">
        <f>DATEVALUE(_xlfn.CONCAT(BBDD_Usiarios_Netflix[[#This Row],[Día Último Pago]],"/",BBDD_Usiarios_Netflix[[#This Row],[Mes Último Pago]],"/",BBDD_Usiarios_Netflix[[#This Row],[Año Último Pago]]))</f>
        <v>45475</v>
      </c>
      <c r="M833" s="4">
        <f>DATEDIF(BBDD_Usiarios_Netflix[[#This Row],[Fecha Suscripción]],BBDD_Usiarios_Netflix[[#This Row],[Fecha Último Pago]],"M")+1</f>
        <v>10</v>
      </c>
      <c r="N833" s="4">
        <f>BBDD_Usiarios_Netflix[[#This Row],[Ingresos Mensuales]]*BBDD_Usiarios_Netflix[[#This Row],[Meses contratados]]</f>
        <v>120</v>
      </c>
      <c r="O833" t="s">
        <v>24</v>
      </c>
      <c r="P833" t="str">
        <f>IF(BBDD_Usiarios_Netflix[[#This Row],[País]]="","Desconocido",BBDD_Usiarios_Netflix[[#This Row],[País]])</f>
        <v>Australia</v>
      </c>
      <c r="Q833">
        <v>82</v>
      </c>
      <c r="R833" t="s">
        <v>30</v>
      </c>
      <c r="S833" t="s">
        <v>31</v>
      </c>
      <c r="T833" t="s">
        <v>27</v>
      </c>
      <c r="U833">
        <f>IF(IFERROR(VLOOKUP(BBDD_Usiarios_Netflix[[#This Row],[Identificador Usuario]],A834:$A$5870,1,FALSE),0)&lt;&gt;0,1,0)</f>
        <v>0</v>
      </c>
      <c r="V833" s="6" t="str">
        <f>IF(BBDD_Usiarios_Netflix[[#This Row],[Duración Plan]]="12 Meses",LEFT(BBDD_Usiarios_Netflix[[#This Row],[Duración Plan]],2),LEFT(BBDD_Usiarios_Netflix[[#This Row],[Duración Plan]],1))</f>
        <v>1</v>
      </c>
      <c r="W8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34" spans="1:23" x14ac:dyDescent="0.25">
      <c r="A834">
        <v>833</v>
      </c>
      <c r="B834" t="s">
        <v>23</v>
      </c>
      <c r="C834">
        <v>10</v>
      </c>
      <c r="D834" s="3">
        <v>17</v>
      </c>
      <c r="E834" s="3">
        <v>9</v>
      </c>
      <c r="F834">
        <v>23</v>
      </c>
      <c r="G834" s="1">
        <f>DATEVALUE(_xlfn.CONCAT(BBDD_Usiarios_Netflix[[#This Row],[Día Suscripción]],"/",BBDD_Usiarios_Netflix[[#This Row],[Mes Suscripción]],"/",BBDD_Usiarios_Netflix[[#This Row],[Año Suscripción]]))</f>
        <v>45186</v>
      </c>
      <c r="H834" s="1">
        <v>29</v>
      </c>
      <c r="I834" s="1">
        <v>6</v>
      </c>
      <c r="J834" s="1">
        <v>24</v>
      </c>
      <c r="K834" s="1" t="str">
        <f>TEXT(BBDD_Usiarios_Netflix[[#This Row],[Fecha Suscripción]],"dddd")</f>
        <v>domingo</v>
      </c>
      <c r="L834" s="1">
        <f>DATEVALUE(_xlfn.CONCAT(BBDD_Usiarios_Netflix[[#This Row],[Día Último Pago]],"/",BBDD_Usiarios_Netflix[[#This Row],[Mes Último Pago]],"/",BBDD_Usiarios_Netflix[[#This Row],[Año Último Pago]]))</f>
        <v>45472</v>
      </c>
      <c r="M834" s="4">
        <f>DATEDIF(BBDD_Usiarios_Netflix[[#This Row],[Fecha Suscripción]],BBDD_Usiarios_Netflix[[#This Row],[Fecha Último Pago]],"M")+1</f>
        <v>10</v>
      </c>
      <c r="N834" s="4">
        <f>BBDD_Usiarios_Netflix[[#This Row],[Ingresos Mensuales]]*BBDD_Usiarios_Netflix[[#This Row],[Meses contratados]]</f>
        <v>100</v>
      </c>
      <c r="O834" t="s">
        <v>24</v>
      </c>
      <c r="P834" t="str">
        <f>IF(BBDD_Usiarios_Netflix[[#This Row],[País]]="","Desconocido",BBDD_Usiarios_Netflix[[#This Row],[País]])</f>
        <v>Australia</v>
      </c>
      <c r="Q834">
        <v>29</v>
      </c>
      <c r="R834" t="s">
        <v>25</v>
      </c>
      <c r="S834" t="s">
        <v>26</v>
      </c>
      <c r="T834" t="s">
        <v>38</v>
      </c>
      <c r="U834">
        <f>IF(IFERROR(VLOOKUP(BBDD_Usiarios_Netflix[[#This Row],[Identificador Usuario]],A835:$A$5870,1,FALSE),0)&lt;&gt;0,1,0)</f>
        <v>0</v>
      </c>
      <c r="V834" s="6" t="str">
        <f>IF(BBDD_Usiarios_Netflix[[#This Row],[Duración Plan]]="12 Meses",LEFT(BBDD_Usiarios_Netflix[[#This Row],[Duración Plan]],2),LEFT(BBDD_Usiarios_Netflix[[#This Row],[Duración Plan]],1))</f>
        <v>3</v>
      </c>
      <c r="W8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35" spans="1:23" x14ac:dyDescent="0.25">
      <c r="A835">
        <v>834</v>
      </c>
      <c r="B835" t="s">
        <v>32</v>
      </c>
      <c r="C835">
        <v>12</v>
      </c>
      <c r="D835" s="3">
        <v>26</v>
      </c>
      <c r="E835" s="3">
        <v>9</v>
      </c>
      <c r="F835">
        <v>23</v>
      </c>
      <c r="G835" s="1">
        <f>DATEVALUE(_xlfn.CONCAT(BBDD_Usiarios_Netflix[[#This Row],[Día Suscripción]],"/",BBDD_Usiarios_Netflix[[#This Row],[Mes Suscripción]],"/",BBDD_Usiarios_Netflix[[#This Row],[Año Suscripción]]))</f>
        <v>45195</v>
      </c>
      <c r="H835" s="1">
        <v>3</v>
      </c>
      <c r="I835" s="1">
        <v>7</v>
      </c>
      <c r="J835" s="1">
        <v>24</v>
      </c>
      <c r="K835" s="1" t="str">
        <f>TEXT(BBDD_Usiarios_Netflix[[#This Row],[Fecha Suscripción]],"dddd")</f>
        <v>martes</v>
      </c>
      <c r="L835" s="1">
        <f>DATEVALUE(_xlfn.CONCAT(BBDD_Usiarios_Netflix[[#This Row],[Día Último Pago]],"/",BBDD_Usiarios_Netflix[[#This Row],[Mes Último Pago]],"/",BBDD_Usiarios_Netflix[[#This Row],[Año Último Pago]]))</f>
        <v>45476</v>
      </c>
      <c r="M835" s="4">
        <f>DATEDIF(BBDD_Usiarios_Netflix[[#This Row],[Fecha Suscripción]],BBDD_Usiarios_Netflix[[#This Row],[Fecha Último Pago]],"M")+1</f>
        <v>10</v>
      </c>
      <c r="N835" s="4">
        <f>BBDD_Usiarios_Netflix[[#This Row],[Ingresos Mensuales]]*BBDD_Usiarios_Netflix[[#This Row],[Meses contratados]]</f>
        <v>120</v>
      </c>
      <c r="O835" t="s">
        <v>45</v>
      </c>
      <c r="P835" t="str">
        <f>IF(BBDD_Usiarios_Netflix[[#This Row],[País]]="","Desconocido",BBDD_Usiarios_Netflix[[#This Row],[País]])</f>
        <v>España</v>
      </c>
      <c r="Q835">
        <v>34</v>
      </c>
      <c r="R835" t="s">
        <v>30</v>
      </c>
      <c r="S835" t="s">
        <v>34</v>
      </c>
      <c r="T835" t="s">
        <v>27</v>
      </c>
      <c r="U835">
        <f>IF(IFERROR(VLOOKUP(BBDD_Usiarios_Netflix[[#This Row],[Identificador Usuario]],A836:$A$5870,1,FALSE),0)&lt;&gt;0,1,0)</f>
        <v>0</v>
      </c>
      <c r="V835" s="6" t="str">
        <f>IF(BBDD_Usiarios_Netflix[[#This Row],[Duración Plan]]="12 Meses",LEFT(BBDD_Usiarios_Netflix[[#This Row],[Duración Plan]],2),LEFT(BBDD_Usiarios_Netflix[[#This Row],[Duración Plan]],1))</f>
        <v>1</v>
      </c>
      <c r="W8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36" spans="1:23" x14ac:dyDescent="0.25">
      <c r="A836">
        <v>835</v>
      </c>
      <c r="B836" t="s">
        <v>28</v>
      </c>
      <c r="C836">
        <v>14</v>
      </c>
      <c r="D836" s="3">
        <v>27</v>
      </c>
      <c r="E836" s="3">
        <v>9</v>
      </c>
      <c r="F836">
        <v>23</v>
      </c>
      <c r="G836" s="1">
        <f>DATEVALUE(_xlfn.CONCAT(BBDD_Usiarios_Netflix[[#This Row],[Día Suscripción]],"/",BBDD_Usiarios_Netflix[[#This Row],[Mes Suscripción]],"/",BBDD_Usiarios_Netflix[[#This Row],[Año Suscripción]]))</f>
        <v>45196</v>
      </c>
      <c r="H836" s="1">
        <v>29</v>
      </c>
      <c r="I836" s="1">
        <v>6</v>
      </c>
      <c r="J836" s="1">
        <v>24</v>
      </c>
      <c r="K836" s="1" t="str">
        <f>TEXT(BBDD_Usiarios_Netflix[[#This Row],[Fecha Suscripción]],"dddd")</f>
        <v>miércoles</v>
      </c>
      <c r="L836" s="1">
        <f>DATEVALUE(_xlfn.CONCAT(BBDD_Usiarios_Netflix[[#This Row],[Día Último Pago]],"/",BBDD_Usiarios_Netflix[[#This Row],[Mes Último Pago]],"/",BBDD_Usiarios_Netflix[[#This Row],[Año Último Pago]]))</f>
        <v>45472</v>
      </c>
      <c r="M836" s="4">
        <f>DATEDIF(BBDD_Usiarios_Netflix[[#This Row],[Fecha Suscripción]],BBDD_Usiarios_Netflix[[#This Row],[Fecha Último Pago]],"M")+1</f>
        <v>10</v>
      </c>
      <c r="N836" s="4">
        <f>BBDD_Usiarios_Netflix[[#This Row],[Ingresos Mensuales]]*BBDD_Usiarios_Netflix[[#This Row],[Meses contratados]]</f>
        <v>140</v>
      </c>
      <c r="O836" t="s">
        <v>46</v>
      </c>
      <c r="P836" t="str">
        <f>IF(BBDD_Usiarios_Netflix[[#This Row],[País]]="","Desconocido",BBDD_Usiarios_Netflix[[#This Row],[País]])</f>
        <v>Méjico</v>
      </c>
      <c r="Q836">
        <v>31</v>
      </c>
      <c r="R836" t="s">
        <v>25</v>
      </c>
      <c r="S836" t="s">
        <v>36</v>
      </c>
      <c r="T836" t="s">
        <v>27</v>
      </c>
      <c r="U836">
        <f>IF(IFERROR(VLOOKUP(BBDD_Usiarios_Netflix[[#This Row],[Identificador Usuario]],A837:$A$5870,1,FALSE),0)&lt;&gt;0,1,0)</f>
        <v>0</v>
      </c>
      <c r="V836" s="6" t="str">
        <f>IF(BBDD_Usiarios_Netflix[[#This Row],[Duración Plan]]="12 Meses",LEFT(BBDD_Usiarios_Netflix[[#This Row],[Duración Plan]],2),LEFT(BBDD_Usiarios_Netflix[[#This Row],[Duración Plan]],1))</f>
        <v>1</v>
      </c>
      <c r="W8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37" spans="1:23" x14ac:dyDescent="0.25">
      <c r="A837">
        <v>836</v>
      </c>
      <c r="B837" t="s">
        <v>23</v>
      </c>
      <c r="C837">
        <v>10</v>
      </c>
      <c r="D837" s="3">
        <v>4</v>
      </c>
      <c r="E837" s="3">
        <v>10</v>
      </c>
      <c r="F837">
        <v>23</v>
      </c>
      <c r="G837" s="1">
        <f>DATEVALUE(_xlfn.CONCAT(BBDD_Usiarios_Netflix[[#This Row],[Día Suscripción]],"/",BBDD_Usiarios_Netflix[[#This Row],[Mes Suscripción]],"/",BBDD_Usiarios_Netflix[[#This Row],[Año Suscripción]]))</f>
        <v>45203</v>
      </c>
      <c r="H837" s="1">
        <v>1</v>
      </c>
      <c r="I837" s="1">
        <v>7</v>
      </c>
      <c r="J837" s="1">
        <v>24</v>
      </c>
      <c r="K837" s="1" t="str">
        <f>TEXT(BBDD_Usiarios_Netflix[[#This Row],[Fecha Suscripción]],"dddd")</f>
        <v>miércoles</v>
      </c>
      <c r="L837" s="1">
        <f>DATEVALUE(_xlfn.CONCAT(BBDD_Usiarios_Netflix[[#This Row],[Día Último Pago]],"/",BBDD_Usiarios_Netflix[[#This Row],[Mes Último Pago]],"/",BBDD_Usiarios_Netflix[[#This Row],[Año Último Pago]]))</f>
        <v>45474</v>
      </c>
      <c r="M837" s="4">
        <f>DATEDIF(BBDD_Usiarios_Netflix[[#This Row],[Fecha Suscripción]],BBDD_Usiarios_Netflix[[#This Row],[Fecha Último Pago]],"M")+1</f>
        <v>9</v>
      </c>
      <c r="N837" s="4">
        <f>BBDD_Usiarios_Netflix[[#This Row],[Ingresos Mensuales]]*BBDD_Usiarios_Netflix[[#This Row],[Meses contratados]]</f>
        <v>90</v>
      </c>
      <c r="O837" t="s">
        <v>37</v>
      </c>
      <c r="P837" t="str">
        <f>IF(BBDD_Usiarios_Netflix[[#This Row],[País]]="","Desconocido",BBDD_Usiarios_Netflix[[#This Row],[País]])</f>
        <v>Brasil</v>
      </c>
      <c r="Q837">
        <v>28</v>
      </c>
      <c r="R837" t="s">
        <v>25</v>
      </c>
      <c r="S837" t="s">
        <v>36</v>
      </c>
      <c r="T837" t="s">
        <v>27</v>
      </c>
      <c r="U837">
        <f>IF(IFERROR(VLOOKUP(BBDD_Usiarios_Netflix[[#This Row],[Identificador Usuario]],A838:$A$5870,1,FALSE),0)&lt;&gt;0,1,0)</f>
        <v>0</v>
      </c>
      <c r="V837" s="6" t="str">
        <f>IF(BBDD_Usiarios_Netflix[[#This Row],[Duración Plan]]="12 Meses",LEFT(BBDD_Usiarios_Netflix[[#This Row],[Duración Plan]],2),LEFT(BBDD_Usiarios_Netflix[[#This Row],[Duración Plan]],1))</f>
        <v>1</v>
      </c>
      <c r="W8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38" spans="1:23" x14ac:dyDescent="0.25">
      <c r="A838">
        <v>837</v>
      </c>
      <c r="B838" t="s">
        <v>28</v>
      </c>
      <c r="C838">
        <v>14</v>
      </c>
      <c r="D838" s="3">
        <v>6</v>
      </c>
      <c r="E838" s="3">
        <v>10</v>
      </c>
      <c r="F838">
        <v>23</v>
      </c>
      <c r="G838" s="1">
        <f>DATEVALUE(_xlfn.CONCAT(BBDD_Usiarios_Netflix[[#This Row],[Día Suscripción]],"/",BBDD_Usiarios_Netflix[[#This Row],[Mes Suscripción]],"/",BBDD_Usiarios_Netflix[[#This Row],[Año Suscripción]]))</f>
        <v>45205</v>
      </c>
      <c r="H838" s="1">
        <v>29</v>
      </c>
      <c r="I838" s="1">
        <v>6</v>
      </c>
      <c r="J838" s="1">
        <v>24</v>
      </c>
      <c r="K838" s="1" t="str">
        <f>TEXT(BBDD_Usiarios_Netflix[[#This Row],[Fecha Suscripción]],"dddd")</f>
        <v>viernes</v>
      </c>
      <c r="L838" s="1">
        <f>DATEVALUE(_xlfn.CONCAT(BBDD_Usiarios_Netflix[[#This Row],[Día Último Pago]],"/",BBDD_Usiarios_Netflix[[#This Row],[Mes Último Pago]],"/",BBDD_Usiarios_Netflix[[#This Row],[Año Último Pago]]))</f>
        <v>45472</v>
      </c>
      <c r="M838" s="4">
        <f>DATEDIF(BBDD_Usiarios_Netflix[[#This Row],[Fecha Suscripción]],BBDD_Usiarios_Netflix[[#This Row],[Fecha Último Pago]],"M")+1</f>
        <v>9</v>
      </c>
      <c r="N838" s="4">
        <f>BBDD_Usiarios_Netflix[[#This Row],[Ingresos Mensuales]]*BBDD_Usiarios_Netflix[[#This Row],[Meses contratados]]</f>
        <v>126</v>
      </c>
      <c r="O838" t="s">
        <v>33</v>
      </c>
      <c r="P838" t="str">
        <f>IF(BBDD_Usiarios_Netflix[[#This Row],[País]]="","Desconocido",BBDD_Usiarios_Netflix[[#This Row],[País]])</f>
        <v>Francia</v>
      </c>
      <c r="Q838">
        <v>46</v>
      </c>
      <c r="R838" t="s">
        <v>30</v>
      </c>
      <c r="S838" t="s">
        <v>34</v>
      </c>
      <c r="T838" t="s">
        <v>41</v>
      </c>
      <c r="U838">
        <f>IF(IFERROR(VLOOKUP(BBDD_Usiarios_Netflix[[#This Row],[Identificador Usuario]],A839:$A$5870,1,FALSE),0)&lt;&gt;0,1,0)</f>
        <v>0</v>
      </c>
      <c r="V838" s="6" t="str">
        <f>IF(BBDD_Usiarios_Netflix[[#This Row],[Duración Plan]]="12 Meses",LEFT(BBDD_Usiarios_Netflix[[#This Row],[Duración Plan]],2),LEFT(BBDD_Usiarios_Netflix[[#This Row],[Duración Plan]],1))</f>
        <v>12</v>
      </c>
      <c r="W8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39" spans="1:23" x14ac:dyDescent="0.25">
      <c r="A839">
        <v>838</v>
      </c>
      <c r="B839" t="s">
        <v>32</v>
      </c>
      <c r="C839">
        <v>12</v>
      </c>
      <c r="D839" s="3">
        <v>7</v>
      </c>
      <c r="E839" s="3">
        <v>10</v>
      </c>
      <c r="F839">
        <v>23</v>
      </c>
      <c r="G839" s="1">
        <f>DATEVALUE(_xlfn.CONCAT(BBDD_Usiarios_Netflix[[#This Row],[Día Suscripción]],"/",BBDD_Usiarios_Netflix[[#This Row],[Mes Suscripción]],"/",BBDD_Usiarios_Netflix[[#This Row],[Año Suscripción]]))</f>
        <v>45206</v>
      </c>
      <c r="H839" s="1">
        <v>2</v>
      </c>
      <c r="I839" s="1">
        <v>7</v>
      </c>
      <c r="J839" s="1">
        <v>24</v>
      </c>
      <c r="K839" s="1" t="str">
        <f>TEXT(BBDD_Usiarios_Netflix[[#This Row],[Fecha Suscripción]],"dddd")</f>
        <v>sábado</v>
      </c>
      <c r="L839" s="1">
        <f>DATEVALUE(_xlfn.CONCAT(BBDD_Usiarios_Netflix[[#This Row],[Día Último Pago]],"/",BBDD_Usiarios_Netflix[[#This Row],[Mes Último Pago]],"/",BBDD_Usiarios_Netflix[[#This Row],[Año Último Pago]]))</f>
        <v>45475</v>
      </c>
      <c r="M839" s="4">
        <f>DATEDIF(BBDD_Usiarios_Netflix[[#This Row],[Fecha Suscripción]],BBDD_Usiarios_Netflix[[#This Row],[Fecha Último Pago]],"M")+1</f>
        <v>9</v>
      </c>
      <c r="N839" s="4">
        <f>BBDD_Usiarios_Netflix[[#This Row],[Ingresos Mensuales]]*BBDD_Usiarios_Netflix[[#This Row],[Meses contratados]]</f>
        <v>108</v>
      </c>
      <c r="O839" t="s">
        <v>24</v>
      </c>
      <c r="P839" t="str">
        <f>IF(BBDD_Usiarios_Netflix[[#This Row],[País]]="","Desconocido",BBDD_Usiarios_Netflix[[#This Row],[País]])</f>
        <v>Australia</v>
      </c>
      <c r="Q839">
        <v>38</v>
      </c>
      <c r="R839" t="s">
        <v>25</v>
      </c>
      <c r="S839" t="s">
        <v>26</v>
      </c>
      <c r="T839" t="s">
        <v>38</v>
      </c>
      <c r="U839">
        <f>IF(IFERROR(VLOOKUP(BBDD_Usiarios_Netflix[[#This Row],[Identificador Usuario]],A840:$A$5870,1,FALSE),0)&lt;&gt;0,1,0)</f>
        <v>0</v>
      </c>
      <c r="V839" s="6" t="str">
        <f>IF(BBDD_Usiarios_Netflix[[#This Row],[Duración Plan]]="12 Meses",LEFT(BBDD_Usiarios_Netflix[[#This Row],[Duración Plan]],2),LEFT(BBDD_Usiarios_Netflix[[#This Row],[Duración Plan]],1))</f>
        <v>3</v>
      </c>
      <c r="W8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40" spans="1:23" x14ac:dyDescent="0.25">
      <c r="A840">
        <v>839</v>
      </c>
      <c r="B840" t="s">
        <v>23</v>
      </c>
      <c r="C840">
        <v>10</v>
      </c>
      <c r="D840" s="3">
        <v>6</v>
      </c>
      <c r="E840" s="3">
        <v>10</v>
      </c>
      <c r="F840">
        <v>23</v>
      </c>
      <c r="G840" s="1">
        <f>DATEVALUE(_xlfn.CONCAT(BBDD_Usiarios_Netflix[[#This Row],[Día Suscripción]],"/",BBDD_Usiarios_Netflix[[#This Row],[Mes Suscripción]],"/",BBDD_Usiarios_Netflix[[#This Row],[Año Suscripción]]))</f>
        <v>45205</v>
      </c>
      <c r="H840" s="1">
        <v>30</v>
      </c>
      <c r="I840" s="1">
        <v>6</v>
      </c>
      <c r="J840" s="1">
        <v>24</v>
      </c>
      <c r="K840" s="1" t="str">
        <f>TEXT(BBDD_Usiarios_Netflix[[#This Row],[Fecha Suscripción]],"dddd")</f>
        <v>viernes</v>
      </c>
      <c r="L840" s="1">
        <f>DATEVALUE(_xlfn.CONCAT(BBDD_Usiarios_Netflix[[#This Row],[Día Último Pago]],"/",BBDD_Usiarios_Netflix[[#This Row],[Mes Último Pago]],"/",BBDD_Usiarios_Netflix[[#This Row],[Año Último Pago]]))</f>
        <v>45473</v>
      </c>
      <c r="M840" s="4">
        <f>DATEDIF(BBDD_Usiarios_Netflix[[#This Row],[Fecha Suscripción]],BBDD_Usiarios_Netflix[[#This Row],[Fecha Último Pago]],"M")+1</f>
        <v>9</v>
      </c>
      <c r="N840" s="4">
        <f>BBDD_Usiarios_Netflix[[#This Row],[Ingresos Mensuales]]*BBDD_Usiarios_Netflix[[#This Row],[Meses contratados]]</f>
        <v>90</v>
      </c>
      <c r="O840" t="s">
        <v>29</v>
      </c>
      <c r="P840" t="str">
        <f>IF(BBDD_Usiarios_Netflix[[#This Row],[País]]="","Desconocido",BBDD_Usiarios_Netflix[[#This Row],[País]])</f>
        <v>EEUU</v>
      </c>
      <c r="Q840">
        <v>35</v>
      </c>
      <c r="R840" t="s">
        <v>30</v>
      </c>
      <c r="S840" t="s">
        <v>36</v>
      </c>
      <c r="T840" t="s">
        <v>35</v>
      </c>
      <c r="U840">
        <f>IF(IFERROR(VLOOKUP(BBDD_Usiarios_Netflix[[#This Row],[Identificador Usuario]],A841:$A$5870,1,FALSE),0)&lt;&gt;0,1,0)</f>
        <v>0</v>
      </c>
      <c r="V840" s="6" t="str">
        <f>IF(BBDD_Usiarios_Netflix[[#This Row],[Duración Plan]]="12 Meses",LEFT(BBDD_Usiarios_Netflix[[#This Row],[Duración Plan]],2),LEFT(BBDD_Usiarios_Netflix[[#This Row],[Duración Plan]],1))</f>
        <v>6</v>
      </c>
      <c r="W8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41" spans="1:23" x14ac:dyDescent="0.25">
      <c r="A841">
        <v>840</v>
      </c>
      <c r="B841" t="s">
        <v>32</v>
      </c>
      <c r="C841">
        <v>12</v>
      </c>
      <c r="D841" s="3">
        <v>7</v>
      </c>
      <c r="E841" s="3">
        <v>10</v>
      </c>
      <c r="F841">
        <v>23</v>
      </c>
      <c r="G841" s="1">
        <f>DATEVALUE(_xlfn.CONCAT(BBDD_Usiarios_Netflix[[#This Row],[Día Suscripción]],"/",BBDD_Usiarios_Netflix[[#This Row],[Mes Suscripción]],"/",BBDD_Usiarios_Netflix[[#This Row],[Año Suscripción]]))</f>
        <v>45206</v>
      </c>
      <c r="H841" s="1">
        <v>3</v>
      </c>
      <c r="I841" s="1">
        <v>7</v>
      </c>
      <c r="J841" s="1">
        <v>24</v>
      </c>
      <c r="K841" s="1" t="str">
        <f>TEXT(BBDD_Usiarios_Netflix[[#This Row],[Fecha Suscripción]],"dddd")</f>
        <v>sábado</v>
      </c>
      <c r="L841" s="1">
        <f>DATEVALUE(_xlfn.CONCAT(BBDD_Usiarios_Netflix[[#This Row],[Día Último Pago]],"/",BBDD_Usiarios_Netflix[[#This Row],[Mes Último Pago]],"/",BBDD_Usiarios_Netflix[[#This Row],[Año Último Pago]]))</f>
        <v>45476</v>
      </c>
      <c r="M841" s="4">
        <f>DATEDIF(BBDD_Usiarios_Netflix[[#This Row],[Fecha Suscripción]],BBDD_Usiarios_Netflix[[#This Row],[Fecha Último Pago]],"M")+1</f>
        <v>9</v>
      </c>
      <c r="N841" s="4">
        <f>BBDD_Usiarios_Netflix[[#This Row],[Ingresos Mensuales]]*BBDD_Usiarios_Netflix[[#This Row],[Meses contratados]]</f>
        <v>108</v>
      </c>
      <c r="O841" t="s">
        <v>33</v>
      </c>
      <c r="P841" t="str">
        <f>IF(BBDD_Usiarios_Netflix[[#This Row],[País]]="","Desconocido",BBDD_Usiarios_Netflix[[#This Row],[País]])</f>
        <v>Francia</v>
      </c>
      <c r="Q841">
        <v>49</v>
      </c>
      <c r="R841" t="s">
        <v>25</v>
      </c>
      <c r="S841" t="s">
        <v>26</v>
      </c>
      <c r="T841" t="s">
        <v>27</v>
      </c>
      <c r="U841">
        <f>IF(IFERROR(VLOOKUP(BBDD_Usiarios_Netflix[[#This Row],[Identificador Usuario]],A842:$A$5870,1,FALSE),0)&lt;&gt;0,1,0)</f>
        <v>0</v>
      </c>
      <c r="V841" s="6" t="str">
        <f>IF(BBDD_Usiarios_Netflix[[#This Row],[Duración Plan]]="12 Meses",LEFT(BBDD_Usiarios_Netflix[[#This Row],[Duración Plan]],2),LEFT(BBDD_Usiarios_Netflix[[#This Row],[Duración Plan]],1))</f>
        <v>1</v>
      </c>
      <c r="W8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42" spans="1:23" x14ac:dyDescent="0.25">
      <c r="A842">
        <v>841</v>
      </c>
      <c r="B842" t="s">
        <v>28</v>
      </c>
      <c r="C842">
        <v>14</v>
      </c>
      <c r="D842" s="3">
        <v>6</v>
      </c>
      <c r="E842" s="3">
        <v>10</v>
      </c>
      <c r="F842">
        <v>23</v>
      </c>
      <c r="G842" s="1">
        <f>DATEVALUE(_xlfn.CONCAT(BBDD_Usiarios_Netflix[[#This Row],[Día Suscripción]],"/",BBDD_Usiarios_Netflix[[#This Row],[Mes Suscripción]],"/",BBDD_Usiarios_Netflix[[#This Row],[Año Suscripción]]))</f>
        <v>45205</v>
      </c>
      <c r="H842" s="1">
        <v>29</v>
      </c>
      <c r="I842" s="1">
        <v>6</v>
      </c>
      <c r="J842" s="1">
        <v>24</v>
      </c>
      <c r="K842" s="1" t="str">
        <f>TEXT(BBDD_Usiarios_Netflix[[#This Row],[Fecha Suscripción]],"dddd")</f>
        <v>viernes</v>
      </c>
      <c r="L842" s="1">
        <f>DATEVALUE(_xlfn.CONCAT(BBDD_Usiarios_Netflix[[#This Row],[Día Último Pago]],"/",BBDD_Usiarios_Netflix[[#This Row],[Mes Último Pago]],"/",BBDD_Usiarios_Netflix[[#This Row],[Año Último Pago]]))</f>
        <v>45472</v>
      </c>
      <c r="M842" s="4">
        <f>DATEDIF(BBDD_Usiarios_Netflix[[#This Row],[Fecha Suscripción]],BBDD_Usiarios_Netflix[[#This Row],[Fecha Último Pago]],"M")+1</f>
        <v>9</v>
      </c>
      <c r="N842" s="4">
        <f>BBDD_Usiarios_Netflix[[#This Row],[Ingresos Mensuales]]*BBDD_Usiarios_Netflix[[#This Row],[Meses contratados]]</f>
        <v>126</v>
      </c>
      <c r="O842" t="s">
        <v>39</v>
      </c>
      <c r="P842" t="str">
        <f>IF(BBDD_Usiarios_Netflix[[#This Row],[País]]="","Desconocido",BBDD_Usiarios_Netflix[[#This Row],[País]])</f>
        <v>Canadá</v>
      </c>
      <c r="Q842">
        <v>42</v>
      </c>
      <c r="R842" t="s">
        <v>25</v>
      </c>
      <c r="S842" t="s">
        <v>26</v>
      </c>
      <c r="T842" t="s">
        <v>35</v>
      </c>
      <c r="U842">
        <f>IF(IFERROR(VLOOKUP(BBDD_Usiarios_Netflix[[#This Row],[Identificador Usuario]],A843:$A$5870,1,FALSE),0)&lt;&gt;0,1,0)</f>
        <v>0</v>
      </c>
      <c r="V842" s="6" t="str">
        <f>IF(BBDD_Usiarios_Netflix[[#This Row],[Duración Plan]]="12 Meses",LEFT(BBDD_Usiarios_Netflix[[#This Row],[Duración Plan]],2),LEFT(BBDD_Usiarios_Netflix[[#This Row],[Duración Plan]],1))</f>
        <v>6</v>
      </c>
      <c r="W8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43" spans="1:23" x14ac:dyDescent="0.25">
      <c r="A843">
        <v>842</v>
      </c>
      <c r="B843" t="s">
        <v>23</v>
      </c>
      <c r="C843">
        <v>10</v>
      </c>
      <c r="D843" s="3">
        <v>6</v>
      </c>
      <c r="E843" s="3">
        <v>10</v>
      </c>
      <c r="F843">
        <v>23</v>
      </c>
      <c r="G843" s="1">
        <f>DATEVALUE(_xlfn.CONCAT(BBDD_Usiarios_Netflix[[#This Row],[Día Suscripción]],"/",BBDD_Usiarios_Netflix[[#This Row],[Mes Suscripción]],"/",BBDD_Usiarios_Netflix[[#This Row],[Año Suscripción]]))</f>
        <v>45205</v>
      </c>
      <c r="H843" s="1">
        <v>2</v>
      </c>
      <c r="I843" s="1">
        <v>7</v>
      </c>
      <c r="J843" s="1">
        <v>24</v>
      </c>
      <c r="K843" s="1" t="str">
        <f>TEXT(BBDD_Usiarios_Netflix[[#This Row],[Fecha Suscripción]],"dddd")</f>
        <v>viernes</v>
      </c>
      <c r="L843" s="1">
        <f>DATEVALUE(_xlfn.CONCAT(BBDD_Usiarios_Netflix[[#This Row],[Día Último Pago]],"/",BBDD_Usiarios_Netflix[[#This Row],[Mes Último Pago]],"/",BBDD_Usiarios_Netflix[[#This Row],[Año Último Pago]]))</f>
        <v>45475</v>
      </c>
      <c r="M843" s="4">
        <f>DATEDIF(BBDD_Usiarios_Netflix[[#This Row],[Fecha Suscripción]],BBDD_Usiarios_Netflix[[#This Row],[Fecha Último Pago]],"M")+1</f>
        <v>9</v>
      </c>
      <c r="N843" s="4">
        <f>BBDD_Usiarios_Netflix[[#This Row],[Ingresos Mensuales]]*BBDD_Usiarios_Netflix[[#This Row],[Meses contratados]]</f>
        <v>90</v>
      </c>
      <c r="O843" t="s">
        <v>42</v>
      </c>
      <c r="P843" t="str">
        <f>IF(BBDD_Usiarios_Netflix[[#This Row],[País]]="","Desconocido",BBDD_Usiarios_Netflix[[#This Row],[País]])</f>
        <v>Reino Unido</v>
      </c>
      <c r="Q843">
        <v>37</v>
      </c>
      <c r="R843" t="s">
        <v>30</v>
      </c>
      <c r="S843" t="s">
        <v>36</v>
      </c>
      <c r="T843" t="s">
        <v>27</v>
      </c>
      <c r="U843">
        <f>IF(IFERROR(VLOOKUP(BBDD_Usiarios_Netflix[[#This Row],[Identificador Usuario]],A844:$A$5870,1,FALSE),0)&lt;&gt;0,1,0)</f>
        <v>0</v>
      </c>
      <c r="V843" s="6" t="str">
        <f>IF(BBDD_Usiarios_Netflix[[#This Row],[Duración Plan]]="12 Meses",LEFT(BBDD_Usiarios_Netflix[[#This Row],[Duración Plan]],2),LEFT(BBDD_Usiarios_Netflix[[#This Row],[Duración Plan]],1))</f>
        <v>1</v>
      </c>
      <c r="W8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44" spans="1:23" x14ac:dyDescent="0.25">
      <c r="A844">
        <v>843</v>
      </c>
      <c r="B844" t="s">
        <v>32</v>
      </c>
      <c r="C844">
        <v>12</v>
      </c>
      <c r="D844" s="3">
        <v>4</v>
      </c>
      <c r="E844" s="3">
        <v>10</v>
      </c>
      <c r="F844">
        <v>23</v>
      </c>
      <c r="G844" s="1">
        <f>DATEVALUE(_xlfn.CONCAT(BBDD_Usiarios_Netflix[[#This Row],[Día Suscripción]],"/",BBDD_Usiarios_Netflix[[#This Row],[Mes Suscripción]],"/",BBDD_Usiarios_Netflix[[#This Row],[Año Suscripción]]))</f>
        <v>45203</v>
      </c>
      <c r="H844" s="1">
        <v>1</v>
      </c>
      <c r="I844" s="1">
        <v>7</v>
      </c>
      <c r="J844" s="1">
        <v>24</v>
      </c>
      <c r="K844" s="1" t="str">
        <f>TEXT(BBDD_Usiarios_Netflix[[#This Row],[Fecha Suscripción]],"dddd")</f>
        <v>miércoles</v>
      </c>
      <c r="L844" s="1">
        <f>DATEVALUE(_xlfn.CONCAT(BBDD_Usiarios_Netflix[[#This Row],[Día Último Pago]],"/",BBDD_Usiarios_Netflix[[#This Row],[Mes Último Pago]],"/",BBDD_Usiarios_Netflix[[#This Row],[Año Último Pago]]))</f>
        <v>45474</v>
      </c>
      <c r="M844" s="4">
        <f>DATEDIF(BBDD_Usiarios_Netflix[[#This Row],[Fecha Suscripción]],BBDD_Usiarios_Netflix[[#This Row],[Fecha Último Pago]],"M")+1</f>
        <v>9</v>
      </c>
      <c r="N844" s="4">
        <f>BBDD_Usiarios_Netflix[[#This Row],[Ingresos Mensuales]]*BBDD_Usiarios_Netflix[[#This Row],[Meses contratados]]</f>
        <v>108</v>
      </c>
      <c r="O844" t="s">
        <v>29</v>
      </c>
      <c r="P844" t="str">
        <f>IF(BBDD_Usiarios_Netflix[[#This Row],[País]]="","Desconocido",BBDD_Usiarios_Netflix[[#This Row],[País]])</f>
        <v>EEUU</v>
      </c>
      <c r="Q844">
        <v>39</v>
      </c>
      <c r="R844" t="s">
        <v>30</v>
      </c>
      <c r="S844" t="s">
        <v>26</v>
      </c>
      <c r="T844" t="s">
        <v>41</v>
      </c>
      <c r="U844">
        <f>IF(IFERROR(VLOOKUP(BBDD_Usiarios_Netflix[[#This Row],[Identificador Usuario]],A845:$A$5870,1,FALSE),0)&lt;&gt;0,1,0)</f>
        <v>0</v>
      </c>
      <c r="V844" s="6" t="str">
        <f>IF(BBDD_Usiarios_Netflix[[#This Row],[Duración Plan]]="12 Meses",LEFT(BBDD_Usiarios_Netflix[[#This Row],[Duración Plan]],2),LEFT(BBDD_Usiarios_Netflix[[#This Row],[Duración Plan]],1))</f>
        <v>12</v>
      </c>
      <c r="W8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45" spans="1:23" x14ac:dyDescent="0.25">
      <c r="A845">
        <v>844</v>
      </c>
      <c r="B845" t="s">
        <v>28</v>
      </c>
      <c r="C845">
        <v>14</v>
      </c>
      <c r="D845" s="3">
        <v>14</v>
      </c>
      <c r="E845" s="3">
        <v>10</v>
      </c>
      <c r="F845">
        <v>23</v>
      </c>
      <c r="G845" s="1">
        <f>DATEVALUE(_xlfn.CONCAT(BBDD_Usiarios_Netflix[[#This Row],[Día Suscripción]],"/",BBDD_Usiarios_Netflix[[#This Row],[Mes Suscripción]],"/",BBDD_Usiarios_Netflix[[#This Row],[Año Suscripción]]))</f>
        <v>45213</v>
      </c>
      <c r="H845" s="1">
        <v>2</v>
      </c>
      <c r="I845" s="1">
        <v>7</v>
      </c>
      <c r="J845" s="1">
        <v>24</v>
      </c>
      <c r="K845" s="1" t="str">
        <f>TEXT(BBDD_Usiarios_Netflix[[#This Row],[Fecha Suscripción]],"dddd")</f>
        <v>sábado</v>
      </c>
      <c r="L845" s="1">
        <f>DATEVALUE(_xlfn.CONCAT(BBDD_Usiarios_Netflix[[#This Row],[Día Último Pago]],"/",BBDD_Usiarios_Netflix[[#This Row],[Mes Último Pago]],"/",BBDD_Usiarios_Netflix[[#This Row],[Año Último Pago]]))</f>
        <v>45475</v>
      </c>
      <c r="M845" s="4">
        <f>DATEDIF(BBDD_Usiarios_Netflix[[#This Row],[Fecha Suscripción]],BBDD_Usiarios_Netflix[[#This Row],[Fecha Último Pago]],"M")+1</f>
        <v>9</v>
      </c>
      <c r="N845" s="4">
        <f>BBDD_Usiarios_Netflix[[#This Row],[Ingresos Mensuales]]*BBDD_Usiarios_Netflix[[#This Row],[Meses contratados]]</f>
        <v>126</v>
      </c>
      <c r="O845" t="s">
        <v>24</v>
      </c>
      <c r="P845" t="str">
        <f>IF(BBDD_Usiarios_Netflix[[#This Row],[País]]="","Desconocido",BBDD_Usiarios_Netflix[[#This Row],[País]])</f>
        <v>Australia</v>
      </c>
      <c r="Q845">
        <v>47</v>
      </c>
      <c r="R845" t="s">
        <v>30</v>
      </c>
      <c r="S845" t="s">
        <v>34</v>
      </c>
      <c r="T845" t="s">
        <v>27</v>
      </c>
      <c r="U845">
        <f>IF(IFERROR(VLOOKUP(BBDD_Usiarios_Netflix[[#This Row],[Identificador Usuario]],A846:$A$5870,1,FALSE),0)&lt;&gt;0,1,0)</f>
        <v>0</v>
      </c>
      <c r="V845" s="6" t="str">
        <f>IF(BBDD_Usiarios_Netflix[[#This Row],[Duración Plan]]="12 Meses",LEFT(BBDD_Usiarios_Netflix[[#This Row],[Duración Plan]],2),LEFT(BBDD_Usiarios_Netflix[[#This Row],[Duración Plan]],1))</f>
        <v>1</v>
      </c>
      <c r="W8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46" spans="1:23" x14ac:dyDescent="0.25">
      <c r="A846">
        <v>845</v>
      </c>
      <c r="B846" t="s">
        <v>23</v>
      </c>
      <c r="C846">
        <v>10</v>
      </c>
      <c r="D846" s="3">
        <v>19</v>
      </c>
      <c r="E846" s="3">
        <v>10</v>
      </c>
      <c r="F846">
        <v>23</v>
      </c>
      <c r="G846" s="1">
        <f>DATEVALUE(_xlfn.CONCAT(BBDD_Usiarios_Netflix[[#This Row],[Día Suscripción]],"/",BBDD_Usiarios_Netflix[[#This Row],[Mes Suscripción]],"/",BBDD_Usiarios_Netflix[[#This Row],[Año Suscripción]]))</f>
        <v>45218</v>
      </c>
      <c r="H846" s="1">
        <v>29</v>
      </c>
      <c r="I846" s="1">
        <v>6</v>
      </c>
      <c r="J846" s="1">
        <v>24</v>
      </c>
      <c r="K846" s="1" t="str">
        <f>TEXT(BBDD_Usiarios_Netflix[[#This Row],[Fecha Suscripción]],"dddd")</f>
        <v>jueves</v>
      </c>
      <c r="L846" s="1">
        <f>DATEVALUE(_xlfn.CONCAT(BBDD_Usiarios_Netflix[[#This Row],[Día Último Pago]],"/",BBDD_Usiarios_Netflix[[#This Row],[Mes Último Pago]],"/",BBDD_Usiarios_Netflix[[#This Row],[Año Último Pago]]))</f>
        <v>45472</v>
      </c>
      <c r="M846" s="4">
        <f>DATEDIF(BBDD_Usiarios_Netflix[[#This Row],[Fecha Suscripción]],BBDD_Usiarios_Netflix[[#This Row],[Fecha Último Pago]],"M")+1</f>
        <v>9</v>
      </c>
      <c r="N846" s="4">
        <f>BBDD_Usiarios_Netflix[[#This Row],[Ingresos Mensuales]]*BBDD_Usiarios_Netflix[[#This Row],[Meses contratados]]</f>
        <v>90</v>
      </c>
      <c r="O846" t="s">
        <v>40</v>
      </c>
      <c r="P846" t="str">
        <f>IF(BBDD_Usiarios_Netflix[[#This Row],[País]]="","Desconocido",BBDD_Usiarios_Netflix[[#This Row],[País]])</f>
        <v>Italia</v>
      </c>
      <c r="Q846">
        <v>49</v>
      </c>
      <c r="R846" t="s">
        <v>25</v>
      </c>
      <c r="S846" t="s">
        <v>26</v>
      </c>
      <c r="T846" t="s">
        <v>27</v>
      </c>
      <c r="U846">
        <f>IF(IFERROR(VLOOKUP(BBDD_Usiarios_Netflix[[#This Row],[Identificador Usuario]],A847:$A$5870,1,FALSE),0)&lt;&gt;0,1,0)</f>
        <v>0</v>
      </c>
      <c r="V846" s="6" t="str">
        <f>IF(BBDD_Usiarios_Netflix[[#This Row],[Duración Plan]]="12 Meses",LEFT(BBDD_Usiarios_Netflix[[#This Row],[Duración Plan]],2),LEFT(BBDD_Usiarios_Netflix[[#This Row],[Duración Plan]],1))</f>
        <v>1</v>
      </c>
      <c r="W8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47" spans="1:23" x14ac:dyDescent="0.25">
      <c r="A847">
        <v>846</v>
      </c>
      <c r="B847" t="s">
        <v>28</v>
      </c>
      <c r="C847">
        <v>14</v>
      </c>
      <c r="D847" s="3">
        <v>21</v>
      </c>
      <c r="E847" s="3">
        <v>10</v>
      </c>
      <c r="F847">
        <v>23</v>
      </c>
      <c r="G847" s="1">
        <f>DATEVALUE(_xlfn.CONCAT(BBDD_Usiarios_Netflix[[#This Row],[Día Suscripción]],"/",BBDD_Usiarios_Netflix[[#This Row],[Mes Suscripción]],"/",BBDD_Usiarios_Netflix[[#This Row],[Año Suscripción]]))</f>
        <v>45220</v>
      </c>
      <c r="H847" s="1">
        <v>1</v>
      </c>
      <c r="I847" s="1">
        <v>7</v>
      </c>
      <c r="J847" s="1">
        <v>24</v>
      </c>
      <c r="K847" s="1" t="str">
        <f>TEXT(BBDD_Usiarios_Netflix[[#This Row],[Fecha Suscripción]],"dddd")</f>
        <v>sábado</v>
      </c>
      <c r="L847" s="1">
        <f>DATEVALUE(_xlfn.CONCAT(BBDD_Usiarios_Netflix[[#This Row],[Día Último Pago]],"/",BBDD_Usiarios_Netflix[[#This Row],[Mes Último Pago]],"/",BBDD_Usiarios_Netflix[[#This Row],[Año Último Pago]]))</f>
        <v>45474</v>
      </c>
      <c r="M847" s="4">
        <f>DATEDIF(BBDD_Usiarios_Netflix[[#This Row],[Fecha Suscripción]],BBDD_Usiarios_Netflix[[#This Row],[Fecha Último Pago]],"M")+1</f>
        <v>9</v>
      </c>
      <c r="N847" s="4">
        <f>BBDD_Usiarios_Netflix[[#This Row],[Ingresos Mensuales]]*BBDD_Usiarios_Netflix[[#This Row],[Meses contratados]]</f>
        <v>126</v>
      </c>
      <c r="O847" t="s">
        <v>29</v>
      </c>
      <c r="P847" t="str">
        <f>IF(BBDD_Usiarios_Netflix[[#This Row],[País]]="","Desconocido",BBDD_Usiarios_Netflix[[#This Row],[País]])</f>
        <v>EEUU</v>
      </c>
      <c r="Q847">
        <v>35</v>
      </c>
      <c r="R847" t="s">
        <v>25</v>
      </c>
      <c r="S847" t="s">
        <v>36</v>
      </c>
      <c r="T847" t="s">
        <v>35</v>
      </c>
      <c r="U847">
        <f>IF(IFERROR(VLOOKUP(BBDD_Usiarios_Netflix[[#This Row],[Identificador Usuario]],A848:$A$5870,1,FALSE),0)&lt;&gt;0,1,0)</f>
        <v>0</v>
      </c>
      <c r="V847" s="6" t="str">
        <f>IF(BBDD_Usiarios_Netflix[[#This Row],[Duración Plan]]="12 Meses",LEFT(BBDD_Usiarios_Netflix[[#This Row],[Duración Plan]],2),LEFT(BBDD_Usiarios_Netflix[[#This Row],[Duración Plan]],1))</f>
        <v>6</v>
      </c>
      <c r="W8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48" spans="1:23" x14ac:dyDescent="0.25">
      <c r="A848">
        <v>847</v>
      </c>
      <c r="B848" t="s">
        <v>23</v>
      </c>
      <c r="C848">
        <v>10</v>
      </c>
      <c r="D848" s="3">
        <v>28</v>
      </c>
      <c r="E848" s="3">
        <v>10</v>
      </c>
      <c r="F848">
        <v>23</v>
      </c>
      <c r="G848" s="1">
        <f>DATEVALUE(_xlfn.CONCAT(BBDD_Usiarios_Netflix[[#This Row],[Día Suscripción]],"/",BBDD_Usiarios_Netflix[[#This Row],[Mes Suscripción]],"/",BBDD_Usiarios_Netflix[[#This Row],[Año Suscripción]]))</f>
        <v>45227</v>
      </c>
      <c r="H848" s="1">
        <v>30</v>
      </c>
      <c r="I848" s="1">
        <v>6</v>
      </c>
      <c r="J848" s="1">
        <v>24</v>
      </c>
      <c r="K848" s="1" t="str">
        <f>TEXT(BBDD_Usiarios_Netflix[[#This Row],[Fecha Suscripción]],"dddd")</f>
        <v>sábado</v>
      </c>
      <c r="L848" s="1">
        <f>DATEVALUE(_xlfn.CONCAT(BBDD_Usiarios_Netflix[[#This Row],[Día Último Pago]],"/",BBDD_Usiarios_Netflix[[#This Row],[Mes Último Pago]],"/",BBDD_Usiarios_Netflix[[#This Row],[Año Último Pago]]))</f>
        <v>45473</v>
      </c>
      <c r="M848" s="4">
        <f>DATEDIF(BBDD_Usiarios_Netflix[[#This Row],[Fecha Suscripción]],BBDD_Usiarios_Netflix[[#This Row],[Fecha Último Pago]],"M")+1</f>
        <v>9</v>
      </c>
      <c r="N848" s="4">
        <f>BBDD_Usiarios_Netflix[[#This Row],[Ingresos Mensuales]]*BBDD_Usiarios_Netflix[[#This Row],[Meses contratados]]</f>
        <v>90</v>
      </c>
      <c r="O848" t="s">
        <v>24</v>
      </c>
      <c r="P848" t="str">
        <f>IF(BBDD_Usiarios_Netflix[[#This Row],[País]]="","Desconocido",BBDD_Usiarios_Netflix[[#This Row],[País]])</f>
        <v>Australia</v>
      </c>
      <c r="Q848">
        <v>36</v>
      </c>
      <c r="R848" t="s">
        <v>30</v>
      </c>
      <c r="S848" t="s">
        <v>34</v>
      </c>
      <c r="T848" t="s">
        <v>38</v>
      </c>
      <c r="U848">
        <f>IF(IFERROR(VLOOKUP(BBDD_Usiarios_Netflix[[#This Row],[Identificador Usuario]],A849:$A$5870,1,FALSE),0)&lt;&gt;0,1,0)</f>
        <v>0</v>
      </c>
      <c r="V848" s="6" t="str">
        <f>IF(BBDD_Usiarios_Netflix[[#This Row],[Duración Plan]]="12 Meses",LEFT(BBDD_Usiarios_Netflix[[#This Row],[Duración Plan]],2),LEFT(BBDD_Usiarios_Netflix[[#This Row],[Duración Plan]],1))</f>
        <v>3</v>
      </c>
      <c r="W8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49" spans="1:23" x14ac:dyDescent="0.25">
      <c r="A849">
        <v>848</v>
      </c>
      <c r="B849" t="s">
        <v>32</v>
      </c>
      <c r="C849">
        <v>12</v>
      </c>
      <c r="D849" s="3">
        <v>1</v>
      </c>
      <c r="E849" s="3">
        <v>11</v>
      </c>
      <c r="F849">
        <v>23</v>
      </c>
      <c r="G849" s="1">
        <f>DATEVALUE(_xlfn.CONCAT(BBDD_Usiarios_Netflix[[#This Row],[Día Suscripción]],"/",BBDD_Usiarios_Netflix[[#This Row],[Mes Suscripción]],"/",BBDD_Usiarios_Netflix[[#This Row],[Año Suscripción]]))</f>
        <v>45231</v>
      </c>
      <c r="H849" s="1">
        <v>2</v>
      </c>
      <c r="I849" s="1">
        <v>7</v>
      </c>
      <c r="J849" s="1">
        <v>24</v>
      </c>
      <c r="K849" s="1" t="str">
        <f>TEXT(BBDD_Usiarios_Netflix[[#This Row],[Fecha Suscripción]],"dddd")</f>
        <v>miércoles</v>
      </c>
      <c r="L849" s="1">
        <f>DATEVALUE(_xlfn.CONCAT(BBDD_Usiarios_Netflix[[#This Row],[Día Último Pago]],"/",BBDD_Usiarios_Netflix[[#This Row],[Mes Último Pago]],"/",BBDD_Usiarios_Netflix[[#This Row],[Año Último Pago]]))</f>
        <v>45475</v>
      </c>
      <c r="M849" s="4">
        <f>DATEDIF(BBDD_Usiarios_Netflix[[#This Row],[Fecha Suscripción]],BBDD_Usiarios_Netflix[[#This Row],[Fecha Último Pago]],"M")+1</f>
        <v>9</v>
      </c>
      <c r="N849" s="4">
        <f>BBDD_Usiarios_Netflix[[#This Row],[Ingresos Mensuales]]*BBDD_Usiarios_Netflix[[#This Row],[Meses contratados]]</f>
        <v>108</v>
      </c>
      <c r="O849" t="s">
        <v>33</v>
      </c>
      <c r="P849" t="str">
        <f>IF(BBDD_Usiarios_Netflix[[#This Row],[País]]="","Desconocido",BBDD_Usiarios_Netflix[[#This Row],[País]])</f>
        <v>Francia</v>
      </c>
      <c r="Q849">
        <v>40</v>
      </c>
      <c r="R849" t="s">
        <v>25</v>
      </c>
      <c r="S849" t="s">
        <v>31</v>
      </c>
      <c r="T849" t="s">
        <v>41</v>
      </c>
      <c r="U849">
        <f>IF(IFERROR(VLOOKUP(BBDD_Usiarios_Netflix[[#This Row],[Identificador Usuario]],A850:$A$5870,1,FALSE),0)&lt;&gt;0,1,0)</f>
        <v>0</v>
      </c>
      <c r="V849" s="6" t="str">
        <f>IF(BBDD_Usiarios_Netflix[[#This Row],[Duración Plan]]="12 Meses",LEFT(BBDD_Usiarios_Netflix[[#This Row],[Duración Plan]],2),LEFT(BBDD_Usiarios_Netflix[[#This Row],[Duración Plan]],1))</f>
        <v>12</v>
      </c>
      <c r="W8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50" spans="1:23" x14ac:dyDescent="0.25">
      <c r="A850">
        <v>849</v>
      </c>
      <c r="B850" t="s">
        <v>32</v>
      </c>
      <c r="C850">
        <v>12</v>
      </c>
      <c r="D850" s="3">
        <v>12</v>
      </c>
      <c r="E850" s="3">
        <v>11</v>
      </c>
      <c r="F850">
        <v>23</v>
      </c>
      <c r="G850" s="1">
        <f>DATEVALUE(_xlfn.CONCAT(BBDD_Usiarios_Netflix[[#This Row],[Día Suscripción]],"/",BBDD_Usiarios_Netflix[[#This Row],[Mes Suscripción]],"/",BBDD_Usiarios_Netflix[[#This Row],[Año Suscripción]]))</f>
        <v>45242</v>
      </c>
      <c r="H850" s="1">
        <v>29</v>
      </c>
      <c r="I850" s="1">
        <v>6</v>
      </c>
      <c r="J850" s="1">
        <v>24</v>
      </c>
      <c r="K850" s="1" t="str">
        <f>TEXT(BBDD_Usiarios_Netflix[[#This Row],[Fecha Suscripción]],"dddd")</f>
        <v>domingo</v>
      </c>
      <c r="L850" s="1">
        <f>DATEVALUE(_xlfn.CONCAT(BBDD_Usiarios_Netflix[[#This Row],[Día Último Pago]],"/",BBDD_Usiarios_Netflix[[#This Row],[Mes Último Pago]],"/",BBDD_Usiarios_Netflix[[#This Row],[Año Último Pago]]))</f>
        <v>45472</v>
      </c>
      <c r="M850" s="4">
        <f>DATEDIF(BBDD_Usiarios_Netflix[[#This Row],[Fecha Suscripción]],BBDD_Usiarios_Netflix[[#This Row],[Fecha Último Pago]],"M")+1</f>
        <v>8</v>
      </c>
      <c r="N850" s="4">
        <f>BBDD_Usiarios_Netflix[[#This Row],[Ingresos Mensuales]]*BBDD_Usiarios_Netflix[[#This Row],[Meses contratados]]</f>
        <v>96</v>
      </c>
      <c r="O850" t="s">
        <v>24</v>
      </c>
      <c r="P850" t="str">
        <f>IF(BBDD_Usiarios_Netflix[[#This Row],[País]]="","Desconocido",BBDD_Usiarios_Netflix[[#This Row],[País]])</f>
        <v>Australia</v>
      </c>
      <c r="Q850">
        <v>30</v>
      </c>
      <c r="R850" t="s">
        <v>30</v>
      </c>
      <c r="S850" t="s">
        <v>34</v>
      </c>
      <c r="T850" t="s">
        <v>38</v>
      </c>
      <c r="U850">
        <f>IF(IFERROR(VLOOKUP(BBDD_Usiarios_Netflix[[#This Row],[Identificador Usuario]],A851:$A$5870,1,FALSE),0)&lt;&gt;0,1,0)</f>
        <v>0</v>
      </c>
      <c r="V850" s="6" t="str">
        <f>IF(BBDD_Usiarios_Netflix[[#This Row],[Duración Plan]]="12 Meses",LEFT(BBDD_Usiarios_Netflix[[#This Row],[Duración Plan]],2),LEFT(BBDD_Usiarios_Netflix[[#This Row],[Duración Plan]],1))</f>
        <v>3</v>
      </c>
      <c r="W8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51" spans="1:23" x14ac:dyDescent="0.25">
      <c r="A851">
        <v>850</v>
      </c>
      <c r="B851" t="s">
        <v>23</v>
      </c>
      <c r="C851">
        <v>10</v>
      </c>
      <c r="D851" s="3">
        <v>13</v>
      </c>
      <c r="E851" s="3">
        <v>11</v>
      </c>
      <c r="F851">
        <v>23</v>
      </c>
      <c r="G851" s="1">
        <f>DATEVALUE(_xlfn.CONCAT(BBDD_Usiarios_Netflix[[#This Row],[Día Suscripción]],"/",BBDD_Usiarios_Netflix[[#This Row],[Mes Suscripción]],"/",BBDD_Usiarios_Netflix[[#This Row],[Año Suscripción]]))</f>
        <v>45243</v>
      </c>
      <c r="H851" s="1">
        <v>30</v>
      </c>
      <c r="I851" s="1">
        <v>6</v>
      </c>
      <c r="J851" s="1">
        <v>24</v>
      </c>
      <c r="K851" s="1" t="str">
        <f>TEXT(BBDD_Usiarios_Netflix[[#This Row],[Fecha Suscripción]],"dddd")</f>
        <v>lunes</v>
      </c>
      <c r="L851" s="1">
        <f>DATEVALUE(_xlfn.CONCAT(BBDD_Usiarios_Netflix[[#This Row],[Día Último Pago]],"/",BBDD_Usiarios_Netflix[[#This Row],[Mes Último Pago]],"/",BBDD_Usiarios_Netflix[[#This Row],[Año Último Pago]]))</f>
        <v>45473</v>
      </c>
      <c r="M851" s="4">
        <f>DATEDIF(BBDD_Usiarios_Netflix[[#This Row],[Fecha Suscripción]],BBDD_Usiarios_Netflix[[#This Row],[Fecha Último Pago]],"M")+1</f>
        <v>8</v>
      </c>
      <c r="N851" s="4">
        <f>BBDD_Usiarios_Netflix[[#This Row],[Ingresos Mensuales]]*BBDD_Usiarios_Netflix[[#This Row],[Meses contratados]]</f>
        <v>80</v>
      </c>
      <c r="O851" t="s">
        <v>29</v>
      </c>
      <c r="P851" t="str">
        <f>IF(BBDD_Usiarios_Netflix[[#This Row],[País]]="","Desconocido",BBDD_Usiarios_Netflix[[#This Row],[País]])</f>
        <v>EEUU</v>
      </c>
      <c r="Q851">
        <v>51</v>
      </c>
      <c r="R851" t="s">
        <v>30</v>
      </c>
      <c r="S851" t="s">
        <v>34</v>
      </c>
      <c r="T851" t="s">
        <v>27</v>
      </c>
      <c r="U851">
        <f>IF(IFERROR(VLOOKUP(BBDD_Usiarios_Netflix[[#This Row],[Identificador Usuario]],A852:$A$5870,1,FALSE),0)&lt;&gt;0,1,0)</f>
        <v>0</v>
      </c>
      <c r="V851" s="6" t="str">
        <f>IF(BBDD_Usiarios_Netflix[[#This Row],[Duración Plan]]="12 Meses",LEFT(BBDD_Usiarios_Netflix[[#This Row],[Duración Plan]],2),LEFT(BBDD_Usiarios_Netflix[[#This Row],[Duración Plan]],1))</f>
        <v>1</v>
      </c>
      <c r="W8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52" spans="1:23" x14ac:dyDescent="0.25">
      <c r="A852">
        <v>851</v>
      </c>
      <c r="B852" t="s">
        <v>28</v>
      </c>
      <c r="C852">
        <v>14</v>
      </c>
      <c r="D852" s="3">
        <v>9</v>
      </c>
      <c r="E852" s="3">
        <v>11</v>
      </c>
      <c r="F852">
        <v>23</v>
      </c>
      <c r="G852" s="1">
        <f>DATEVALUE(_xlfn.CONCAT(BBDD_Usiarios_Netflix[[#This Row],[Día Suscripción]],"/",BBDD_Usiarios_Netflix[[#This Row],[Mes Suscripción]],"/",BBDD_Usiarios_Netflix[[#This Row],[Año Suscripción]]))</f>
        <v>45239</v>
      </c>
      <c r="H852" s="1">
        <v>30</v>
      </c>
      <c r="I852" s="1">
        <v>6</v>
      </c>
      <c r="J852" s="1">
        <v>24</v>
      </c>
      <c r="K852" s="1" t="str">
        <f>TEXT(BBDD_Usiarios_Netflix[[#This Row],[Fecha Suscripción]],"dddd")</f>
        <v>jueves</v>
      </c>
      <c r="L852" s="1">
        <f>DATEVALUE(_xlfn.CONCAT(BBDD_Usiarios_Netflix[[#This Row],[Día Último Pago]],"/",BBDD_Usiarios_Netflix[[#This Row],[Mes Último Pago]],"/",BBDD_Usiarios_Netflix[[#This Row],[Año Último Pago]]))</f>
        <v>45473</v>
      </c>
      <c r="M852" s="4">
        <f>DATEDIF(BBDD_Usiarios_Netflix[[#This Row],[Fecha Suscripción]],BBDD_Usiarios_Netflix[[#This Row],[Fecha Último Pago]],"M")+1</f>
        <v>8</v>
      </c>
      <c r="N852" s="4">
        <f>BBDD_Usiarios_Netflix[[#This Row],[Ingresos Mensuales]]*BBDD_Usiarios_Netflix[[#This Row],[Meses contratados]]</f>
        <v>112</v>
      </c>
      <c r="O852" t="s">
        <v>37</v>
      </c>
      <c r="P852" t="str">
        <f>IF(BBDD_Usiarios_Netflix[[#This Row],[País]]="","Desconocido",BBDD_Usiarios_Netflix[[#This Row],[País]])</f>
        <v>Brasil</v>
      </c>
      <c r="Q852">
        <v>47</v>
      </c>
      <c r="R852" t="s">
        <v>25</v>
      </c>
      <c r="S852" t="s">
        <v>36</v>
      </c>
      <c r="T852" t="s">
        <v>41</v>
      </c>
      <c r="U852">
        <f>IF(IFERROR(VLOOKUP(BBDD_Usiarios_Netflix[[#This Row],[Identificador Usuario]],A853:$A$5870,1,FALSE),0)&lt;&gt;0,1,0)</f>
        <v>0</v>
      </c>
      <c r="V852" s="6" t="str">
        <f>IF(BBDD_Usiarios_Netflix[[#This Row],[Duración Plan]]="12 Meses",LEFT(BBDD_Usiarios_Netflix[[#This Row],[Duración Plan]],2),LEFT(BBDD_Usiarios_Netflix[[#This Row],[Duración Plan]],1))</f>
        <v>12</v>
      </c>
      <c r="W8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53" spans="1:23" x14ac:dyDescent="0.25">
      <c r="A853">
        <v>852</v>
      </c>
      <c r="B853" t="s">
        <v>23</v>
      </c>
      <c r="C853">
        <v>10</v>
      </c>
      <c r="D853" s="3">
        <v>8</v>
      </c>
      <c r="E853" s="3">
        <v>11</v>
      </c>
      <c r="F853">
        <v>23</v>
      </c>
      <c r="G853" s="1">
        <f>DATEVALUE(_xlfn.CONCAT(BBDD_Usiarios_Netflix[[#This Row],[Día Suscripción]],"/",BBDD_Usiarios_Netflix[[#This Row],[Mes Suscripción]],"/",BBDD_Usiarios_Netflix[[#This Row],[Año Suscripción]]))</f>
        <v>45238</v>
      </c>
      <c r="H853" s="1">
        <v>1</v>
      </c>
      <c r="I853" s="1">
        <v>7</v>
      </c>
      <c r="J853" s="1">
        <v>24</v>
      </c>
      <c r="K853" s="1" t="str">
        <f>TEXT(BBDD_Usiarios_Netflix[[#This Row],[Fecha Suscripción]],"dddd")</f>
        <v>miércoles</v>
      </c>
      <c r="L853" s="1">
        <f>DATEVALUE(_xlfn.CONCAT(BBDD_Usiarios_Netflix[[#This Row],[Día Último Pago]],"/",BBDD_Usiarios_Netflix[[#This Row],[Mes Último Pago]],"/",BBDD_Usiarios_Netflix[[#This Row],[Año Último Pago]]))</f>
        <v>45474</v>
      </c>
      <c r="M853" s="4">
        <f>DATEDIF(BBDD_Usiarios_Netflix[[#This Row],[Fecha Suscripción]],BBDD_Usiarios_Netflix[[#This Row],[Fecha Último Pago]],"M")+1</f>
        <v>8</v>
      </c>
      <c r="N853" s="4">
        <f>BBDD_Usiarios_Netflix[[#This Row],[Ingresos Mensuales]]*BBDD_Usiarios_Netflix[[#This Row],[Meses contratados]]</f>
        <v>80</v>
      </c>
      <c r="O853" t="s">
        <v>24</v>
      </c>
      <c r="P853" t="str">
        <f>IF(BBDD_Usiarios_Netflix[[#This Row],[País]]="","Desconocido",BBDD_Usiarios_Netflix[[#This Row],[País]])</f>
        <v>Australia</v>
      </c>
      <c r="Q853">
        <v>47</v>
      </c>
      <c r="R853" t="s">
        <v>30</v>
      </c>
      <c r="S853" t="s">
        <v>36</v>
      </c>
      <c r="T853" t="s">
        <v>35</v>
      </c>
      <c r="U853">
        <f>IF(IFERROR(VLOOKUP(BBDD_Usiarios_Netflix[[#This Row],[Identificador Usuario]],A854:$A$5870,1,FALSE),0)&lt;&gt;0,1,0)</f>
        <v>0</v>
      </c>
      <c r="V853" s="6" t="str">
        <f>IF(BBDD_Usiarios_Netflix[[#This Row],[Duración Plan]]="12 Meses",LEFT(BBDD_Usiarios_Netflix[[#This Row],[Duración Plan]],2),LEFT(BBDD_Usiarios_Netflix[[#This Row],[Duración Plan]],1))</f>
        <v>6</v>
      </c>
      <c r="W8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54" spans="1:23" x14ac:dyDescent="0.25">
      <c r="A854">
        <v>853</v>
      </c>
      <c r="B854" t="s">
        <v>32</v>
      </c>
      <c r="C854">
        <v>12</v>
      </c>
      <c r="D854" s="3">
        <v>6</v>
      </c>
      <c r="E854" s="3">
        <v>11</v>
      </c>
      <c r="F854">
        <v>23</v>
      </c>
      <c r="G854" s="1">
        <f>DATEVALUE(_xlfn.CONCAT(BBDD_Usiarios_Netflix[[#This Row],[Día Suscripción]],"/",BBDD_Usiarios_Netflix[[#This Row],[Mes Suscripción]],"/",BBDD_Usiarios_Netflix[[#This Row],[Año Suscripción]]))</f>
        <v>45236</v>
      </c>
      <c r="H854" s="1">
        <v>30</v>
      </c>
      <c r="I854" s="1">
        <v>6</v>
      </c>
      <c r="J854" s="1">
        <v>24</v>
      </c>
      <c r="K854" s="1" t="str">
        <f>TEXT(BBDD_Usiarios_Netflix[[#This Row],[Fecha Suscripción]],"dddd")</f>
        <v>lunes</v>
      </c>
      <c r="L854" s="1">
        <f>DATEVALUE(_xlfn.CONCAT(BBDD_Usiarios_Netflix[[#This Row],[Día Último Pago]],"/",BBDD_Usiarios_Netflix[[#This Row],[Mes Último Pago]],"/",BBDD_Usiarios_Netflix[[#This Row],[Año Último Pago]]))</f>
        <v>45473</v>
      </c>
      <c r="M854" s="4">
        <f>DATEDIF(BBDD_Usiarios_Netflix[[#This Row],[Fecha Suscripción]],BBDD_Usiarios_Netflix[[#This Row],[Fecha Último Pago]],"M")+1</f>
        <v>8</v>
      </c>
      <c r="N854" s="4">
        <f>BBDD_Usiarios_Netflix[[#This Row],[Ingresos Mensuales]]*BBDD_Usiarios_Netflix[[#This Row],[Meses contratados]]</f>
        <v>96</v>
      </c>
      <c r="O854" t="s">
        <v>33</v>
      </c>
      <c r="P854" t="str">
        <f>IF(BBDD_Usiarios_Netflix[[#This Row],[País]]="","Desconocido",BBDD_Usiarios_Netflix[[#This Row],[País]])</f>
        <v>Francia</v>
      </c>
      <c r="Q854">
        <v>39</v>
      </c>
      <c r="R854" t="s">
        <v>25</v>
      </c>
      <c r="S854" t="s">
        <v>31</v>
      </c>
      <c r="T854" t="s">
        <v>38</v>
      </c>
      <c r="U854">
        <f>IF(IFERROR(VLOOKUP(BBDD_Usiarios_Netflix[[#This Row],[Identificador Usuario]],A855:$A$5870,1,FALSE),0)&lt;&gt;0,1,0)</f>
        <v>0</v>
      </c>
      <c r="V854" s="6" t="str">
        <f>IF(BBDD_Usiarios_Netflix[[#This Row],[Duración Plan]]="12 Meses",LEFT(BBDD_Usiarios_Netflix[[#This Row],[Duración Plan]],2),LEFT(BBDD_Usiarios_Netflix[[#This Row],[Duración Plan]],1))</f>
        <v>3</v>
      </c>
      <c r="W8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55" spans="1:23" x14ac:dyDescent="0.25">
      <c r="A855">
        <v>854</v>
      </c>
      <c r="B855" t="s">
        <v>28</v>
      </c>
      <c r="C855">
        <v>14</v>
      </c>
      <c r="D855" s="3">
        <v>7</v>
      </c>
      <c r="E855" s="3">
        <v>11</v>
      </c>
      <c r="F855">
        <v>23</v>
      </c>
      <c r="G855" s="1">
        <f>DATEVALUE(_xlfn.CONCAT(BBDD_Usiarios_Netflix[[#This Row],[Día Suscripción]],"/",BBDD_Usiarios_Netflix[[#This Row],[Mes Suscripción]],"/",BBDD_Usiarios_Netflix[[#This Row],[Año Suscripción]]))</f>
        <v>45237</v>
      </c>
      <c r="H855" s="1">
        <v>30</v>
      </c>
      <c r="I855" s="1">
        <v>6</v>
      </c>
      <c r="J855" s="1">
        <v>24</v>
      </c>
      <c r="K855" s="1" t="str">
        <f>TEXT(BBDD_Usiarios_Netflix[[#This Row],[Fecha Suscripción]],"dddd")</f>
        <v>martes</v>
      </c>
      <c r="L855" s="1">
        <f>DATEVALUE(_xlfn.CONCAT(BBDD_Usiarios_Netflix[[#This Row],[Día Último Pago]],"/",BBDD_Usiarios_Netflix[[#This Row],[Mes Último Pago]],"/",BBDD_Usiarios_Netflix[[#This Row],[Año Último Pago]]))</f>
        <v>45473</v>
      </c>
      <c r="M855" s="4">
        <f>DATEDIF(BBDD_Usiarios_Netflix[[#This Row],[Fecha Suscripción]],BBDD_Usiarios_Netflix[[#This Row],[Fecha Último Pago]],"M")+1</f>
        <v>8</v>
      </c>
      <c r="N855" s="4">
        <f>BBDD_Usiarios_Netflix[[#This Row],[Ingresos Mensuales]]*BBDD_Usiarios_Netflix[[#This Row],[Meses contratados]]</f>
        <v>112</v>
      </c>
      <c r="O855" t="s">
        <v>42</v>
      </c>
      <c r="P855" t="str">
        <f>IF(BBDD_Usiarios_Netflix[[#This Row],[País]]="","Desconocido",BBDD_Usiarios_Netflix[[#This Row],[País]])</f>
        <v>Reino Unido</v>
      </c>
      <c r="Q855">
        <v>49</v>
      </c>
      <c r="R855" t="s">
        <v>25</v>
      </c>
      <c r="S855" t="s">
        <v>34</v>
      </c>
      <c r="T855" t="s">
        <v>35</v>
      </c>
      <c r="U855">
        <f>IF(IFERROR(VLOOKUP(BBDD_Usiarios_Netflix[[#This Row],[Identificador Usuario]],A856:$A$5870,1,FALSE),0)&lt;&gt;0,1,0)</f>
        <v>0</v>
      </c>
      <c r="V855" s="6" t="str">
        <f>IF(BBDD_Usiarios_Netflix[[#This Row],[Duración Plan]]="12 Meses",LEFT(BBDD_Usiarios_Netflix[[#This Row],[Duración Plan]],2),LEFT(BBDD_Usiarios_Netflix[[#This Row],[Duración Plan]],1))</f>
        <v>6</v>
      </c>
      <c r="W8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56" spans="1:23" x14ac:dyDescent="0.25">
      <c r="A856">
        <v>855</v>
      </c>
      <c r="B856" t="s">
        <v>23</v>
      </c>
      <c r="C856">
        <v>10</v>
      </c>
      <c r="D856" s="3">
        <v>2</v>
      </c>
      <c r="E856" s="3">
        <v>11</v>
      </c>
      <c r="F856">
        <v>23</v>
      </c>
      <c r="G856" s="1">
        <f>DATEVALUE(_xlfn.CONCAT(BBDD_Usiarios_Netflix[[#This Row],[Día Suscripción]],"/",BBDD_Usiarios_Netflix[[#This Row],[Mes Suscripción]],"/",BBDD_Usiarios_Netflix[[#This Row],[Año Suscripción]]))</f>
        <v>45232</v>
      </c>
      <c r="H856" s="1">
        <v>1</v>
      </c>
      <c r="I856" s="1">
        <v>7</v>
      </c>
      <c r="J856" s="1">
        <v>24</v>
      </c>
      <c r="K856" s="1" t="str">
        <f>TEXT(BBDD_Usiarios_Netflix[[#This Row],[Fecha Suscripción]],"dddd")</f>
        <v>jueves</v>
      </c>
      <c r="L856" s="1">
        <f>DATEVALUE(_xlfn.CONCAT(BBDD_Usiarios_Netflix[[#This Row],[Día Último Pago]],"/",BBDD_Usiarios_Netflix[[#This Row],[Mes Último Pago]],"/",BBDD_Usiarios_Netflix[[#This Row],[Año Último Pago]]))</f>
        <v>45474</v>
      </c>
      <c r="M856" s="4">
        <f>DATEDIF(BBDD_Usiarios_Netflix[[#This Row],[Fecha Suscripción]],BBDD_Usiarios_Netflix[[#This Row],[Fecha Último Pago]],"M")+1</f>
        <v>8</v>
      </c>
      <c r="N856" s="4">
        <f>BBDD_Usiarios_Netflix[[#This Row],[Ingresos Mensuales]]*BBDD_Usiarios_Netflix[[#This Row],[Meses contratados]]</f>
        <v>80</v>
      </c>
      <c r="O856" t="s">
        <v>37</v>
      </c>
      <c r="P856" t="str">
        <f>IF(BBDD_Usiarios_Netflix[[#This Row],[País]]="","Desconocido",BBDD_Usiarios_Netflix[[#This Row],[País]])</f>
        <v>Brasil</v>
      </c>
      <c r="Q856">
        <v>33</v>
      </c>
      <c r="R856" t="s">
        <v>25</v>
      </c>
      <c r="S856" t="s">
        <v>36</v>
      </c>
      <c r="T856" t="s">
        <v>27</v>
      </c>
      <c r="U856">
        <f>IF(IFERROR(VLOOKUP(BBDD_Usiarios_Netflix[[#This Row],[Identificador Usuario]],A857:$A$5870,1,FALSE),0)&lt;&gt;0,1,0)</f>
        <v>0</v>
      </c>
      <c r="V856" s="6" t="str">
        <f>IF(BBDD_Usiarios_Netflix[[#This Row],[Duración Plan]]="12 Meses",LEFT(BBDD_Usiarios_Netflix[[#This Row],[Duración Plan]],2),LEFT(BBDD_Usiarios_Netflix[[#This Row],[Duración Plan]],1))</f>
        <v>1</v>
      </c>
      <c r="W8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57" spans="1:23" x14ac:dyDescent="0.25">
      <c r="A857">
        <v>856</v>
      </c>
      <c r="B857" t="s">
        <v>28</v>
      </c>
      <c r="C857">
        <v>14</v>
      </c>
      <c r="D857" s="3">
        <v>6</v>
      </c>
      <c r="E857" s="3">
        <v>10</v>
      </c>
      <c r="F857">
        <v>23</v>
      </c>
      <c r="G857" s="1">
        <f>DATEVALUE(_xlfn.CONCAT(BBDD_Usiarios_Netflix[[#This Row],[Día Suscripción]],"/",BBDD_Usiarios_Netflix[[#This Row],[Mes Suscripción]],"/",BBDD_Usiarios_Netflix[[#This Row],[Año Suscripción]]))</f>
        <v>45205</v>
      </c>
      <c r="H857" s="1">
        <v>30</v>
      </c>
      <c r="I857" s="1">
        <v>6</v>
      </c>
      <c r="J857" s="1">
        <v>24</v>
      </c>
      <c r="K857" s="1" t="str">
        <f>TEXT(BBDD_Usiarios_Netflix[[#This Row],[Fecha Suscripción]],"dddd")</f>
        <v>viernes</v>
      </c>
      <c r="L857" s="1">
        <f>DATEVALUE(_xlfn.CONCAT(BBDD_Usiarios_Netflix[[#This Row],[Día Último Pago]],"/",BBDD_Usiarios_Netflix[[#This Row],[Mes Último Pago]],"/",BBDD_Usiarios_Netflix[[#This Row],[Año Último Pago]]))</f>
        <v>45473</v>
      </c>
      <c r="M857" s="4">
        <f>DATEDIF(BBDD_Usiarios_Netflix[[#This Row],[Fecha Suscripción]],BBDD_Usiarios_Netflix[[#This Row],[Fecha Último Pago]],"M")+1</f>
        <v>9</v>
      </c>
      <c r="N857" s="4">
        <f>BBDD_Usiarios_Netflix[[#This Row],[Ingresos Mensuales]]*BBDD_Usiarios_Netflix[[#This Row],[Meses contratados]]</f>
        <v>126</v>
      </c>
      <c r="O857" t="s">
        <v>45</v>
      </c>
      <c r="P857" t="str">
        <f>IF(BBDD_Usiarios_Netflix[[#This Row],[País]]="","Desconocido",BBDD_Usiarios_Netflix[[#This Row],[País]])</f>
        <v>España</v>
      </c>
      <c r="Q857">
        <v>32</v>
      </c>
      <c r="R857" t="s">
        <v>30</v>
      </c>
      <c r="S857" t="s">
        <v>34</v>
      </c>
      <c r="T857" t="s">
        <v>38</v>
      </c>
      <c r="U857">
        <f>IF(IFERROR(VLOOKUP(BBDD_Usiarios_Netflix[[#This Row],[Identificador Usuario]],A858:$A$5870,1,FALSE),0)&lt;&gt;0,1,0)</f>
        <v>0</v>
      </c>
      <c r="V857" s="6" t="str">
        <f>IF(BBDD_Usiarios_Netflix[[#This Row],[Duración Plan]]="12 Meses",LEFT(BBDD_Usiarios_Netflix[[#This Row],[Duración Plan]],2),LEFT(BBDD_Usiarios_Netflix[[#This Row],[Duración Plan]],1))</f>
        <v>3</v>
      </c>
      <c r="W8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58" spans="1:23" x14ac:dyDescent="0.25">
      <c r="A858">
        <v>857</v>
      </c>
      <c r="B858" t="s">
        <v>23</v>
      </c>
      <c r="C858">
        <v>10</v>
      </c>
      <c r="D858" s="3">
        <v>16</v>
      </c>
      <c r="E858" s="3">
        <v>9</v>
      </c>
      <c r="F858">
        <v>23</v>
      </c>
      <c r="G858" s="1">
        <f>DATEVALUE(_xlfn.CONCAT(BBDD_Usiarios_Netflix[[#This Row],[Día Suscripción]],"/",BBDD_Usiarios_Netflix[[#This Row],[Mes Suscripción]],"/",BBDD_Usiarios_Netflix[[#This Row],[Año Suscripción]]))</f>
        <v>45185</v>
      </c>
      <c r="H858" s="1">
        <v>30</v>
      </c>
      <c r="I858" s="1">
        <v>6</v>
      </c>
      <c r="J858" s="1">
        <v>24</v>
      </c>
      <c r="K858" s="1" t="str">
        <f>TEXT(BBDD_Usiarios_Netflix[[#This Row],[Fecha Suscripción]],"dddd")</f>
        <v>sábado</v>
      </c>
      <c r="L858" s="1">
        <f>DATEVALUE(_xlfn.CONCAT(BBDD_Usiarios_Netflix[[#This Row],[Día Último Pago]],"/",BBDD_Usiarios_Netflix[[#This Row],[Mes Último Pago]],"/",BBDD_Usiarios_Netflix[[#This Row],[Año Último Pago]]))</f>
        <v>45473</v>
      </c>
      <c r="M858" s="4">
        <f>DATEDIF(BBDD_Usiarios_Netflix[[#This Row],[Fecha Suscripción]],BBDD_Usiarios_Netflix[[#This Row],[Fecha Último Pago]],"M")+1</f>
        <v>10</v>
      </c>
      <c r="N858" s="4">
        <f>BBDD_Usiarios_Netflix[[#This Row],[Ingresos Mensuales]]*BBDD_Usiarios_Netflix[[#This Row],[Meses contratados]]</f>
        <v>100</v>
      </c>
      <c r="O858" t="s">
        <v>39</v>
      </c>
      <c r="P858" t="str">
        <f>IF(BBDD_Usiarios_Netflix[[#This Row],[País]]="","Desconocido",BBDD_Usiarios_Netflix[[#This Row],[País]])</f>
        <v>Canadá</v>
      </c>
      <c r="Q858">
        <v>40</v>
      </c>
      <c r="R858" t="s">
        <v>25</v>
      </c>
      <c r="S858" t="s">
        <v>26</v>
      </c>
      <c r="T858" t="s">
        <v>38</v>
      </c>
      <c r="U858">
        <f>IF(IFERROR(VLOOKUP(BBDD_Usiarios_Netflix[[#This Row],[Identificador Usuario]],A859:$A$5870,1,FALSE),0)&lt;&gt;0,1,0)</f>
        <v>0</v>
      </c>
      <c r="V858" s="6" t="str">
        <f>IF(BBDD_Usiarios_Netflix[[#This Row],[Duración Plan]]="12 Meses",LEFT(BBDD_Usiarios_Netflix[[#This Row],[Duración Plan]],2),LEFT(BBDD_Usiarios_Netflix[[#This Row],[Duración Plan]],1))</f>
        <v>3</v>
      </c>
      <c r="W8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59" spans="1:23" x14ac:dyDescent="0.25">
      <c r="A859">
        <v>858</v>
      </c>
      <c r="B859" t="s">
        <v>32</v>
      </c>
      <c r="C859">
        <v>12</v>
      </c>
      <c r="D859" s="3">
        <v>10</v>
      </c>
      <c r="E859" s="3">
        <v>9</v>
      </c>
      <c r="F859">
        <v>23</v>
      </c>
      <c r="G859" s="1">
        <f>DATEVALUE(_xlfn.CONCAT(BBDD_Usiarios_Netflix[[#This Row],[Día Suscripción]],"/",BBDD_Usiarios_Netflix[[#This Row],[Mes Suscripción]],"/",BBDD_Usiarios_Netflix[[#This Row],[Año Suscripción]]))</f>
        <v>45179</v>
      </c>
      <c r="H859" s="1">
        <v>30</v>
      </c>
      <c r="I859" s="1">
        <v>6</v>
      </c>
      <c r="J859" s="1">
        <v>24</v>
      </c>
      <c r="K859" s="1" t="str">
        <f>TEXT(BBDD_Usiarios_Netflix[[#This Row],[Fecha Suscripción]],"dddd")</f>
        <v>domingo</v>
      </c>
      <c r="L859" s="1">
        <f>DATEVALUE(_xlfn.CONCAT(BBDD_Usiarios_Netflix[[#This Row],[Día Último Pago]],"/",BBDD_Usiarios_Netflix[[#This Row],[Mes Último Pago]],"/",BBDD_Usiarios_Netflix[[#This Row],[Año Último Pago]]))</f>
        <v>45473</v>
      </c>
      <c r="M859" s="4">
        <f>DATEDIF(BBDD_Usiarios_Netflix[[#This Row],[Fecha Suscripción]],BBDD_Usiarios_Netflix[[#This Row],[Fecha Último Pago]],"M")+1</f>
        <v>10</v>
      </c>
      <c r="N859" s="4">
        <f>BBDD_Usiarios_Netflix[[#This Row],[Ingresos Mensuales]]*BBDD_Usiarios_Netflix[[#This Row],[Meses contratados]]</f>
        <v>120</v>
      </c>
      <c r="O859" t="s">
        <v>33</v>
      </c>
      <c r="P859" t="str">
        <f>IF(BBDD_Usiarios_Netflix[[#This Row],[País]]="","Desconocido",BBDD_Usiarios_Netflix[[#This Row],[País]])</f>
        <v>Francia</v>
      </c>
      <c r="Q859">
        <v>40</v>
      </c>
      <c r="R859" t="s">
        <v>30</v>
      </c>
      <c r="S859" t="s">
        <v>36</v>
      </c>
      <c r="T859" t="s">
        <v>27</v>
      </c>
      <c r="U859">
        <f>IF(IFERROR(VLOOKUP(BBDD_Usiarios_Netflix[[#This Row],[Identificador Usuario]],A860:$A$5870,1,FALSE),0)&lt;&gt;0,1,0)</f>
        <v>0</v>
      </c>
      <c r="V859" s="6" t="str">
        <f>IF(BBDD_Usiarios_Netflix[[#This Row],[Duración Plan]]="12 Meses",LEFT(BBDD_Usiarios_Netflix[[#This Row],[Duración Plan]],2),LEFT(BBDD_Usiarios_Netflix[[#This Row],[Duración Plan]],1))</f>
        <v>1</v>
      </c>
      <c r="W8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60" spans="1:23" x14ac:dyDescent="0.25">
      <c r="A860">
        <v>859</v>
      </c>
      <c r="B860" t="s">
        <v>32</v>
      </c>
      <c r="C860">
        <v>12</v>
      </c>
      <c r="D860" s="3">
        <v>4</v>
      </c>
      <c r="E860" s="3">
        <v>9</v>
      </c>
      <c r="F860">
        <v>23</v>
      </c>
      <c r="G860" s="1">
        <f>DATEVALUE(_xlfn.CONCAT(BBDD_Usiarios_Netflix[[#This Row],[Día Suscripción]],"/",BBDD_Usiarios_Netflix[[#This Row],[Mes Suscripción]],"/",BBDD_Usiarios_Netflix[[#This Row],[Año Suscripción]]))</f>
        <v>45173</v>
      </c>
      <c r="H860" s="1">
        <v>30</v>
      </c>
      <c r="I860" s="1">
        <v>6</v>
      </c>
      <c r="J860" s="1">
        <v>24</v>
      </c>
      <c r="K860" s="1" t="str">
        <f>TEXT(BBDD_Usiarios_Netflix[[#This Row],[Fecha Suscripción]],"dddd")</f>
        <v>lunes</v>
      </c>
      <c r="L860" s="1">
        <f>DATEVALUE(_xlfn.CONCAT(BBDD_Usiarios_Netflix[[#This Row],[Día Último Pago]],"/",BBDD_Usiarios_Netflix[[#This Row],[Mes Último Pago]],"/",BBDD_Usiarios_Netflix[[#This Row],[Año Último Pago]]))</f>
        <v>45473</v>
      </c>
      <c r="M860" s="4">
        <f>DATEDIF(BBDD_Usiarios_Netflix[[#This Row],[Fecha Suscripción]],BBDD_Usiarios_Netflix[[#This Row],[Fecha Último Pago]],"M")+1</f>
        <v>10</v>
      </c>
      <c r="N860" s="4">
        <f>BBDD_Usiarios_Netflix[[#This Row],[Ingresos Mensuales]]*BBDD_Usiarios_Netflix[[#This Row],[Meses contratados]]</f>
        <v>120</v>
      </c>
      <c r="O860" t="s">
        <v>45</v>
      </c>
      <c r="P860" t="str">
        <f>IF(BBDD_Usiarios_Netflix[[#This Row],[País]]="","Desconocido",BBDD_Usiarios_Netflix[[#This Row],[País]])</f>
        <v>España</v>
      </c>
      <c r="Q860">
        <v>51</v>
      </c>
      <c r="R860" t="s">
        <v>30</v>
      </c>
      <c r="S860" t="s">
        <v>31</v>
      </c>
      <c r="T860" t="s">
        <v>27</v>
      </c>
      <c r="U860">
        <f>IF(IFERROR(VLOOKUP(BBDD_Usiarios_Netflix[[#This Row],[Identificador Usuario]],A861:$A$5870,1,FALSE),0)&lt;&gt;0,1,0)</f>
        <v>0</v>
      </c>
      <c r="V860" s="6" t="str">
        <f>IF(BBDD_Usiarios_Netflix[[#This Row],[Duración Plan]]="12 Meses",LEFT(BBDD_Usiarios_Netflix[[#This Row],[Duración Plan]],2),LEFT(BBDD_Usiarios_Netflix[[#This Row],[Duración Plan]],1))</f>
        <v>1</v>
      </c>
      <c r="W8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61" spans="1:23" x14ac:dyDescent="0.25">
      <c r="A861">
        <v>860</v>
      </c>
      <c r="B861" t="s">
        <v>23</v>
      </c>
      <c r="C861">
        <v>10</v>
      </c>
      <c r="D861" s="3">
        <v>26</v>
      </c>
      <c r="E861" s="3">
        <v>8</v>
      </c>
      <c r="F861">
        <v>23</v>
      </c>
      <c r="G861" s="1">
        <f>DATEVALUE(_xlfn.CONCAT(BBDD_Usiarios_Netflix[[#This Row],[Día Suscripción]],"/",BBDD_Usiarios_Netflix[[#This Row],[Mes Suscripción]],"/",BBDD_Usiarios_Netflix[[#This Row],[Año Suscripción]]))</f>
        <v>45164</v>
      </c>
      <c r="H861" s="1">
        <v>1</v>
      </c>
      <c r="I861" s="1">
        <v>7</v>
      </c>
      <c r="J861" s="1">
        <v>24</v>
      </c>
      <c r="K861" s="1" t="str">
        <f>TEXT(BBDD_Usiarios_Netflix[[#This Row],[Fecha Suscripción]],"dddd")</f>
        <v>sábado</v>
      </c>
      <c r="L861" s="1">
        <f>DATEVALUE(_xlfn.CONCAT(BBDD_Usiarios_Netflix[[#This Row],[Día Último Pago]],"/",BBDD_Usiarios_Netflix[[#This Row],[Mes Último Pago]],"/",BBDD_Usiarios_Netflix[[#This Row],[Año Último Pago]]))</f>
        <v>45474</v>
      </c>
      <c r="M861" s="4">
        <f>DATEDIF(BBDD_Usiarios_Netflix[[#This Row],[Fecha Suscripción]],BBDD_Usiarios_Netflix[[#This Row],[Fecha Último Pago]],"M")+1</f>
        <v>11</v>
      </c>
      <c r="N861" s="4">
        <f>BBDD_Usiarios_Netflix[[#This Row],[Ingresos Mensuales]]*BBDD_Usiarios_Netflix[[#This Row],[Meses contratados]]</f>
        <v>110</v>
      </c>
      <c r="O861" t="s">
        <v>29</v>
      </c>
      <c r="P861" t="str">
        <f>IF(BBDD_Usiarios_Netflix[[#This Row],[País]]="","Desconocido",BBDD_Usiarios_Netflix[[#This Row],[País]])</f>
        <v>EEUU</v>
      </c>
      <c r="Q861">
        <v>50</v>
      </c>
      <c r="R861" t="s">
        <v>25</v>
      </c>
      <c r="S861" t="s">
        <v>34</v>
      </c>
      <c r="T861" t="s">
        <v>35</v>
      </c>
      <c r="U861">
        <f>IF(IFERROR(VLOOKUP(BBDD_Usiarios_Netflix[[#This Row],[Identificador Usuario]],A862:$A$5870,1,FALSE),0)&lt;&gt;0,1,0)</f>
        <v>0</v>
      </c>
      <c r="V861" s="6" t="str">
        <f>IF(BBDD_Usiarios_Netflix[[#This Row],[Duración Plan]]="12 Meses",LEFT(BBDD_Usiarios_Netflix[[#This Row],[Duración Plan]],2),LEFT(BBDD_Usiarios_Netflix[[#This Row],[Duración Plan]],1))</f>
        <v>6</v>
      </c>
      <c r="W8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62" spans="1:23" x14ac:dyDescent="0.25">
      <c r="A862">
        <v>861</v>
      </c>
      <c r="B862" t="s">
        <v>28</v>
      </c>
      <c r="C862">
        <v>14</v>
      </c>
      <c r="D862" s="3">
        <v>14</v>
      </c>
      <c r="E862" s="3">
        <v>8</v>
      </c>
      <c r="F862">
        <v>23</v>
      </c>
      <c r="G862" s="1">
        <f>DATEVALUE(_xlfn.CONCAT(BBDD_Usiarios_Netflix[[#This Row],[Día Suscripción]],"/",BBDD_Usiarios_Netflix[[#This Row],[Mes Suscripción]],"/",BBDD_Usiarios_Netflix[[#This Row],[Año Suscripción]]))</f>
        <v>45152</v>
      </c>
      <c r="H862" s="1">
        <v>1</v>
      </c>
      <c r="I862" s="1">
        <v>7</v>
      </c>
      <c r="J862" s="1">
        <v>24</v>
      </c>
      <c r="K862" s="1" t="str">
        <f>TEXT(BBDD_Usiarios_Netflix[[#This Row],[Fecha Suscripción]],"dddd")</f>
        <v>lunes</v>
      </c>
      <c r="L862" s="1">
        <f>DATEVALUE(_xlfn.CONCAT(BBDD_Usiarios_Netflix[[#This Row],[Día Último Pago]],"/",BBDD_Usiarios_Netflix[[#This Row],[Mes Último Pago]],"/",BBDD_Usiarios_Netflix[[#This Row],[Año Último Pago]]))</f>
        <v>45474</v>
      </c>
      <c r="M862" s="4">
        <f>DATEDIF(BBDD_Usiarios_Netflix[[#This Row],[Fecha Suscripción]],BBDD_Usiarios_Netflix[[#This Row],[Fecha Último Pago]],"M")+1</f>
        <v>11</v>
      </c>
      <c r="N862" s="4">
        <f>BBDD_Usiarios_Netflix[[#This Row],[Ingresos Mensuales]]*BBDD_Usiarios_Netflix[[#This Row],[Meses contratados]]</f>
        <v>154</v>
      </c>
      <c r="O862" t="s">
        <v>33</v>
      </c>
      <c r="P862" t="str">
        <f>IF(BBDD_Usiarios_Netflix[[#This Row],[País]]="","Desconocido",BBDD_Usiarios_Netflix[[#This Row],[País]])</f>
        <v>Francia</v>
      </c>
      <c r="Q862">
        <v>50</v>
      </c>
      <c r="R862" t="s">
        <v>30</v>
      </c>
      <c r="S862" t="s">
        <v>34</v>
      </c>
      <c r="T862" t="s">
        <v>27</v>
      </c>
      <c r="U862">
        <f>IF(IFERROR(VLOOKUP(BBDD_Usiarios_Netflix[[#This Row],[Identificador Usuario]],A863:$A$5870,1,FALSE),0)&lt;&gt;0,1,0)</f>
        <v>0</v>
      </c>
      <c r="V862" s="6" t="str">
        <f>IF(BBDD_Usiarios_Netflix[[#This Row],[Duración Plan]]="12 Meses",LEFT(BBDD_Usiarios_Netflix[[#This Row],[Duración Plan]],2),LEFT(BBDD_Usiarios_Netflix[[#This Row],[Duración Plan]],1))</f>
        <v>1</v>
      </c>
      <c r="W8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63" spans="1:23" x14ac:dyDescent="0.25">
      <c r="A863">
        <v>862</v>
      </c>
      <c r="B863" t="s">
        <v>23</v>
      </c>
      <c r="C863">
        <v>10</v>
      </c>
      <c r="D863" s="3">
        <v>12</v>
      </c>
      <c r="E863" s="3">
        <v>8</v>
      </c>
      <c r="F863">
        <v>23</v>
      </c>
      <c r="G863" s="1">
        <f>DATEVALUE(_xlfn.CONCAT(BBDD_Usiarios_Netflix[[#This Row],[Día Suscripción]],"/",BBDD_Usiarios_Netflix[[#This Row],[Mes Suscripción]],"/",BBDD_Usiarios_Netflix[[#This Row],[Año Suscripción]]))</f>
        <v>45150</v>
      </c>
      <c r="H863" s="1">
        <v>1</v>
      </c>
      <c r="I863" s="1">
        <v>7</v>
      </c>
      <c r="J863" s="1">
        <v>24</v>
      </c>
      <c r="K863" s="1" t="str">
        <f>TEXT(BBDD_Usiarios_Netflix[[#This Row],[Fecha Suscripción]],"dddd")</f>
        <v>sábado</v>
      </c>
      <c r="L863" s="1">
        <f>DATEVALUE(_xlfn.CONCAT(BBDD_Usiarios_Netflix[[#This Row],[Día Último Pago]],"/",BBDD_Usiarios_Netflix[[#This Row],[Mes Último Pago]],"/",BBDD_Usiarios_Netflix[[#This Row],[Año Último Pago]]))</f>
        <v>45474</v>
      </c>
      <c r="M863" s="4">
        <f>DATEDIF(BBDD_Usiarios_Netflix[[#This Row],[Fecha Suscripción]],BBDD_Usiarios_Netflix[[#This Row],[Fecha Último Pago]],"M")+1</f>
        <v>11</v>
      </c>
      <c r="N863" s="4">
        <f>BBDD_Usiarios_Netflix[[#This Row],[Ingresos Mensuales]]*BBDD_Usiarios_Netflix[[#This Row],[Meses contratados]]</f>
        <v>110</v>
      </c>
      <c r="O863" t="s">
        <v>29</v>
      </c>
      <c r="P863" t="str">
        <f>IF(BBDD_Usiarios_Netflix[[#This Row],[País]]="","Desconocido",BBDD_Usiarios_Netflix[[#This Row],[País]])</f>
        <v>EEUU</v>
      </c>
      <c r="Q863">
        <v>47</v>
      </c>
      <c r="R863" t="s">
        <v>25</v>
      </c>
      <c r="S863" t="s">
        <v>26</v>
      </c>
      <c r="T863" t="s">
        <v>38</v>
      </c>
      <c r="U863">
        <f>IF(IFERROR(VLOOKUP(BBDD_Usiarios_Netflix[[#This Row],[Identificador Usuario]],A864:$A$5870,1,FALSE),0)&lt;&gt;0,1,0)</f>
        <v>0</v>
      </c>
      <c r="V863" s="6" t="str">
        <f>IF(BBDD_Usiarios_Netflix[[#This Row],[Duración Plan]]="12 Meses",LEFT(BBDD_Usiarios_Netflix[[#This Row],[Duración Plan]],2),LEFT(BBDD_Usiarios_Netflix[[#This Row],[Duración Plan]],1))</f>
        <v>3</v>
      </c>
      <c r="W8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64" spans="1:23" x14ac:dyDescent="0.25">
      <c r="A864">
        <v>863</v>
      </c>
      <c r="B864" t="s">
        <v>32</v>
      </c>
      <c r="C864">
        <v>12</v>
      </c>
      <c r="D864" s="3">
        <v>10</v>
      </c>
      <c r="E864" s="3">
        <v>8</v>
      </c>
      <c r="F864">
        <v>23</v>
      </c>
      <c r="G864" s="1">
        <f>DATEVALUE(_xlfn.CONCAT(BBDD_Usiarios_Netflix[[#This Row],[Día Suscripción]],"/",BBDD_Usiarios_Netflix[[#This Row],[Mes Suscripción]],"/",BBDD_Usiarios_Netflix[[#This Row],[Año Suscripción]]))</f>
        <v>45148</v>
      </c>
      <c r="H864" s="1">
        <v>30</v>
      </c>
      <c r="I864" s="1">
        <v>6</v>
      </c>
      <c r="J864" s="1">
        <v>24</v>
      </c>
      <c r="K864" s="1" t="str">
        <f>TEXT(BBDD_Usiarios_Netflix[[#This Row],[Fecha Suscripción]],"dddd")</f>
        <v>jueves</v>
      </c>
      <c r="L864" s="1">
        <f>DATEVALUE(_xlfn.CONCAT(BBDD_Usiarios_Netflix[[#This Row],[Día Último Pago]],"/",BBDD_Usiarios_Netflix[[#This Row],[Mes Último Pago]],"/",BBDD_Usiarios_Netflix[[#This Row],[Año Último Pago]]))</f>
        <v>45473</v>
      </c>
      <c r="M864" s="4">
        <f>DATEDIF(BBDD_Usiarios_Netflix[[#This Row],[Fecha Suscripción]],BBDD_Usiarios_Netflix[[#This Row],[Fecha Último Pago]],"M")+1</f>
        <v>11</v>
      </c>
      <c r="N864" s="4">
        <f>BBDD_Usiarios_Netflix[[#This Row],[Ingresos Mensuales]]*BBDD_Usiarios_Netflix[[#This Row],[Meses contratados]]</f>
        <v>132</v>
      </c>
      <c r="O864" t="s">
        <v>29</v>
      </c>
      <c r="P864" t="str">
        <f>IF(BBDD_Usiarios_Netflix[[#This Row],[País]]="","Desconocido",BBDD_Usiarios_Netflix[[#This Row],[País]])</f>
        <v>EEUU</v>
      </c>
      <c r="Q864">
        <v>35</v>
      </c>
      <c r="R864" t="s">
        <v>25</v>
      </c>
      <c r="S864" t="s">
        <v>36</v>
      </c>
      <c r="T864" t="s">
        <v>41</v>
      </c>
      <c r="U864">
        <f>IF(IFERROR(VLOOKUP(BBDD_Usiarios_Netflix[[#This Row],[Identificador Usuario]],A865:$A$5870,1,FALSE),0)&lt;&gt;0,1,0)</f>
        <v>0</v>
      </c>
      <c r="V864" s="6" t="str">
        <f>IF(BBDD_Usiarios_Netflix[[#This Row],[Duración Plan]]="12 Meses",LEFT(BBDD_Usiarios_Netflix[[#This Row],[Duración Plan]],2),LEFT(BBDD_Usiarios_Netflix[[#This Row],[Duración Plan]],1))</f>
        <v>12</v>
      </c>
      <c r="W8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65" spans="1:23" x14ac:dyDescent="0.25">
      <c r="A865">
        <v>864</v>
      </c>
      <c r="B865" t="s">
        <v>28</v>
      </c>
      <c r="C865">
        <v>14</v>
      </c>
      <c r="D865" s="3">
        <v>10</v>
      </c>
      <c r="E865" s="3">
        <v>8</v>
      </c>
      <c r="F865">
        <v>23</v>
      </c>
      <c r="G865" s="1">
        <f>DATEVALUE(_xlfn.CONCAT(BBDD_Usiarios_Netflix[[#This Row],[Día Suscripción]],"/",BBDD_Usiarios_Netflix[[#This Row],[Mes Suscripción]],"/",BBDD_Usiarios_Netflix[[#This Row],[Año Suscripción]]))</f>
        <v>45148</v>
      </c>
      <c r="H865" s="1">
        <v>1</v>
      </c>
      <c r="I865" s="1">
        <v>7</v>
      </c>
      <c r="J865" s="1">
        <v>24</v>
      </c>
      <c r="K865" s="1" t="str">
        <f>TEXT(BBDD_Usiarios_Netflix[[#This Row],[Fecha Suscripción]],"dddd")</f>
        <v>jueves</v>
      </c>
      <c r="L865" s="1">
        <f>DATEVALUE(_xlfn.CONCAT(BBDD_Usiarios_Netflix[[#This Row],[Día Último Pago]],"/",BBDD_Usiarios_Netflix[[#This Row],[Mes Último Pago]],"/",BBDD_Usiarios_Netflix[[#This Row],[Año Último Pago]]))</f>
        <v>45474</v>
      </c>
      <c r="M865" s="4">
        <f>DATEDIF(BBDD_Usiarios_Netflix[[#This Row],[Fecha Suscripción]],BBDD_Usiarios_Netflix[[#This Row],[Fecha Último Pago]],"M")+1</f>
        <v>11</v>
      </c>
      <c r="N865" s="4">
        <f>BBDD_Usiarios_Netflix[[#This Row],[Ingresos Mensuales]]*BBDD_Usiarios_Netflix[[#This Row],[Meses contratados]]</f>
        <v>154</v>
      </c>
      <c r="O865" t="s">
        <v>39</v>
      </c>
      <c r="P865" t="str">
        <f>IF(BBDD_Usiarios_Netflix[[#This Row],[País]]="","Desconocido",BBDD_Usiarios_Netflix[[#This Row],[País]])</f>
        <v>Canadá</v>
      </c>
      <c r="Q865">
        <v>31</v>
      </c>
      <c r="R865" t="s">
        <v>25</v>
      </c>
      <c r="S865" t="s">
        <v>31</v>
      </c>
      <c r="T865" t="s">
        <v>27</v>
      </c>
      <c r="U865">
        <f>IF(IFERROR(VLOOKUP(BBDD_Usiarios_Netflix[[#This Row],[Identificador Usuario]],A866:$A$5870,1,FALSE),0)&lt;&gt;0,1,0)</f>
        <v>0</v>
      </c>
      <c r="V865" s="6" t="str">
        <f>IF(BBDD_Usiarios_Netflix[[#This Row],[Duración Plan]]="12 Meses",LEFT(BBDD_Usiarios_Netflix[[#This Row],[Duración Plan]],2),LEFT(BBDD_Usiarios_Netflix[[#This Row],[Duración Plan]],1))</f>
        <v>1</v>
      </c>
      <c r="W8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66" spans="1:23" x14ac:dyDescent="0.25">
      <c r="A866">
        <v>865</v>
      </c>
      <c r="B866" t="s">
        <v>23</v>
      </c>
      <c r="C866">
        <v>10</v>
      </c>
      <c r="D866" s="3">
        <v>4</v>
      </c>
      <c r="E866" s="3">
        <v>8</v>
      </c>
      <c r="F866">
        <v>23</v>
      </c>
      <c r="G866" s="1">
        <f>DATEVALUE(_xlfn.CONCAT(BBDD_Usiarios_Netflix[[#This Row],[Día Suscripción]],"/",BBDD_Usiarios_Netflix[[#This Row],[Mes Suscripción]],"/",BBDD_Usiarios_Netflix[[#This Row],[Año Suscripción]]))</f>
        <v>45142</v>
      </c>
      <c r="H866" s="1">
        <v>1</v>
      </c>
      <c r="I866" s="1">
        <v>7</v>
      </c>
      <c r="J866" s="1">
        <v>24</v>
      </c>
      <c r="K866" s="1" t="str">
        <f>TEXT(BBDD_Usiarios_Netflix[[#This Row],[Fecha Suscripción]],"dddd")</f>
        <v>viernes</v>
      </c>
      <c r="L866" s="1">
        <f>DATEVALUE(_xlfn.CONCAT(BBDD_Usiarios_Netflix[[#This Row],[Día Último Pago]],"/",BBDD_Usiarios_Netflix[[#This Row],[Mes Último Pago]],"/",BBDD_Usiarios_Netflix[[#This Row],[Año Último Pago]]))</f>
        <v>45474</v>
      </c>
      <c r="M866" s="4">
        <f>DATEDIF(BBDD_Usiarios_Netflix[[#This Row],[Fecha Suscripción]],BBDD_Usiarios_Netflix[[#This Row],[Fecha Último Pago]],"M")+1</f>
        <v>11</v>
      </c>
      <c r="N866" s="4">
        <f>BBDD_Usiarios_Netflix[[#This Row],[Ingresos Mensuales]]*BBDD_Usiarios_Netflix[[#This Row],[Meses contratados]]</f>
        <v>110</v>
      </c>
      <c r="O866" t="s">
        <v>29</v>
      </c>
      <c r="P866" t="str">
        <f>IF(BBDD_Usiarios_Netflix[[#This Row],[País]]="","Desconocido",BBDD_Usiarios_Netflix[[#This Row],[País]])</f>
        <v>EEUU</v>
      </c>
      <c r="Q866">
        <v>36</v>
      </c>
      <c r="R866" t="s">
        <v>25</v>
      </c>
      <c r="S866" t="s">
        <v>26</v>
      </c>
      <c r="T866" t="s">
        <v>38</v>
      </c>
      <c r="U866">
        <f>IF(IFERROR(VLOOKUP(BBDD_Usiarios_Netflix[[#This Row],[Identificador Usuario]],A867:$A$5870,1,FALSE),0)&lt;&gt;0,1,0)</f>
        <v>0</v>
      </c>
      <c r="V866" s="6" t="str">
        <f>IF(BBDD_Usiarios_Netflix[[#This Row],[Duración Plan]]="12 Meses",LEFT(BBDD_Usiarios_Netflix[[#This Row],[Duración Plan]],2),LEFT(BBDD_Usiarios_Netflix[[#This Row],[Duración Plan]],1))</f>
        <v>3</v>
      </c>
      <c r="W8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67" spans="1:23" x14ac:dyDescent="0.25">
      <c r="A867">
        <v>866</v>
      </c>
      <c r="B867" t="s">
        <v>28</v>
      </c>
      <c r="C867">
        <v>14</v>
      </c>
      <c r="D867" s="3">
        <v>5</v>
      </c>
      <c r="E867" s="3">
        <v>8</v>
      </c>
      <c r="F867">
        <v>23</v>
      </c>
      <c r="G867" s="1">
        <f>DATEVALUE(_xlfn.CONCAT(BBDD_Usiarios_Netflix[[#This Row],[Día Suscripción]],"/",BBDD_Usiarios_Netflix[[#This Row],[Mes Suscripción]],"/",BBDD_Usiarios_Netflix[[#This Row],[Año Suscripción]]))</f>
        <v>45143</v>
      </c>
      <c r="H867" s="1">
        <v>1</v>
      </c>
      <c r="I867" s="1">
        <v>7</v>
      </c>
      <c r="J867" s="1">
        <v>24</v>
      </c>
      <c r="K867" s="1" t="str">
        <f>TEXT(BBDD_Usiarios_Netflix[[#This Row],[Fecha Suscripción]],"dddd")</f>
        <v>sábado</v>
      </c>
      <c r="L867" s="1">
        <f>DATEVALUE(_xlfn.CONCAT(BBDD_Usiarios_Netflix[[#This Row],[Día Último Pago]],"/",BBDD_Usiarios_Netflix[[#This Row],[Mes Último Pago]],"/",BBDD_Usiarios_Netflix[[#This Row],[Año Último Pago]]))</f>
        <v>45474</v>
      </c>
      <c r="M867" s="4">
        <f>DATEDIF(BBDD_Usiarios_Netflix[[#This Row],[Fecha Suscripción]],BBDD_Usiarios_Netflix[[#This Row],[Fecha Último Pago]],"M")+1</f>
        <v>11</v>
      </c>
      <c r="N867" s="4">
        <f>BBDD_Usiarios_Netflix[[#This Row],[Ingresos Mensuales]]*BBDD_Usiarios_Netflix[[#This Row],[Meses contratados]]</f>
        <v>154</v>
      </c>
      <c r="O867" t="s">
        <v>40</v>
      </c>
      <c r="P867" t="str">
        <f>IF(BBDD_Usiarios_Netflix[[#This Row],[País]]="","Desconocido",BBDD_Usiarios_Netflix[[#This Row],[País]])</f>
        <v>Italia</v>
      </c>
      <c r="Q867">
        <v>41</v>
      </c>
      <c r="R867" t="s">
        <v>30</v>
      </c>
      <c r="S867" t="s">
        <v>34</v>
      </c>
      <c r="T867" t="s">
        <v>27</v>
      </c>
      <c r="U867">
        <f>IF(IFERROR(VLOOKUP(BBDD_Usiarios_Netflix[[#This Row],[Identificador Usuario]],A868:$A$5870,1,FALSE),0)&lt;&gt;0,1,0)</f>
        <v>0</v>
      </c>
      <c r="V867" s="6" t="str">
        <f>IF(BBDD_Usiarios_Netflix[[#This Row],[Duración Plan]]="12 Meses",LEFT(BBDD_Usiarios_Netflix[[#This Row],[Duración Plan]],2),LEFT(BBDD_Usiarios_Netflix[[#This Row],[Duración Plan]],1))</f>
        <v>1</v>
      </c>
      <c r="W8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68" spans="1:23" x14ac:dyDescent="0.25">
      <c r="A868">
        <v>867</v>
      </c>
      <c r="B868" t="s">
        <v>23</v>
      </c>
      <c r="C868">
        <v>10</v>
      </c>
      <c r="D868" s="3">
        <v>17</v>
      </c>
      <c r="E868" s="3">
        <v>7</v>
      </c>
      <c r="F868">
        <v>23</v>
      </c>
      <c r="G868" s="1">
        <f>DATEVALUE(_xlfn.CONCAT(BBDD_Usiarios_Netflix[[#This Row],[Día Suscripción]],"/",BBDD_Usiarios_Netflix[[#This Row],[Mes Suscripción]],"/",BBDD_Usiarios_Netflix[[#This Row],[Año Suscripción]]))</f>
        <v>45124</v>
      </c>
      <c r="H868" s="1">
        <v>30</v>
      </c>
      <c r="I868" s="1">
        <v>6</v>
      </c>
      <c r="J868" s="1">
        <v>24</v>
      </c>
      <c r="K868" s="1" t="str">
        <f>TEXT(BBDD_Usiarios_Netflix[[#This Row],[Fecha Suscripción]],"dddd")</f>
        <v>lunes</v>
      </c>
      <c r="L868" s="1">
        <f>DATEVALUE(_xlfn.CONCAT(BBDD_Usiarios_Netflix[[#This Row],[Día Último Pago]],"/",BBDD_Usiarios_Netflix[[#This Row],[Mes Último Pago]],"/",BBDD_Usiarios_Netflix[[#This Row],[Año Último Pago]]))</f>
        <v>45473</v>
      </c>
      <c r="M868" s="4">
        <f>DATEDIF(BBDD_Usiarios_Netflix[[#This Row],[Fecha Suscripción]],BBDD_Usiarios_Netflix[[#This Row],[Fecha Último Pago]],"M")+1</f>
        <v>12</v>
      </c>
      <c r="N868" s="4">
        <f>BBDD_Usiarios_Netflix[[#This Row],[Ingresos Mensuales]]*BBDD_Usiarios_Netflix[[#This Row],[Meses contratados]]</f>
        <v>120</v>
      </c>
      <c r="O868" t="s">
        <v>24</v>
      </c>
      <c r="P868" t="str">
        <f>IF(BBDD_Usiarios_Netflix[[#This Row],[País]]="","Desconocido",BBDD_Usiarios_Netflix[[#This Row],[País]])</f>
        <v>Australia</v>
      </c>
      <c r="Q868">
        <v>49</v>
      </c>
      <c r="R868" t="s">
        <v>30</v>
      </c>
      <c r="S868" t="s">
        <v>31</v>
      </c>
      <c r="T868" t="s">
        <v>27</v>
      </c>
      <c r="U868">
        <f>IF(IFERROR(VLOOKUP(BBDD_Usiarios_Netflix[[#This Row],[Identificador Usuario]],A869:$A$5870,1,FALSE),0)&lt;&gt;0,1,0)</f>
        <v>0</v>
      </c>
      <c r="V868" s="6" t="str">
        <f>IF(BBDD_Usiarios_Netflix[[#This Row],[Duración Plan]]="12 Meses",LEFT(BBDD_Usiarios_Netflix[[#This Row],[Duración Plan]],2),LEFT(BBDD_Usiarios_Netflix[[#This Row],[Duración Plan]],1))</f>
        <v>1</v>
      </c>
      <c r="W8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69" spans="1:23" x14ac:dyDescent="0.25">
      <c r="A869">
        <v>868</v>
      </c>
      <c r="B869" t="s">
        <v>32</v>
      </c>
      <c r="C869">
        <v>12</v>
      </c>
      <c r="D869" s="3">
        <v>16</v>
      </c>
      <c r="E869" s="3">
        <v>7</v>
      </c>
      <c r="F869">
        <v>23</v>
      </c>
      <c r="G869" s="1">
        <f>DATEVALUE(_xlfn.CONCAT(BBDD_Usiarios_Netflix[[#This Row],[Día Suscripción]],"/",BBDD_Usiarios_Netflix[[#This Row],[Mes Suscripción]],"/",BBDD_Usiarios_Netflix[[#This Row],[Año Suscripción]]))</f>
        <v>45123</v>
      </c>
      <c r="H869" s="1">
        <v>1</v>
      </c>
      <c r="I869" s="1">
        <v>7</v>
      </c>
      <c r="J869" s="1">
        <v>24</v>
      </c>
      <c r="K869" s="1" t="str">
        <f>TEXT(BBDD_Usiarios_Netflix[[#This Row],[Fecha Suscripción]],"dddd")</f>
        <v>domingo</v>
      </c>
      <c r="L869" s="1">
        <f>DATEVALUE(_xlfn.CONCAT(BBDD_Usiarios_Netflix[[#This Row],[Día Último Pago]],"/",BBDD_Usiarios_Netflix[[#This Row],[Mes Último Pago]],"/",BBDD_Usiarios_Netflix[[#This Row],[Año Último Pago]]))</f>
        <v>45474</v>
      </c>
      <c r="M869" s="4">
        <f>DATEDIF(BBDD_Usiarios_Netflix[[#This Row],[Fecha Suscripción]],BBDD_Usiarios_Netflix[[#This Row],[Fecha Último Pago]],"M")+1</f>
        <v>12</v>
      </c>
      <c r="N869" s="4">
        <f>BBDD_Usiarios_Netflix[[#This Row],[Ingresos Mensuales]]*BBDD_Usiarios_Netflix[[#This Row],[Meses contratados]]</f>
        <v>144</v>
      </c>
      <c r="O869" t="s">
        <v>39</v>
      </c>
      <c r="P869" t="str">
        <f>IF(BBDD_Usiarios_Netflix[[#This Row],[País]]="","Desconocido",BBDD_Usiarios_Netflix[[#This Row],[País]])</f>
        <v>Canadá</v>
      </c>
      <c r="Q869">
        <v>34</v>
      </c>
      <c r="R869" t="s">
        <v>30</v>
      </c>
      <c r="S869" t="s">
        <v>31</v>
      </c>
      <c r="T869" t="s">
        <v>41</v>
      </c>
      <c r="U869">
        <f>IF(IFERROR(VLOOKUP(BBDD_Usiarios_Netflix[[#This Row],[Identificador Usuario]],A870:$A$5870,1,FALSE),0)&lt;&gt;0,1,0)</f>
        <v>0</v>
      </c>
      <c r="V869" s="6" t="str">
        <f>IF(BBDD_Usiarios_Netflix[[#This Row],[Duración Plan]]="12 Meses",LEFT(BBDD_Usiarios_Netflix[[#This Row],[Duración Plan]],2),LEFT(BBDD_Usiarios_Netflix[[#This Row],[Duración Plan]],1))</f>
        <v>12</v>
      </c>
      <c r="W8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70" spans="1:23" x14ac:dyDescent="0.25">
      <c r="A870">
        <v>869</v>
      </c>
      <c r="B870" t="s">
        <v>32</v>
      </c>
      <c r="C870">
        <v>12</v>
      </c>
      <c r="D870" s="3">
        <v>13</v>
      </c>
      <c r="E870" s="3">
        <v>7</v>
      </c>
      <c r="F870">
        <v>23</v>
      </c>
      <c r="G870" s="1">
        <f>DATEVALUE(_xlfn.CONCAT(BBDD_Usiarios_Netflix[[#This Row],[Día Suscripción]],"/",BBDD_Usiarios_Netflix[[#This Row],[Mes Suscripción]],"/",BBDD_Usiarios_Netflix[[#This Row],[Año Suscripción]]))</f>
        <v>45120</v>
      </c>
      <c r="H870" s="1">
        <v>1</v>
      </c>
      <c r="I870" s="1">
        <v>7</v>
      </c>
      <c r="J870" s="1">
        <v>24</v>
      </c>
      <c r="K870" s="1" t="str">
        <f>TEXT(BBDD_Usiarios_Netflix[[#This Row],[Fecha Suscripción]],"dddd")</f>
        <v>jueves</v>
      </c>
      <c r="L870" s="1">
        <f>DATEVALUE(_xlfn.CONCAT(BBDD_Usiarios_Netflix[[#This Row],[Día Último Pago]],"/",BBDD_Usiarios_Netflix[[#This Row],[Mes Último Pago]],"/",BBDD_Usiarios_Netflix[[#This Row],[Año Último Pago]]))</f>
        <v>45474</v>
      </c>
      <c r="M870" s="4">
        <f>DATEDIF(BBDD_Usiarios_Netflix[[#This Row],[Fecha Suscripción]],BBDD_Usiarios_Netflix[[#This Row],[Fecha Último Pago]],"M")+1</f>
        <v>12</v>
      </c>
      <c r="N870" s="4">
        <f>BBDD_Usiarios_Netflix[[#This Row],[Ingresos Mensuales]]*BBDD_Usiarios_Netflix[[#This Row],[Meses contratados]]</f>
        <v>144</v>
      </c>
      <c r="O870" t="s">
        <v>24</v>
      </c>
      <c r="P870" t="str">
        <f>IF(BBDD_Usiarios_Netflix[[#This Row],[País]]="","Desconocido",BBDD_Usiarios_Netflix[[#This Row],[País]])</f>
        <v>Australia</v>
      </c>
      <c r="Q870">
        <v>30</v>
      </c>
      <c r="R870" t="s">
        <v>30</v>
      </c>
      <c r="S870" t="s">
        <v>31</v>
      </c>
      <c r="T870" t="s">
        <v>41</v>
      </c>
      <c r="U870">
        <f>IF(IFERROR(VLOOKUP(BBDD_Usiarios_Netflix[[#This Row],[Identificador Usuario]],A871:$A$5870,1,FALSE),0)&lt;&gt;0,1,0)</f>
        <v>0</v>
      </c>
      <c r="V870" s="6" t="str">
        <f>IF(BBDD_Usiarios_Netflix[[#This Row],[Duración Plan]]="12 Meses",LEFT(BBDD_Usiarios_Netflix[[#This Row],[Duración Plan]],2),LEFT(BBDD_Usiarios_Netflix[[#This Row],[Duración Plan]],1))</f>
        <v>12</v>
      </c>
      <c r="W8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71" spans="1:23" x14ac:dyDescent="0.25">
      <c r="A871">
        <v>870</v>
      </c>
      <c r="B871" t="s">
        <v>23</v>
      </c>
      <c r="C871">
        <v>10</v>
      </c>
      <c r="D871" s="3">
        <v>3</v>
      </c>
      <c r="E871" s="3">
        <v>7</v>
      </c>
      <c r="F871">
        <v>23</v>
      </c>
      <c r="G871" s="1">
        <f>DATEVALUE(_xlfn.CONCAT(BBDD_Usiarios_Netflix[[#This Row],[Día Suscripción]],"/",BBDD_Usiarios_Netflix[[#This Row],[Mes Suscripción]],"/",BBDD_Usiarios_Netflix[[#This Row],[Año Suscripción]]))</f>
        <v>45110</v>
      </c>
      <c r="H871" s="1">
        <v>2</v>
      </c>
      <c r="I871" s="1">
        <v>7</v>
      </c>
      <c r="J871" s="1">
        <v>24</v>
      </c>
      <c r="K871" s="1" t="str">
        <f>TEXT(BBDD_Usiarios_Netflix[[#This Row],[Fecha Suscripción]],"dddd")</f>
        <v>lunes</v>
      </c>
      <c r="L871" s="1">
        <f>DATEVALUE(_xlfn.CONCAT(BBDD_Usiarios_Netflix[[#This Row],[Día Último Pago]],"/",BBDD_Usiarios_Netflix[[#This Row],[Mes Último Pago]],"/",BBDD_Usiarios_Netflix[[#This Row],[Año Último Pago]]))</f>
        <v>45475</v>
      </c>
      <c r="M871" s="4">
        <f>DATEDIF(BBDD_Usiarios_Netflix[[#This Row],[Fecha Suscripción]],BBDD_Usiarios_Netflix[[#This Row],[Fecha Último Pago]],"M")+1</f>
        <v>12</v>
      </c>
      <c r="N871" s="4">
        <f>BBDD_Usiarios_Netflix[[#This Row],[Ingresos Mensuales]]*BBDD_Usiarios_Netflix[[#This Row],[Meses contratados]]</f>
        <v>120</v>
      </c>
      <c r="O871" t="s">
        <v>43</v>
      </c>
      <c r="P871" t="str">
        <f>IF(BBDD_Usiarios_Netflix[[#This Row],[País]]="","Desconocido",BBDD_Usiarios_Netflix[[#This Row],[País]])</f>
        <v>Alemania</v>
      </c>
      <c r="Q871">
        <v>38</v>
      </c>
      <c r="R871" t="s">
        <v>25</v>
      </c>
      <c r="S871" t="s">
        <v>36</v>
      </c>
      <c r="T871" t="s">
        <v>35</v>
      </c>
      <c r="U871">
        <f>IF(IFERROR(VLOOKUP(BBDD_Usiarios_Netflix[[#This Row],[Identificador Usuario]],A872:$A$5870,1,FALSE),0)&lt;&gt;0,1,0)</f>
        <v>0</v>
      </c>
      <c r="V871" s="6" t="str">
        <f>IF(BBDD_Usiarios_Netflix[[#This Row],[Duración Plan]]="12 Meses",LEFT(BBDD_Usiarios_Netflix[[#This Row],[Duración Plan]],2),LEFT(BBDD_Usiarios_Netflix[[#This Row],[Duración Plan]],1))</f>
        <v>6</v>
      </c>
      <c r="W8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72" spans="1:23" x14ac:dyDescent="0.25">
      <c r="A872">
        <v>871</v>
      </c>
      <c r="B872" t="s">
        <v>28</v>
      </c>
      <c r="C872">
        <v>14</v>
      </c>
      <c r="D872" s="3">
        <v>24</v>
      </c>
      <c r="E872" s="3">
        <v>6</v>
      </c>
      <c r="F872">
        <v>23</v>
      </c>
      <c r="G872" s="1">
        <f>DATEVALUE(_xlfn.CONCAT(BBDD_Usiarios_Netflix[[#This Row],[Día Suscripción]],"/",BBDD_Usiarios_Netflix[[#This Row],[Mes Suscripción]],"/",BBDD_Usiarios_Netflix[[#This Row],[Año Suscripción]]))</f>
        <v>45101</v>
      </c>
      <c r="H872" s="1">
        <v>29</v>
      </c>
      <c r="I872" s="1">
        <v>6</v>
      </c>
      <c r="J872" s="1">
        <v>24</v>
      </c>
      <c r="K872" s="1" t="str">
        <f>TEXT(BBDD_Usiarios_Netflix[[#This Row],[Fecha Suscripción]],"dddd")</f>
        <v>sábado</v>
      </c>
      <c r="L872" s="1">
        <f>DATEVALUE(_xlfn.CONCAT(BBDD_Usiarios_Netflix[[#This Row],[Día Último Pago]],"/",BBDD_Usiarios_Netflix[[#This Row],[Mes Último Pago]],"/",BBDD_Usiarios_Netflix[[#This Row],[Año Último Pago]]))</f>
        <v>45472</v>
      </c>
      <c r="M872" s="4">
        <f>DATEDIF(BBDD_Usiarios_Netflix[[#This Row],[Fecha Suscripción]],BBDD_Usiarios_Netflix[[#This Row],[Fecha Último Pago]],"M")+1</f>
        <v>13</v>
      </c>
      <c r="N872" s="4">
        <f>BBDD_Usiarios_Netflix[[#This Row],[Ingresos Mensuales]]*BBDD_Usiarios_Netflix[[#This Row],[Meses contratados]]</f>
        <v>182</v>
      </c>
      <c r="O872" t="s">
        <v>43</v>
      </c>
      <c r="P872" t="str">
        <f>IF(BBDD_Usiarios_Netflix[[#This Row],[País]]="","Desconocido",BBDD_Usiarios_Netflix[[#This Row],[País]])</f>
        <v>Alemania</v>
      </c>
      <c r="Q872">
        <v>45</v>
      </c>
      <c r="R872" t="s">
        <v>25</v>
      </c>
      <c r="S872" t="s">
        <v>31</v>
      </c>
      <c r="T872" t="s">
        <v>38</v>
      </c>
      <c r="U872">
        <f>IF(IFERROR(VLOOKUP(BBDD_Usiarios_Netflix[[#This Row],[Identificador Usuario]],A873:$A$5870,1,FALSE),0)&lt;&gt;0,1,0)</f>
        <v>0</v>
      </c>
      <c r="V872" s="6" t="str">
        <f>IF(BBDD_Usiarios_Netflix[[#This Row],[Duración Plan]]="12 Meses",LEFT(BBDD_Usiarios_Netflix[[#This Row],[Duración Plan]],2),LEFT(BBDD_Usiarios_Netflix[[#This Row],[Duración Plan]],1))</f>
        <v>3</v>
      </c>
      <c r="W8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73" spans="1:23" x14ac:dyDescent="0.25">
      <c r="A873">
        <v>872</v>
      </c>
      <c r="B873" t="s">
        <v>23</v>
      </c>
      <c r="C873">
        <v>10</v>
      </c>
      <c r="D873" s="3">
        <v>21</v>
      </c>
      <c r="E873" s="3">
        <v>6</v>
      </c>
      <c r="F873">
        <v>23</v>
      </c>
      <c r="G873" s="1">
        <f>DATEVALUE(_xlfn.CONCAT(BBDD_Usiarios_Netflix[[#This Row],[Día Suscripción]],"/",BBDD_Usiarios_Netflix[[#This Row],[Mes Suscripción]],"/",BBDD_Usiarios_Netflix[[#This Row],[Año Suscripción]]))</f>
        <v>45098</v>
      </c>
      <c r="H873" s="1">
        <v>1</v>
      </c>
      <c r="I873" s="1">
        <v>7</v>
      </c>
      <c r="J873" s="1">
        <v>24</v>
      </c>
      <c r="K873" s="1" t="str">
        <f>TEXT(BBDD_Usiarios_Netflix[[#This Row],[Fecha Suscripción]],"dddd")</f>
        <v>miércoles</v>
      </c>
      <c r="L873" s="1">
        <f>DATEVALUE(_xlfn.CONCAT(BBDD_Usiarios_Netflix[[#This Row],[Día Último Pago]],"/",BBDD_Usiarios_Netflix[[#This Row],[Mes Último Pago]],"/",BBDD_Usiarios_Netflix[[#This Row],[Año Último Pago]]))</f>
        <v>45474</v>
      </c>
      <c r="M873" s="4">
        <f>DATEDIF(BBDD_Usiarios_Netflix[[#This Row],[Fecha Suscripción]],BBDD_Usiarios_Netflix[[#This Row],[Fecha Último Pago]],"M")+1</f>
        <v>13</v>
      </c>
      <c r="N873" s="4">
        <f>BBDD_Usiarios_Netflix[[#This Row],[Ingresos Mensuales]]*BBDD_Usiarios_Netflix[[#This Row],[Meses contratados]]</f>
        <v>130</v>
      </c>
      <c r="O873" t="s">
        <v>24</v>
      </c>
      <c r="P873" t="str">
        <f>IF(BBDD_Usiarios_Netflix[[#This Row],[País]]="","Desconocido",BBDD_Usiarios_Netflix[[#This Row],[País]])</f>
        <v>Australia</v>
      </c>
      <c r="Q873">
        <v>42</v>
      </c>
      <c r="R873" t="s">
        <v>30</v>
      </c>
      <c r="S873" t="s">
        <v>36</v>
      </c>
      <c r="T873" t="s">
        <v>35</v>
      </c>
      <c r="U873">
        <f>IF(IFERROR(VLOOKUP(BBDD_Usiarios_Netflix[[#This Row],[Identificador Usuario]],A874:$A$5870,1,FALSE),0)&lt;&gt;0,1,0)</f>
        <v>0</v>
      </c>
      <c r="V873" s="6" t="str">
        <f>IF(BBDD_Usiarios_Netflix[[#This Row],[Duración Plan]]="12 Meses",LEFT(BBDD_Usiarios_Netflix[[#This Row],[Duración Plan]],2),LEFT(BBDD_Usiarios_Netflix[[#This Row],[Duración Plan]],1))</f>
        <v>6</v>
      </c>
      <c r="W8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74" spans="1:23" x14ac:dyDescent="0.25">
      <c r="A874">
        <v>873</v>
      </c>
      <c r="B874" t="s">
        <v>32</v>
      </c>
      <c r="C874">
        <v>12</v>
      </c>
      <c r="D874" s="3">
        <v>22</v>
      </c>
      <c r="E874" s="3">
        <v>6</v>
      </c>
      <c r="F874">
        <v>23</v>
      </c>
      <c r="G874" s="1">
        <f>DATEVALUE(_xlfn.CONCAT(BBDD_Usiarios_Netflix[[#This Row],[Día Suscripción]],"/",BBDD_Usiarios_Netflix[[#This Row],[Mes Suscripción]],"/",BBDD_Usiarios_Netflix[[#This Row],[Año Suscripción]]))</f>
        <v>45099</v>
      </c>
      <c r="H874" s="1">
        <v>1</v>
      </c>
      <c r="I874" s="1">
        <v>7</v>
      </c>
      <c r="J874" s="1">
        <v>24</v>
      </c>
      <c r="K874" s="1" t="str">
        <f>TEXT(BBDD_Usiarios_Netflix[[#This Row],[Fecha Suscripción]],"dddd")</f>
        <v>jueves</v>
      </c>
      <c r="L874" s="1">
        <f>DATEVALUE(_xlfn.CONCAT(BBDD_Usiarios_Netflix[[#This Row],[Día Último Pago]],"/",BBDD_Usiarios_Netflix[[#This Row],[Mes Último Pago]],"/",BBDD_Usiarios_Netflix[[#This Row],[Año Último Pago]]))</f>
        <v>45474</v>
      </c>
      <c r="M874" s="4">
        <f>DATEDIF(BBDD_Usiarios_Netflix[[#This Row],[Fecha Suscripción]],BBDD_Usiarios_Netflix[[#This Row],[Fecha Último Pago]],"M")+1</f>
        <v>13</v>
      </c>
      <c r="N874" s="4">
        <f>BBDD_Usiarios_Netflix[[#This Row],[Ingresos Mensuales]]*BBDD_Usiarios_Netflix[[#This Row],[Meses contratados]]</f>
        <v>156</v>
      </c>
      <c r="O874" t="s">
        <v>33</v>
      </c>
      <c r="P874" t="str">
        <f>IF(BBDD_Usiarios_Netflix[[#This Row],[País]]="","Desconocido",BBDD_Usiarios_Netflix[[#This Row],[País]])</f>
        <v>Francia</v>
      </c>
      <c r="Q874">
        <v>42</v>
      </c>
      <c r="R874" t="s">
        <v>30</v>
      </c>
      <c r="S874" t="s">
        <v>34</v>
      </c>
      <c r="T874" t="s">
        <v>35</v>
      </c>
      <c r="U874">
        <f>IF(IFERROR(VLOOKUP(BBDD_Usiarios_Netflix[[#This Row],[Identificador Usuario]],A875:$A$5870,1,FALSE),0)&lt;&gt;0,1,0)</f>
        <v>0</v>
      </c>
      <c r="V874" s="6" t="str">
        <f>IF(BBDD_Usiarios_Netflix[[#This Row],[Duración Plan]]="12 Meses",LEFT(BBDD_Usiarios_Netflix[[#This Row],[Duración Plan]],2),LEFT(BBDD_Usiarios_Netflix[[#This Row],[Duración Plan]],1))</f>
        <v>6</v>
      </c>
      <c r="W8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75" spans="1:23" x14ac:dyDescent="0.25">
      <c r="A875">
        <v>874</v>
      </c>
      <c r="B875" t="s">
        <v>28</v>
      </c>
      <c r="C875">
        <v>14</v>
      </c>
      <c r="D875" s="3">
        <v>23</v>
      </c>
      <c r="E875" s="3">
        <v>6</v>
      </c>
      <c r="F875">
        <v>23</v>
      </c>
      <c r="G875" s="1">
        <f>DATEVALUE(_xlfn.CONCAT(BBDD_Usiarios_Netflix[[#This Row],[Día Suscripción]],"/",BBDD_Usiarios_Netflix[[#This Row],[Mes Suscripción]],"/",BBDD_Usiarios_Netflix[[#This Row],[Año Suscripción]]))</f>
        <v>45100</v>
      </c>
      <c r="H875" s="1">
        <v>2</v>
      </c>
      <c r="I875" s="1">
        <v>7</v>
      </c>
      <c r="J875" s="1">
        <v>24</v>
      </c>
      <c r="K875" s="1" t="str">
        <f>TEXT(BBDD_Usiarios_Netflix[[#This Row],[Fecha Suscripción]],"dddd")</f>
        <v>viernes</v>
      </c>
      <c r="L875" s="1">
        <f>DATEVALUE(_xlfn.CONCAT(BBDD_Usiarios_Netflix[[#This Row],[Día Último Pago]],"/",BBDD_Usiarios_Netflix[[#This Row],[Mes Último Pago]],"/",BBDD_Usiarios_Netflix[[#This Row],[Año Último Pago]]))</f>
        <v>45475</v>
      </c>
      <c r="M875" s="4">
        <f>DATEDIF(BBDD_Usiarios_Netflix[[#This Row],[Fecha Suscripción]],BBDD_Usiarios_Netflix[[#This Row],[Fecha Último Pago]],"M")+1</f>
        <v>13</v>
      </c>
      <c r="N875" s="4">
        <f>BBDD_Usiarios_Netflix[[#This Row],[Ingresos Mensuales]]*BBDD_Usiarios_Netflix[[#This Row],[Meses contratados]]</f>
        <v>182</v>
      </c>
      <c r="O875" t="s">
        <v>33</v>
      </c>
      <c r="P875" t="str">
        <f>IF(BBDD_Usiarios_Netflix[[#This Row],[País]]="","Desconocido",BBDD_Usiarios_Netflix[[#This Row],[País]])</f>
        <v>Francia</v>
      </c>
      <c r="Q875">
        <v>31</v>
      </c>
      <c r="R875" t="s">
        <v>25</v>
      </c>
      <c r="S875" t="s">
        <v>34</v>
      </c>
      <c r="T875" t="s">
        <v>27</v>
      </c>
      <c r="U875">
        <f>IF(IFERROR(VLOOKUP(BBDD_Usiarios_Netflix[[#This Row],[Identificador Usuario]],A876:$A$5870,1,FALSE),0)&lt;&gt;0,1,0)</f>
        <v>0</v>
      </c>
      <c r="V875" s="6" t="str">
        <f>IF(BBDD_Usiarios_Netflix[[#This Row],[Duración Plan]]="12 Meses",LEFT(BBDD_Usiarios_Netflix[[#This Row],[Duración Plan]],2),LEFT(BBDD_Usiarios_Netflix[[#This Row],[Duración Plan]],1))</f>
        <v>1</v>
      </c>
      <c r="W8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76" spans="1:23" x14ac:dyDescent="0.25">
      <c r="A876">
        <v>875</v>
      </c>
      <c r="B876" t="s">
        <v>23</v>
      </c>
      <c r="C876">
        <v>10</v>
      </c>
      <c r="D876" s="3">
        <v>26</v>
      </c>
      <c r="E876" s="3">
        <v>6</v>
      </c>
      <c r="F876">
        <v>23</v>
      </c>
      <c r="G876" s="1">
        <f>DATEVALUE(_xlfn.CONCAT(BBDD_Usiarios_Netflix[[#This Row],[Día Suscripción]],"/",BBDD_Usiarios_Netflix[[#This Row],[Mes Suscripción]],"/",BBDD_Usiarios_Netflix[[#This Row],[Año Suscripción]]))</f>
        <v>45103</v>
      </c>
      <c r="H876" s="1">
        <v>29</v>
      </c>
      <c r="I876" s="1">
        <v>6</v>
      </c>
      <c r="J876" s="1">
        <v>24</v>
      </c>
      <c r="K876" s="1" t="str">
        <f>TEXT(BBDD_Usiarios_Netflix[[#This Row],[Fecha Suscripción]],"dddd")</f>
        <v>lunes</v>
      </c>
      <c r="L876" s="1">
        <f>DATEVALUE(_xlfn.CONCAT(BBDD_Usiarios_Netflix[[#This Row],[Día Último Pago]],"/",BBDD_Usiarios_Netflix[[#This Row],[Mes Último Pago]],"/",BBDD_Usiarios_Netflix[[#This Row],[Año Último Pago]]))</f>
        <v>45472</v>
      </c>
      <c r="M876" s="4">
        <f>DATEDIF(BBDD_Usiarios_Netflix[[#This Row],[Fecha Suscripción]],BBDD_Usiarios_Netflix[[#This Row],[Fecha Último Pago]],"M")+1</f>
        <v>13</v>
      </c>
      <c r="N876" s="4">
        <f>BBDD_Usiarios_Netflix[[#This Row],[Ingresos Mensuales]]*BBDD_Usiarios_Netflix[[#This Row],[Meses contratados]]</f>
        <v>130</v>
      </c>
      <c r="O876" t="s">
        <v>39</v>
      </c>
      <c r="P876" t="str">
        <f>IF(BBDD_Usiarios_Netflix[[#This Row],[País]]="","Desconocido",BBDD_Usiarios_Netflix[[#This Row],[País]])</f>
        <v>Canadá</v>
      </c>
      <c r="Q876">
        <v>28</v>
      </c>
      <c r="R876" t="s">
        <v>25</v>
      </c>
      <c r="S876" t="s">
        <v>34</v>
      </c>
      <c r="T876" t="s">
        <v>27</v>
      </c>
      <c r="U876">
        <f>IF(IFERROR(VLOOKUP(BBDD_Usiarios_Netflix[[#This Row],[Identificador Usuario]],A877:$A$5870,1,FALSE),0)&lt;&gt;0,1,0)</f>
        <v>0</v>
      </c>
      <c r="V876" s="6" t="str">
        <f>IF(BBDD_Usiarios_Netflix[[#This Row],[Duración Plan]]="12 Meses",LEFT(BBDD_Usiarios_Netflix[[#This Row],[Duración Plan]],2),LEFT(BBDD_Usiarios_Netflix[[#This Row],[Duración Plan]],1))</f>
        <v>1</v>
      </c>
      <c r="W8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77" spans="1:23" x14ac:dyDescent="0.25">
      <c r="A877">
        <v>876</v>
      </c>
      <c r="B877" t="s">
        <v>28</v>
      </c>
      <c r="C877">
        <v>14</v>
      </c>
      <c r="D877" s="3">
        <v>27</v>
      </c>
      <c r="E877" s="3">
        <v>6</v>
      </c>
      <c r="F877">
        <v>23</v>
      </c>
      <c r="G877" s="1">
        <f>DATEVALUE(_xlfn.CONCAT(BBDD_Usiarios_Netflix[[#This Row],[Día Suscripción]],"/",BBDD_Usiarios_Netflix[[#This Row],[Mes Suscripción]],"/",BBDD_Usiarios_Netflix[[#This Row],[Año Suscripción]]))</f>
        <v>45104</v>
      </c>
      <c r="H877" s="1">
        <v>30</v>
      </c>
      <c r="I877" s="1">
        <v>6</v>
      </c>
      <c r="J877" s="1">
        <v>24</v>
      </c>
      <c r="K877" s="1" t="str">
        <f>TEXT(BBDD_Usiarios_Netflix[[#This Row],[Fecha Suscripción]],"dddd")</f>
        <v>martes</v>
      </c>
      <c r="L877" s="1">
        <f>DATEVALUE(_xlfn.CONCAT(BBDD_Usiarios_Netflix[[#This Row],[Día Último Pago]],"/",BBDD_Usiarios_Netflix[[#This Row],[Mes Último Pago]],"/",BBDD_Usiarios_Netflix[[#This Row],[Año Último Pago]]))</f>
        <v>45473</v>
      </c>
      <c r="M877" s="4">
        <f>DATEDIF(BBDD_Usiarios_Netflix[[#This Row],[Fecha Suscripción]],BBDD_Usiarios_Netflix[[#This Row],[Fecha Último Pago]],"M")+1</f>
        <v>13</v>
      </c>
      <c r="N877" s="4">
        <f>BBDD_Usiarios_Netflix[[#This Row],[Ingresos Mensuales]]*BBDD_Usiarios_Netflix[[#This Row],[Meses contratados]]</f>
        <v>182</v>
      </c>
      <c r="O877" t="s">
        <v>39</v>
      </c>
      <c r="P877" t="str">
        <f>IF(BBDD_Usiarios_Netflix[[#This Row],[País]]="","Desconocido",BBDD_Usiarios_Netflix[[#This Row],[País]])</f>
        <v>Canadá</v>
      </c>
      <c r="Q877">
        <v>44</v>
      </c>
      <c r="R877" t="s">
        <v>25</v>
      </c>
      <c r="S877" t="s">
        <v>31</v>
      </c>
      <c r="T877" t="s">
        <v>35</v>
      </c>
      <c r="U877">
        <f>IF(IFERROR(VLOOKUP(BBDD_Usiarios_Netflix[[#This Row],[Identificador Usuario]],A878:$A$5870,1,FALSE),0)&lt;&gt;0,1,0)</f>
        <v>0</v>
      </c>
      <c r="V877" s="6" t="str">
        <f>IF(BBDD_Usiarios_Netflix[[#This Row],[Duración Plan]]="12 Meses",LEFT(BBDD_Usiarios_Netflix[[#This Row],[Duración Plan]],2),LEFT(BBDD_Usiarios_Netflix[[#This Row],[Duración Plan]],1))</f>
        <v>6</v>
      </c>
      <c r="W8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78" spans="1:23" x14ac:dyDescent="0.25">
      <c r="A878">
        <v>877</v>
      </c>
      <c r="B878" t="s">
        <v>23</v>
      </c>
      <c r="C878">
        <v>10</v>
      </c>
      <c r="D878" s="3">
        <v>28</v>
      </c>
      <c r="E878" s="3">
        <v>6</v>
      </c>
      <c r="F878">
        <v>23</v>
      </c>
      <c r="G878" s="1">
        <f>DATEVALUE(_xlfn.CONCAT(BBDD_Usiarios_Netflix[[#This Row],[Día Suscripción]],"/",BBDD_Usiarios_Netflix[[#This Row],[Mes Suscripción]],"/",BBDD_Usiarios_Netflix[[#This Row],[Año Suscripción]]))</f>
        <v>45105</v>
      </c>
      <c r="H878" s="1">
        <v>1</v>
      </c>
      <c r="I878" s="1">
        <v>7</v>
      </c>
      <c r="J878" s="1">
        <v>24</v>
      </c>
      <c r="K878" s="1" t="str">
        <f>TEXT(BBDD_Usiarios_Netflix[[#This Row],[Fecha Suscripción]],"dddd")</f>
        <v>miércoles</v>
      </c>
      <c r="L878" s="1">
        <f>DATEVALUE(_xlfn.CONCAT(BBDD_Usiarios_Netflix[[#This Row],[Día Último Pago]],"/",BBDD_Usiarios_Netflix[[#This Row],[Mes Último Pago]],"/",BBDD_Usiarios_Netflix[[#This Row],[Año Último Pago]]))</f>
        <v>45474</v>
      </c>
      <c r="M878" s="4">
        <f>DATEDIF(BBDD_Usiarios_Netflix[[#This Row],[Fecha Suscripción]],BBDD_Usiarios_Netflix[[#This Row],[Fecha Último Pago]],"M")+1</f>
        <v>13</v>
      </c>
      <c r="N878" s="4">
        <f>BBDD_Usiarios_Netflix[[#This Row],[Ingresos Mensuales]]*BBDD_Usiarios_Netflix[[#This Row],[Meses contratados]]</f>
        <v>130</v>
      </c>
      <c r="O878" t="s">
        <v>37</v>
      </c>
      <c r="P878" t="str">
        <f>IF(BBDD_Usiarios_Netflix[[#This Row],[País]]="","Desconocido",BBDD_Usiarios_Netflix[[#This Row],[País]])</f>
        <v>Brasil</v>
      </c>
      <c r="Q878">
        <v>30</v>
      </c>
      <c r="R878" t="s">
        <v>25</v>
      </c>
      <c r="S878" t="s">
        <v>34</v>
      </c>
      <c r="T878" t="s">
        <v>27</v>
      </c>
      <c r="U878">
        <f>IF(IFERROR(VLOOKUP(BBDD_Usiarios_Netflix[[#This Row],[Identificador Usuario]],A879:$A$5870,1,FALSE),0)&lt;&gt;0,1,0)</f>
        <v>0</v>
      </c>
      <c r="V878" s="6" t="str">
        <f>IF(BBDD_Usiarios_Netflix[[#This Row],[Duración Plan]]="12 Meses",LEFT(BBDD_Usiarios_Netflix[[#This Row],[Duración Plan]],2),LEFT(BBDD_Usiarios_Netflix[[#This Row],[Duración Plan]],1))</f>
        <v>1</v>
      </c>
      <c r="W8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79" spans="1:23" x14ac:dyDescent="0.25">
      <c r="A879">
        <v>878</v>
      </c>
      <c r="B879" t="s">
        <v>32</v>
      </c>
      <c r="C879">
        <v>12</v>
      </c>
      <c r="D879" s="3">
        <v>28</v>
      </c>
      <c r="E879" s="3">
        <v>6</v>
      </c>
      <c r="F879">
        <v>23</v>
      </c>
      <c r="G879" s="1">
        <f>DATEVALUE(_xlfn.CONCAT(BBDD_Usiarios_Netflix[[#This Row],[Día Suscripción]],"/",BBDD_Usiarios_Netflix[[#This Row],[Mes Suscripción]],"/",BBDD_Usiarios_Netflix[[#This Row],[Año Suscripción]]))</f>
        <v>45105</v>
      </c>
      <c r="H879" s="1">
        <v>2</v>
      </c>
      <c r="I879" s="1">
        <v>7</v>
      </c>
      <c r="J879" s="1">
        <v>24</v>
      </c>
      <c r="K879" s="1" t="str">
        <f>TEXT(BBDD_Usiarios_Netflix[[#This Row],[Fecha Suscripción]],"dddd")</f>
        <v>miércoles</v>
      </c>
      <c r="L879" s="1">
        <f>DATEVALUE(_xlfn.CONCAT(BBDD_Usiarios_Netflix[[#This Row],[Día Último Pago]],"/",BBDD_Usiarios_Netflix[[#This Row],[Mes Último Pago]],"/",BBDD_Usiarios_Netflix[[#This Row],[Año Último Pago]]))</f>
        <v>45475</v>
      </c>
      <c r="M879" s="4">
        <f>DATEDIF(BBDD_Usiarios_Netflix[[#This Row],[Fecha Suscripción]],BBDD_Usiarios_Netflix[[#This Row],[Fecha Último Pago]],"M")+1</f>
        <v>13</v>
      </c>
      <c r="N879" s="4">
        <f>BBDD_Usiarios_Netflix[[#This Row],[Ingresos Mensuales]]*BBDD_Usiarios_Netflix[[#This Row],[Meses contratados]]</f>
        <v>156</v>
      </c>
      <c r="O879" t="s">
        <v>37</v>
      </c>
      <c r="P879" t="str">
        <f>IF(BBDD_Usiarios_Netflix[[#This Row],[País]]="","Desconocido",BBDD_Usiarios_Netflix[[#This Row],[País]])</f>
        <v>Brasil</v>
      </c>
      <c r="Q879">
        <v>33</v>
      </c>
      <c r="R879" t="s">
        <v>25</v>
      </c>
      <c r="S879" t="s">
        <v>26</v>
      </c>
      <c r="T879" t="s">
        <v>35</v>
      </c>
      <c r="U879">
        <f>IF(IFERROR(VLOOKUP(BBDD_Usiarios_Netflix[[#This Row],[Identificador Usuario]],A880:$A$5870,1,FALSE),0)&lt;&gt;0,1,0)</f>
        <v>0</v>
      </c>
      <c r="V879" s="6" t="str">
        <f>IF(BBDD_Usiarios_Netflix[[#This Row],[Duración Plan]]="12 Meses",LEFT(BBDD_Usiarios_Netflix[[#This Row],[Duración Plan]],2),LEFT(BBDD_Usiarios_Netflix[[#This Row],[Duración Plan]],1))</f>
        <v>6</v>
      </c>
      <c r="W8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80" spans="1:23" x14ac:dyDescent="0.25">
      <c r="A880">
        <v>879</v>
      </c>
      <c r="B880" t="s">
        <v>32</v>
      </c>
      <c r="C880">
        <v>12</v>
      </c>
      <c r="D880" s="3">
        <v>18</v>
      </c>
      <c r="E880" s="3">
        <v>6</v>
      </c>
      <c r="F880">
        <v>23</v>
      </c>
      <c r="G880" s="1">
        <f>DATEVALUE(_xlfn.CONCAT(BBDD_Usiarios_Netflix[[#This Row],[Día Suscripción]],"/",BBDD_Usiarios_Netflix[[#This Row],[Mes Suscripción]],"/",BBDD_Usiarios_Netflix[[#This Row],[Año Suscripción]]))</f>
        <v>45095</v>
      </c>
      <c r="H880" s="1">
        <v>29</v>
      </c>
      <c r="I880" s="1">
        <v>6</v>
      </c>
      <c r="J880" s="1">
        <v>24</v>
      </c>
      <c r="K880" s="1" t="str">
        <f>TEXT(BBDD_Usiarios_Netflix[[#This Row],[Fecha Suscripción]],"dddd")</f>
        <v>domingo</v>
      </c>
      <c r="L880" s="1">
        <f>DATEVALUE(_xlfn.CONCAT(BBDD_Usiarios_Netflix[[#This Row],[Día Último Pago]],"/",BBDD_Usiarios_Netflix[[#This Row],[Mes Último Pago]],"/",BBDD_Usiarios_Netflix[[#This Row],[Año Último Pago]]))</f>
        <v>45472</v>
      </c>
      <c r="M880" s="4">
        <f>DATEDIF(BBDD_Usiarios_Netflix[[#This Row],[Fecha Suscripción]],BBDD_Usiarios_Netflix[[#This Row],[Fecha Último Pago]],"M")+1</f>
        <v>13</v>
      </c>
      <c r="N880" s="4">
        <f>BBDD_Usiarios_Netflix[[#This Row],[Ingresos Mensuales]]*BBDD_Usiarios_Netflix[[#This Row],[Meses contratados]]</f>
        <v>156</v>
      </c>
      <c r="O880" t="s">
        <v>42</v>
      </c>
      <c r="P880" t="str">
        <f>IF(BBDD_Usiarios_Netflix[[#This Row],[País]]="","Desconocido",BBDD_Usiarios_Netflix[[#This Row],[País]])</f>
        <v>Reino Unido</v>
      </c>
      <c r="Q880">
        <v>42</v>
      </c>
      <c r="R880" t="s">
        <v>30</v>
      </c>
      <c r="S880" t="s">
        <v>31</v>
      </c>
      <c r="T880" t="s">
        <v>41</v>
      </c>
      <c r="U880">
        <f>IF(IFERROR(VLOOKUP(BBDD_Usiarios_Netflix[[#This Row],[Identificador Usuario]],A881:$A$5870,1,FALSE),0)&lt;&gt;0,1,0)</f>
        <v>0</v>
      </c>
      <c r="V880" s="6" t="str">
        <f>IF(BBDD_Usiarios_Netflix[[#This Row],[Duración Plan]]="12 Meses",LEFT(BBDD_Usiarios_Netflix[[#This Row],[Duración Plan]],2),LEFT(BBDD_Usiarios_Netflix[[#This Row],[Duración Plan]],1))</f>
        <v>12</v>
      </c>
      <c r="W8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81" spans="1:23" x14ac:dyDescent="0.25">
      <c r="A881">
        <v>880</v>
      </c>
      <c r="B881" t="s">
        <v>23</v>
      </c>
      <c r="C881">
        <v>10</v>
      </c>
      <c r="D881" s="3">
        <v>11</v>
      </c>
      <c r="E881" s="3">
        <v>6</v>
      </c>
      <c r="F881">
        <v>23</v>
      </c>
      <c r="G881" s="1">
        <f>DATEVALUE(_xlfn.CONCAT(BBDD_Usiarios_Netflix[[#This Row],[Día Suscripción]],"/",BBDD_Usiarios_Netflix[[#This Row],[Mes Suscripción]],"/",BBDD_Usiarios_Netflix[[#This Row],[Año Suscripción]]))</f>
        <v>45088</v>
      </c>
      <c r="H881" s="1">
        <v>30</v>
      </c>
      <c r="I881" s="1">
        <v>6</v>
      </c>
      <c r="J881" s="1">
        <v>24</v>
      </c>
      <c r="K881" s="1" t="str">
        <f>TEXT(BBDD_Usiarios_Netflix[[#This Row],[Fecha Suscripción]],"dddd")</f>
        <v>domingo</v>
      </c>
      <c r="L881" s="1">
        <f>DATEVALUE(_xlfn.CONCAT(BBDD_Usiarios_Netflix[[#This Row],[Día Último Pago]],"/",BBDD_Usiarios_Netflix[[#This Row],[Mes Último Pago]],"/",BBDD_Usiarios_Netflix[[#This Row],[Año Último Pago]]))</f>
        <v>45473</v>
      </c>
      <c r="M881" s="4">
        <f>DATEDIF(BBDD_Usiarios_Netflix[[#This Row],[Fecha Suscripción]],BBDD_Usiarios_Netflix[[#This Row],[Fecha Último Pago]],"M")+1</f>
        <v>13</v>
      </c>
      <c r="N881" s="4">
        <f>BBDD_Usiarios_Netflix[[#This Row],[Ingresos Mensuales]]*BBDD_Usiarios_Netflix[[#This Row],[Meses contratados]]</f>
        <v>130</v>
      </c>
      <c r="O881" t="s">
        <v>39</v>
      </c>
      <c r="P881" t="str">
        <f>IF(BBDD_Usiarios_Netflix[[#This Row],[País]]="","Desconocido",BBDD_Usiarios_Netflix[[#This Row],[País]])</f>
        <v>Canadá</v>
      </c>
      <c r="Q881">
        <v>31</v>
      </c>
      <c r="R881" t="s">
        <v>25</v>
      </c>
      <c r="S881" t="s">
        <v>34</v>
      </c>
      <c r="T881" t="s">
        <v>35</v>
      </c>
      <c r="U881">
        <f>IF(IFERROR(VLOOKUP(BBDD_Usiarios_Netflix[[#This Row],[Identificador Usuario]],A882:$A$5870,1,FALSE),0)&lt;&gt;0,1,0)</f>
        <v>0</v>
      </c>
      <c r="V881" s="6" t="str">
        <f>IF(BBDD_Usiarios_Netflix[[#This Row],[Duración Plan]]="12 Meses",LEFT(BBDD_Usiarios_Netflix[[#This Row],[Duración Plan]],2),LEFT(BBDD_Usiarios_Netflix[[#This Row],[Duración Plan]],1))</f>
        <v>6</v>
      </c>
      <c r="W8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82" spans="1:23" x14ac:dyDescent="0.25">
      <c r="A882">
        <v>881</v>
      </c>
      <c r="B882" t="s">
        <v>28</v>
      </c>
      <c r="C882">
        <v>14</v>
      </c>
      <c r="D882" s="3">
        <v>11</v>
      </c>
      <c r="E882" s="3">
        <v>6</v>
      </c>
      <c r="F882">
        <v>23</v>
      </c>
      <c r="G882" s="1">
        <f>DATEVALUE(_xlfn.CONCAT(BBDD_Usiarios_Netflix[[#This Row],[Día Suscripción]],"/",BBDD_Usiarios_Netflix[[#This Row],[Mes Suscripción]],"/",BBDD_Usiarios_Netflix[[#This Row],[Año Suscripción]]))</f>
        <v>45088</v>
      </c>
      <c r="H882" s="1">
        <v>1</v>
      </c>
      <c r="I882" s="1">
        <v>7</v>
      </c>
      <c r="J882" s="1">
        <v>24</v>
      </c>
      <c r="K882" s="1" t="str">
        <f>TEXT(BBDD_Usiarios_Netflix[[#This Row],[Fecha Suscripción]],"dddd")</f>
        <v>domingo</v>
      </c>
      <c r="L882" s="1">
        <f>DATEVALUE(_xlfn.CONCAT(BBDD_Usiarios_Netflix[[#This Row],[Día Último Pago]],"/",BBDD_Usiarios_Netflix[[#This Row],[Mes Último Pago]],"/",BBDD_Usiarios_Netflix[[#This Row],[Año Último Pago]]))</f>
        <v>45474</v>
      </c>
      <c r="M882" s="4">
        <f>DATEDIF(BBDD_Usiarios_Netflix[[#This Row],[Fecha Suscripción]],BBDD_Usiarios_Netflix[[#This Row],[Fecha Último Pago]],"M")+1</f>
        <v>13</v>
      </c>
      <c r="N882" s="4">
        <f>BBDD_Usiarios_Netflix[[#This Row],[Ingresos Mensuales]]*BBDD_Usiarios_Netflix[[#This Row],[Meses contratados]]</f>
        <v>182</v>
      </c>
      <c r="O882" t="s">
        <v>39</v>
      </c>
      <c r="P882" t="str">
        <f>IF(BBDD_Usiarios_Netflix[[#This Row],[País]]="","Desconocido",BBDD_Usiarios_Netflix[[#This Row],[País]])</f>
        <v>Canadá</v>
      </c>
      <c r="Q882">
        <v>31</v>
      </c>
      <c r="R882" t="s">
        <v>30</v>
      </c>
      <c r="S882" t="s">
        <v>26</v>
      </c>
      <c r="T882" t="s">
        <v>38</v>
      </c>
      <c r="U882">
        <f>IF(IFERROR(VLOOKUP(BBDD_Usiarios_Netflix[[#This Row],[Identificador Usuario]],A883:$A$5870,1,FALSE),0)&lt;&gt;0,1,0)</f>
        <v>0</v>
      </c>
      <c r="V882" s="6" t="str">
        <f>IF(BBDD_Usiarios_Netflix[[#This Row],[Duración Plan]]="12 Meses",LEFT(BBDD_Usiarios_Netflix[[#This Row],[Duración Plan]],2),LEFT(BBDD_Usiarios_Netflix[[#This Row],[Duración Plan]],1))</f>
        <v>3</v>
      </c>
      <c r="W8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83" spans="1:23" x14ac:dyDescent="0.25">
      <c r="A883">
        <v>882</v>
      </c>
      <c r="B883" t="s">
        <v>23</v>
      </c>
      <c r="C883">
        <v>10</v>
      </c>
      <c r="D883" s="3">
        <v>12</v>
      </c>
      <c r="E883" s="3">
        <v>6</v>
      </c>
      <c r="F883">
        <v>23</v>
      </c>
      <c r="G883" s="1">
        <f>DATEVALUE(_xlfn.CONCAT(BBDD_Usiarios_Netflix[[#This Row],[Día Suscripción]],"/",BBDD_Usiarios_Netflix[[#This Row],[Mes Suscripción]],"/",BBDD_Usiarios_Netflix[[#This Row],[Año Suscripción]]))</f>
        <v>45089</v>
      </c>
      <c r="H883" s="1">
        <v>1</v>
      </c>
      <c r="I883" s="1">
        <v>7</v>
      </c>
      <c r="J883" s="1">
        <v>24</v>
      </c>
      <c r="K883" s="1" t="str">
        <f>TEXT(BBDD_Usiarios_Netflix[[#This Row],[Fecha Suscripción]],"dddd")</f>
        <v>lunes</v>
      </c>
      <c r="L883" s="1">
        <f>DATEVALUE(_xlfn.CONCAT(BBDD_Usiarios_Netflix[[#This Row],[Día Último Pago]],"/",BBDD_Usiarios_Netflix[[#This Row],[Mes Último Pago]],"/",BBDD_Usiarios_Netflix[[#This Row],[Año Último Pago]]))</f>
        <v>45474</v>
      </c>
      <c r="M883" s="4">
        <f>DATEDIF(BBDD_Usiarios_Netflix[[#This Row],[Fecha Suscripción]],BBDD_Usiarios_Netflix[[#This Row],[Fecha Último Pago]],"M")+1</f>
        <v>13</v>
      </c>
      <c r="N883" s="4">
        <f>BBDD_Usiarios_Netflix[[#This Row],[Ingresos Mensuales]]*BBDD_Usiarios_Netflix[[#This Row],[Meses contratados]]</f>
        <v>130</v>
      </c>
      <c r="O883" t="s">
        <v>29</v>
      </c>
      <c r="P883" t="str">
        <f>IF(BBDD_Usiarios_Netflix[[#This Row],[País]]="","Desconocido",BBDD_Usiarios_Netflix[[#This Row],[País]])</f>
        <v>EEUU</v>
      </c>
      <c r="Q883">
        <v>46</v>
      </c>
      <c r="R883" t="s">
        <v>30</v>
      </c>
      <c r="S883" t="s">
        <v>34</v>
      </c>
      <c r="T883" t="s">
        <v>41</v>
      </c>
      <c r="U883">
        <f>IF(IFERROR(VLOOKUP(BBDD_Usiarios_Netflix[[#This Row],[Identificador Usuario]],A884:$A$5870,1,FALSE),0)&lt;&gt;0,1,0)</f>
        <v>0</v>
      </c>
      <c r="V883" s="6" t="str">
        <f>IF(BBDD_Usiarios_Netflix[[#This Row],[Duración Plan]]="12 Meses",LEFT(BBDD_Usiarios_Netflix[[#This Row],[Duración Plan]],2),LEFT(BBDD_Usiarios_Netflix[[#This Row],[Duración Plan]],1))</f>
        <v>12</v>
      </c>
      <c r="W8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84" spans="1:23" x14ac:dyDescent="0.25">
      <c r="A884">
        <v>883</v>
      </c>
      <c r="B884" t="s">
        <v>32</v>
      </c>
      <c r="C884">
        <v>12</v>
      </c>
      <c r="D884" s="3">
        <v>13</v>
      </c>
      <c r="E884" s="3">
        <v>6</v>
      </c>
      <c r="F884">
        <v>23</v>
      </c>
      <c r="G884" s="1">
        <f>DATEVALUE(_xlfn.CONCAT(BBDD_Usiarios_Netflix[[#This Row],[Día Suscripción]],"/",BBDD_Usiarios_Netflix[[#This Row],[Mes Suscripción]],"/",BBDD_Usiarios_Netflix[[#This Row],[Año Suscripción]]))</f>
        <v>45090</v>
      </c>
      <c r="H884" s="1">
        <v>29</v>
      </c>
      <c r="I884" s="1">
        <v>6</v>
      </c>
      <c r="J884" s="1">
        <v>24</v>
      </c>
      <c r="K884" s="1" t="str">
        <f>TEXT(BBDD_Usiarios_Netflix[[#This Row],[Fecha Suscripción]],"dddd")</f>
        <v>martes</v>
      </c>
      <c r="L884" s="1">
        <f>DATEVALUE(_xlfn.CONCAT(BBDD_Usiarios_Netflix[[#This Row],[Día Último Pago]],"/",BBDD_Usiarios_Netflix[[#This Row],[Mes Último Pago]],"/",BBDD_Usiarios_Netflix[[#This Row],[Año Último Pago]]))</f>
        <v>45472</v>
      </c>
      <c r="M884" s="4">
        <f>DATEDIF(BBDD_Usiarios_Netflix[[#This Row],[Fecha Suscripción]],BBDD_Usiarios_Netflix[[#This Row],[Fecha Último Pago]],"M")+1</f>
        <v>13</v>
      </c>
      <c r="N884" s="4">
        <f>BBDD_Usiarios_Netflix[[#This Row],[Ingresos Mensuales]]*BBDD_Usiarios_Netflix[[#This Row],[Meses contratados]]</f>
        <v>156</v>
      </c>
      <c r="O884" t="s">
        <v>24</v>
      </c>
      <c r="P884" t="str">
        <f>IF(BBDD_Usiarios_Netflix[[#This Row],[País]]="","Desconocido",BBDD_Usiarios_Netflix[[#This Row],[País]])</f>
        <v>Australia</v>
      </c>
      <c r="Q884">
        <v>28</v>
      </c>
      <c r="R884" t="s">
        <v>30</v>
      </c>
      <c r="S884" t="s">
        <v>31</v>
      </c>
      <c r="T884" t="s">
        <v>38</v>
      </c>
      <c r="U884">
        <f>IF(IFERROR(VLOOKUP(BBDD_Usiarios_Netflix[[#This Row],[Identificador Usuario]],A885:$A$5870,1,FALSE),0)&lt;&gt;0,1,0)</f>
        <v>0</v>
      </c>
      <c r="V884" s="6" t="str">
        <f>IF(BBDD_Usiarios_Netflix[[#This Row],[Duración Plan]]="12 Meses",LEFT(BBDD_Usiarios_Netflix[[#This Row],[Duración Plan]],2),LEFT(BBDD_Usiarios_Netflix[[#This Row],[Duración Plan]],1))</f>
        <v>3</v>
      </c>
      <c r="W8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85" spans="1:23" x14ac:dyDescent="0.25">
      <c r="A885">
        <v>884</v>
      </c>
      <c r="B885" t="s">
        <v>28</v>
      </c>
      <c r="C885">
        <v>14</v>
      </c>
      <c r="D885" s="3">
        <v>13</v>
      </c>
      <c r="E885" s="3">
        <v>6</v>
      </c>
      <c r="F885">
        <v>23</v>
      </c>
      <c r="G885" s="1">
        <f>DATEVALUE(_xlfn.CONCAT(BBDD_Usiarios_Netflix[[#This Row],[Día Suscripción]],"/",BBDD_Usiarios_Netflix[[#This Row],[Mes Suscripción]],"/",BBDD_Usiarios_Netflix[[#This Row],[Año Suscripción]]))</f>
        <v>45090</v>
      </c>
      <c r="H885" s="1">
        <v>29</v>
      </c>
      <c r="I885" s="1">
        <v>6</v>
      </c>
      <c r="J885" s="1">
        <v>24</v>
      </c>
      <c r="K885" s="1" t="str">
        <f>TEXT(BBDD_Usiarios_Netflix[[#This Row],[Fecha Suscripción]],"dddd")</f>
        <v>martes</v>
      </c>
      <c r="L885" s="1">
        <f>DATEVALUE(_xlfn.CONCAT(BBDD_Usiarios_Netflix[[#This Row],[Día Último Pago]],"/",BBDD_Usiarios_Netflix[[#This Row],[Mes Último Pago]],"/",BBDD_Usiarios_Netflix[[#This Row],[Año Último Pago]]))</f>
        <v>45472</v>
      </c>
      <c r="M885" s="4">
        <f>DATEDIF(BBDD_Usiarios_Netflix[[#This Row],[Fecha Suscripción]],BBDD_Usiarios_Netflix[[#This Row],[Fecha Último Pago]],"M")+1</f>
        <v>13</v>
      </c>
      <c r="N885" s="4">
        <f>BBDD_Usiarios_Netflix[[#This Row],[Ingresos Mensuales]]*BBDD_Usiarios_Netflix[[#This Row],[Meses contratados]]</f>
        <v>182</v>
      </c>
      <c r="O885" t="s">
        <v>43</v>
      </c>
      <c r="P885" t="str">
        <f>IF(BBDD_Usiarios_Netflix[[#This Row],[País]]="","Desconocido",BBDD_Usiarios_Netflix[[#This Row],[País]])</f>
        <v>Alemania</v>
      </c>
      <c r="Q885">
        <v>50</v>
      </c>
      <c r="R885" t="s">
        <v>25</v>
      </c>
      <c r="S885" t="s">
        <v>31</v>
      </c>
      <c r="T885" t="s">
        <v>35</v>
      </c>
      <c r="U885">
        <f>IF(IFERROR(VLOOKUP(BBDD_Usiarios_Netflix[[#This Row],[Identificador Usuario]],A886:$A$5870,1,FALSE),0)&lt;&gt;0,1,0)</f>
        <v>0</v>
      </c>
      <c r="V885" s="6" t="str">
        <f>IF(BBDD_Usiarios_Netflix[[#This Row],[Duración Plan]]="12 Meses",LEFT(BBDD_Usiarios_Netflix[[#This Row],[Duración Plan]],2),LEFT(BBDD_Usiarios_Netflix[[#This Row],[Duración Plan]],1))</f>
        <v>6</v>
      </c>
      <c r="W8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86" spans="1:23" x14ac:dyDescent="0.25">
      <c r="A886">
        <v>885</v>
      </c>
      <c r="B886" t="s">
        <v>23</v>
      </c>
      <c r="C886">
        <v>10</v>
      </c>
      <c r="D886" s="3">
        <v>18</v>
      </c>
      <c r="E886" s="3">
        <v>6</v>
      </c>
      <c r="F886">
        <v>23</v>
      </c>
      <c r="G886" s="1">
        <f>DATEVALUE(_xlfn.CONCAT(BBDD_Usiarios_Netflix[[#This Row],[Día Suscripción]],"/",BBDD_Usiarios_Netflix[[#This Row],[Mes Suscripción]],"/",BBDD_Usiarios_Netflix[[#This Row],[Año Suscripción]]))</f>
        <v>45095</v>
      </c>
      <c r="H886" s="1">
        <v>2</v>
      </c>
      <c r="I886" s="1">
        <v>7</v>
      </c>
      <c r="J886" s="1">
        <v>24</v>
      </c>
      <c r="K886" s="1" t="str">
        <f>TEXT(BBDD_Usiarios_Netflix[[#This Row],[Fecha Suscripción]],"dddd")</f>
        <v>domingo</v>
      </c>
      <c r="L886" s="1">
        <f>DATEVALUE(_xlfn.CONCAT(BBDD_Usiarios_Netflix[[#This Row],[Día Último Pago]],"/",BBDD_Usiarios_Netflix[[#This Row],[Mes Último Pago]],"/",BBDD_Usiarios_Netflix[[#This Row],[Año Último Pago]]))</f>
        <v>45475</v>
      </c>
      <c r="M886" s="4">
        <f>DATEDIF(BBDD_Usiarios_Netflix[[#This Row],[Fecha Suscripción]],BBDD_Usiarios_Netflix[[#This Row],[Fecha Último Pago]],"M")+1</f>
        <v>13</v>
      </c>
      <c r="N886" s="4">
        <f>BBDD_Usiarios_Netflix[[#This Row],[Ingresos Mensuales]]*BBDD_Usiarios_Netflix[[#This Row],[Meses contratados]]</f>
        <v>130</v>
      </c>
      <c r="O886" t="s">
        <v>33</v>
      </c>
      <c r="P886" t="str">
        <f>IF(BBDD_Usiarios_Netflix[[#This Row],[País]]="","Desconocido",BBDD_Usiarios_Netflix[[#This Row],[País]])</f>
        <v>Francia</v>
      </c>
      <c r="Q886">
        <v>34</v>
      </c>
      <c r="R886" t="s">
        <v>25</v>
      </c>
      <c r="S886" t="s">
        <v>31</v>
      </c>
      <c r="T886" t="s">
        <v>41</v>
      </c>
      <c r="U886">
        <f>IF(IFERROR(VLOOKUP(BBDD_Usiarios_Netflix[[#This Row],[Identificador Usuario]],A887:$A$5870,1,FALSE),0)&lt;&gt;0,1,0)</f>
        <v>0</v>
      </c>
      <c r="V886" s="6" t="str">
        <f>IF(BBDD_Usiarios_Netflix[[#This Row],[Duración Plan]]="12 Meses",LEFT(BBDD_Usiarios_Netflix[[#This Row],[Duración Plan]],2),LEFT(BBDD_Usiarios_Netflix[[#This Row],[Duración Plan]],1))</f>
        <v>12</v>
      </c>
      <c r="W8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887" spans="1:23" x14ac:dyDescent="0.25">
      <c r="A887">
        <v>886</v>
      </c>
      <c r="B887" t="s">
        <v>28</v>
      </c>
      <c r="C887">
        <v>14</v>
      </c>
      <c r="D887" s="3">
        <v>23</v>
      </c>
      <c r="E887" s="3">
        <v>6</v>
      </c>
      <c r="F887">
        <v>23</v>
      </c>
      <c r="G887" s="1">
        <f>DATEVALUE(_xlfn.CONCAT(BBDD_Usiarios_Netflix[[#This Row],[Día Suscripción]],"/",BBDD_Usiarios_Netflix[[#This Row],[Mes Suscripción]],"/",BBDD_Usiarios_Netflix[[#This Row],[Año Suscripción]]))</f>
        <v>45100</v>
      </c>
      <c r="H887" s="1">
        <v>30</v>
      </c>
      <c r="I887" s="1">
        <v>6</v>
      </c>
      <c r="J887" s="1">
        <v>24</v>
      </c>
      <c r="K887" s="1" t="str">
        <f>TEXT(BBDD_Usiarios_Netflix[[#This Row],[Fecha Suscripción]],"dddd")</f>
        <v>viernes</v>
      </c>
      <c r="L887" s="1">
        <f>DATEVALUE(_xlfn.CONCAT(BBDD_Usiarios_Netflix[[#This Row],[Día Último Pago]],"/",BBDD_Usiarios_Netflix[[#This Row],[Mes Último Pago]],"/",BBDD_Usiarios_Netflix[[#This Row],[Año Último Pago]]))</f>
        <v>45473</v>
      </c>
      <c r="M887" s="4">
        <f>DATEDIF(BBDD_Usiarios_Netflix[[#This Row],[Fecha Suscripción]],BBDD_Usiarios_Netflix[[#This Row],[Fecha Último Pago]],"M")+1</f>
        <v>13</v>
      </c>
      <c r="N887" s="4">
        <f>BBDD_Usiarios_Netflix[[#This Row],[Ingresos Mensuales]]*BBDD_Usiarios_Netflix[[#This Row],[Meses contratados]]</f>
        <v>182</v>
      </c>
      <c r="O887" t="s">
        <v>43</v>
      </c>
      <c r="P887" t="str">
        <f>IF(BBDD_Usiarios_Netflix[[#This Row],[País]]="","Desconocido",BBDD_Usiarios_Netflix[[#This Row],[País]])</f>
        <v>Alemania</v>
      </c>
      <c r="Q887">
        <v>45</v>
      </c>
      <c r="R887" t="s">
        <v>30</v>
      </c>
      <c r="S887" t="s">
        <v>34</v>
      </c>
      <c r="T887" t="s">
        <v>27</v>
      </c>
      <c r="U887">
        <f>IF(IFERROR(VLOOKUP(BBDD_Usiarios_Netflix[[#This Row],[Identificador Usuario]],A888:$A$5870,1,FALSE),0)&lt;&gt;0,1,0)</f>
        <v>0</v>
      </c>
      <c r="V887" s="6" t="str">
        <f>IF(BBDD_Usiarios_Netflix[[#This Row],[Duración Plan]]="12 Meses",LEFT(BBDD_Usiarios_Netflix[[#This Row],[Duración Plan]],2),LEFT(BBDD_Usiarios_Netflix[[#This Row],[Duración Plan]],1))</f>
        <v>1</v>
      </c>
      <c r="W8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88" spans="1:23" x14ac:dyDescent="0.25">
      <c r="A888">
        <v>887</v>
      </c>
      <c r="B888" t="s">
        <v>23</v>
      </c>
      <c r="C888">
        <v>10</v>
      </c>
      <c r="D888" s="3">
        <v>26</v>
      </c>
      <c r="E888" s="3">
        <v>6</v>
      </c>
      <c r="F888">
        <v>23</v>
      </c>
      <c r="G888" s="1">
        <f>DATEVALUE(_xlfn.CONCAT(BBDD_Usiarios_Netflix[[#This Row],[Día Suscripción]],"/",BBDD_Usiarios_Netflix[[#This Row],[Mes Suscripción]],"/",BBDD_Usiarios_Netflix[[#This Row],[Año Suscripción]]))</f>
        <v>45103</v>
      </c>
      <c r="H888" s="1">
        <v>30</v>
      </c>
      <c r="I888" s="1">
        <v>6</v>
      </c>
      <c r="J888" s="1">
        <v>24</v>
      </c>
      <c r="K888" s="1" t="str">
        <f>TEXT(BBDD_Usiarios_Netflix[[#This Row],[Fecha Suscripción]],"dddd")</f>
        <v>lunes</v>
      </c>
      <c r="L888" s="1">
        <f>DATEVALUE(_xlfn.CONCAT(BBDD_Usiarios_Netflix[[#This Row],[Día Último Pago]],"/",BBDD_Usiarios_Netflix[[#This Row],[Mes Último Pago]],"/",BBDD_Usiarios_Netflix[[#This Row],[Año Último Pago]]))</f>
        <v>45473</v>
      </c>
      <c r="M888" s="4">
        <f>DATEDIF(BBDD_Usiarios_Netflix[[#This Row],[Fecha Suscripción]],BBDD_Usiarios_Netflix[[#This Row],[Fecha Último Pago]],"M")+1</f>
        <v>13</v>
      </c>
      <c r="N888" s="4">
        <f>BBDD_Usiarios_Netflix[[#This Row],[Ingresos Mensuales]]*BBDD_Usiarios_Netflix[[#This Row],[Meses contratados]]</f>
        <v>130</v>
      </c>
      <c r="O888" t="s">
        <v>43</v>
      </c>
      <c r="P888" t="str">
        <f>IF(BBDD_Usiarios_Netflix[[#This Row],[País]]="","Desconocido",BBDD_Usiarios_Netflix[[#This Row],[País]])</f>
        <v>Alemania</v>
      </c>
      <c r="Q888">
        <v>38</v>
      </c>
      <c r="R888" t="s">
        <v>30</v>
      </c>
      <c r="S888" t="s">
        <v>36</v>
      </c>
      <c r="T888" t="s">
        <v>38</v>
      </c>
      <c r="U888">
        <f>IF(IFERROR(VLOOKUP(BBDD_Usiarios_Netflix[[#This Row],[Identificador Usuario]],A889:$A$5870,1,FALSE),0)&lt;&gt;0,1,0)</f>
        <v>0</v>
      </c>
      <c r="V888" s="6" t="str">
        <f>IF(BBDD_Usiarios_Netflix[[#This Row],[Duración Plan]]="12 Meses",LEFT(BBDD_Usiarios_Netflix[[#This Row],[Duración Plan]],2),LEFT(BBDD_Usiarios_Netflix[[#This Row],[Duración Plan]],1))</f>
        <v>3</v>
      </c>
      <c r="W8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89" spans="1:23" x14ac:dyDescent="0.25">
      <c r="A889">
        <v>888</v>
      </c>
      <c r="B889" t="s">
        <v>32</v>
      </c>
      <c r="C889">
        <v>12</v>
      </c>
      <c r="D889" s="3">
        <v>29</v>
      </c>
      <c r="E889" s="3">
        <v>6</v>
      </c>
      <c r="F889">
        <v>23</v>
      </c>
      <c r="G889" s="1">
        <f>DATEVALUE(_xlfn.CONCAT(BBDD_Usiarios_Netflix[[#This Row],[Día Suscripción]],"/",BBDD_Usiarios_Netflix[[#This Row],[Mes Suscripción]],"/",BBDD_Usiarios_Netflix[[#This Row],[Año Suscripción]]))</f>
        <v>45106</v>
      </c>
      <c r="H889" s="1">
        <v>29</v>
      </c>
      <c r="I889" s="1">
        <v>6</v>
      </c>
      <c r="J889" s="1">
        <v>24</v>
      </c>
      <c r="K889" s="1" t="str">
        <f>TEXT(BBDD_Usiarios_Netflix[[#This Row],[Fecha Suscripción]],"dddd")</f>
        <v>jueves</v>
      </c>
      <c r="L889" s="1">
        <f>DATEVALUE(_xlfn.CONCAT(BBDD_Usiarios_Netflix[[#This Row],[Día Último Pago]],"/",BBDD_Usiarios_Netflix[[#This Row],[Mes Último Pago]],"/",BBDD_Usiarios_Netflix[[#This Row],[Año Último Pago]]))</f>
        <v>45472</v>
      </c>
      <c r="M889" s="4">
        <f>DATEDIF(BBDD_Usiarios_Netflix[[#This Row],[Fecha Suscripción]],BBDD_Usiarios_Netflix[[#This Row],[Fecha Último Pago]],"M")+1</f>
        <v>13</v>
      </c>
      <c r="N889" s="4">
        <f>BBDD_Usiarios_Netflix[[#This Row],[Ingresos Mensuales]]*BBDD_Usiarios_Netflix[[#This Row],[Meses contratados]]</f>
        <v>156</v>
      </c>
      <c r="O889" t="s">
        <v>33</v>
      </c>
      <c r="P889" t="str">
        <f>IF(BBDD_Usiarios_Netflix[[#This Row],[País]]="","Desconocido",BBDD_Usiarios_Netflix[[#This Row],[País]])</f>
        <v>Francia</v>
      </c>
      <c r="Q889">
        <v>42</v>
      </c>
      <c r="R889" t="s">
        <v>30</v>
      </c>
      <c r="S889" t="s">
        <v>36</v>
      </c>
      <c r="T889" t="s">
        <v>38</v>
      </c>
      <c r="U889">
        <f>IF(IFERROR(VLOOKUP(BBDD_Usiarios_Netflix[[#This Row],[Identificador Usuario]],A890:$A$5870,1,FALSE),0)&lt;&gt;0,1,0)</f>
        <v>0</v>
      </c>
      <c r="V889" s="6" t="str">
        <f>IF(BBDD_Usiarios_Netflix[[#This Row],[Duración Plan]]="12 Meses",LEFT(BBDD_Usiarios_Netflix[[#This Row],[Duración Plan]],2),LEFT(BBDD_Usiarios_Netflix[[#This Row],[Duración Plan]],1))</f>
        <v>3</v>
      </c>
      <c r="W8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90" spans="1:23" x14ac:dyDescent="0.25">
      <c r="A890">
        <v>889</v>
      </c>
      <c r="B890" t="s">
        <v>32</v>
      </c>
      <c r="C890">
        <v>12</v>
      </c>
      <c r="D890" s="3">
        <v>2</v>
      </c>
      <c r="E890" s="3">
        <v>7</v>
      </c>
      <c r="F890">
        <v>23</v>
      </c>
      <c r="G890" s="1">
        <f>DATEVALUE(_xlfn.CONCAT(BBDD_Usiarios_Netflix[[#This Row],[Día Suscripción]],"/",BBDD_Usiarios_Netflix[[#This Row],[Mes Suscripción]],"/",BBDD_Usiarios_Netflix[[#This Row],[Año Suscripción]]))</f>
        <v>45109</v>
      </c>
      <c r="H890" s="1">
        <v>1</v>
      </c>
      <c r="I890" s="1">
        <v>7</v>
      </c>
      <c r="J890" s="1">
        <v>24</v>
      </c>
      <c r="K890" s="1" t="str">
        <f>TEXT(BBDD_Usiarios_Netflix[[#This Row],[Fecha Suscripción]],"dddd")</f>
        <v>domingo</v>
      </c>
      <c r="L890" s="1">
        <f>DATEVALUE(_xlfn.CONCAT(BBDD_Usiarios_Netflix[[#This Row],[Día Último Pago]],"/",BBDD_Usiarios_Netflix[[#This Row],[Mes Último Pago]],"/",BBDD_Usiarios_Netflix[[#This Row],[Año Último Pago]]))</f>
        <v>45474</v>
      </c>
      <c r="M890" s="4">
        <f>DATEDIF(BBDD_Usiarios_Netflix[[#This Row],[Fecha Suscripción]],BBDD_Usiarios_Netflix[[#This Row],[Fecha Último Pago]],"M")+1</f>
        <v>12</v>
      </c>
      <c r="N890" s="4">
        <f>BBDD_Usiarios_Netflix[[#This Row],[Ingresos Mensuales]]*BBDD_Usiarios_Netflix[[#This Row],[Meses contratados]]</f>
        <v>144</v>
      </c>
      <c r="O890" t="s">
        <v>39</v>
      </c>
      <c r="P890" t="str">
        <f>IF(BBDD_Usiarios_Netflix[[#This Row],[País]]="","Desconocido",BBDD_Usiarios_Netflix[[#This Row],[País]])</f>
        <v>Canadá</v>
      </c>
      <c r="Q890">
        <v>45</v>
      </c>
      <c r="R890" t="s">
        <v>30</v>
      </c>
      <c r="S890" t="s">
        <v>26</v>
      </c>
      <c r="T890" t="s">
        <v>38</v>
      </c>
      <c r="U890">
        <f>IF(IFERROR(VLOOKUP(BBDD_Usiarios_Netflix[[#This Row],[Identificador Usuario]],A891:$A$5870,1,FALSE),0)&lt;&gt;0,1,0)</f>
        <v>0</v>
      </c>
      <c r="V890" s="6" t="str">
        <f>IF(BBDD_Usiarios_Netflix[[#This Row],[Duración Plan]]="12 Meses",LEFT(BBDD_Usiarios_Netflix[[#This Row],[Duración Plan]],2),LEFT(BBDD_Usiarios_Netflix[[#This Row],[Duración Plan]],1))</f>
        <v>3</v>
      </c>
      <c r="W8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91" spans="1:23" x14ac:dyDescent="0.25">
      <c r="A891">
        <v>890</v>
      </c>
      <c r="B891" t="s">
        <v>23</v>
      </c>
      <c r="C891">
        <v>10</v>
      </c>
      <c r="D891" s="3">
        <v>6</v>
      </c>
      <c r="E891" s="3">
        <v>7</v>
      </c>
      <c r="F891">
        <v>23</v>
      </c>
      <c r="G891" s="1">
        <f>DATEVALUE(_xlfn.CONCAT(BBDD_Usiarios_Netflix[[#This Row],[Día Suscripción]],"/",BBDD_Usiarios_Netflix[[#This Row],[Mes Suscripción]],"/",BBDD_Usiarios_Netflix[[#This Row],[Año Suscripción]]))</f>
        <v>45113</v>
      </c>
      <c r="H891" s="1">
        <v>30</v>
      </c>
      <c r="I891" s="1">
        <v>6</v>
      </c>
      <c r="J891" s="1">
        <v>24</v>
      </c>
      <c r="K891" s="1" t="str">
        <f>TEXT(BBDD_Usiarios_Netflix[[#This Row],[Fecha Suscripción]],"dddd")</f>
        <v>jueves</v>
      </c>
      <c r="L891" s="1">
        <f>DATEVALUE(_xlfn.CONCAT(BBDD_Usiarios_Netflix[[#This Row],[Día Último Pago]],"/",BBDD_Usiarios_Netflix[[#This Row],[Mes Último Pago]],"/",BBDD_Usiarios_Netflix[[#This Row],[Año Último Pago]]))</f>
        <v>45473</v>
      </c>
      <c r="M891" s="4">
        <f>DATEDIF(BBDD_Usiarios_Netflix[[#This Row],[Fecha Suscripción]],BBDD_Usiarios_Netflix[[#This Row],[Fecha Último Pago]],"M")+1</f>
        <v>12</v>
      </c>
      <c r="N891" s="4">
        <f>BBDD_Usiarios_Netflix[[#This Row],[Ingresos Mensuales]]*BBDD_Usiarios_Netflix[[#This Row],[Meses contratados]]</f>
        <v>120</v>
      </c>
      <c r="O891" t="s">
        <v>24</v>
      </c>
      <c r="P891" t="str">
        <f>IF(BBDD_Usiarios_Netflix[[#This Row],[País]]="","Desconocido",BBDD_Usiarios_Netflix[[#This Row],[País]])</f>
        <v>Australia</v>
      </c>
      <c r="Q891">
        <v>44</v>
      </c>
      <c r="R891" t="s">
        <v>25</v>
      </c>
      <c r="S891" t="s">
        <v>34</v>
      </c>
      <c r="T891" t="s">
        <v>27</v>
      </c>
      <c r="U891">
        <f>IF(IFERROR(VLOOKUP(BBDD_Usiarios_Netflix[[#This Row],[Identificador Usuario]],A892:$A$5870,1,FALSE),0)&lt;&gt;0,1,0)</f>
        <v>0</v>
      </c>
      <c r="V891" s="6" t="str">
        <f>IF(BBDD_Usiarios_Netflix[[#This Row],[Duración Plan]]="12 Meses",LEFT(BBDD_Usiarios_Netflix[[#This Row],[Duración Plan]],2),LEFT(BBDD_Usiarios_Netflix[[#This Row],[Duración Plan]],1))</f>
        <v>1</v>
      </c>
      <c r="W8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92" spans="1:23" x14ac:dyDescent="0.25">
      <c r="A892">
        <v>891</v>
      </c>
      <c r="B892" t="s">
        <v>28</v>
      </c>
      <c r="C892">
        <v>14</v>
      </c>
      <c r="D892" s="3">
        <v>18</v>
      </c>
      <c r="E892" s="3">
        <v>7</v>
      </c>
      <c r="F892">
        <v>23</v>
      </c>
      <c r="G892" s="1">
        <f>DATEVALUE(_xlfn.CONCAT(BBDD_Usiarios_Netflix[[#This Row],[Día Suscripción]],"/",BBDD_Usiarios_Netflix[[#This Row],[Mes Suscripción]],"/",BBDD_Usiarios_Netflix[[#This Row],[Año Suscripción]]))</f>
        <v>45125</v>
      </c>
      <c r="H892" s="1">
        <v>30</v>
      </c>
      <c r="I892" s="1">
        <v>6</v>
      </c>
      <c r="J892" s="1">
        <v>24</v>
      </c>
      <c r="K892" s="1" t="str">
        <f>TEXT(BBDD_Usiarios_Netflix[[#This Row],[Fecha Suscripción]],"dddd")</f>
        <v>martes</v>
      </c>
      <c r="L892" s="1">
        <f>DATEVALUE(_xlfn.CONCAT(BBDD_Usiarios_Netflix[[#This Row],[Día Último Pago]],"/",BBDD_Usiarios_Netflix[[#This Row],[Mes Último Pago]],"/",BBDD_Usiarios_Netflix[[#This Row],[Año Último Pago]]))</f>
        <v>45473</v>
      </c>
      <c r="M892" s="4">
        <f>DATEDIF(BBDD_Usiarios_Netflix[[#This Row],[Fecha Suscripción]],BBDD_Usiarios_Netflix[[#This Row],[Fecha Último Pago]],"M")+1</f>
        <v>12</v>
      </c>
      <c r="N892" s="4">
        <f>BBDD_Usiarios_Netflix[[#This Row],[Ingresos Mensuales]]*BBDD_Usiarios_Netflix[[#This Row],[Meses contratados]]</f>
        <v>168</v>
      </c>
      <c r="O892" t="s">
        <v>33</v>
      </c>
      <c r="P892" t="str">
        <f>IF(BBDD_Usiarios_Netflix[[#This Row],[País]]="","Desconocido",BBDD_Usiarios_Netflix[[#This Row],[País]])</f>
        <v>Francia</v>
      </c>
      <c r="Q892">
        <v>50</v>
      </c>
      <c r="R892" t="s">
        <v>30</v>
      </c>
      <c r="S892" t="s">
        <v>34</v>
      </c>
      <c r="T892" t="s">
        <v>35</v>
      </c>
      <c r="U892">
        <f>IF(IFERROR(VLOOKUP(BBDD_Usiarios_Netflix[[#This Row],[Identificador Usuario]],A893:$A$5870,1,FALSE),0)&lt;&gt;0,1,0)</f>
        <v>0</v>
      </c>
      <c r="V892" s="6" t="str">
        <f>IF(BBDD_Usiarios_Netflix[[#This Row],[Duración Plan]]="12 Meses",LEFT(BBDD_Usiarios_Netflix[[#This Row],[Duración Plan]],2),LEFT(BBDD_Usiarios_Netflix[[#This Row],[Duración Plan]],1))</f>
        <v>6</v>
      </c>
      <c r="W8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93" spans="1:23" x14ac:dyDescent="0.25">
      <c r="A893">
        <v>892</v>
      </c>
      <c r="B893" t="s">
        <v>23</v>
      </c>
      <c r="C893">
        <v>10</v>
      </c>
      <c r="D893" s="3">
        <v>29</v>
      </c>
      <c r="E893" s="3">
        <v>7</v>
      </c>
      <c r="F893">
        <v>23</v>
      </c>
      <c r="G893" s="1">
        <f>DATEVALUE(_xlfn.CONCAT(BBDD_Usiarios_Netflix[[#This Row],[Día Suscripción]],"/",BBDD_Usiarios_Netflix[[#This Row],[Mes Suscripción]],"/",BBDD_Usiarios_Netflix[[#This Row],[Año Suscripción]]))</f>
        <v>45136</v>
      </c>
      <c r="H893" s="1">
        <v>30</v>
      </c>
      <c r="I893" s="1">
        <v>6</v>
      </c>
      <c r="J893" s="1">
        <v>24</v>
      </c>
      <c r="K893" s="1" t="str">
        <f>TEXT(BBDD_Usiarios_Netflix[[#This Row],[Fecha Suscripción]],"dddd")</f>
        <v>sábado</v>
      </c>
      <c r="L893" s="1">
        <f>DATEVALUE(_xlfn.CONCAT(BBDD_Usiarios_Netflix[[#This Row],[Día Último Pago]],"/",BBDD_Usiarios_Netflix[[#This Row],[Mes Último Pago]],"/",BBDD_Usiarios_Netflix[[#This Row],[Año Último Pago]]))</f>
        <v>45473</v>
      </c>
      <c r="M893" s="4">
        <f>DATEDIF(BBDD_Usiarios_Netflix[[#This Row],[Fecha Suscripción]],BBDD_Usiarios_Netflix[[#This Row],[Fecha Último Pago]],"M")+1</f>
        <v>12</v>
      </c>
      <c r="N893" s="4">
        <f>BBDD_Usiarios_Netflix[[#This Row],[Ingresos Mensuales]]*BBDD_Usiarios_Netflix[[#This Row],[Meses contratados]]</f>
        <v>120</v>
      </c>
      <c r="O893" t="s">
        <v>29</v>
      </c>
      <c r="P893" t="str">
        <f>IF(BBDD_Usiarios_Netflix[[#This Row],[País]]="","Desconocido",BBDD_Usiarios_Netflix[[#This Row],[País]])</f>
        <v>EEUU</v>
      </c>
      <c r="Q893">
        <v>38</v>
      </c>
      <c r="R893" t="s">
        <v>25</v>
      </c>
      <c r="S893" t="s">
        <v>31</v>
      </c>
      <c r="T893" t="s">
        <v>27</v>
      </c>
      <c r="U893">
        <f>IF(IFERROR(VLOOKUP(BBDD_Usiarios_Netflix[[#This Row],[Identificador Usuario]],A894:$A$5870,1,FALSE),0)&lt;&gt;0,1,0)</f>
        <v>0</v>
      </c>
      <c r="V893" s="6" t="str">
        <f>IF(BBDD_Usiarios_Netflix[[#This Row],[Duración Plan]]="12 Meses",LEFT(BBDD_Usiarios_Netflix[[#This Row],[Duración Plan]],2),LEFT(BBDD_Usiarios_Netflix[[#This Row],[Duración Plan]],1))</f>
        <v>1</v>
      </c>
      <c r="W8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94" spans="1:23" x14ac:dyDescent="0.25">
      <c r="A894">
        <v>893</v>
      </c>
      <c r="B894" t="s">
        <v>32</v>
      </c>
      <c r="C894">
        <v>12</v>
      </c>
      <c r="D894" s="3">
        <v>30</v>
      </c>
      <c r="E894" s="3">
        <v>7</v>
      </c>
      <c r="F894">
        <v>23</v>
      </c>
      <c r="G894" s="1">
        <f>DATEVALUE(_xlfn.CONCAT(BBDD_Usiarios_Netflix[[#This Row],[Día Suscripción]],"/",BBDD_Usiarios_Netflix[[#This Row],[Mes Suscripción]],"/",BBDD_Usiarios_Netflix[[#This Row],[Año Suscripción]]))</f>
        <v>45137</v>
      </c>
      <c r="H894" s="1">
        <v>1</v>
      </c>
      <c r="I894" s="1">
        <v>7</v>
      </c>
      <c r="J894" s="1">
        <v>24</v>
      </c>
      <c r="K894" s="1" t="str">
        <f>TEXT(BBDD_Usiarios_Netflix[[#This Row],[Fecha Suscripción]],"dddd")</f>
        <v>domingo</v>
      </c>
      <c r="L894" s="1">
        <f>DATEVALUE(_xlfn.CONCAT(BBDD_Usiarios_Netflix[[#This Row],[Día Último Pago]],"/",BBDD_Usiarios_Netflix[[#This Row],[Mes Último Pago]],"/",BBDD_Usiarios_Netflix[[#This Row],[Año Último Pago]]))</f>
        <v>45474</v>
      </c>
      <c r="M894" s="4">
        <f>DATEDIF(BBDD_Usiarios_Netflix[[#This Row],[Fecha Suscripción]],BBDD_Usiarios_Netflix[[#This Row],[Fecha Último Pago]],"M")+1</f>
        <v>12</v>
      </c>
      <c r="N894" s="4">
        <f>BBDD_Usiarios_Netflix[[#This Row],[Ingresos Mensuales]]*BBDD_Usiarios_Netflix[[#This Row],[Meses contratados]]</f>
        <v>144</v>
      </c>
      <c r="O894" t="s">
        <v>44</v>
      </c>
      <c r="P894" t="str">
        <f>IF(BBDD_Usiarios_Netflix[[#This Row],[País]]="","Desconocido",BBDD_Usiarios_Netflix[[#This Row],[País]])</f>
        <v>Desconocido</v>
      </c>
      <c r="Q894">
        <v>42</v>
      </c>
      <c r="R894" t="s">
        <v>30</v>
      </c>
      <c r="S894" t="s">
        <v>34</v>
      </c>
      <c r="T894" t="s">
        <v>35</v>
      </c>
      <c r="U894">
        <f>IF(IFERROR(VLOOKUP(BBDD_Usiarios_Netflix[[#This Row],[Identificador Usuario]],A895:$A$5870,1,FALSE),0)&lt;&gt;0,1,0)</f>
        <v>0</v>
      </c>
      <c r="V894" s="6" t="str">
        <f>IF(BBDD_Usiarios_Netflix[[#This Row],[Duración Plan]]="12 Meses",LEFT(BBDD_Usiarios_Netflix[[#This Row],[Duración Plan]],2),LEFT(BBDD_Usiarios_Netflix[[#This Row],[Duración Plan]],1))</f>
        <v>6</v>
      </c>
      <c r="W8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895" spans="1:23" x14ac:dyDescent="0.25">
      <c r="A895">
        <v>894</v>
      </c>
      <c r="B895" t="s">
        <v>28</v>
      </c>
      <c r="C895">
        <v>14</v>
      </c>
      <c r="D895" s="3">
        <v>3</v>
      </c>
      <c r="E895" s="3">
        <v>8</v>
      </c>
      <c r="F895">
        <v>23</v>
      </c>
      <c r="G895" s="1">
        <f>DATEVALUE(_xlfn.CONCAT(BBDD_Usiarios_Netflix[[#This Row],[Día Suscripción]],"/",BBDD_Usiarios_Netflix[[#This Row],[Mes Suscripción]],"/",BBDD_Usiarios_Netflix[[#This Row],[Año Suscripción]]))</f>
        <v>45141</v>
      </c>
      <c r="H895" s="1">
        <v>1</v>
      </c>
      <c r="I895" s="1">
        <v>7</v>
      </c>
      <c r="J895" s="1">
        <v>24</v>
      </c>
      <c r="K895" s="1" t="str">
        <f>TEXT(BBDD_Usiarios_Netflix[[#This Row],[Fecha Suscripción]],"dddd")</f>
        <v>jueves</v>
      </c>
      <c r="L895" s="1">
        <f>DATEVALUE(_xlfn.CONCAT(BBDD_Usiarios_Netflix[[#This Row],[Día Último Pago]],"/",BBDD_Usiarios_Netflix[[#This Row],[Mes Último Pago]],"/",BBDD_Usiarios_Netflix[[#This Row],[Año Último Pago]]))</f>
        <v>45474</v>
      </c>
      <c r="M895" s="4">
        <f>DATEDIF(BBDD_Usiarios_Netflix[[#This Row],[Fecha Suscripción]],BBDD_Usiarios_Netflix[[#This Row],[Fecha Último Pago]],"M")+1</f>
        <v>11</v>
      </c>
      <c r="N895" s="4">
        <f>BBDD_Usiarios_Netflix[[#This Row],[Ingresos Mensuales]]*BBDD_Usiarios_Netflix[[#This Row],[Meses contratados]]</f>
        <v>154</v>
      </c>
      <c r="O895" t="s">
        <v>42</v>
      </c>
      <c r="P895" t="str">
        <f>IF(BBDD_Usiarios_Netflix[[#This Row],[País]]="","Desconocido",BBDD_Usiarios_Netflix[[#This Row],[País]])</f>
        <v>Reino Unido</v>
      </c>
      <c r="Q895">
        <v>50</v>
      </c>
      <c r="R895" t="s">
        <v>25</v>
      </c>
      <c r="S895" t="s">
        <v>34</v>
      </c>
      <c r="T895" t="s">
        <v>38</v>
      </c>
      <c r="U895">
        <f>IF(IFERROR(VLOOKUP(BBDD_Usiarios_Netflix[[#This Row],[Identificador Usuario]],A896:$A$5870,1,FALSE),0)&lt;&gt;0,1,0)</f>
        <v>0</v>
      </c>
      <c r="V895" s="6" t="str">
        <f>IF(BBDD_Usiarios_Netflix[[#This Row],[Duración Plan]]="12 Meses",LEFT(BBDD_Usiarios_Netflix[[#This Row],[Duración Plan]],2),LEFT(BBDD_Usiarios_Netflix[[#This Row],[Duración Plan]],1))</f>
        <v>3</v>
      </c>
      <c r="W8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96" spans="1:23" x14ac:dyDescent="0.25">
      <c r="A896">
        <v>895</v>
      </c>
      <c r="B896" t="s">
        <v>23</v>
      </c>
      <c r="C896">
        <v>10</v>
      </c>
      <c r="D896" s="3">
        <v>15</v>
      </c>
      <c r="E896" s="3">
        <v>8</v>
      </c>
      <c r="F896">
        <v>23</v>
      </c>
      <c r="G896" s="1">
        <f>DATEVALUE(_xlfn.CONCAT(BBDD_Usiarios_Netflix[[#This Row],[Día Suscripción]],"/",BBDD_Usiarios_Netflix[[#This Row],[Mes Suscripción]],"/",BBDD_Usiarios_Netflix[[#This Row],[Año Suscripción]]))</f>
        <v>45153</v>
      </c>
      <c r="H896" s="1">
        <v>30</v>
      </c>
      <c r="I896" s="1">
        <v>6</v>
      </c>
      <c r="J896" s="1">
        <v>24</v>
      </c>
      <c r="K896" s="1" t="str">
        <f>TEXT(BBDD_Usiarios_Netflix[[#This Row],[Fecha Suscripción]],"dddd")</f>
        <v>martes</v>
      </c>
      <c r="L896" s="1">
        <f>DATEVALUE(_xlfn.CONCAT(BBDD_Usiarios_Netflix[[#This Row],[Día Último Pago]],"/",BBDD_Usiarios_Netflix[[#This Row],[Mes Último Pago]],"/",BBDD_Usiarios_Netflix[[#This Row],[Año Último Pago]]))</f>
        <v>45473</v>
      </c>
      <c r="M896" s="4">
        <f>DATEDIF(BBDD_Usiarios_Netflix[[#This Row],[Fecha Suscripción]],BBDD_Usiarios_Netflix[[#This Row],[Fecha Último Pago]],"M")+1</f>
        <v>11</v>
      </c>
      <c r="N896" s="4">
        <f>BBDD_Usiarios_Netflix[[#This Row],[Ingresos Mensuales]]*BBDD_Usiarios_Netflix[[#This Row],[Meses contratados]]</f>
        <v>110</v>
      </c>
      <c r="O896" t="s">
        <v>24</v>
      </c>
      <c r="P896" t="str">
        <f>IF(BBDD_Usiarios_Netflix[[#This Row],[País]]="","Desconocido",BBDD_Usiarios_Netflix[[#This Row],[País]])</f>
        <v>Australia</v>
      </c>
      <c r="Q896">
        <v>30</v>
      </c>
      <c r="R896" t="s">
        <v>25</v>
      </c>
      <c r="S896" t="s">
        <v>26</v>
      </c>
      <c r="T896" t="s">
        <v>38</v>
      </c>
      <c r="U896">
        <f>IF(IFERROR(VLOOKUP(BBDD_Usiarios_Netflix[[#This Row],[Identificador Usuario]],A897:$A$5870,1,FALSE),0)&lt;&gt;0,1,0)</f>
        <v>0</v>
      </c>
      <c r="V896" s="6" t="str">
        <f>IF(BBDD_Usiarios_Netflix[[#This Row],[Duración Plan]]="12 Meses",LEFT(BBDD_Usiarios_Netflix[[#This Row],[Duración Plan]],2),LEFT(BBDD_Usiarios_Netflix[[#This Row],[Duración Plan]],1))</f>
        <v>3</v>
      </c>
      <c r="W8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897" spans="1:23" x14ac:dyDescent="0.25">
      <c r="A897">
        <v>896</v>
      </c>
      <c r="B897" t="s">
        <v>23</v>
      </c>
      <c r="C897">
        <v>10</v>
      </c>
      <c r="D897" s="3">
        <v>20</v>
      </c>
      <c r="E897" s="3">
        <v>8</v>
      </c>
      <c r="F897">
        <v>23</v>
      </c>
      <c r="G897" s="1">
        <f>DATEVALUE(_xlfn.CONCAT(BBDD_Usiarios_Netflix[[#This Row],[Día Suscripción]],"/",BBDD_Usiarios_Netflix[[#This Row],[Mes Suscripción]],"/",BBDD_Usiarios_Netflix[[#This Row],[Año Suscripción]]))</f>
        <v>45158</v>
      </c>
      <c r="H897" s="1">
        <v>1</v>
      </c>
      <c r="I897" s="1">
        <v>7</v>
      </c>
      <c r="J897" s="1">
        <v>24</v>
      </c>
      <c r="K897" s="1" t="str">
        <f>TEXT(BBDD_Usiarios_Netflix[[#This Row],[Fecha Suscripción]],"dddd")</f>
        <v>domingo</v>
      </c>
      <c r="L897" s="1">
        <f>DATEVALUE(_xlfn.CONCAT(BBDD_Usiarios_Netflix[[#This Row],[Día Último Pago]],"/",BBDD_Usiarios_Netflix[[#This Row],[Mes Último Pago]],"/",BBDD_Usiarios_Netflix[[#This Row],[Año Último Pago]]))</f>
        <v>45474</v>
      </c>
      <c r="M897" s="4">
        <f>DATEDIF(BBDD_Usiarios_Netflix[[#This Row],[Fecha Suscripción]],BBDD_Usiarios_Netflix[[#This Row],[Fecha Último Pago]],"M")+1</f>
        <v>11</v>
      </c>
      <c r="N897" s="4">
        <f>BBDD_Usiarios_Netflix[[#This Row],[Ingresos Mensuales]]*BBDD_Usiarios_Netflix[[#This Row],[Meses contratados]]</f>
        <v>110</v>
      </c>
      <c r="O897" t="s">
        <v>42</v>
      </c>
      <c r="P897" t="str">
        <f>IF(BBDD_Usiarios_Netflix[[#This Row],[País]]="","Desconocido",BBDD_Usiarios_Netflix[[#This Row],[País]])</f>
        <v>Reino Unido</v>
      </c>
      <c r="Q897">
        <v>47</v>
      </c>
      <c r="R897" t="s">
        <v>30</v>
      </c>
      <c r="S897" t="s">
        <v>26</v>
      </c>
      <c r="T897" t="s">
        <v>27</v>
      </c>
      <c r="U897">
        <f>IF(IFERROR(VLOOKUP(BBDD_Usiarios_Netflix[[#This Row],[Identificador Usuario]],A898:$A$5870,1,FALSE),0)&lt;&gt;0,1,0)</f>
        <v>0</v>
      </c>
      <c r="V897" s="6" t="str">
        <f>IF(BBDD_Usiarios_Netflix[[#This Row],[Duración Plan]]="12 Meses",LEFT(BBDD_Usiarios_Netflix[[#This Row],[Duración Plan]],2),LEFT(BBDD_Usiarios_Netflix[[#This Row],[Duración Plan]],1))</f>
        <v>1</v>
      </c>
      <c r="W8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98" spans="1:23" x14ac:dyDescent="0.25">
      <c r="A898">
        <v>897</v>
      </c>
      <c r="B898" t="s">
        <v>23</v>
      </c>
      <c r="C898">
        <v>10</v>
      </c>
      <c r="D898" s="3">
        <v>21</v>
      </c>
      <c r="E898" s="3">
        <v>8</v>
      </c>
      <c r="F898">
        <v>23</v>
      </c>
      <c r="G898" s="1">
        <f>DATEVALUE(_xlfn.CONCAT(BBDD_Usiarios_Netflix[[#This Row],[Día Suscripción]],"/",BBDD_Usiarios_Netflix[[#This Row],[Mes Suscripción]],"/",BBDD_Usiarios_Netflix[[#This Row],[Año Suscripción]]))</f>
        <v>45159</v>
      </c>
      <c r="H898" s="1">
        <v>30</v>
      </c>
      <c r="I898" s="1">
        <v>6</v>
      </c>
      <c r="J898" s="1">
        <v>24</v>
      </c>
      <c r="K898" s="1" t="str">
        <f>TEXT(BBDD_Usiarios_Netflix[[#This Row],[Fecha Suscripción]],"dddd")</f>
        <v>lunes</v>
      </c>
      <c r="L898" s="1">
        <f>DATEVALUE(_xlfn.CONCAT(BBDD_Usiarios_Netflix[[#This Row],[Día Último Pago]],"/",BBDD_Usiarios_Netflix[[#This Row],[Mes Último Pago]],"/",BBDD_Usiarios_Netflix[[#This Row],[Año Último Pago]]))</f>
        <v>45473</v>
      </c>
      <c r="M898" s="4">
        <f>DATEDIF(BBDD_Usiarios_Netflix[[#This Row],[Fecha Suscripción]],BBDD_Usiarios_Netflix[[#This Row],[Fecha Último Pago]],"M")+1</f>
        <v>11</v>
      </c>
      <c r="N898" s="4">
        <f>BBDD_Usiarios_Netflix[[#This Row],[Ingresos Mensuales]]*BBDD_Usiarios_Netflix[[#This Row],[Meses contratados]]</f>
        <v>110</v>
      </c>
      <c r="O898" t="s">
        <v>37</v>
      </c>
      <c r="P898" t="str">
        <f>IF(BBDD_Usiarios_Netflix[[#This Row],[País]]="","Desconocido",BBDD_Usiarios_Netflix[[#This Row],[País]])</f>
        <v>Brasil</v>
      </c>
      <c r="Q898">
        <v>32</v>
      </c>
      <c r="R898" t="s">
        <v>30</v>
      </c>
      <c r="S898" t="s">
        <v>36</v>
      </c>
      <c r="T898" t="s">
        <v>27</v>
      </c>
      <c r="U898">
        <f>IF(IFERROR(VLOOKUP(BBDD_Usiarios_Netflix[[#This Row],[Identificador Usuario]],A899:$A$5870,1,FALSE),0)&lt;&gt;0,1,0)</f>
        <v>0</v>
      </c>
      <c r="V898" s="6" t="str">
        <f>IF(BBDD_Usiarios_Netflix[[#This Row],[Duración Plan]]="12 Meses",LEFT(BBDD_Usiarios_Netflix[[#This Row],[Duración Plan]],2),LEFT(BBDD_Usiarios_Netflix[[#This Row],[Duración Plan]],1))</f>
        <v>1</v>
      </c>
      <c r="W8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899" spans="1:23" x14ac:dyDescent="0.25">
      <c r="A899">
        <v>898</v>
      </c>
      <c r="B899" t="s">
        <v>32</v>
      </c>
      <c r="C899">
        <v>12</v>
      </c>
      <c r="D899" s="3">
        <v>30</v>
      </c>
      <c r="E899" s="3">
        <v>8</v>
      </c>
      <c r="F899">
        <v>23</v>
      </c>
      <c r="G899" s="1">
        <f>DATEVALUE(_xlfn.CONCAT(BBDD_Usiarios_Netflix[[#This Row],[Día Suscripción]],"/",BBDD_Usiarios_Netflix[[#This Row],[Mes Suscripción]],"/",BBDD_Usiarios_Netflix[[#This Row],[Año Suscripción]]))</f>
        <v>45168</v>
      </c>
      <c r="H899" s="1">
        <v>2</v>
      </c>
      <c r="I899" s="1">
        <v>7</v>
      </c>
      <c r="J899" s="1">
        <v>24</v>
      </c>
      <c r="K899" s="1" t="str">
        <f>TEXT(BBDD_Usiarios_Netflix[[#This Row],[Fecha Suscripción]],"dddd")</f>
        <v>miércoles</v>
      </c>
      <c r="L899" s="1">
        <f>DATEVALUE(_xlfn.CONCAT(BBDD_Usiarios_Netflix[[#This Row],[Día Último Pago]],"/",BBDD_Usiarios_Netflix[[#This Row],[Mes Último Pago]],"/",BBDD_Usiarios_Netflix[[#This Row],[Año Último Pago]]))</f>
        <v>45475</v>
      </c>
      <c r="M899" s="4">
        <f>DATEDIF(BBDD_Usiarios_Netflix[[#This Row],[Fecha Suscripción]],BBDD_Usiarios_Netflix[[#This Row],[Fecha Último Pago]],"M")+1</f>
        <v>11</v>
      </c>
      <c r="N899" s="4">
        <f>BBDD_Usiarios_Netflix[[#This Row],[Ingresos Mensuales]]*BBDD_Usiarios_Netflix[[#This Row],[Meses contratados]]</f>
        <v>132</v>
      </c>
      <c r="O899" t="s">
        <v>24</v>
      </c>
      <c r="P899" t="str">
        <f>IF(BBDD_Usiarios_Netflix[[#This Row],[País]]="","Desconocido",BBDD_Usiarios_Netflix[[#This Row],[País]])</f>
        <v>Australia</v>
      </c>
      <c r="Q899">
        <v>31</v>
      </c>
      <c r="R899" t="s">
        <v>30</v>
      </c>
      <c r="S899" t="s">
        <v>31</v>
      </c>
      <c r="T899" t="s">
        <v>41</v>
      </c>
      <c r="U899">
        <f>IF(IFERROR(VLOOKUP(BBDD_Usiarios_Netflix[[#This Row],[Identificador Usuario]],A900:$A$5870,1,FALSE),0)&lt;&gt;0,1,0)</f>
        <v>0</v>
      </c>
      <c r="V899" s="6" t="str">
        <f>IF(BBDD_Usiarios_Netflix[[#This Row],[Duración Plan]]="12 Meses",LEFT(BBDD_Usiarios_Netflix[[#This Row],[Duración Plan]],2),LEFT(BBDD_Usiarios_Netflix[[#This Row],[Duración Plan]],1))</f>
        <v>12</v>
      </c>
      <c r="W8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00" spans="1:23" x14ac:dyDescent="0.25">
      <c r="A900">
        <v>899</v>
      </c>
      <c r="B900" t="s">
        <v>28</v>
      </c>
      <c r="C900">
        <v>14</v>
      </c>
      <c r="D900" s="3">
        <v>1</v>
      </c>
      <c r="E900" s="3">
        <v>9</v>
      </c>
      <c r="F900">
        <v>23</v>
      </c>
      <c r="G900" s="1">
        <f>DATEVALUE(_xlfn.CONCAT(BBDD_Usiarios_Netflix[[#This Row],[Día Suscripción]],"/",BBDD_Usiarios_Netflix[[#This Row],[Mes Suscripción]],"/",BBDD_Usiarios_Netflix[[#This Row],[Año Suscripción]]))</f>
        <v>45170</v>
      </c>
      <c r="H900" s="1">
        <v>29</v>
      </c>
      <c r="I900" s="1">
        <v>6</v>
      </c>
      <c r="J900" s="1">
        <v>24</v>
      </c>
      <c r="K900" s="1" t="str">
        <f>TEXT(BBDD_Usiarios_Netflix[[#This Row],[Fecha Suscripción]],"dddd")</f>
        <v>viernes</v>
      </c>
      <c r="L900" s="1">
        <f>DATEVALUE(_xlfn.CONCAT(BBDD_Usiarios_Netflix[[#This Row],[Día Último Pago]],"/",BBDD_Usiarios_Netflix[[#This Row],[Mes Último Pago]],"/",BBDD_Usiarios_Netflix[[#This Row],[Año Último Pago]]))</f>
        <v>45472</v>
      </c>
      <c r="M900" s="4">
        <f>DATEDIF(BBDD_Usiarios_Netflix[[#This Row],[Fecha Suscripción]],BBDD_Usiarios_Netflix[[#This Row],[Fecha Último Pago]],"M")+1</f>
        <v>10</v>
      </c>
      <c r="N900" s="4">
        <f>BBDD_Usiarios_Netflix[[#This Row],[Ingresos Mensuales]]*BBDD_Usiarios_Netflix[[#This Row],[Meses contratados]]</f>
        <v>140</v>
      </c>
      <c r="O900" t="s">
        <v>43</v>
      </c>
      <c r="P900" t="str">
        <f>IF(BBDD_Usiarios_Netflix[[#This Row],[País]]="","Desconocido",BBDD_Usiarios_Netflix[[#This Row],[País]])</f>
        <v>Alemania</v>
      </c>
      <c r="Q900">
        <v>37</v>
      </c>
      <c r="R900" t="s">
        <v>25</v>
      </c>
      <c r="S900" t="s">
        <v>36</v>
      </c>
      <c r="T900" t="s">
        <v>27</v>
      </c>
      <c r="U900">
        <f>IF(IFERROR(VLOOKUP(BBDD_Usiarios_Netflix[[#This Row],[Identificador Usuario]],A901:$A$5870,1,FALSE),0)&lt;&gt;0,1,0)</f>
        <v>0</v>
      </c>
      <c r="V900" s="6" t="str">
        <f>IF(BBDD_Usiarios_Netflix[[#This Row],[Duración Plan]]="12 Meses",LEFT(BBDD_Usiarios_Netflix[[#This Row],[Duración Plan]],2),LEFT(BBDD_Usiarios_Netflix[[#This Row],[Duración Plan]],1))</f>
        <v>1</v>
      </c>
      <c r="W9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01" spans="1:23" x14ac:dyDescent="0.25">
      <c r="A901">
        <v>900</v>
      </c>
      <c r="B901" t="s">
        <v>23</v>
      </c>
      <c r="C901">
        <v>10</v>
      </c>
      <c r="D901" s="3">
        <v>2</v>
      </c>
      <c r="E901" s="3">
        <v>9</v>
      </c>
      <c r="F901">
        <v>23</v>
      </c>
      <c r="G901" s="1">
        <f>DATEVALUE(_xlfn.CONCAT(BBDD_Usiarios_Netflix[[#This Row],[Día Suscripción]],"/",BBDD_Usiarios_Netflix[[#This Row],[Mes Suscripción]],"/",BBDD_Usiarios_Netflix[[#This Row],[Año Suscripción]]))</f>
        <v>45171</v>
      </c>
      <c r="H901" s="1">
        <v>3</v>
      </c>
      <c r="I901" s="1">
        <v>7</v>
      </c>
      <c r="J901" s="1">
        <v>24</v>
      </c>
      <c r="K901" s="1" t="str">
        <f>TEXT(BBDD_Usiarios_Netflix[[#This Row],[Fecha Suscripción]],"dddd")</f>
        <v>sábado</v>
      </c>
      <c r="L901" s="1">
        <f>DATEVALUE(_xlfn.CONCAT(BBDD_Usiarios_Netflix[[#This Row],[Día Último Pago]],"/",BBDD_Usiarios_Netflix[[#This Row],[Mes Último Pago]],"/",BBDD_Usiarios_Netflix[[#This Row],[Año Último Pago]]))</f>
        <v>45476</v>
      </c>
      <c r="M901" s="4">
        <f>DATEDIF(BBDD_Usiarios_Netflix[[#This Row],[Fecha Suscripción]],BBDD_Usiarios_Netflix[[#This Row],[Fecha Último Pago]],"M")+1</f>
        <v>11</v>
      </c>
      <c r="N901" s="4">
        <f>BBDD_Usiarios_Netflix[[#This Row],[Ingresos Mensuales]]*BBDD_Usiarios_Netflix[[#This Row],[Meses contratados]]</f>
        <v>110</v>
      </c>
      <c r="O901" t="s">
        <v>42</v>
      </c>
      <c r="P901" t="str">
        <f>IF(BBDD_Usiarios_Netflix[[#This Row],[País]]="","Desconocido",BBDD_Usiarios_Netflix[[#This Row],[País]])</f>
        <v>Reino Unido</v>
      </c>
      <c r="Q901">
        <v>32</v>
      </c>
      <c r="R901" t="s">
        <v>30</v>
      </c>
      <c r="S901" t="s">
        <v>26</v>
      </c>
      <c r="T901" t="s">
        <v>35</v>
      </c>
      <c r="U901">
        <f>IF(IFERROR(VLOOKUP(BBDD_Usiarios_Netflix[[#This Row],[Identificador Usuario]],A902:$A$5870,1,FALSE),0)&lt;&gt;0,1,0)</f>
        <v>0</v>
      </c>
      <c r="V901" s="6" t="str">
        <f>IF(BBDD_Usiarios_Netflix[[#This Row],[Duración Plan]]="12 Meses",LEFT(BBDD_Usiarios_Netflix[[#This Row],[Duración Plan]],2),LEFT(BBDD_Usiarios_Netflix[[#This Row],[Duración Plan]],1))</f>
        <v>6</v>
      </c>
      <c r="W9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02" spans="1:23" x14ac:dyDescent="0.25">
      <c r="A902">
        <v>901</v>
      </c>
      <c r="B902" t="s">
        <v>23</v>
      </c>
      <c r="C902">
        <v>10</v>
      </c>
      <c r="D902" s="3">
        <v>4</v>
      </c>
      <c r="E902" s="3">
        <v>9</v>
      </c>
      <c r="F902">
        <v>23</v>
      </c>
      <c r="G902" s="1">
        <f>DATEVALUE(_xlfn.CONCAT(BBDD_Usiarios_Netflix[[#This Row],[Día Suscripción]],"/",BBDD_Usiarios_Netflix[[#This Row],[Mes Suscripción]],"/",BBDD_Usiarios_Netflix[[#This Row],[Año Suscripción]]))</f>
        <v>45173</v>
      </c>
      <c r="H902" s="1">
        <v>30</v>
      </c>
      <c r="I902" s="1">
        <v>6</v>
      </c>
      <c r="J902" s="1">
        <v>24</v>
      </c>
      <c r="K902" s="1" t="str">
        <f>TEXT(BBDD_Usiarios_Netflix[[#This Row],[Fecha Suscripción]],"dddd")</f>
        <v>lunes</v>
      </c>
      <c r="L902" s="1">
        <f>DATEVALUE(_xlfn.CONCAT(BBDD_Usiarios_Netflix[[#This Row],[Día Último Pago]],"/",BBDD_Usiarios_Netflix[[#This Row],[Mes Último Pago]],"/",BBDD_Usiarios_Netflix[[#This Row],[Año Último Pago]]))</f>
        <v>45473</v>
      </c>
      <c r="M902" s="4">
        <f>DATEDIF(BBDD_Usiarios_Netflix[[#This Row],[Fecha Suscripción]],BBDD_Usiarios_Netflix[[#This Row],[Fecha Último Pago]],"M")+1</f>
        <v>10</v>
      </c>
      <c r="N902" s="4">
        <f>BBDD_Usiarios_Netflix[[#This Row],[Ingresos Mensuales]]*BBDD_Usiarios_Netflix[[#This Row],[Meses contratados]]</f>
        <v>100</v>
      </c>
      <c r="O902" t="s">
        <v>43</v>
      </c>
      <c r="P902" t="str">
        <f>IF(BBDD_Usiarios_Netflix[[#This Row],[País]]="","Desconocido",BBDD_Usiarios_Netflix[[#This Row],[País]])</f>
        <v>Alemania</v>
      </c>
      <c r="Q902">
        <v>29</v>
      </c>
      <c r="R902" t="s">
        <v>25</v>
      </c>
      <c r="S902" t="s">
        <v>26</v>
      </c>
      <c r="T902" t="s">
        <v>41</v>
      </c>
      <c r="U902">
        <f>IF(IFERROR(VLOOKUP(BBDD_Usiarios_Netflix[[#This Row],[Identificador Usuario]],A903:$A$5870,1,FALSE),0)&lt;&gt;0,1,0)</f>
        <v>0</v>
      </c>
      <c r="V902" s="6" t="str">
        <f>IF(BBDD_Usiarios_Netflix[[#This Row],[Duración Plan]]="12 Meses",LEFT(BBDD_Usiarios_Netflix[[#This Row],[Duración Plan]],2),LEFT(BBDD_Usiarios_Netflix[[#This Row],[Duración Plan]],1))</f>
        <v>12</v>
      </c>
      <c r="W9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03" spans="1:23" x14ac:dyDescent="0.25">
      <c r="A903">
        <v>902</v>
      </c>
      <c r="B903" t="s">
        <v>28</v>
      </c>
      <c r="C903">
        <v>14</v>
      </c>
      <c r="D903" s="3">
        <v>10</v>
      </c>
      <c r="E903" s="3">
        <v>9</v>
      </c>
      <c r="F903">
        <v>23</v>
      </c>
      <c r="G903" s="1">
        <f>DATEVALUE(_xlfn.CONCAT(BBDD_Usiarios_Netflix[[#This Row],[Día Suscripción]],"/",BBDD_Usiarios_Netflix[[#This Row],[Mes Suscripción]],"/",BBDD_Usiarios_Netflix[[#This Row],[Año Suscripción]]))</f>
        <v>45179</v>
      </c>
      <c r="H903" s="1">
        <v>2</v>
      </c>
      <c r="I903" s="1">
        <v>7</v>
      </c>
      <c r="J903" s="1">
        <v>24</v>
      </c>
      <c r="K903" s="1" t="str">
        <f>TEXT(BBDD_Usiarios_Netflix[[#This Row],[Fecha Suscripción]],"dddd")</f>
        <v>domingo</v>
      </c>
      <c r="L903" s="1">
        <f>DATEVALUE(_xlfn.CONCAT(BBDD_Usiarios_Netflix[[#This Row],[Día Último Pago]],"/",BBDD_Usiarios_Netflix[[#This Row],[Mes Último Pago]],"/",BBDD_Usiarios_Netflix[[#This Row],[Año Último Pago]]))</f>
        <v>45475</v>
      </c>
      <c r="M903" s="4">
        <f>DATEDIF(BBDD_Usiarios_Netflix[[#This Row],[Fecha Suscripción]],BBDD_Usiarios_Netflix[[#This Row],[Fecha Último Pago]],"M")+1</f>
        <v>10</v>
      </c>
      <c r="N903" s="4">
        <f>BBDD_Usiarios_Netflix[[#This Row],[Ingresos Mensuales]]*BBDD_Usiarios_Netflix[[#This Row],[Meses contratados]]</f>
        <v>140</v>
      </c>
      <c r="O903" t="s">
        <v>24</v>
      </c>
      <c r="P903" t="str">
        <f>IF(BBDD_Usiarios_Netflix[[#This Row],[País]]="","Desconocido",BBDD_Usiarios_Netflix[[#This Row],[País]])</f>
        <v>Australia</v>
      </c>
      <c r="Q903">
        <v>28</v>
      </c>
      <c r="R903" t="s">
        <v>25</v>
      </c>
      <c r="S903" t="s">
        <v>31</v>
      </c>
      <c r="T903" t="s">
        <v>35</v>
      </c>
      <c r="U903">
        <f>IF(IFERROR(VLOOKUP(BBDD_Usiarios_Netflix[[#This Row],[Identificador Usuario]],A904:$A$5870,1,FALSE),0)&lt;&gt;0,1,0)</f>
        <v>0</v>
      </c>
      <c r="V903" s="6" t="str">
        <f>IF(BBDD_Usiarios_Netflix[[#This Row],[Duración Plan]]="12 Meses",LEFT(BBDD_Usiarios_Netflix[[#This Row],[Duración Plan]],2),LEFT(BBDD_Usiarios_Netflix[[#This Row],[Duración Plan]],1))</f>
        <v>6</v>
      </c>
      <c r="W9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04" spans="1:23" x14ac:dyDescent="0.25">
      <c r="A904">
        <v>903</v>
      </c>
      <c r="B904" t="s">
        <v>32</v>
      </c>
      <c r="C904">
        <v>12</v>
      </c>
      <c r="D904" s="3">
        <v>25</v>
      </c>
      <c r="E904" s="3">
        <v>9</v>
      </c>
      <c r="F904">
        <v>23</v>
      </c>
      <c r="G904" s="1">
        <f>DATEVALUE(_xlfn.CONCAT(BBDD_Usiarios_Netflix[[#This Row],[Día Suscripción]],"/",BBDD_Usiarios_Netflix[[#This Row],[Mes Suscripción]],"/",BBDD_Usiarios_Netflix[[#This Row],[Año Suscripción]]))</f>
        <v>45194</v>
      </c>
      <c r="H904" s="1">
        <v>29</v>
      </c>
      <c r="I904" s="1">
        <v>6</v>
      </c>
      <c r="J904" s="1">
        <v>24</v>
      </c>
      <c r="K904" s="1" t="str">
        <f>TEXT(BBDD_Usiarios_Netflix[[#This Row],[Fecha Suscripción]],"dddd")</f>
        <v>lunes</v>
      </c>
      <c r="L904" s="1">
        <f>DATEVALUE(_xlfn.CONCAT(BBDD_Usiarios_Netflix[[#This Row],[Día Último Pago]],"/",BBDD_Usiarios_Netflix[[#This Row],[Mes Último Pago]],"/",BBDD_Usiarios_Netflix[[#This Row],[Año Último Pago]]))</f>
        <v>45472</v>
      </c>
      <c r="M904" s="4">
        <f>DATEDIF(BBDD_Usiarios_Netflix[[#This Row],[Fecha Suscripción]],BBDD_Usiarios_Netflix[[#This Row],[Fecha Último Pago]],"M")+1</f>
        <v>10</v>
      </c>
      <c r="N904" s="4">
        <f>BBDD_Usiarios_Netflix[[#This Row],[Ingresos Mensuales]]*BBDD_Usiarios_Netflix[[#This Row],[Meses contratados]]</f>
        <v>120</v>
      </c>
      <c r="O904" t="s">
        <v>29</v>
      </c>
      <c r="P904" t="str">
        <f>IF(BBDD_Usiarios_Netflix[[#This Row],[País]]="","Desconocido",BBDD_Usiarios_Netflix[[#This Row],[País]])</f>
        <v>EEUU</v>
      </c>
      <c r="Q904">
        <v>42</v>
      </c>
      <c r="R904" t="s">
        <v>25</v>
      </c>
      <c r="S904" t="s">
        <v>36</v>
      </c>
      <c r="T904" t="s">
        <v>38</v>
      </c>
      <c r="U904">
        <f>IF(IFERROR(VLOOKUP(BBDD_Usiarios_Netflix[[#This Row],[Identificador Usuario]],A905:$A$5870,1,FALSE),0)&lt;&gt;0,1,0)</f>
        <v>0</v>
      </c>
      <c r="V904" s="6" t="str">
        <f>IF(BBDD_Usiarios_Netflix[[#This Row],[Duración Plan]]="12 Meses",LEFT(BBDD_Usiarios_Netflix[[#This Row],[Duración Plan]],2),LEFT(BBDD_Usiarios_Netflix[[#This Row],[Duración Plan]],1))</f>
        <v>3</v>
      </c>
      <c r="W9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05" spans="1:23" x14ac:dyDescent="0.25">
      <c r="A905">
        <v>904</v>
      </c>
      <c r="B905" t="s">
        <v>32</v>
      </c>
      <c r="C905">
        <v>12</v>
      </c>
      <c r="D905" s="3">
        <v>27</v>
      </c>
      <c r="E905" s="3">
        <v>9</v>
      </c>
      <c r="F905">
        <v>23</v>
      </c>
      <c r="G905" s="1">
        <f>DATEVALUE(_xlfn.CONCAT(BBDD_Usiarios_Netflix[[#This Row],[Día Suscripción]],"/",BBDD_Usiarios_Netflix[[#This Row],[Mes Suscripción]],"/",BBDD_Usiarios_Netflix[[#This Row],[Año Suscripción]]))</f>
        <v>45196</v>
      </c>
      <c r="H905" s="1">
        <v>3</v>
      </c>
      <c r="I905" s="1">
        <v>7</v>
      </c>
      <c r="J905" s="1">
        <v>24</v>
      </c>
      <c r="K905" s="1" t="str">
        <f>TEXT(BBDD_Usiarios_Netflix[[#This Row],[Fecha Suscripción]],"dddd")</f>
        <v>miércoles</v>
      </c>
      <c r="L905" s="1">
        <f>DATEVALUE(_xlfn.CONCAT(BBDD_Usiarios_Netflix[[#This Row],[Día Último Pago]],"/",BBDD_Usiarios_Netflix[[#This Row],[Mes Último Pago]],"/",BBDD_Usiarios_Netflix[[#This Row],[Año Último Pago]]))</f>
        <v>45476</v>
      </c>
      <c r="M905" s="4">
        <f>DATEDIF(BBDD_Usiarios_Netflix[[#This Row],[Fecha Suscripción]],BBDD_Usiarios_Netflix[[#This Row],[Fecha Último Pago]],"M")+1</f>
        <v>10</v>
      </c>
      <c r="N905" s="4">
        <f>BBDD_Usiarios_Netflix[[#This Row],[Ingresos Mensuales]]*BBDD_Usiarios_Netflix[[#This Row],[Meses contratados]]</f>
        <v>120</v>
      </c>
      <c r="O905" t="s">
        <v>42</v>
      </c>
      <c r="P905" t="str">
        <f>IF(BBDD_Usiarios_Netflix[[#This Row],[País]]="","Desconocido",BBDD_Usiarios_Netflix[[#This Row],[País]])</f>
        <v>Reino Unido</v>
      </c>
      <c r="Q905">
        <v>37</v>
      </c>
      <c r="R905" t="s">
        <v>25</v>
      </c>
      <c r="S905" t="s">
        <v>31</v>
      </c>
      <c r="T905" t="s">
        <v>27</v>
      </c>
      <c r="U905">
        <f>IF(IFERROR(VLOOKUP(BBDD_Usiarios_Netflix[[#This Row],[Identificador Usuario]],A906:$A$5870,1,FALSE),0)&lt;&gt;0,1,0)</f>
        <v>0</v>
      </c>
      <c r="V905" s="6" t="str">
        <f>IF(BBDD_Usiarios_Netflix[[#This Row],[Duración Plan]]="12 Meses",LEFT(BBDD_Usiarios_Netflix[[#This Row],[Duración Plan]],2),LEFT(BBDD_Usiarios_Netflix[[#This Row],[Duración Plan]],1))</f>
        <v>1</v>
      </c>
      <c r="W9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06" spans="1:23" x14ac:dyDescent="0.25">
      <c r="A906">
        <v>905</v>
      </c>
      <c r="B906" t="s">
        <v>23</v>
      </c>
      <c r="C906">
        <v>10</v>
      </c>
      <c r="D906" s="3">
        <v>1</v>
      </c>
      <c r="E906" s="3">
        <v>10</v>
      </c>
      <c r="F906">
        <v>23</v>
      </c>
      <c r="G906" s="1">
        <f>DATEVALUE(_xlfn.CONCAT(BBDD_Usiarios_Netflix[[#This Row],[Día Suscripción]],"/",BBDD_Usiarios_Netflix[[#This Row],[Mes Suscripción]],"/",BBDD_Usiarios_Netflix[[#This Row],[Año Suscripción]]))</f>
        <v>45200</v>
      </c>
      <c r="H906" s="1">
        <v>30</v>
      </c>
      <c r="I906" s="1">
        <v>6</v>
      </c>
      <c r="J906" s="1">
        <v>24</v>
      </c>
      <c r="K906" s="1" t="str">
        <f>TEXT(BBDD_Usiarios_Netflix[[#This Row],[Fecha Suscripción]],"dddd")</f>
        <v>domingo</v>
      </c>
      <c r="L906" s="1">
        <f>DATEVALUE(_xlfn.CONCAT(BBDD_Usiarios_Netflix[[#This Row],[Día Último Pago]],"/",BBDD_Usiarios_Netflix[[#This Row],[Mes Último Pago]],"/",BBDD_Usiarios_Netflix[[#This Row],[Año Último Pago]]))</f>
        <v>45473</v>
      </c>
      <c r="M906" s="4">
        <f>DATEDIF(BBDD_Usiarios_Netflix[[#This Row],[Fecha Suscripción]],BBDD_Usiarios_Netflix[[#This Row],[Fecha Último Pago]],"M")+1</f>
        <v>9</v>
      </c>
      <c r="N906" s="4">
        <f>BBDD_Usiarios_Netflix[[#This Row],[Ingresos Mensuales]]*BBDD_Usiarios_Netflix[[#This Row],[Meses contratados]]</f>
        <v>90</v>
      </c>
      <c r="O906" t="s">
        <v>40</v>
      </c>
      <c r="P906" t="str">
        <f>IF(BBDD_Usiarios_Netflix[[#This Row],[País]]="","Desconocido",BBDD_Usiarios_Netflix[[#This Row],[País]])</f>
        <v>Italia</v>
      </c>
      <c r="Q906">
        <v>38</v>
      </c>
      <c r="R906" t="s">
        <v>30</v>
      </c>
      <c r="S906" t="s">
        <v>36</v>
      </c>
      <c r="T906" t="s">
        <v>27</v>
      </c>
      <c r="U906">
        <f>IF(IFERROR(VLOOKUP(BBDD_Usiarios_Netflix[[#This Row],[Identificador Usuario]],A907:$A$5870,1,FALSE),0)&lt;&gt;0,1,0)</f>
        <v>0</v>
      </c>
      <c r="V906" s="6" t="str">
        <f>IF(BBDD_Usiarios_Netflix[[#This Row],[Duración Plan]]="12 Meses",LEFT(BBDD_Usiarios_Netflix[[#This Row],[Duración Plan]],2),LEFT(BBDD_Usiarios_Netflix[[#This Row],[Duración Plan]],1))</f>
        <v>1</v>
      </c>
      <c r="W9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07" spans="1:23" x14ac:dyDescent="0.25">
      <c r="A907">
        <v>906</v>
      </c>
      <c r="B907" t="s">
        <v>28</v>
      </c>
      <c r="C907">
        <v>14</v>
      </c>
      <c r="D907" s="3">
        <v>6</v>
      </c>
      <c r="E907" s="3">
        <v>10</v>
      </c>
      <c r="F907">
        <v>23</v>
      </c>
      <c r="G907" s="1">
        <f>DATEVALUE(_xlfn.CONCAT(BBDD_Usiarios_Netflix[[#This Row],[Día Suscripción]],"/",BBDD_Usiarios_Netflix[[#This Row],[Mes Suscripción]],"/",BBDD_Usiarios_Netflix[[#This Row],[Año Suscripción]]))</f>
        <v>45205</v>
      </c>
      <c r="H907" s="1">
        <v>2</v>
      </c>
      <c r="I907" s="1">
        <v>7</v>
      </c>
      <c r="J907" s="1">
        <v>24</v>
      </c>
      <c r="K907" s="1" t="str">
        <f>TEXT(BBDD_Usiarios_Netflix[[#This Row],[Fecha Suscripción]],"dddd")</f>
        <v>viernes</v>
      </c>
      <c r="L907" s="1">
        <f>DATEVALUE(_xlfn.CONCAT(BBDD_Usiarios_Netflix[[#This Row],[Día Último Pago]],"/",BBDD_Usiarios_Netflix[[#This Row],[Mes Último Pago]],"/",BBDD_Usiarios_Netflix[[#This Row],[Año Último Pago]]))</f>
        <v>45475</v>
      </c>
      <c r="M907" s="4">
        <f>DATEDIF(BBDD_Usiarios_Netflix[[#This Row],[Fecha Suscripción]],BBDD_Usiarios_Netflix[[#This Row],[Fecha Último Pago]],"M")+1</f>
        <v>9</v>
      </c>
      <c r="N907" s="4">
        <f>BBDD_Usiarios_Netflix[[#This Row],[Ingresos Mensuales]]*BBDD_Usiarios_Netflix[[#This Row],[Meses contratados]]</f>
        <v>126</v>
      </c>
      <c r="O907" t="s">
        <v>42</v>
      </c>
      <c r="P907" t="str">
        <f>IF(BBDD_Usiarios_Netflix[[#This Row],[País]]="","Desconocido",BBDD_Usiarios_Netflix[[#This Row],[País]])</f>
        <v>Reino Unido</v>
      </c>
      <c r="Q907">
        <v>32</v>
      </c>
      <c r="R907" t="s">
        <v>25</v>
      </c>
      <c r="S907" t="s">
        <v>34</v>
      </c>
      <c r="T907" t="s">
        <v>27</v>
      </c>
      <c r="U907">
        <f>IF(IFERROR(VLOOKUP(BBDD_Usiarios_Netflix[[#This Row],[Identificador Usuario]],A908:$A$5870,1,FALSE),0)&lt;&gt;0,1,0)</f>
        <v>0</v>
      </c>
      <c r="V907" s="6" t="str">
        <f>IF(BBDD_Usiarios_Netflix[[#This Row],[Duración Plan]]="12 Meses",LEFT(BBDD_Usiarios_Netflix[[#This Row],[Duración Plan]],2),LEFT(BBDD_Usiarios_Netflix[[#This Row],[Duración Plan]],1))</f>
        <v>1</v>
      </c>
      <c r="W9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08" spans="1:23" x14ac:dyDescent="0.25">
      <c r="A908">
        <v>907</v>
      </c>
      <c r="B908" t="s">
        <v>32</v>
      </c>
      <c r="C908">
        <v>12</v>
      </c>
      <c r="D908" s="3">
        <v>7</v>
      </c>
      <c r="E908" s="3">
        <v>10</v>
      </c>
      <c r="F908">
        <v>23</v>
      </c>
      <c r="G908" s="1">
        <f>DATEVALUE(_xlfn.CONCAT(BBDD_Usiarios_Netflix[[#This Row],[Día Suscripción]],"/",BBDD_Usiarios_Netflix[[#This Row],[Mes Suscripción]],"/",BBDD_Usiarios_Netflix[[#This Row],[Año Suscripción]]))</f>
        <v>45206</v>
      </c>
      <c r="H908" s="1">
        <v>30</v>
      </c>
      <c r="I908" s="1">
        <v>6</v>
      </c>
      <c r="J908" s="1">
        <v>24</v>
      </c>
      <c r="K908" s="1" t="str">
        <f>TEXT(BBDD_Usiarios_Netflix[[#This Row],[Fecha Suscripción]],"dddd")</f>
        <v>sábado</v>
      </c>
      <c r="L908" s="1">
        <f>DATEVALUE(_xlfn.CONCAT(BBDD_Usiarios_Netflix[[#This Row],[Día Último Pago]],"/",BBDD_Usiarios_Netflix[[#This Row],[Mes Último Pago]],"/",BBDD_Usiarios_Netflix[[#This Row],[Año Último Pago]]))</f>
        <v>45473</v>
      </c>
      <c r="M908" s="4">
        <f>DATEDIF(BBDD_Usiarios_Netflix[[#This Row],[Fecha Suscripción]],BBDD_Usiarios_Netflix[[#This Row],[Fecha Último Pago]],"M")+1</f>
        <v>9</v>
      </c>
      <c r="N908" s="4">
        <f>BBDD_Usiarios_Netflix[[#This Row],[Ingresos Mensuales]]*BBDD_Usiarios_Netflix[[#This Row],[Meses contratados]]</f>
        <v>108</v>
      </c>
      <c r="O908" t="s">
        <v>24</v>
      </c>
      <c r="P908" t="str">
        <f>IF(BBDD_Usiarios_Netflix[[#This Row],[País]]="","Desconocido",BBDD_Usiarios_Netflix[[#This Row],[País]])</f>
        <v>Australia</v>
      </c>
      <c r="Q908">
        <v>48</v>
      </c>
      <c r="R908" t="s">
        <v>25</v>
      </c>
      <c r="S908" t="s">
        <v>36</v>
      </c>
      <c r="T908" t="s">
        <v>35</v>
      </c>
      <c r="U908">
        <f>IF(IFERROR(VLOOKUP(BBDD_Usiarios_Netflix[[#This Row],[Identificador Usuario]],A909:$A$5870,1,FALSE),0)&lt;&gt;0,1,0)</f>
        <v>0</v>
      </c>
      <c r="V908" s="6" t="str">
        <f>IF(BBDD_Usiarios_Netflix[[#This Row],[Duración Plan]]="12 Meses",LEFT(BBDD_Usiarios_Netflix[[#This Row],[Duración Plan]],2),LEFT(BBDD_Usiarios_Netflix[[#This Row],[Duración Plan]],1))</f>
        <v>6</v>
      </c>
      <c r="W9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09" spans="1:23" x14ac:dyDescent="0.25">
      <c r="A909">
        <v>908</v>
      </c>
      <c r="B909" t="s">
        <v>23</v>
      </c>
      <c r="C909">
        <v>10</v>
      </c>
      <c r="D909" s="3">
        <v>8</v>
      </c>
      <c r="E909" s="3">
        <v>10</v>
      </c>
      <c r="F909">
        <v>23</v>
      </c>
      <c r="G909" s="1">
        <f>DATEVALUE(_xlfn.CONCAT(BBDD_Usiarios_Netflix[[#This Row],[Día Suscripción]],"/",BBDD_Usiarios_Netflix[[#This Row],[Mes Suscripción]],"/",BBDD_Usiarios_Netflix[[#This Row],[Año Suscripción]]))</f>
        <v>45207</v>
      </c>
      <c r="H909" s="1">
        <v>3</v>
      </c>
      <c r="I909" s="1">
        <v>7</v>
      </c>
      <c r="J909" s="1">
        <v>24</v>
      </c>
      <c r="K909" s="1" t="str">
        <f>TEXT(BBDD_Usiarios_Netflix[[#This Row],[Fecha Suscripción]],"dddd")</f>
        <v>domingo</v>
      </c>
      <c r="L909" s="1">
        <f>DATEVALUE(_xlfn.CONCAT(BBDD_Usiarios_Netflix[[#This Row],[Día Último Pago]],"/",BBDD_Usiarios_Netflix[[#This Row],[Mes Último Pago]],"/",BBDD_Usiarios_Netflix[[#This Row],[Año Último Pago]]))</f>
        <v>45476</v>
      </c>
      <c r="M909" s="4">
        <f>DATEDIF(BBDD_Usiarios_Netflix[[#This Row],[Fecha Suscripción]],BBDD_Usiarios_Netflix[[#This Row],[Fecha Último Pago]],"M")+1</f>
        <v>9</v>
      </c>
      <c r="N909" s="4">
        <f>BBDD_Usiarios_Netflix[[#This Row],[Ingresos Mensuales]]*BBDD_Usiarios_Netflix[[#This Row],[Meses contratados]]</f>
        <v>90</v>
      </c>
      <c r="O909" t="s">
        <v>42</v>
      </c>
      <c r="P909" t="str">
        <f>IF(BBDD_Usiarios_Netflix[[#This Row],[País]]="","Desconocido",BBDD_Usiarios_Netflix[[#This Row],[País]])</f>
        <v>Reino Unido</v>
      </c>
      <c r="Q909">
        <v>46</v>
      </c>
      <c r="R909" t="s">
        <v>30</v>
      </c>
      <c r="S909" t="s">
        <v>34</v>
      </c>
      <c r="T909" t="s">
        <v>27</v>
      </c>
      <c r="U909">
        <f>IF(IFERROR(VLOOKUP(BBDD_Usiarios_Netflix[[#This Row],[Identificador Usuario]],A910:$A$5870,1,FALSE),0)&lt;&gt;0,1,0)</f>
        <v>0</v>
      </c>
      <c r="V909" s="6" t="str">
        <f>IF(BBDD_Usiarios_Netflix[[#This Row],[Duración Plan]]="12 Meses",LEFT(BBDD_Usiarios_Netflix[[#This Row],[Duración Plan]],2),LEFT(BBDD_Usiarios_Netflix[[#This Row],[Duración Plan]],1))</f>
        <v>1</v>
      </c>
      <c r="W9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10" spans="1:23" x14ac:dyDescent="0.25">
      <c r="A910">
        <v>909</v>
      </c>
      <c r="B910" t="s">
        <v>32</v>
      </c>
      <c r="C910">
        <v>12</v>
      </c>
      <c r="D910" s="3">
        <v>8</v>
      </c>
      <c r="E910" s="3">
        <v>10</v>
      </c>
      <c r="F910">
        <v>23</v>
      </c>
      <c r="G910" s="1">
        <f>DATEVALUE(_xlfn.CONCAT(BBDD_Usiarios_Netflix[[#This Row],[Día Suscripción]],"/",BBDD_Usiarios_Netflix[[#This Row],[Mes Suscripción]],"/",BBDD_Usiarios_Netflix[[#This Row],[Año Suscripción]]))</f>
        <v>45207</v>
      </c>
      <c r="H910" s="1">
        <v>1</v>
      </c>
      <c r="I910" s="1">
        <v>7</v>
      </c>
      <c r="J910" s="1">
        <v>24</v>
      </c>
      <c r="K910" s="1" t="str">
        <f>TEXT(BBDD_Usiarios_Netflix[[#This Row],[Fecha Suscripción]],"dddd")</f>
        <v>domingo</v>
      </c>
      <c r="L910" s="1">
        <f>DATEVALUE(_xlfn.CONCAT(BBDD_Usiarios_Netflix[[#This Row],[Día Último Pago]],"/",BBDD_Usiarios_Netflix[[#This Row],[Mes Último Pago]],"/",BBDD_Usiarios_Netflix[[#This Row],[Año Último Pago]]))</f>
        <v>45474</v>
      </c>
      <c r="M910" s="4">
        <f>DATEDIF(BBDD_Usiarios_Netflix[[#This Row],[Fecha Suscripción]],BBDD_Usiarios_Netflix[[#This Row],[Fecha Último Pago]],"M")+1</f>
        <v>9</v>
      </c>
      <c r="N910" s="4">
        <f>BBDD_Usiarios_Netflix[[#This Row],[Ingresos Mensuales]]*BBDD_Usiarios_Netflix[[#This Row],[Meses contratados]]</f>
        <v>108</v>
      </c>
      <c r="O910" t="s">
        <v>42</v>
      </c>
      <c r="P910" t="str">
        <f>IF(BBDD_Usiarios_Netflix[[#This Row],[País]]="","Desconocido",BBDD_Usiarios_Netflix[[#This Row],[País]])</f>
        <v>Reino Unido</v>
      </c>
      <c r="Q910">
        <v>30</v>
      </c>
      <c r="R910" t="s">
        <v>25</v>
      </c>
      <c r="S910" t="s">
        <v>31</v>
      </c>
      <c r="T910" t="s">
        <v>27</v>
      </c>
      <c r="U910">
        <f>IF(IFERROR(VLOOKUP(BBDD_Usiarios_Netflix[[#This Row],[Identificador Usuario]],A911:$A$5870,1,FALSE),0)&lt;&gt;0,1,0)</f>
        <v>0</v>
      </c>
      <c r="V910" s="6" t="str">
        <f>IF(BBDD_Usiarios_Netflix[[#This Row],[Duración Plan]]="12 Meses",LEFT(BBDD_Usiarios_Netflix[[#This Row],[Duración Plan]],2),LEFT(BBDD_Usiarios_Netflix[[#This Row],[Duración Plan]],1))</f>
        <v>1</v>
      </c>
      <c r="W9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11" spans="1:23" x14ac:dyDescent="0.25">
      <c r="A911">
        <v>910</v>
      </c>
      <c r="B911" t="s">
        <v>28</v>
      </c>
      <c r="C911">
        <v>14</v>
      </c>
      <c r="D911" s="3">
        <v>8</v>
      </c>
      <c r="E911" s="3">
        <v>10</v>
      </c>
      <c r="F911">
        <v>23</v>
      </c>
      <c r="G911" s="1">
        <f>DATEVALUE(_xlfn.CONCAT(BBDD_Usiarios_Netflix[[#This Row],[Día Suscripción]],"/",BBDD_Usiarios_Netflix[[#This Row],[Mes Suscripción]],"/",BBDD_Usiarios_Netflix[[#This Row],[Año Suscripción]]))</f>
        <v>45207</v>
      </c>
      <c r="H911" s="1">
        <v>3</v>
      </c>
      <c r="I911" s="1">
        <v>7</v>
      </c>
      <c r="J911" s="1">
        <v>24</v>
      </c>
      <c r="K911" s="1" t="str">
        <f>TEXT(BBDD_Usiarios_Netflix[[#This Row],[Fecha Suscripción]],"dddd")</f>
        <v>domingo</v>
      </c>
      <c r="L911" s="1">
        <f>DATEVALUE(_xlfn.CONCAT(BBDD_Usiarios_Netflix[[#This Row],[Día Último Pago]],"/",BBDD_Usiarios_Netflix[[#This Row],[Mes Último Pago]],"/",BBDD_Usiarios_Netflix[[#This Row],[Año Último Pago]]))</f>
        <v>45476</v>
      </c>
      <c r="M911" s="4">
        <f>DATEDIF(BBDD_Usiarios_Netflix[[#This Row],[Fecha Suscripción]],BBDD_Usiarios_Netflix[[#This Row],[Fecha Último Pago]],"M")+1</f>
        <v>9</v>
      </c>
      <c r="N911" s="4">
        <f>BBDD_Usiarios_Netflix[[#This Row],[Ingresos Mensuales]]*BBDD_Usiarios_Netflix[[#This Row],[Meses contratados]]</f>
        <v>126</v>
      </c>
      <c r="O911" t="s">
        <v>24</v>
      </c>
      <c r="P911" t="str">
        <f>IF(BBDD_Usiarios_Netflix[[#This Row],[País]]="","Desconocido",BBDD_Usiarios_Netflix[[#This Row],[País]])</f>
        <v>Australia</v>
      </c>
      <c r="Q911">
        <v>40</v>
      </c>
      <c r="R911" t="s">
        <v>30</v>
      </c>
      <c r="S911" t="s">
        <v>34</v>
      </c>
      <c r="T911" t="s">
        <v>35</v>
      </c>
      <c r="U911">
        <f>IF(IFERROR(VLOOKUP(BBDD_Usiarios_Netflix[[#This Row],[Identificador Usuario]],A912:$A$5870,1,FALSE),0)&lt;&gt;0,1,0)</f>
        <v>0</v>
      </c>
      <c r="V911" s="6" t="str">
        <f>IF(BBDD_Usiarios_Netflix[[#This Row],[Duración Plan]]="12 Meses",LEFT(BBDD_Usiarios_Netflix[[#This Row],[Duración Plan]],2),LEFT(BBDD_Usiarios_Netflix[[#This Row],[Duración Plan]],1))</f>
        <v>6</v>
      </c>
      <c r="W9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12" spans="1:23" x14ac:dyDescent="0.25">
      <c r="A912">
        <v>911</v>
      </c>
      <c r="B912" t="s">
        <v>23</v>
      </c>
      <c r="C912">
        <v>10</v>
      </c>
      <c r="D912" s="3">
        <v>8</v>
      </c>
      <c r="E912" s="3">
        <v>10</v>
      </c>
      <c r="F912">
        <v>23</v>
      </c>
      <c r="G912" s="1">
        <f>DATEVALUE(_xlfn.CONCAT(BBDD_Usiarios_Netflix[[#This Row],[Día Suscripción]],"/",BBDD_Usiarios_Netflix[[#This Row],[Mes Suscripción]],"/",BBDD_Usiarios_Netflix[[#This Row],[Año Suscripción]]))</f>
        <v>45207</v>
      </c>
      <c r="H912" s="1">
        <v>29</v>
      </c>
      <c r="I912" s="1">
        <v>6</v>
      </c>
      <c r="J912" s="1">
        <v>24</v>
      </c>
      <c r="K912" s="1" t="str">
        <f>TEXT(BBDD_Usiarios_Netflix[[#This Row],[Fecha Suscripción]],"dddd")</f>
        <v>domingo</v>
      </c>
      <c r="L912" s="1">
        <f>DATEVALUE(_xlfn.CONCAT(BBDD_Usiarios_Netflix[[#This Row],[Día Último Pago]],"/",BBDD_Usiarios_Netflix[[#This Row],[Mes Último Pago]],"/",BBDD_Usiarios_Netflix[[#This Row],[Año Último Pago]]))</f>
        <v>45472</v>
      </c>
      <c r="M912" s="4">
        <f>DATEDIF(BBDD_Usiarios_Netflix[[#This Row],[Fecha Suscripción]],BBDD_Usiarios_Netflix[[#This Row],[Fecha Último Pago]],"M")+1</f>
        <v>9</v>
      </c>
      <c r="N912" s="4">
        <f>BBDD_Usiarios_Netflix[[#This Row],[Ingresos Mensuales]]*BBDD_Usiarios_Netflix[[#This Row],[Meses contratados]]</f>
        <v>90</v>
      </c>
      <c r="O912" t="s">
        <v>42</v>
      </c>
      <c r="P912" t="str">
        <f>IF(BBDD_Usiarios_Netflix[[#This Row],[País]]="","Desconocido",BBDD_Usiarios_Netflix[[#This Row],[País]])</f>
        <v>Reino Unido</v>
      </c>
      <c r="Q912">
        <v>29</v>
      </c>
      <c r="R912" t="s">
        <v>25</v>
      </c>
      <c r="S912" t="s">
        <v>34</v>
      </c>
      <c r="T912" t="s">
        <v>35</v>
      </c>
      <c r="U912">
        <f>IF(IFERROR(VLOOKUP(BBDD_Usiarios_Netflix[[#This Row],[Identificador Usuario]],A913:$A$5870,1,FALSE),0)&lt;&gt;0,1,0)</f>
        <v>0</v>
      </c>
      <c r="V912" s="6" t="str">
        <f>IF(BBDD_Usiarios_Netflix[[#This Row],[Duración Plan]]="12 Meses",LEFT(BBDD_Usiarios_Netflix[[#This Row],[Duración Plan]],2),LEFT(BBDD_Usiarios_Netflix[[#This Row],[Duración Plan]],1))</f>
        <v>6</v>
      </c>
      <c r="W9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13" spans="1:23" x14ac:dyDescent="0.25">
      <c r="A913">
        <v>912</v>
      </c>
      <c r="B913" t="s">
        <v>28</v>
      </c>
      <c r="C913">
        <v>14</v>
      </c>
      <c r="D913" s="3">
        <v>8</v>
      </c>
      <c r="E913" s="3">
        <v>10</v>
      </c>
      <c r="F913">
        <v>23</v>
      </c>
      <c r="G913" s="1">
        <f>DATEVALUE(_xlfn.CONCAT(BBDD_Usiarios_Netflix[[#This Row],[Día Suscripción]],"/",BBDD_Usiarios_Netflix[[#This Row],[Mes Suscripción]],"/",BBDD_Usiarios_Netflix[[#This Row],[Año Suscripción]]))</f>
        <v>45207</v>
      </c>
      <c r="H913" s="1">
        <v>2</v>
      </c>
      <c r="I913" s="1">
        <v>7</v>
      </c>
      <c r="J913" s="1">
        <v>24</v>
      </c>
      <c r="K913" s="1" t="str">
        <f>TEXT(BBDD_Usiarios_Netflix[[#This Row],[Fecha Suscripción]],"dddd")</f>
        <v>domingo</v>
      </c>
      <c r="L913" s="1">
        <f>DATEVALUE(_xlfn.CONCAT(BBDD_Usiarios_Netflix[[#This Row],[Día Último Pago]],"/",BBDD_Usiarios_Netflix[[#This Row],[Mes Último Pago]],"/",BBDD_Usiarios_Netflix[[#This Row],[Año Último Pago]]))</f>
        <v>45475</v>
      </c>
      <c r="M913" s="4">
        <f>DATEDIF(BBDD_Usiarios_Netflix[[#This Row],[Fecha Suscripción]],BBDD_Usiarios_Netflix[[#This Row],[Fecha Último Pago]],"M")+1</f>
        <v>9</v>
      </c>
      <c r="N913" s="4">
        <f>BBDD_Usiarios_Netflix[[#This Row],[Ingresos Mensuales]]*BBDD_Usiarios_Netflix[[#This Row],[Meses contratados]]</f>
        <v>126</v>
      </c>
      <c r="O913" t="s">
        <v>33</v>
      </c>
      <c r="P913" t="str">
        <f>IF(BBDD_Usiarios_Netflix[[#This Row],[País]]="","Desconocido",BBDD_Usiarios_Netflix[[#This Row],[País]])</f>
        <v>Francia</v>
      </c>
      <c r="Q913">
        <v>41</v>
      </c>
      <c r="R913" t="s">
        <v>25</v>
      </c>
      <c r="S913" t="s">
        <v>31</v>
      </c>
      <c r="T913" t="s">
        <v>27</v>
      </c>
      <c r="U913">
        <f>IF(IFERROR(VLOOKUP(BBDD_Usiarios_Netflix[[#This Row],[Identificador Usuario]],A914:$A$5870,1,FALSE),0)&lt;&gt;0,1,0)</f>
        <v>0</v>
      </c>
      <c r="V913" s="6" t="str">
        <f>IF(BBDD_Usiarios_Netflix[[#This Row],[Duración Plan]]="12 Meses",LEFT(BBDD_Usiarios_Netflix[[#This Row],[Duración Plan]],2),LEFT(BBDD_Usiarios_Netflix[[#This Row],[Duración Plan]],1))</f>
        <v>1</v>
      </c>
      <c r="W9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14" spans="1:23" x14ac:dyDescent="0.25">
      <c r="A914">
        <v>913</v>
      </c>
      <c r="B914" t="s">
        <v>32</v>
      </c>
      <c r="C914">
        <v>12</v>
      </c>
      <c r="D914" s="3">
        <v>10</v>
      </c>
      <c r="E914" s="3">
        <v>10</v>
      </c>
      <c r="F914">
        <v>23</v>
      </c>
      <c r="G914" s="1">
        <f>DATEVALUE(_xlfn.CONCAT(BBDD_Usiarios_Netflix[[#This Row],[Día Suscripción]],"/",BBDD_Usiarios_Netflix[[#This Row],[Mes Suscripción]],"/",BBDD_Usiarios_Netflix[[#This Row],[Año Suscripción]]))</f>
        <v>45209</v>
      </c>
      <c r="H914" s="1">
        <v>1</v>
      </c>
      <c r="I914" s="1">
        <v>7</v>
      </c>
      <c r="J914" s="1">
        <v>24</v>
      </c>
      <c r="K914" s="1" t="str">
        <f>TEXT(BBDD_Usiarios_Netflix[[#This Row],[Fecha Suscripción]],"dddd")</f>
        <v>martes</v>
      </c>
      <c r="L914" s="1">
        <f>DATEVALUE(_xlfn.CONCAT(BBDD_Usiarios_Netflix[[#This Row],[Día Último Pago]],"/",BBDD_Usiarios_Netflix[[#This Row],[Mes Último Pago]],"/",BBDD_Usiarios_Netflix[[#This Row],[Año Último Pago]]))</f>
        <v>45474</v>
      </c>
      <c r="M914" s="4">
        <f>DATEDIF(BBDD_Usiarios_Netflix[[#This Row],[Fecha Suscripción]],BBDD_Usiarios_Netflix[[#This Row],[Fecha Último Pago]],"M")+1</f>
        <v>9</v>
      </c>
      <c r="N914" s="4">
        <f>BBDD_Usiarios_Netflix[[#This Row],[Ingresos Mensuales]]*BBDD_Usiarios_Netflix[[#This Row],[Meses contratados]]</f>
        <v>108</v>
      </c>
      <c r="O914" t="s">
        <v>33</v>
      </c>
      <c r="P914" t="str">
        <f>IF(BBDD_Usiarios_Netflix[[#This Row],[País]]="","Desconocido",BBDD_Usiarios_Netflix[[#This Row],[País]])</f>
        <v>Francia</v>
      </c>
      <c r="Q914">
        <v>32</v>
      </c>
      <c r="R914" t="s">
        <v>25</v>
      </c>
      <c r="S914" t="s">
        <v>36</v>
      </c>
      <c r="T914" t="s">
        <v>38</v>
      </c>
      <c r="U914">
        <f>IF(IFERROR(VLOOKUP(BBDD_Usiarios_Netflix[[#This Row],[Identificador Usuario]],A915:$A$5870,1,FALSE),0)&lt;&gt;0,1,0)</f>
        <v>0</v>
      </c>
      <c r="V914" s="6" t="str">
        <f>IF(BBDD_Usiarios_Netflix[[#This Row],[Duración Plan]]="12 Meses",LEFT(BBDD_Usiarios_Netflix[[#This Row],[Duración Plan]],2),LEFT(BBDD_Usiarios_Netflix[[#This Row],[Duración Plan]],1))</f>
        <v>3</v>
      </c>
      <c r="W9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15" spans="1:23" x14ac:dyDescent="0.25">
      <c r="A915">
        <v>914</v>
      </c>
      <c r="B915" t="s">
        <v>23</v>
      </c>
      <c r="C915">
        <v>10</v>
      </c>
      <c r="D915" s="3">
        <v>19</v>
      </c>
      <c r="E915" s="3">
        <v>10</v>
      </c>
      <c r="F915">
        <v>23</v>
      </c>
      <c r="G915" s="1">
        <f>DATEVALUE(_xlfn.CONCAT(BBDD_Usiarios_Netflix[[#This Row],[Día Suscripción]],"/",BBDD_Usiarios_Netflix[[#This Row],[Mes Suscripción]],"/",BBDD_Usiarios_Netflix[[#This Row],[Año Suscripción]]))</f>
        <v>45218</v>
      </c>
      <c r="H915" s="1">
        <v>2</v>
      </c>
      <c r="I915" s="1">
        <v>7</v>
      </c>
      <c r="J915" s="1">
        <v>24</v>
      </c>
      <c r="K915" s="1" t="str">
        <f>TEXT(BBDD_Usiarios_Netflix[[#This Row],[Fecha Suscripción]],"dddd")</f>
        <v>jueves</v>
      </c>
      <c r="L915" s="1">
        <f>DATEVALUE(_xlfn.CONCAT(BBDD_Usiarios_Netflix[[#This Row],[Día Último Pago]],"/",BBDD_Usiarios_Netflix[[#This Row],[Mes Último Pago]],"/",BBDD_Usiarios_Netflix[[#This Row],[Año Último Pago]]))</f>
        <v>45475</v>
      </c>
      <c r="M915" s="4">
        <f>DATEDIF(BBDD_Usiarios_Netflix[[#This Row],[Fecha Suscripción]],BBDD_Usiarios_Netflix[[#This Row],[Fecha Último Pago]],"M")+1</f>
        <v>9</v>
      </c>
      <c r="N915" s="4">
        <f>BBDD_Usiarios_Netflix[[#This Row],[Ingresos Mensuales]]*BBDD_Usiarios_Netflix[[#This Row],[Meses contratados]]</f>
        <v>90</v>
      </c>
      <c r="O915" t="s">
        <v>24</v>
      </c>
      <c r="P915" t="str">
        <f>IF(BBDD_Usiarios_Netflix[[#This Row],[País]]="","Desconocido",BBDD_Usiarios_Netflix[[#This Row],[País]])</f>
        <v>Australia</v>
      </c>
      <c r="Q915">
        <v>44</v>
      </c>
      <c r="R915" t="s">
        <v>30</v>
      </c>
      <c r="S915" t="s">
        <v>34</v>
      </c>
      <c r="T915" t="s">
        <v>27</v>
      </c>
      <c r="U915">
        <f>IF(IFERROR(VLOOKUP(BBDD_Usiarios_Netflix[[#This Row],[Identificador Usuario]],A916:$A$5870,1,FALSE),0)&lt;&gt;0,1,0)</f>
        <v>0</v>
      </c>
      <c r="V915" s="6" t="str">
        <f>IF(BBDD_Usiarios_Netflix[[#This Row],[Duración Plan]]="12 Meses",LEFT(BBDD_Usiarios_Netflix[[#This Row],[Duración Plan]],2),LEFT(BBDD_Usiarios_Netflix[[#This Row],[Duración Plan]],1))</f>
        <v>1</v>
      </c>
      <c r="W9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16" spans="1:23" x14ac:dyDescent="0.25">
      <c r="A916">
        <v>915</v>
      </c>
      <c r="B916" t="s">
        <v>32</v>
      </c>
      <c r="C916">
        <v>12</v>
      </c>
      <c r="D916" s="3">
        <v>20</v>
      </c>
      <c r="E916" s="3">
        <v>10</v>
      </c>
      <c r="F916">
        <v>23</v>
      </c>
      <c r="G916" s="1">
        <f>DATEVALUE(_xlfn.CONCAT(BBDD_Usiarios_Netflix[[#This Row],[Día Suscripción]],"/",BBDD_Usiarios_Netflix[[#This Row],[Mes Suscripción]],"/",BBDD_Usiarios_Netflix[[#This Row],[Año Suscripción]]))</f>
        <v>45219</v>
      </c>
      <c r="H916" s="1">
        <v>29</v>
      </c>
      <c r="I916" s="1">
        <v>6</v>
      </c>
      <c r="J916" s="1">
        <v>24</v>
      </c>
      <c r="K916" s="1" t="str">
        <f>TEXT(BBDD_Usiarios_Netflix[[#This Row],[Fecha Suscripción]],"dddd")</f>
        <v>viernes</v>
      </c>
      <c r="L916" s="1">
        <f>DATEVALUE(_xlfn.CONCAT(BBDD_Usiarios_Netflix[[#This Row],[Día Último Pago]],"/",BBDD_Usiarios_Netflix[[#This Row],[Mes Último Pago]],"/",BBDD_Usiarios_Netflix[[#This Row],[Año Último Pago]]))</f>
        <v>45472</v>
      </c>
      <c r="M916" s="4">
        <f>DATEDIF(BBDD_Usiarios_Netflix[[#This Row],[Fecha Suscripción]],BBDD_Usiarios_Netflix[[#This Row],[Fecha Último Pago]],"M")+1</f>
        <v>9</v>
      </c>
      <c r="N916" s="4">
        <f>BBDD_Usiarios_Netflix[[#This Row],[Ingresos Mensuales]]*BBDD_Usiarios_Netflix[[#This Row],[Meses contratados]]</f>
        <v>108</v>
      </c>
      <c r="O916" t="s">
        <v>29</v>
      </c>
      <c r="P916" t="str">
        <f>IF(BBDD_Usiarios_Netflix[[#This Row],[País]]="","Desconocido",BBDD_Usiarios_Netflix[[#This Row],[País]])</f>
        <v>EEUU</v>
      </c>
      <c r="Q916">
        <v>41</v>
      </c>
      <c r="R916" t="s">
        <v>25</v>
      </c>
      <c r="S916" t="s">
        <v>36</v>
      </c>
      <c r="T916" t="s">
        <v>35</v>
      </c>
      <c r="U916">
        <f>IF(IFERROR(VLOOKUP(BBDD_Usiarios_Netflix[[#This Row],[Identificador Usuario]],A917:$A$5870,1,FALSE),0)&lt;&gt;0,1,0)</f>
        <v>0</v>
      </c>
      <c r="V916" s="6" t="str">
        <f>IF(BBDD_Usiarios_Netflix[[#This Row],[Duración Plan]]="12 Meses",LEFT(BBDD_Usiarios_Netflix[[#This Row],[Duración Plan]],2),LEFT(BBDD_Usiarios_Netflix[[#This Row],[Duración Plan]],1))</f>
        <v>6</v>
      </c>
      <c r="W9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17" spans="1:23" x14ac:dyDescent="0.25">
      <c r="A917">
        <v>916</v>
      </c>
      <c r="B917" t="s">
        <v>28</v>
      </c>
      <c r="C917">
        <v>14</v>
      </c>
      <c r="D917" s="3">
        <v>26</v>
      </c>
      <c r="E917" s="3">
        <v>10</v>
      </c>
      <c r="F917">
        <v>23</v>
      </c>
      <c r="G917" s="1">
        <f>DATEVALUE(_xlfn.CONCAT(BBDD_Usiarios_Netflix[[#This Row],[Día Suscripción]],"/",BBDD_Usiarios_Netflix[[#This Row],[Mes Suscripción]],"/",BBDD_Usiarios_Netflix[[#This Row],[Año Suscripción]]))</f>
        <v>45225</v>
      </c>
      <c r="H917" s="1">
        <v>1</v>
      </c>
      <c r="I917" s="1">
        <v>7</v>
      </c>
      <c r="J917" s="1">
        <v>24</v>
      </c>
      <c r="K917" s="1" t="str">
        <f>TEXT(BBDD_Usiarios_Netflix[[#This Row],[Fecha Suscripción]],"dddd")</f>
        <v>jueves</v>
      </c>
      <c r="L917" s="1">
        <f>DATEVALUE(_xlfn.CONCAT(BBDD_Usiarios_Netflix[[#This Row],[Día Último Pago]],"/",BBDD_Usiarios_Netflix[[#This Row],[Mes Último Pago]],"/",BBDD_Usiarios_Netflix[[#This Row],[Año Último Pago]]))</f>
        <v>45474</v>
      </c>
      <c r="M917" s="4">
        <f>DATEDIF(BBDD_Usiarios_Netflix[[#This Row],[Fecha Suscripción]],BBDD_Usiarios_Netflix[[#This Row],[Fecha Último Pago]],"M")+1</f>
        <v>9</v>
      </c>
      <c r="N917" s="4">
        <f>BBDD_Usiarios_Netflix[[#This Row],[Ingresos Mensuales]]*BBDD_Usiarios_Netflix[[#This Row],[Meses contratados]]</f>
        <v>126</v>
      </c>
      <c r="O917" t="s">
        <v>29</v>
      </c>
      <c r="P917" t="str">
        <f>IF(BBDD_Usiarios_Netflix[[#This Row],[País]]="","Desconocido",BBDD_Usiarios_Netflix[[#This Row],[País]])</f>
        <v>EEUU</v>
      </c>
      <c r="Q917">
        <v>50</v>
      </c>
      <c r="R917" t="s">
        <v>30</v>
      </c>
      <c r="S917" t="s">
        <v>26</v>
      </c>
      <c r="T917" t="s">
        <v>41</v>
      </c>
      <c r="U917">
        <f>IF(IFERROR(VLOOKUP(BBDD_Usiarios_Netflix[[#This Row],[Identificador Usuario]],A918:$A$5870,1,FALSE),0)&lt;&gt;0,1,0)</f>
        <v>0</v>
      </c>
      <c r="V917" s="6" t="str">
        <f>IF(BBDD_Usiarios_Netflix[[#This Row],[Duración Plan]]="12 Meses",LEFT(BBDD_Usiarios_Netflix[[#This Row],[Duración Plan]],2),LEFT(BBDD_Usiarios_Netflix[[#This Row],[Duración Plan]],1))</f>
        <v>12</v>
      </c>
      <c r="W9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18" spans="1:23" x14ac:dyDescent="0.25">
      <c r="A918">
        <v>917</v>
      </c>
      <c r="B918" t="s">
        <v>23</v>
      </c>
      <c r="C918">
        <v>10</v>
      </c>
      <c r="D918" s="3">
        <v>29</v>
      </c>
      <c r="E918" s="3">
        <v>10</v>
      </c>
      <c r="F918">
        <v>23</v>
      </c>
      <c r="G918" s="1">
        <f>DATEVALUE(_xlfn.CONCAT(BBDD_Usiarios_Netflix[[#This Row],[Día Suscripción]],"/",BBDD_Usiarios_Netflix[[#This Row],[Mes Suscripción]],"/",BBDD_Usiarios_Netflix[[#This Row],[Año Suscripción]]))</f>
        <v>45228</v>
      </c>
      <c r="H918" s="1">
        <v>30</v>
      </c>
      <c r="I918" s="1">
        <v>6</v>
      </c>
      <c r="J918" s="1">
        <v>24</v>
      </c>
      <c r="K918" s="1" t="str">
        <f>TEXT(BBDD_Usiarios_Netflix[[#This Row],[Fecha Suscripción]],"dddd")</f>
        <v>domingo</v>
      </c>
      <c r="L918" s="1">
        <f>DATEVALUE(_xlfn.CONCAT(BBDD_Usiarios_Netflix[[#This Row],[Día Último Pago]],"/",BBDD_Usiarios_Netflix[[#This Row],[Mes Último Pago]],"/",BBDD_Usiarios_Netflix[[#This Row],[Año Último Pago]]))</f>
        <v>45473</v>
      </c>
      <c r="M918" s="4">
        <f>DATEDIF(BBDD_Usiarios_Netflix[[#This Row],[Fecha Suscripción]],BBDD_Usiarios_Netflix[[#This Row],[Fecha Último Pago]],"M")+1</f>
        <v>9</v>
      </c>
      <c r="N918" s="4">
        <f>BBDD_Usiarios_Netflix[[#This Row],[Ingresos Mensuales]]*BBDD_Usiarios_Netflix[[#This Row],[Meses contratados]]</f>
        <v>90</v>
      </c>
      <c r="O918" t="s">
        <v>29</v>
      </c>
      <c r="P918" t="str">
        <f>IF(BBDD_Usiarios_Netflix[[#This Row],[País]]="","Desconocido",BBDD_Usiarios_Netflix[[#This Row],[País]])</f>
        <v>EEUU</v>
      </c>
      <c r="Q918">
        <v>33</v>
      </c>
      <c r="R918" t="s">
        <v>30</v>
      </c>
      <c r="S918" t="s">
        <v>31</v>
      </c>
      <c r="T918" t="s">
        <v>38</v>
      </c>
      <c r="U918">
        <f>IF(IFERROR(VLOOKUP(BBDD_Usiarios_Netflix[[#This Row],[Identificador Usuario]],A919:$A$5870,1,FALSE),0)&lt;&gt;0,1,0)</f>
        <v>0</v>
      </c>
      <c r="V918" s="6" t="str">
        <f>IF(BBDD_Usiarios_Netflix[[#This Row],[Duración Plan]]="12 Meses",LEFT(BBDD_Usiarios_Netflix[[#This Row],[Duración Plan]],2),LEFT(BBDD_Usiarios_Netflix[[#This Row],[Duración Plan]],1))</f>
        <v>3</v>
      </c>
      <c r="W9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19" spans="1:23" x14ac:dyDescent="0.25">
      <c r="A919">
        <v>918</v>
      </c>
      <c r="B919" t="s">
        <v>32</v>
      </c>
      <c r="C919">
        <v>12</v>
      </c>
      <c r="D919" s="3">
        <v>31</v>
      </c>
      <c r="E919" s="3">
        <v>10</v>
      </c>
      <c r="F919">
        <v>23</v>
      </c>
      <c r="G919" s="1">
        <f>DATEVALUE(_xlfn.CONCAT(BBDD_Usiarios_Netflix[[#This Row],[Día Suscripción]],"/",BBDD_Usiarios_Netflix[[#This Row],[Mes Suscripción]],"/",BBDD_Usiarios_Netflix[[#This Row],[Año Suscripción]]))</f>
        <v>45230</v>
      </c>
      <c r="H919" s="1">
        <v>2</v>
      </c>
      <c r="I919" s="1">
        <v>7</v>
      </c>
      <c r="J919" s="1">
        <v>24</v>
      </c>
      <c r="K919" s="1" t="str">
        <f>TEXT(BBDD_Usiarios_Netflix[[#This Row],[Fecha Suscripción]],"dddd")</f>
        <v>martes</v>
      </c>
      <c r="L919" s="1">
        <f>DATEVALUE(_xlfn.CONCAT(BBDD_Usiarios_Netflix[[#This Row],[Día Último Pago]],"/",BBDD_Usiarios_Netflix[[#This Row],[Mes Último Pago]],"/",BBDD_Usiarios_Netflix[[#This Row],[Año Último Pago]]))</f>
        <v>45475</v>
      </c>
      <c r="M919" s="4">
        <f>DATEDIF(BBDD_Usiarios_Netflix[[#This Row],[Fecha Suscripción]],BBDD_Usiarios_Netflix[[#This Row],[Fecha Último Pago]],"M")+1</f>
        <v>9</v>
      </c>
      <c r="N919" s="4">
        <f>BBDD_Usiarios_Netflix[[#This Row],[Ingresos Mensuales]]*BBDD_Usiarios_Netflix[[#This Row],[Meses contratados]]</f>
        <v>108</v>
      </c>
      <c r="O919" t="s">
        <v>40</v>
      </c>
      <c r="P919" t="str">
        <f>IF(BBDD_Usiarios_Netflix[[#This Row],[País]]="","Desconocido",BBDD_Usiarios_Netflix[[#This Row],[País]])</f>
        <v>Italia</v>
      </c>
      <c r="Q919">
        <v>34</v>
      </c>
      <c r="R919" t="s">
        <v>30</v>
      </c>
      <c r="S919" t="s">
        <v>34</v>
      </c>
      <c r="T919" t="s">
        <v>27</v>
      </c>
      <c r="U919">
        <f>IF(IFERROR(VLOOKUP(BBDD_Usiarios_Netflix[[#This Row],[Identificador Usuario]],A920:$A$5870,1,FALSE),0)&lt;&gt;0,1,0)</f>
        <v>0</v>
      </c>
      <c r="V919" s="6" t="str">
        <f>IF(BBDD_Usiarios_Netflix[[#This Row],[Duración Plan]]="12 Meses",LEFT(BBDD_Usiarios_Netflix[[#This Row],[Duración Plan]],2),LEFT(BBDD_Usiarios_Netflix[[#This Row],[Duración Plan]],1))</f>
        <v>1</v>
      </c>
      <c r="W9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20" spans="1:23" x14ac:dyDescent="0.25">
      <c r="A920">
        <v>919</v>
      </c>
      <c r="B920" t="s">
        <v>28</v>
      </c>
      <c r="C920">
        <v>14</v>
      </c>
      <c r="D920" s="3">
        <v>11</v>
      </c>
      <c r="E920" s="3">
        <v>11</v>
      </c>
      <c r="F920">
        <v>23</v>
      </c>
      <c r="G920" s="1">
        <f>DATEVALUE(_xlfn.CONCAT(BBDD_Usiarios_Netflix[[#This Row],[Día Suscripción]],"/",BBDD_Usiarios_Netflix[[#This Row],[Mes Suscripción]],"/",BBDD_Usiarios_Netflix[[#This Row],[Año Suscripción]]))</f>
        <v>45241</v>
      </c>
      <c r="H920" s="1">
        <v>29</v>
      </c>
      <c r="I920" s="1">
        <v>6</v>
      </c>
      <c r="J920" s="1">
        <v>24</v>
      </c>
      <c r="K920" s="1" t="str">
        <f>TEXT(BBDD_Usiarios_Netflix[[#This Row],[Fecha Suscripción]],"dddd")</f>
        <v>sábado</v>
      </c>
      <c r="L920" s="1">
        <f>DATEVALUE(_xlfn.CONCAT(BBDD_Usiarios_Netflix[[#This Row],[Día Último Pago]],"/",BBDD_Usiarios_Netflix[[#This Row],[Mes Último Pago]],"/",BBDD_Usiarios_Netflix[[#This Row],[Año Último Pago]]))</f>
        <v>45472</v>
      </c>
      <c r="M920" s="4">
        <f>DATEDIF(BBDD_Usiarios_Netflix[[#This Row],[Fecha Suscripción]],BBDD_Usiarios_Netflix[[#This Row],[Fecha Último Pago]],"M")+1</f>
        <v>8</v>
      </c>
      <c r="N920" s="4">
        <f>BBDD_Usiarios_Netflix[[#This Row],[Ingresos Mensuales]]*BBDD_Usiarios_Netflix[[#This Row],[Meses contratados]]</f>
        <v>112</v>
      </c>
      <c r="O920" t="s">
        <v>24</v>
      </c>
      <c r="P920" t="str">
        <f>IF(BBDD_Usiarios_Netflix[[#This Row],[País]]="","Desconocido",BBDD_Usiarios_Netflix[[#This Row],[País]])</f>
        <v>Australia</v>
      </c>
      <c r="Q920">
        <v>40</v>
      </c>
      <c r="R920" t="s">
        <v>25</v>
      </c>
      <c r="S920" t="s">
        <v>26</v>
      </c>
      <c r="T920" t="s">
        <v>41</v>
      </c>
      <c r="U920">
        <f>IF(IFERROR(VLOOKUP(BBDD_Usiarios_Netflix[[#This Row],[Identificador Usuario]],A921:$A$5870,1,FALSE),0)&lt;&gt;0,1,0)</f>
        <v>0</v>
      </c>
      <c r="V920" s="6" t="str">
        <f>IF(BBDD_Usiarios_Netflix[[#This Row],[Duración Plan]]="12 Meses",LEFT(BBDD_Usiarios_Netflix[[#This Row],[Duración Plan]],2),LEFT(BBDD_Usiarios_Netflix[[#This Row],[Duración Plan]],1))</f>
        <v>12</v>
      </c>
      <c r="W9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21" spans="1:23" x14ac:dyDescent="0.25">
      <c r="A921">
        <v>920</v>
      </c>
      <c r="B921" t="s">
        <v>23</v>
      </c>
      <c r="C921">
        <v>10</v>
      </c>
      <c r="D921" s="3">
        <v>9</v>
      </c>
      <c r="E921" s="3">
        <v>11</v>
      </c>
      <c r="F921">
        <v>23</v>
      </c>
      <c r="G921" s="1">
        <f>DATEVALUE(_xlfn.CONCAT(BBDD_Usiarios_Netflix[[#This Row],[Día Suscripción]],"/",BBDD_Usiarios_Netflix[[#This Row],[Mes Suscripción]],"/",BBDD_Usiarios_Netflix[[#This Row],[Año Suscripción]]))</f>
        <v>45239</v>
      </c>
      <c r="H921" s="1">
        <v>1</v>
      </c>
      <c r="I921" s="1">
        <v>7</v>
      </c>
      <c r="J921" s="1">
        <v>24</v>
      </c>
      <c r="K921" s="1" t="str">
        <f>TEXT(BBDD_Usiarios_Netflix[[#This Row],[Fecha Suscripción]],"dddd")</f>
        <v>jueves</v>
      </c>
      <c r="L921" s="1">
        <f>DATEVALUE(_xlfn.CONCAT(BBDD_Usiarios_Netflix[[#This Row],[Día Último Pago]],"/",BBDD_Usiarios_Netflix[[#This Row],[Mes Último Pago]],"/",BBDD_Usiarios_Netflix[[#This Row],[Año Último Pago]]))</f>
        <v>45474</v>
      </c>
      <c r="M921" s="4">
        <f>DATEDIF(BBDD_Usiarios_Netflix[[#This Row],[Fecha Suscripción]],BBDD_Usiarios_Netflix[[#This Row],[Fecha Último Pago]],"M")+1</f>
        <v>8</v>
      </c>
      <c r="N921" s="4">
        <f>BBDD_Usiarios_Netflix[[#This Row],[Ingresos Mensuales]]*BBDD_Usiarios_Netflix[[#This Row],[Meses contratados]]</f>
        <v>80</v>
      </c>
      <c r="O921" t="s">
        <v>45</v>
      </c>
      <c r="P921" t="str">
        <f>IF(BBDD_Usiarios_Netflix[[#This Row],[País]]="","Desconocido",BBDD_Usiarios_Netflix[[#This Row],[País]])</f>
        <v>España</v>
      </c>
      <c r="Q921">
        <v>34</v>
      </c>
      <c r="R921" t="s">
        <v>30</v>
      </c>
      <c r="S921" t="s">
        <v>31</v>
      </c>
      <c r="T921" t="s">
        <v>27</v>
      </c>
      <c r="U921">
        <f>IF(IFERROR(VLOOKUP(BBDD_Usiarios_Netflix[[#This Row],[Identificador Usuario]],A922:$A$5870,1,FALSE),0)&lt;&gt;0,1,0)</f>
        <v>0</v>
      </c>
      <c r="V921" s="6" t="str">
        <f>IF(BBDD_Usiarios_Netflix[[#This Row],[Duración Plan]]="12 Meses",LEFT(BBDD_Usiarios_Netflix[[#This Row],[Duración Plan]],2),LEFT(BBDD_Usiarios_Netflix[[#This Row],[Duración Plan]],1))</f>
        <v>1</v>
      </c>
      <c r="W9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22" spans="1:23" x14ac:dyDescent="0.25">
      <c r="A922">
        <v>921</v>
      </c>
      <c r="B922" t="s">
        <v>28</v>
      </c>
      <c r="C922">
        <v>14</v>
      </c>
      <c r="D922" s="3">
        <v>9</v>
      </c>
      <c r="E922" s="3">
        <v>11</v>
      </c>
      <c r="F922">
        <v>23</v>
      </c>
      <c r="G922" s="1">
        <f>DATEVALUE(_xlfn.CONCAT(BBDD_Usiarios_Netflix[[#This Row],[Día Suscripción]],"/",BBDD_Usiarios_Netflix[[#This Row],[Mes Suscripción]],"/",BBDD_Usiarios_Netflix[[#This Row],[Año Suscripción]]))</f>
        <v>45239</v>
      </c>
      <c r="H922" s="1">
        <v>1</v>
      </c>
      <c r="I922" s="1">
        <v>7</v>
      </c>
      <c r="J922" s="1">
        <v>24</v>
      </c>
      <c r="K922" s="1" t="str">
        <f>TEXT(BBDD_Usiarios_Netflix[[#This Row],[Fecha Suscripción]],"dddd")</f>
        <v>jueves</v>
      </c>
      <c r="L922" s="1">
        <f>DATEVALUE(_xlfn.CONCAT(BBDD_Usiarios_Netflix[[#This Row],[Día Último Pago]],"/",BBDD_Usiarios_Netflix[[#This Row],[Mes Último Pago]],"/",BBDD_Usiarios_Netflix[[#This Row],[Año Último Pago]]))</f>
        <v>45474</v>
      </c>
      <c r="M922" s="4">
        <f>DATEDIF(BBDD_Usiarios_Netflix[[#This Row],[Fecha Suscripción]],BBDD_Usiarios_Netflix[[#This Row],[Fecha Último Pago]],"M")+1</f>
        <v>8</v>
      </c>
      <c r="N922" s="4">
        <f>BBDD_Usiarios_Netflix[[#This Row],[Ingresos Mensuales]]*BBDD_Usiarios_Netflix[[#This Row],[Meses contratados]]</f>
        <v>112</v>
      </c>
      <c r="O922" t="s">
        <v>29</v>
      </c>
      <c r="P922" t="str">
        <f>IF(BBDD_Usiarios_Netflix[[#This Row],[País]]="","Desconocido",BBDD_Usiarios_Netflix[[#This Row],[País]])</f>
        <v>EEUU</v>
      </c>
      <c r="Q922">
        <v>27</v>
      </c>
      <c r="R922" t="s">
        <v>30</v>
      </c>
      <c r="S922" t="s">
        <v>34</v>
      </c>
      <c r="T922" t="s">
        <v>38</v>
      </c>
      <c r="U922">
        <f>IF(IFERROR(VLOOKUP(BBDD_Usiarios_Netflix[[#This Row],[Identificador Usuario]],A923:$A$5870,1,FALSE),0)&lt;&gt;0,1,0)</f>
        <v>0</v>
      </c>
      <c r="V922" s="6" t="str">
        <f>IF(BBDD_Usiarios_Netflix[[#This Row],[Duración Plan]]="12 Meses",LEFT(BBDD_Usiarios_Netflix[[#This Row],[Duración Plan]],2),LEFT(BBDD_Usiarios_Netflix[[#This Row],[Duración Plan]],1))</f>
        <v>3</v>
      </c>
      <c r="W9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23" spans="1:23" x14ac:dyDescent="0.25">
      <c r="A923">
        <v>922</v>
      </c>
      <c r="B923" t="s">
        <v>23</v>
      </c>
      <c r="C923">
        <v>10</v>
      </c>
      <c r="D923" s="3">
        <v>7</v>
      </c>
      <c r="E923" s="3">
        <v>11</v>
      </c>
      <c r="F923">
        <v>23</v>
      </c>
      <c r="G923" s="1">
        <f>DATEVALUE(_xlfn.CONCAT(BBDD_Usiarios_Netflix[[#This Row],[Día Suscripción]],"/",BBDD_Usiarios_Netflix[[#This Row],[Mes Suscripción]],"/",BBDD_Usiarios_Netflix[[#This Row],[Año Suscripción]]))</f>
        <v>45237</v>
      </c>
      <c r="H923" s="1">
        <v>1</v>
      </c>
      <c r="I923" s="1">
        <v>7</v>
      </c>
      <c r="J923" s="1">
        <v>24</v>
      </c>
      <c r="K923" s="1" t="str">
        <f>TEXT(BBDD_Usiarios_Netflix[[#This Row],[Fecha Suscripción]],"dddd")</f>
        <v>martes</v>
      </c>
      <c r="L923" s="1">
        <f>DATEVALUE(_xlfn.CONCAT(BBDD_Usiarios_Netflix[[#This Row],[Día Último Pago]],"/",BBDD_Usiarios_Netflix[[#This Row],[Mes Último Pago]],"/",BBDD_Usiarios_Netflix[[#This Row],[Año Último Pago]]))</f>
        <v>45474</v>
      </c>
      <c r="M923" s="4">
        <f>DATEDIF(BBDD_Usiarios_Netflix[[#This Row],[Fecha Suscripción]],BBDD_Usiarios_Netflix[[#This Row],[Fecha Último Pago]],"M")+1</f>
        <v>8</v>
      </c>
      <c r="N923" s="4">
        <f>BBDD_Usiarios_Netflix[[#This Row],[Ingresos Mensuales]]*BBDD_Usiarios_Netflix[[#This Row],[Meses contratados]]</f>
        <v>80</v>
      </c>
      <c r="O923" t="s">
        <v>29</v>
      </c>
      <c r="P923" t="str">
        <f>IF(BBDD_Usiarios_Netflix[[#This Row],[País]]="","Desconocido",BBDD_Usiarios_Netflix[[#This Row],[País]])</f>
        <v>EEUU</v>
      </c>
      <c r="Q923">
        <v>34</v>
      </c>
      <c r="R923" t="s">
        <v>25</v>
      </c>
      <c r="S923" t="s">
        <v>31</v>
      </c>
      <c r="T923" t="s">
        <v>27</v>
      </c>
      <c r="U923">
        <f>IF(IFERROR(VLOOKUP(BBDD_Usiarios_Netflix[[#This Row],[Identificador Usuario]],A924:$A$5870,1,FALSE),0)&lt;&gt;0,1,0)</f>
        <v>0</v>
      </c>
      <c r="V923" s="6" t="str">
        <f>IF(BBDD_Usiarios_Netflix[[#This Row],[Duración Plan]]="12 Meses",LEFT(BBDD_Usiarios_Netflix[[#This Row],[Duración Plan]],2),LEFT(BBDD_Usiarios_Netflix[[#This Row],[Duración Plan]],1))</f>
        <v>1</v>
      </c>
      <c r="W9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24" spans="1:23" x14ac:dyDescent="0.25">
      <c r="A924">
        <v>923</v>
      </c>
      <c r="B924" t="s">
        <v>32</v>
      </c>
      <c r="C924">
        <v>12</v>
      </c>
      <c r="D924" s="3">
        <v>8</v>
      </c>
      <c r="E924" s="3">
        <v>11</v>
      </c>
      <c r="F924">
        <v>23</v>
      </c>
      <c r="G924" s="1">
        <f>DATEVALUE(_xlfn.CONCAT(BBDD_Usiarios_Netflix[[#This Row],[Día Suscripción]],"/",BBDD_Usiarios_Netflix[[#This Row],[Mes Suscripción]],"/",BBDD_Usiarios_Netflix[[#This Row],[Año Suscripción]]))</f>
        <v>45238</v>
      </c>
      <c r="H924" s="1">
        <v>30</v>
      </c>
      <c r="I924" s="1">
        <v>6</v>
      </c>
      <c r="J924" s="1">
        <v>24</v>
      </c>
      <c r="K924" s="1" t="str">
        <f>TEXT(BBDD_Usiarios_Netflix[[#This Row],[Fecha Suscripción]],"dddd")</f>
        <v>miércoles</v>
      </c>
      <c r="L924" s="1">
        <f>DATEVALUE(_xlfn.CONCAT(BBDD_Usiarios_Netflix[[#This Row],[Día Último Pago]],"/",BBDD_Usiarios_Netflix[[#This Row],[Mes Último Pago]],"/",BBDD_Usiarios_Netflix[[#This Row],[Año Último Pago]]))</f>
        <v>45473</v>
      </c>
      <c r="M924" s="4">
        <f>DATEDIF(BBDD_Usiarios_Netflix[[#This Row],[Fecha Suscripción]],BBDD_Usiarios_Netflix[[#This Row],[Fecha Último Pago]],"M")+1</f>
        <v>8</v>
      </c>
      <c r="N924" s="4">
        <f>BBDD_Usiarios_Netflix[[#This Row],[Ingresos Mensuales]]*BBDD_Usiarios_Netflix[[#This Row],[Meses contratados]]</f>
        <v>96</v>
      </c>
      <c r="O924" t="s">
        <v>45</v>
      </c>
      <c r="P924" t="str">
        <f>IF(BBDD_Usiarios_Netflix[[#This Row],[País]]="","Desconocido",BBDD_Usiarios_Netflix[[#This Row],[País]])</f>
        <v>España</v>
      </c>
      <c r="Q924">
        <v>28</v>
      </c>
      <c r="R924" t="s">
        <v>25</v>
      </c>
      <c r="S924" t="s">
        <v>31</v>
      </c>
      <c r="T924" t="s">
        <v>35</v>
      </c>
      <c r="U924">
        <f>IF(IFERROR(VLOOKUP(BBDD_Usiarios_Netflix[[#This Row],[Identificador Usuario]],A925:$A$5870,1,FALSE),0)&lt;&gt;0,1,0)</f>
        <v>0</v>
      </c>
      <c r="V924" s="6" t="str">
        <f>IF(BBDD_Usiarios_Netflix[[#This Row],[Duración Plan]]="12 Meses",LEFT(BBDD_Usiarios_Netflix[[#This Row],[Duración Plan]],2),LEFT(BBDD_Usiarios_Netflix[[#This Row],[Duración Plan]],1))</f>
        <v>6</v>
      </c>
      <c r="W9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25" spans="1:23" x14ac:dyDescent="0.25">
      <c r="A925">
        <v>924</v>
      </c>
      <c r="B925" t="s">
        <v>32</v>
      </c>
      <c r="C925">
        <v>12</v>
      </c>
      <c r="D925" s="3">
        <v>5</v>
      </c>
      <c r="E925" s="3">
        <v>11</v>
      </c>
      <c r="F925">
        <v>23</v>
      </c>
      <c r="G925" s="1">
        <f>DATEVALUE(_xlfn.CONCAT(BBDD_Usiarios_Netflix[[#This Row],[Día Suscripción]],"/",BBDD_Usiarios_Netflix[[#This Row],[Mes Suscripción]],"/",BBDD_Usiarios_Netflix[[#This Row],[Año Suscripción]]))</f>
        <v>45235</v>
      </c>
      <c r="H925" s="1">
        <v>1</v>
      </c>
      <c r="I925" s="1">
        <v>7</v>
      </c>
      <c r="J925" s="1">
        <v>24</v>
      </c>
      <c r="K925" s="1" t="str">
        <f>TEXT(BBDD_Usiarios_Netflix[[#This Row],[Fecha Suscripción]],"dddd")</f>
        <v>domingo</v>
      </c>
      <c r="L925" s="1">
        <f>DATEVALUE(_xlfn.CONCAT(BBDD_Usiarios_Netflix[[#This Row],[Día Último Pago]],"/",BBDD_Usiarios_Netflix[[#This Row],[Mes Último Pago]],"/",BBDD_Usiarios_Netflix[[#This Row],[Año Último Pago]]))</f>
        <v>45474</v>
      </c>
      <c r="M925" s="4">
        <f>DATEDIF(BBDD_Usiarios_Netflix[[#This Row],[Fecha Suscripción]],BBDD_Usiarios_Netflix[[#This Row],[Fecha Último Pago]],"M")+1</f>
        <v>8</v>
      </c>
      <c r="N925" s="4">
        <f>BBDD_Usiarios_Netflix[[#This Row],[Ingresos Mensuales]]*BBDD_Usiarios_Netflix[[#This Row],[Meses contratados]]</f>
        <v>96</v>
      </c>
      <c r="O925" t="s">
        <v>44</v>
      </c>
      <c r="P925" t="str">
        <f>IF(BBDD_Usiarios_Netflix[[#This Row],[País]]="","Desconocido",BBDD_Usiarios_Netflix[[#This Row],[País]])</f>
        <v>Desconocido</v>
      </c>
      <c r="Q925">
        <v>37</v>
      </c>
      <c r="R925" t="s">
        <v>30</v>
      </c>
      <c r="S925" t="s">
        <v>34</v>
      </c>
      <c r="T925" t="s">
        <v>38</v>
      </c>
      <c r="U925">
        <f>IF(IFERROR(VLOOKUP(BBDD_Usiarios_Netflix[[#This Row],[Identificador Usuario]],A926:$A$5870,1,FALSE),0)&lt;&gt;0,1,0)</f>
        <v>0</v>
      </c>
      <c r="V925" s="6" t="str">
        <f>IF(BBDD_Usiarios_Netflix[[#This Row],[Duración Plan]]="12 Meses",LEFT(BBDD_Usiarios_Netflix[[#This Row],[Duración Plan]],2),LEFT(BBDD_Usiarios_Netflix[[#This Row],[Duración Plan]],1))</f>
        <v>3</v>
      </c>
      <c r="W9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26" spans="1:23" x14ac:dyDescent="0.25">
      <c r="A926">
        <v>925</v>
      </c>
      <c r="B926" t="s">
        <v>23</v>
      </c>
      <c r="C926">
        <v>10</v>
      </c>
      <c r="D926" s="3">
        <v>25</v>
      </c>
      <c r="E926" s="3">
        <v>10</v>
      </c>
      <c r="F926">
        <v>23</v>
      </c>
      <c r="G926" s="1">
        <f>DATEVALUE(_xlfn.CONCAT(BBDD_Usiarios_Netflix[[#This Row],[Día Suscripción]],"/",BBDD_Usiarios_Netflix[[#This Row],[Mes Suscripción]],"/",BBDD_Usiarios_Netflix[[#This Row],[Año Suscripción]]))</f>
        <v>45224</v>
      </c>
      <c r="H926" s="1">
        <v>1</v>
      </c>
      <c r="I926" s="1">
        <v>7</v>
      </c>
      <c r="J926" s="1">
        <v>24</v>
      </c>
      <c r="K926" s="1" t="str">
        <f>TEXT(BBDD_Usiarios_Netflix[[#This Row],[Fecha Suscripción]],"dddd")</f>
        <v>miércoles</v>
      </c>
      <c r="L926" s="1">
        <f>DATEVALUE(_xlfn.CONCAT(BBDD_Usiarios_Netflix[[#This Row],[Día Último Pago]],"/",BBDD_Usiarios_Netflix[[#This Row],[Mes Último Pago]],"/",BBDD_Usiarios_Netflix[[#This Row],[Año Último Pago]]))</f>
        <v>45474</v>
      </c>
      <c r="M926" s="4">
        <f>DATEDIF(BBDD_Usiarios_Netflix[[#This Row],[Fecha Suscripción]],BBDD_Usiarios_Netflix[[#This Row],[Fecha Último Pago]],"M")+1</f>
        <v>9</v>
      </c>
      <c r="N926" s="4">
        <f>BBDD_Usiarios_Netflix[[#This Row],[Ingresos Mensuales]]*BBDD_Usiarios_Netflix[[#This Row],[Meses contratados]]</f>
        <v>90</v>
      </c>
      <c r="O926" t="s">
        <v>44</v>
      </c>
      <c r="P926" t="str">
        <f>IF(BBDD_Usiarios_Netflix[[#This Row],[País]]="","Desconocido",BBDD_Usiarios_Netflix[[#This Row],[País]])</f>
        <v>Desconocido</v>
      </c>
      <c r="Q926">
        <v>27</v>
      </c>
      <c r="R926" t="s">
        <v>30</v>
      </c>
      <c r="S926" t="s">
        <v>36</v>
      </c>
      <c r="T926" t="s">
        <v>27</v>
      </c>
      <c r="U926">
        <f>IF(IFERROR(VLOOKUP(BBDD_Usiarios_Netflix[[#This Row],[Identificador Usuario]],A927:$A$5870,1,FALSE),0)&lt;&gt;0,1,0)</f>
        <v>0</v>
      </c>
      <c r="V926" s="6" t="str">
        <f>IF(BBDD_Usiarios_Netflix[[#This Row],[Duración Plan]]="12 Meses",LEFT(BBDD_Usiarios_Netflix[[#This Row],[Duración Plan]],2),LEFT(BBDD_Usiarios_Netflix[[#This Row],[Duración Plan]],1))</f>
        <v>1</v>
      </c>
      <c r="W9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27" spans="1:23" x14ac:dyDescent="0.25">
      <c r="A927">
        <v>926</v>
      </c>
      <c r="B927" t="s">
        <v>28</v>
      </c>
      <c r="C927">
        <v>14</v>
      </c>
      <c r="D927" s="3">
        <v>23</v>
      </c>
      <c r="E927" s="3">
        <v>10</v>
      </c>
      <c r="F927">
        <v>23</v>
      </c>
      <c r="G927" s="1">
        <f>DATEVALUE(_xlfn.CONCAT(BBDD_Usiarios_Netflix[[#This Row],[Día Suscripción]],"/",BBDD_Usiarios_Netflix[[#This Row],[Mes Suscripción]],"/",BBDD_Usiarios_Netflix[[#This Row],[Año Suscripción]]))</f>
        <v>45222</v>
      </c>
      <c r="H927" s="1">
        <v>2</v>
      </c>
      <c r="I927" s="1">
        <v>7</v>
      </c>
      <c r="J927" s="1">
        <v>24</v>
      </c>
      <c r="K927" s="1" t="str">
        <f>TEXT(BBDD_Usiarios_Netflix[[#This Row],[Fecha Suscripción]],"dddd")</f>
        <v>lunes</v>
      </c>
      <c r="L927" s="1">
        <f>DATEVALUE(_xlfn.CONCAT(BBDD_Usiarios_Netflix[[#This Row],[Día Último Pago]],"/",BBDD_Usiarios_Netflix[[#This Row],[Mes Último Pago]],"/",BBDD_Usiarios_Netflix[[#This Row],[Año Último Pago]]))</f>
        <v>45475</v>
      </c>
      <c r="M927" s="4">
        <f>DATEDIF(BBDD_Usiarios_Netflix[[#This Row],[Fecha Suscripción]],BBDD_Usiarios_Netflix[[#This Row],[Fecha Último Pago]],"M")+1</f>
        <v>9</v>
      </c>
      <c r="N927" s="4">
        <f>BBDD_Usiarios_Netflix[[#This Row],[Ingresos Mensuales]]*BBDD_Usiarios_Netflix[[#This Row],[Meses contratados]]</f>
        <v>126</v>
      </c>
      <c r="O927" t="s">
        <v>37</v>
      </c>
      <c r="P927" t="str">
        <f>IF(BBDD_Usiarios_Netflix[[#This Row],[País]]="","Desconocido",BBDD_Usiarios_Netflix[[#This Row],[País]])</f>
        <v>Brasil</v>
      </c>
      <c r="Q927">
        <v>33</v>
      </c>
      <c r="R927" t="s">
        <v>30</v>
      </c>
      <c r="S927" t="s">
        <v>36</v>
      </c>
      <c r="T927" t="s">
        <v>38</v>
      </c>
      <c r="U927">
        <f>IF(IFERROR(VLOOKUP(BBDD_Usiarios_Netflix[[#This Row],[Identificador Usuario]],A928:$A$5870,1,FALSE),0)&lt;&gt;0,1,0)</f>
        <v>0</v>
      </c>
      <c r="V927" s="6" t="str">
        <f>IF(BBDD_Usiarios_Netflix[[#This Row],[Duración Plan]]="12 Meses",LEFT(BBDD_Usiarios_Netflix[[#This Row],[Duración Plan]],2),LEFT(BBDD_Usiarios_Netflix[[#This Row],[Duración Plan]],1))</f>
        <v>3</v>
      </c>
      <c r="W9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28" spans="1:23" x14ac:dyDescent="0.25">
      <c r="A928">
        <v>927</v>
      </c>
      <c r="B928" t="s">
        <v>23</v>
      </c>
      <c r="C928">
        <v>10</v>
      </c>
      <c r="D928" s="3">
        <v>20</v>
      </c>
      <c r="E928" s="3">
        <v>10</v>
      </c>
      <c r="F928">
        <v>23</v>
      </c>
      <c r="G928" s="1">
        <f>DATEVALUE(_xlfn.CONCAT(BBDD_Usiarios_Netflix[[#This Row],[Día Suscripción]],"/",BBDD_Usiarios_Netflix[[#This Row],[Mes Suscripción]],"/",BBDD_Usiarios_Netflix[[#This Row],[Año Suscripción]]))</f>
        <v>45219</v>
      </c>
      <c r="H928" s="1">
        <v>2</v>
      </c>
      <c r="I928" s="1">
        <v>7</v>
      </c>
      <c r="J928" s="1">
        <v>24</v>
      </c>
      <c r="K928" s="1" t="str">
        <f>TEXT(BBDD_Usiarios_Netflix[[#This Row],[Fecha Suscripción]],"dddd")</f>
        <v>viernes</v>
      </c>
      <c r="L928" s="1">
        <f>DATEVALUE(_xlfn.CONCAT(BBDD_Usiarios_Netflix[[#This Row],[Día Último Pago]],"/",BBDD_Usiarios_Netflix[[#This Row],[Mes Último Pago]],"/",BBDD_Usiarios_Netflix[[#This Row],[Año Último Pago]]))</f>
        <v>45475</v>
      </c>
      <c r="M928" s="4">
        <f>DATEDIF(BBDD_Usiarios_Netflix[[#This Row],[Fecha Suscripción]],BBDD_Usiarios_Netflix[[#This Row],[Fecha Último Pago]],"M")+1</f>
        <v>9</v>
      </c>
      <c r="N928" s="4">
        <f>BBDD_Usiarios_Netflix[[#This Row],[Ingresos Mensuales]]*BBDD_Usiarios_Netflix[[#This Row],[Meses contratados]]</f>
        <v>90</v>
      </c>
      <c r="O928" t="s">
        <v>40</v>
      </c>
      <c r="P928" t="str">
        <f>IF(BBDD_Usiarios_Netflix[[#This Row],[País]]="","Desconocido",BBDD_Usiarios_Netflix[[#This Row],[País]])</f>
        <v>Italia</v>
      </c>
      <c r="Q928">
        <v>42</v>
      </c>
      <c r="R928" t="s">
        <v>25</v>
      </c>
      <c r="S928" t="s">
        <v>36</v>
      </c>
      <c r="T928" t="s">
        <v>27</v>
      </c>
      <c r="U928">
        <f>IF(IFERROR(VLOOKUP(BBDD_Usiarios_Netflix[[#This Row],[Identificador Usuario]],A929:$A$5870,1,FALSE),0)&lt;&gt;0,1,0)</f>
        <v>0</v>
      </c>
      <c r="V928" s="6" t="str">
        <f>IF(BBDD_Usiarios_Netflix[[#This Row],[Duración Plan]]="12 Meses",LEFT(BBDD_Usiarios_Netflix[[#This Row],[Duración Plan]],2),LEFT(BBDD_Usiarios_Netflix[[#This Row],[Duración Plan]],1))</f>
        <v>1</v>
      </c>
      <c r="W9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29" spans="1:23" x14ac:dyDescent="0.25">
      <c r="A929">
        <v>928</v>
      </c>
      <c r="B929" t="s">
        <v>32</v>
      </c>
      <c r="C929">
        <v>12</v>
      </c>
      <c r="D929" s="3">
        <v>14</v>
      </c>
      <c r="E929" s="3">
        <v>10</v>
      </c>
      <c r="F929">
        <v>23</v>
      </c>
      <c r="G929" s="1">
        <f>DATEVALUE(_xlfn.CONCAT(BBDD_Usiarios_Netflix[[#This Row],[Día Suscripción]],"/",BBDD_Usiarios_Netflix[[#This Row],[Mes Suscripción]],"/",BBDD_Usiarios_Netflix[[#This Row],[Año Suscripción]]))</f>
        <v>45213</v>
      </c>
      <c r="H929" s="1">
        <v>1</v>
      </c>
      <c r="I929" s="1">
        <v>7</v>
      </c>
      <c r="J929" s="1">
        <v>24</v>
      </c>
      <c r="K929" s="1" t="str">
        <f>TEXT(BBDD_Usiarios_Netflix[[#This Row],[Fecha Suscripción]],"dddd")</f>
        <v>sábado</v>
      </c>
      <c r="L929" s="1">
        <f>DATEVALUE(_xlfn.CONCAT(BBDD_Usiarios_Netflix[[#This Row],[Día Último Pago]],"/",BBDD_Usiarios_Netflix[[#This Row],[Mes Último Pago]],"/",BBDD_Usiarios_Netflix[[#This Row],[Año Último Pago]]))</f>
        <v>45474</v>
      </c>
      <c r="M929" s="4">
        <f>DATEDIF(BBDD_Usiarios_Netflix[[#This Row],[Fecha Suscripción]],BBDD_Usiarios_Netflix[[#This Row],[Fecha Último Pago]],"M")+1</f>
        <v>9</v>
      </c>
      <c r="N929" s="4">
        <f>BBDD_Usiarios_Netflix[[#This Row],[Ingresos Mensuales]]*BBDD_Usiarios_Netflix[[#This Row],[Meses contratados]]</f>
        <v>108</v>
      </c>
      <c r="O929" t="s">
        <v>29</v>
      </c>
      <c r="P929" t="str">
        <f>IF(BBDD_Usiarios_Netflix[[#This Row],[País]]="","Desconocido",BBDD_Usiarios_Netflix[[#This Row],[País]])</f>
        <v>EEUU</v>
      </c>
      <c r="Q929">
        <v>49</v>
      </c>
      <c r="R929" t="s">
        <v>25</v>
      </c>
      <c r="S929" t="s">
        <v>26</v>
      </c>
      <c r="T929" t="s">
        <v>41</v>
      </c>
      <c r="U929">
        <f>IF(IFERROR(VLOOKUP(BBDD_Usiarios_Netflix[[#This Row],[Identificador Usuario]],A930:$A$5870,1,FALSE),0)&lt;&gt;0,1,0)</f>
        <v>0</v>
      </c>
      <c r="V929" s="6" t="str">
        <f>IF(BBDD_Usiarios_Netflix[[#This Row],[Duración Plan]]="12 Meses",LEFT(BBDD_Usiarios_Netflix[[#This Row],[Duración Plan]],2),LEFT(BBDD_Usiarios_Netflix[[#This Row],[Duración Plan]],1))</f>
        <v>12</v>
      </c>
      <c r="W9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30" spans="1:23" x14ac:dyDescent="0.25">
      <c r="A930">
        <v>929</v>
      </c>
      <c r="B930" t="s">
        <v>28</v>
      </c>
      <c r="C930">
        <v>14</v>
      </c>
      <c r="D930" s="3">
        <v>29</v>
      </c>
      <c r="E930" s="3">
        <v>8</v>
      </c>
      <c r="F930">
        <v>23</v>
      </c>
      <c r="G930" s="1">
        <f>DATEVALUE(_xlfn.CONCAT(BBDD_Usiarios_Netflix[[#This Row],[Día Suscripción]],"/",BBDD_Usiarios_Netflix[[#This Row],[Mes Suscripción]],"/",BBDD_Usiarios_Netflix[[#This Row],[Año Suscripción]]))</f>
        <v>45167</v>
      </c>
      <c r="H930" s="1">
        <v>30</v>
      </c>
      <c r="I930" s="1">
        <v>6</v>
      </c>
      <c r="J930" s="1">
        <v>24</v>
      </c>
      <c r="K930" s="1" t="str">
        <f>TEXT(BBDD_Usiarios_Netflix[[#This Row],[Fecha Suscripción]],"dddd")</f>
        <v>martes</v>
      </c>
      <c r="L930" s="1">
        <f>DATEVALUE(_xlfn.CONCAT(BBDD_Usiarios_Netflix[[#This Row],[Día Último Pago]],"/",BBDD_Usiarios_Netflix[[#This Row],[Mes Último Pago]],"/",BBDD_Usiarios_Netflix[[#This Row],[Año Último Pago]]))</f>
        <v>45473</v>
      </c>
      <c r="M930" s="4">
        <f>DATEDIF(BBDD_Usiarios_Netflix[[#This Row],[Fecha Suscripción]],BBDD_Usiarios_Netflix[[#This Row],[Fecha Último Pago]],"M")+1</f>
        <v>11</v>
      </c>
      <c r="N930" s="4">
        <f>BBDD_Usiarios_Netflix[[#This Row],[Ingresos Mensuales]]*BBDD_Usiarios_Netflix[[#This Row],[Meses contratados]]</f>
        <v>154</v>
      </c>
      <c r="O930" t="s">
        <v>24</v>
      </c>
      <c r="P930" t="str">
        <f>IF(BBDD_Usiarios_Netflix[[#This Row],[País]]="","Desconocido",BBDD_Usiarios_Netflix[[#This Row],[País]])</f>
        <v>Australia</v>
      </c>
      <c r="Q930">
        <v>44</v>
      </c>
      <c r="R930" t="s">
        <v>25</v>
      </c>
      <c r="S930" t="s">
        <v>34</v>
      </c>
      <c r="T930" t="s">
        <v>38</v>
      </c>
      <c r="U930">
        <f>IF(IFERROR(VLOOKUP(BBDD_Usiarios_Netflix[[#This Row],[Identificador Usuario]],A931:$A$5870,1,FALSE),0)&lt;&gt;0,1,0)</f>
        <v>0</v>
      </c>
      <c r="V930" s="6" t="str">
        <f>IF(BBDD_Usiarios_Netflix[[#This Row],[Duración Plan]]="12 Meses",LEFT(BBDD_Usiarios_Netflix[[#This Row],[Duración Plan]],2),LEFT(BBDD_Usiarios_Netflix[[#This Row],[Duración Plan]],1))</f>
        <v>3</v>
      </c>
      <c r="W9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31" spans="1:23" x14ac:dyDescent="0.25">
      <c r="A931">
        <v>930</v>
      </c>
      <c r="B931" t="s">
        <v>23</v>
      </c>
      <c r="C931">
        <v>10</v>
      </c>
      <c r="D931" s="3">
        <v>18</v>
      </c>
      <c r="E931" s="3">
        <v>8</v>
      </c>
      <c r="F931">
        <v>23</v>
      </c>
      <c r="G931" s="1">
        <f>DATEVALUE(_xlfn.CONCAT(BBDD_Usiarios_Netflix[[#This Row],[Día Suscripción]],"/",BBDD_Usiarios_Netflix[[#This Row],[Mes Suscripción]],"/",BBDD_Usiarios_Netflix[[#This Row],[Año Suscripción]]))</f>
        <v>45156</v>
      </c>
      <c r="H931" s="1">
        <v>1</v>
      </c>
      <c r="I931" s="1">
        <v>7</v>
      </c>
      <c r="J931" s="1">
        <v>24</v>
      </c>
      <c r="K931" s="1" t="str">
        <f>TEXT(BBDD_Usiarios_Netflix[[#This Row],[Fecha Suscripción]],"dddd")</f>
        <v>viernes</v>
      </c>
      <c r="L931" s="1">
        <f>DATEVALUE(_xlfn.CONCAT(BBDD_Usiarios_Netflix[[#This Row],[Día Último Pago]],"/",BBDD_Usiarios_Netflix[[#This Row],[Mes Último Pago]],"/",BBDD_Usiarios_Netflix[[#This Row],[Año Último Pago]]))</f>
        <v>45474</v>
      </c>
      <c r="M931" s="4">
        <f>DATEDIF(BBDD_Usiarios_Netflix[[#This Row],[Fecha Suscripción]],BBDD_Usiarios_Netflix[[#This Row],[Fecha Último Pago]],"M")+1</f>
        <v>11</v>
      </c>
      <c r="N931" s="4">
        <f>BBDD_Usiarios_Netflix[[#This Row],[Ingresos Mensuales]]*BBDD_Usiarios_Netflix[[#This Row],[Meses contratados]]</f>
        <v>110</v>
      </c>
      <c r="O931" t="s">
        <v>44</v>
      </c>
      <c r="P931" t="str">
        <f>IF(BBDD_Usiarios_Netflix[[#This Row],[País]]="","Desconocido",BBDD_Usiarios_Netflix[[#This Row],[País]])</f>
        <v>Desconocido</v>
      </c>
      <c r="Q931">
        <v>47</v>
      </c>
      <c r="R931" t="s">
        <v>25</v>
      </c>
      <c r="S931" t="s">
        <v>36</v>
      </c>
      <c r="T931" t="s">
        <v>38</v>
      </c>
      <c r="U931">
        <f>IF(IFERROR(VLOOKUP(BBDD_Usiarios_Netflix[[#This Row],[Identificador Usuario]],A932:$A$5870,1,FALSE),0)&lt;&gt;0,1,0)</f>
        <v>0</v>
      </c>
      <c r="V931" s="6" t="str">
        <f>IF(BBDD_Usiarios_Netflix[[#This Row],[Duración Plan]]="12 Meses",LEFT(BBDD_Usiarios_Netflix[[#This Row],[Duración Plan]],2),LEFT(BBDD_Usiarios_Netflix[[#This Row],[Duración Plan]],1))</f>
        <v>3</v>
      </c>
      <c r="W9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32" spans="1:23" x14ac:dyDescent="0.25">
      <c r="A932">
        <v>931</v>
      </c>
      <c r="B932" t="s">
        <v>28</v>
      </c>
      <c r="C932">
        <v>14</v>
      </c>
      <c r="D932" s="3">
        <v>13</v>
      </c>
      <c r="E932" s="3">
        <v>8</v>
      </c>
      <c r="F932">
        <v>23</v>
      </c>
      <c r="G932" s="1">
        <f>DATEVALUE(_xlfn.CONCAT(BBDD_Usiarios_Netflix[[#This Row],[Día Suscripción]],"/",BBDD_Usiarios_Netflix[[#This Row],[Mes Suscripción]],"/",BBDD_Usiarios_Netflix[[#This Row],[Año Suscripción]]))</f>
        <v>45151</v>
      </c>
      <c r="H932" s="1">
        <v>2</v>
      </c>
      <c r="I932" s="1">
        <v>7</v>
      </c>
      <c r="J932" s="1">
        <v>24</v>
      </c>
      <c r="K932" s="1" t="str">
        <f>TEXT(BBDD_Usiarios_Netflix[[#This Row],[Fecha Suscripción]],"dddd")</f>
        <v>domingo</v>
      </c>
      <c r="L932" s="1">
        <f>DATEVALUE(_xlfn.CONCAT(BBDD_Usiarios_Netflix[[#This Row],[Día Último Pago]],"/",BBDD_Usiarios_Netflix[[#This Row],[Mes Último Pago]],"/",BBDD_Usiarios_Netflix[[#This Row],[Año Último Pago]]))</f>
        <v>45475</v>
      </c>
      <c r="M932" s="4">
        <f>DATEDIF(BBDD_Usiarios_Netflix[[#This Row],[Fecha Suscripción]],BBDD_Usiarios_Netflix[[#This Row],[Fecha Último Pago]],"M")+1</f>
        <v>11</v>
      </c>
      <c r="N932" s="4">
        <f>BBDD_Usiarios_Netflix[[#This Row],[Ingresos Mensuales]]*BBDD_Usiarios_Netflix[[#This Row],[Meses contratados]]</f>
        <v>154</v>
      </c>
      <c r="O932" t="s">
        <v>39</v>
      </c>
      <c r="P932" t="str">
        <f>IF(BBDD_Usiarios_Netflix[[#This Row],[País]]="","Desconocido",BBDD_Usiarios_Netflix[[#This Row],[País]])</f>
        <v>Canadá</v>
      </c>
      <c r="Q932">
        <v>33</v>
      </c>
      <c r="R932" t="s">
        <v>25</v>
      </c>
      <c r="S932" t="s">
        <v>36</v>
      </c>
      <c r="T932" t="s">
        <v>27</v>
      </c>
      <c r="U932">
        <f>IF(IFERROR(VLOOKUP(BBDD_Usiarios_Netflix[[#This Row],[Identificador Usuario]],A933:$A$5870,1,FALSE),0)&lt;&gt;0,1,0)</f>
        <v>0</v>
      </c>
      <c r="V932" s="6" t="str">
        <f>IF(BBDD_Usiarios_Netflix[[#This Row],[Duración Plan]]="12 Meses",LEFT(BBDD_Usiarios_Netflix[[#This Row],[Duración Plan]],2),LEFT(BBDD_Usiarios_Netflix[[#This Row],[Duración Plan]],1))</f>
        <v>1</v>
      </c>
      <c r="W9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33" spans="1:23" x14ac:dyDescent="0.25">
      <c r="A933">
        <v>932</v>
      </c>
      <c r="B933" t="s">
        <v>23</v>
      </c>
      <c r="C933">
        <v>10</v>
      </c>
      <c r="D933" s="3">
        <v>11</v>
      </c>
      <c r="E933" s="3">
        <v>8</v>
      </c>
      <c r="F933">
        <v>23</v>
      </c>
      <c r="G933" s="1">
        <f>DATEVALUE(_xlfn.CONCAT(BBDD_Usiarios_Netflix[[#This Row],[Día Suscripción]],"/",BBDD_Usiarios_Netflix[[#This Row],[Mes Suscripción]],"/",BBDD_Usiarios_Netflix[[#This Row],[Año Suscripción]]))</f>
        <v>45149</v>
      </c>
      <c r="H933" s="1">
        <v>2</v>
      </c>
      <c r="I933" s="1">
        <v>7</v>
      </c>
      <c r="J933" s="1">
        <v>24</v>
      </c>
      <c r="K933" s="1" t="str">
        <f>TEXT(BBDD_Usiarios_Netflix[[#This Row],[Fecha Suscripción]],"dddd")</f>
        <v>viernes</v>
      </c>
      <c r="L933" s="1">
        <f>DATEVALUE(_xlfn.CONCAT(BBDD_Usiarios_Netflix[[#This Row],[Día Último Pago]],"/",BBDD_Usiarios_Netflix[[#This Row],[Mes Último Pago]],"/",BBDD_Usiarios_Netflix[[#This Row],[Año Último Pago]]))</f>
        <v>45475</v>
      </c>
      <c r="M933" s="4">
        <f>DATEDIF(BBDD_Usiarios_Netflix[[#This Row],[Fecha Suscripción]],BBDD_Usiarios_Netflix[[#This Row],[Fecha Último Pago]],"M")+1</f>
        <v>11</v>
      </c>
      <c r="N933" s="4">
        <f>BBDD_Usiarios_Netflix[[#This Row],[Ingresos Mensuales]]*BBDD_Usiarios_Netflix[[#This Row],[Meses contratados]]</f>
        <v>110</v>
      </c>
      <c r="O933" t="s">
        <v>33</v>
      </c>
      <c r="P933" t="str">
        <f>IF(BBDD_Usiarios_Netflix[[#This Row],[País]]="","Desconocido",BBDD_Usiarios_Netflix[[#This Row],[País]])</f>
        <v>Francia</v>
      </c>
      <c r="Q933">
        <v>37</v>
      </c>
      <c r="R933" t="s">
        <v>25</v>
      </c>
      <c r="S933" t="s">
        <v>34</v>
      </c>
      <c r="T933" t="s">
        <v>27</v>
      </c>
      <c r="U933">
        <f>IF(IFERROR(VLOOKUP(BBDD_Usiarios_Netflix[[#This Row],[Identificador Usuario]],A934:$A$5870,1,FALSE),0)&lt;&gt;0,1,0)</f>
        <v>0</v>
      </c>
      <c r="V933" s="6" t="str">
        <f>IF(BBDD_Usiarios_Netflix[[#This Row],[Duración Plan]]="12 Meses",LEFT(BBDD_Usiarios_Netflix[[#This Row],[Duración Plan]],2),LEFT(BBDD_Usiarios_Netflix[[#This Row],[Duración Plan]],1))</f>
        <v>1</v>
      </c>
      <c r="W9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34" spans="1:23" x14ac:dyDescent="0.25">
      <c r="A934">
        <v>933</v>
      </c>
      <c r="B934" t="s">
        <v>32</v>
      </c>
      <c r="C934">
        <v>12</v>
      </c>
      <c r="D934" s="3">
        <v>11</v>
      </c>
      <c r="E934" s="3">
        <v>8</v>
      </c>
      <c r="F934">
        <v>23</v>
      </c>
      <c r="G934" s="1">
        <f>DATEVALUE(_xlfn.CONCAT(BBDD_Usiarios_Netflix[[#This Row],[Día Suscripción]],"/",BBDD_Usiarios_Netflix[[#This Row],[Mes Suscripción]],"/",BBDD_Usiarios_Netflix[[#This Row],[Año Suscripción]]))</f>
        <v>45149</v>
      </c>
      <c r="H934" s="1">
        <v>1</v>
      </c>
      <c r="I934" s="1">
        <v>7</v>
      </c>
      <c r="J934" s="1">
        <v>24</v>
      </c>
      <c r="K934" s="1" t="str">
        <f>TEXT(BBDD_Usiarios_Netflix[[#This Row],[Fecha Suscripción]],"dddd")</f>
        <v>viernes</v>
      </c>
      <c r="L934" s="1">
        <f>DATEVALUE(_xlfn.CONCAT(BBDD_Usiarios_Netflix[[#This Row],[Día Último Pago]],"/",BBDD_Usiarios_Netflix[[#This Row],[Mes Último Pago]],"/",BBDD_Usiarios_Netflix[[#This Row],[Año Último Pago]]))</f>
        <v>45474</v>
      </c>
      <c r="M934" s="4">
        <f>DATEDIF(BBDD_Usiarios_Netflix[[#This Row],[Fecha Suscripción]],BBDD_Usiarios_Netflix[[#This Row],[Fecha Último Pago]],"M")+1</f>
        <v>11</v>
      </c>
      <c r="N934" s="4">
        <f>BBDD_Usiarios_Netflix[[#This Row],[Ingresos Mensuales]]*BBDD_Usiarios_Netflix[[#This Row],[Meses contratados]]</f>
        <v>132</v>
      </c>
      <c r="O934" t="s">
        <v>46</v>
      </c>
      <c r="P934" t="str">
        <f>IF(BBDD_Usiarios_Netflix[[#This Row],[País]]="","Desconocido",BBDD_Usiarios_Netflix[[#This Row],[País]])</f>
        <v>Méjico</v>
      </c>
      <c r="Q934">
        <v>35</v>
      </c>
      <c r="R934" t="s">
        <v>25</v>
      </c>
      <c r="S934" t="s">
        <v>36</v>
      </c>
      <c r="T934" t="s">
        <v>27</v>
      </c>
      <c r="U934">
        <f>IF(IFERROR(VLOOKUP(BBDD_Usiarios_Netflix[[#This Row],[Identificador Usuario]],A935:$A$5870,1,FALSE),0)&lt;&gt;0,1,0)</f>
        <v>0</v>
      </c>
      <c r="V934" s="6" t="str">
        <f>IF(BBDD_Usiarios_Netflix[[#This Row],[Duración Plan]]="12 Meses",LEFT(BBDD_Usiarios_Netflix[[#This Row],[Duración Plan]],2),LEFT(BBDD_Usiarios_Netflix[[#This Row],[Duración Plan]],1))</f>
        <v>1</v>
      </c>
      <c r="W9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35" spans="1:23" x14ac:dyDescent="0.25">
      <c r="A935">
        <v>934</v>
      </c>
      <c r="B935" t="s">
        <v>32</v>
      </c>
      <c r="C935">
        <v>12</v>
      </c>
      <c r="D935" s="3">
        <v>6</v>
      </c>
      <c r="E935" s="3">
        <v>8</v>
      </c>
      <c r="F935">
        <v>23</v>
      </c>
      <c r="G935" s="1">
        <f>DATEVALUE(_xlfn.CONCAT(BBDD_Usiarios_Netflix[[#This Row],[Día Suscripción]],"/",BBDD_Usiarios_Netflix[[#This Row],[Mes Suscripción]],"/",BBDD_Usiarios_Netflix[[#This Row],[Año Suscripción]]))</f>
        <v>45144</v>
      </c>
      <c r="H935" s="1">
        <v>1</v>
      </c>
      <c r="I935" s="1">
        <v>7</v>
      </c>
      <c r="J935" s="1">
        <v>24</v>
      </c>
      <c r="K935" s="1" t="str">
        <f>TEXT(BBDD_Usiarios_Netflix[[#This Row],[Fecha Suscripción]],"dddd")</f>
        <v>domingo</v>
      </c>
      <c r="L935" s="1">
        <f>DATEVALUE(_xlfn.CONCAT(BBDD_Usiarios_Netflix[[#This Row],[Día Último Pago]],"/",BBDD_Usiarios_Netflix[[#This Row],[Mes Último Pago]],"/",BBDD_Usiarios_Netflix[[#This Row],[Año Último Pago]]))</f>
        <v>45474</v>
      </c>
      <c r="M935" s="4">
        <f>DATEDIF(BBDD_Usiarios_Netflix[[#This Row],[Fecha Suscripción]],BBDD_Usiarios_Netflix[[#This Row],[Fecha Último Pago]],"M")+1</f>
        <v>11</v>
      </c>
      <c r="N935" s="4">
        <f>BBDD_Usiarios_Netflix[[#This Row],[Ingresos Mensuales]]*BBDD_Usiarios_Netflix[[#This Row],[Meses contratados]]</f>
        <v>132</v>
      </c>
      <c r="O935" t="s">
        <v>39</v>
      </c>
      <c r="P935" t="str">
        <f>IF(BBDD_Usiarios_Netflix[[#This Row],[País]]="","Desconocido",BBDD_Usiarios_Netflix[[#This Row],[País]])</f>
        <v>Canadá</v>
      </c>
      <c r="Q935">
        <v>34</v>
      </c>
      <c r="R935" t="s">
        <v>30</v>
      </c>
      <c r="S935" t="s">
        <v>26</v>
      </c>
      <c r="T935" t="s">
        <v>38</v>
      </c>
      <c r="U935">
        <f>IF(IFERROR(VLOOKUP(BBDD_Usiarios_Netflix[[#This Row],[Identificador Usuario]],A936:$A$5870,1,FALSE),0)&lt;&gt;0,1,0)</f>
        <v>0</v>
      </c>
      <c r="V935" s="6" t="str">
        <f>IF(BBDD_Usiarios_Netflix[[#This Row],[Duración Plan]]="12 Meses",LEFT(BBDD_Usiarios_Netflix[[#This Row],[Duración Plan]],2),LEFT(BBDD_Usiarios_Netflix[[#This Row],[Duración Plan]],1))</f>
        <v>3</v>
      </c>
      <c r="W9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36" spans="1:23" x14ac:dyDescent="0.25">
      <c r="A936">
        <v>935</v>
      </c>
      <c r="B936" t="s">
        <v>23</v>
      </c>
      <c r="C936">
        <v>10</v>
      </c>
      <c r="D936" s="3">
        <v>7</v>
      </c>
      <c r="E936" s="3">
        <v>8</v>
      </c>
      <c r="F936">
        <v>23</v>
      </c>
      <c r="G936" s="1">
        <f>DATEVALUE(_xlfn.CONCAT(BBDD_Usiarios_Netflix[[#This Row],[Día Suscripción]],"/",BBDD_Usiarios_Netflix[[#This Row],[Mes Suscripción]],"/",BBDD_Usiarios_Netflix[[#This Row],[Año Suscripción]]))</f>
        <v>45145</v>
      </c>
      <c r="H936" s="1">
        <v>2</v>
      </c>
      <c r="I936" s="1">
        <v>7</v>
      </c>
      <c r="J936" s="1">
        <v>24</v>
      </c>
      <c r="K936" s="1" t="str">
        <f>TEXT(BBDD_Usiarios_Netflix[[#This Row],[Fecha Suscripción]],"dddd")</f>
        <v>lunes</v>
      </c>
      <c r="L936" s="1">
        <f>DATEVALUE(_xlfn.CONCAT(BBDD_Usiarios_Netflix[[#This Row],[Día Último Pago]],"/",BBDD_Usiarios_Netflix[[#This Row],[Mes Último Pago]],"/",BBDD_Usiarios_Netflix[[#This Row],[Año Último Pago]]))</f>
        <v>45475</v>
      </c>
      <c r="M936" s="4">
        <f>DATEDIF(BBDD_Usiarios_Netflix[[#This Row],[Fecha Suscripción]],BBDD_Usiarios_Netflix[[#This Row],[Fecha Último Pago]],"M")+1</f>
        <v>11</v>
      </c>
      <c r="N936" s="4">
        <f>BBDD_Usiarios_Netflix[[#This Row],[Ingresos Mensuales]]*BBDD_Usiarios_Netflix[[#This Row],[Meses contratados]]</f>
        <v>110</v>
      </c>
      <c r="O936" t="s">
        <v>45</v>
      </c>
      <c r="P936" t="str">
        <f>IF(BBDD_Usiarios_Netflix[[#This Row],[País]]="","Desconocido",BBDD_Usiarios_Netflix[[#This Row],[País]])</f>
        <v>España</v>
      </c>
      <c r="Q936">
        <v>44</v>
      </c>
      <c r="R936" t="s">
        <v>25</v>
      </c>
      <c r="S936" t="s">
        <v>26</v>
      </c>
      <c r="T936" t="s">
        <v>27</v>
      </c>
      <c r="U936">
        <f>IF(IFERROR(VLOOKUP(BBDD_Usiarios_Netflix[[#This Row],[Identificador Usuario]],A937:$A$5870,1,FALSE),0)&lt;&gt;0,1,0)</f>
        <v>0</v>
      </c>
      <c r="V936" s="6" t="str">
        <f>IF(BBDD_Usiarios_Netflix[[#This Row],[Duración Plan]]="12 Meses",LEFT(BBDD_Usiarios_Netflix[[#This Row],[Duración Plan]],2),LEFT(BBDD_Usiarios_Netflix[[#This Row],[Duración Plan]],1))</f>
        <v>1</v>
      </c>
      <c r="W9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37" spans="1:23" x14ac:dyDescent="0.25">
      <c r="A937">
        <v>936</v>
      </c>
      <c r="B937" t="s">
        <v>28</v>
      </c>
      <c r="C937">
        <v>14</v>
      </c>
      <c r="D937" s="3">
        <v>18</v>
      </c>
      <c r="E937" s="3">
        <v>7</v>
      </c>
      <c r="F937">
        <v>23</v>
      </c>
      <c r="G937" s="1">
        <f>DATEVALUE(_xlfn.CONCAT(BBDD_Usiarios_Netflix[[#This Row],[Día Suscripción]],"/",BBDD_Usiarios_Netflix[[#This Row],[Mes Suscripción]],"/",BBDD_Usiarios_Netflix[[#This Row],[Año Suscripción]]))</f>
        <v>45125</v>
      </c>
      <c r="H937" s="1">
        <v>2</v>
      </c>
      <c r="I937" s="1">
        <v>7</v>
      </c>
      <c r="J937" s="1">
        <v>24</v>
      </c>
      <c r="K937" s="1" t="str">
        <f>TEXT(BBDD_Usiarios_Netflix[[#This Row],[Fecha Suscripción]],"dddd")</f>
        <v>martes</v>
      </c>
      <c r="L937" s="1">
        <f>DATEVALUE(_xlfn.CONCAT(BBDD_Usiarios_Netflix[[#This Row],[Día Último Pago]],"/",BBDD_Usiarios_Netflix[[#This Row],[Mes Último Pago]],"/",BBDD_Usiarios_Netflix[[#This Row],[Año Último Pago]]))</f>
        <v>45475</v>
      </c>
      <c r="M937" s="4">
        <f>DATEDIF(BBDD_Usiarios_Netflix[[#This Row],[Fecha Suscripción]],BBDD_Usiarios_Netflix[[#This Row],[Fecha Último Pago]],"M")+1</f>
        <v>12</v>
      </c>
      <c r="N937" s="4">
        <f>BBDD_Usiarios_Netflix[[#This Row],[Ingresos Mensuales]]*BBDD_Usiarios_Netflix[[#This Row],[Meses contratados]]</f>
        <v>168</v>
      </c>
      <c r="O937" t="s">
        <v>44</v>
      </c>
      <c r="P937" t="str">
        <f>IF(BBDD_Usiarios_Netflix[[#This Row],[País]]="","Desconocido",BBDD_Usiarios_Netflix[[#This Row],[País]])</f>
        <v>Desconocido</v>
      </c>
      <c r="Q937">
        <v>29</v>
      </c>
      <c r="R937" t="s">
        <v>25</v>
      </c>
      <c r="S937" t="s">
        <v>31</v>
      </c>
      <c r="T937" t="s">
        <v>27</v>
      </c>
      <c r="U937">
        <f>IF(IFERROR(VLOOKUP(BBDD_Usiarios_Netflix[[#This Row],[Identificador Usuario]],A938:$A$5870,1,FALSE),0)&lt;&gt;0,1,0)</f>
        <v>0</v>
      </c>
      <c r="V937" s="6" t="str">
        <f>IF(BBDD_Usiarios_Netflix[[#This Row],[Duración Plan]]="12 Meses",LEFT(BBDD_Usiarios_Netflix[[#This Row],[Duración Plan]],2),LEFT(BBDD_Usiarios_Netflix[[#This Row],[Duración Plan]],1))</f>
        <v>1</v>
      </c>
      <c r="W9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38" spans="1:23" x14ac:dyDescent="0.25">
      <c r="A938">
        <v>937</v>
      </c>
      <c r="B938" t="s">
        <v>23</v>
      </c>
      <c r="C938">
        <v>10</v>
      </c>
      <c r="D938" s="3">
        <v>17</v>
      </c>
      <c r="E938" s="3">
        <v>7</v>
      </c>
      <c r="F938">
        <v>23</v>
      </c>
      <c r="G938" s="1">
        <f>DATEVALUE(_xlfn.CONCAT(BBDD_Usiarios_Netflix[[#This Row],[Día Suscripción]],"/",BBDD_Usiarios_Netflix[[#This Row],[Mes Suscripción]],"/",BBDD_Usiarios_Netflix[[#This Row],[Año Suscripción]]))</f>
        <v>45124</v>
      </c>
      <c r="H938" s="1">
        <v>30</v>
      </c>
      <c r="I938" s="1">
        <v>6</v>
      </c>
      <c r="J938" s="1">
        <v>24</v>
      </c>
      <c r="K938" s="1" t="str">
        <f>TEXT(BBDD_Usiarios_Netflix[[#This Row],[Fecha Suscripción]],"dddd")</f>
        <v>lunes</v>
      </c>
      <c r="L938" s="1">
        <f>DATEVALUE(_xlfn.CONCAT(BBDD_Usiarios_Netflix[[#This Row],[Día Último Pago]],"/",BBDD_Usiarios_Netflix[[#This Row],[Mes Último Pago]],"/",BBDD_Usiarios_Netflix[[#This Row],[Año Último Pago]]))</f>
        <v>45473</v>
      </c>
      <c r="M938" s="4">
        <f>DATEDIF(BBDD_Usiarios_Netflix[[#This Row],[Fecha Suscripción]],BBDD_Usiarios_Netflix[[#This Row],[Fecha Último Pago]],"M")+1</f>
        <v>12</v>
      </c>
      <c r="N938" s="4">
        <f>BBDD_Usiarios_Netflix[[#This Row],[Ingresos Mensuales]]*BBDD_Usiarios_Netflix[[#This Row],[Meses contratados]]</f>
        <v>120</v>
      </c>
      <c r="O938" t="s">
        <v>24</v>
      </c>
      <c r="P938" t="str">
        <f>IF(BBDD_Usiarios_Netflix[[#This Row],[País]]="","Desconocido",BBDD_Usiarios_Netflix[[#This Row],[País]])</f>
        <v>Australia</v>
      </c>
      <c r="Q938">
        <v>38</v>
      </c>
      <c r="R938" t="s">
        <v>25</v>
      </c>
      <c r="S938" t="s">
        <v>26</v>
      </c>
      <c r="T938" t="s">
        <v>35</v>
      </c>
      <c r="U938">
        <f>IF(IFERROR(VLOOKUP(BBDD_Usiarios_Netflix[[#This Row],[Identificador Usuario]],A939:$A$5870,1,FALSE),0)&lt;&gt;0,1,0)</f>
        <v>0</v>
      </c>
      <c r="V938" s="6" t="str">
        <f>IF(BBDD_Usiarios_Netflix[[#This Row],[Duración Plan]]="12 Meses",LEFT(BBDD_Usiarios_Netflix[[#This Row],[Duración Plan]],2),LEFT(BBDD_Usiarios_Netflix[[#This Row],[Duración Plan]],1))</f>
        <v>6</v>
      </c>
      <c r="W9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39" spans="1:23" x14ac:dyDescent="0.25">
      <c r="A939">
        <v>938</v>
      </c>
      <c r="B939" t="s">
        <v>32</v>
      </c>
      <c r="C939">
        <v>12</v>
      </c>
      <c r="D939" s="3">
        <v>15</v>
      </c>
      <c r="E939" s="3">
        <v>7</v>
      </c>
      <c r="F939">
        <v>23</v>
      </c>
      <c r="G939" s="1">
        <f>DATEVALUE(_xlfn.CONCAT(BBDD_Usiarios_Netflix[[#This Row],[Día Suscripción]],"/",BBDD_Usiarios_Netflix[[#This Row],[Mes Suscripción]],"/",BBDD_Usiarios_Netflix[[#This Row],[Año Suscripción]]))</f>
        <v>45122</v>
      </c>
      <c r="H939" s="1">
        <v>2</v>
      </c>
      <c r="I939" s="1">
        <v>7</v>
      </c>
      <c r="J939" s="1">
        <v>24</v>
      </c>
      <c r="K939" s="1" t="str">
        <f>TEXT(BBDD_Usiarios_Netflix[[#This Row],[Fecha Suscripción]],"dddd")</f>
        <v>sábado</v>
      </c>
      <c r="L939" s="1">
        <f>DATEVALUE(_xlfn.CONCAT(BBDD_Usiarios_Netflix[[#This Row],[Día Último Pago]],"/",BBDD_Usiarios_Netflix[[#This Row],[Mes Último Pago]],"/",BBDD_Usiarios_Netflix[[#This Row],[Año Último Pago]]))</f>
        <v>45475</v>
      </c>
      <c r="M939" s="4">
        <f>DATEDIF(BBDD_Usiarios_Netflix[[#This Row],[Fecha Suscripción]],BBDD_Usiarios_Netflix[[#This Row],[Fecha Último Pago]],"M")+1</f>
        <v>12</v>
      </c>
      <c r="N939" s="4">
        <f>BBDD_Usiarios_Netflix[[#This Row],[Ingresos Mensuales]]*BBDD_Usiarios_Netflix[[#This Row],[Meses contratados]]</f>
        <v>144</v>
      </c>
      <c r="O939" t="s">
        <v>29</v>
      </c>
      <c r="P939" t="str">
        <f>IF(BBDD_Usiarios_Netflix[[#This Row],[País]]="","Desconocido",BBDD_Usiarios_Netflix[[#This Row],[País]])</f>
        <v>EEUU</v>
      </c>
      <c r="Q939">
        <v>46</v>
      </c>
      <c r="R939" t="s">
        <v>25</v>
      </c>
      <c r="S939" t="s">
        <v>34</v>
      </c>
      <c r="T939" t="s">
        <v>27</v>
      </c>
      <c r="U939">
        <f>IF(IFERROR(VLOOKUP(BBDD_Usiarios_Netflix[[#This Row],[Identificador Usuario]],A940:$A$5870,1,FALSE),0)&lt;&gt;0,1,0)</f>
        <v>0</v>
      </c>
      <c r="V939" s="6" t="str">
        <f>IF(BBDD_Usiarios_Netflix[[#This Row],[Duración Plan]]="12 Meses",LEFT(BBDD_Usiarios_Netflix[[#This Row],[Duración Plan]],2),LEFT(BBDD_Usiarios_Netflix[[#This Row],[Duración Plan]],1))</f>
        <v>1</v>
      </c>
      <c r="W9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0" spans="1:23" x14ac:dyDescent="0.25">
      <c r="A940">
        <v>939</v>
      </c>
      <c r="B940" t="s">
        <v>28</v>
      </c>
      <c r="C940">
        <v>14</v>
      </c>
      <c r="D940" s="3">
        <v>14</v>
      </c>
      <c r="E940" s="3">
        <v>7</v>
      </c>
      <c r="F940">
        <v>23</v>
      </c>
      <c r="G940" s="1">
        <f>DATEVALUE(_xlfn.CONCAT(BBDD_Usiarios_Netflix[[#This Row],[Día Suscripción]],"/",BBDD_Usiarios_Netflix[[#This Row],[Mes Suscripción]],"/",BBDD_Usiarios_Netflix[[#This Row],[Año Suscripción]]))</f>
        <v>45121</v>
      </c>
      <c r="H940" s="1">
        <v>2</v>
      </c>
      <c r="I940" s="1">
        <v>7</v>
      </c>
      <c r="J940" s="1">
        <v>24</v>
      </c>
      <c r="K940" s="1" t="str">
        <f>TEXT(BBDD_Usiarios_Netflix[[#This Row],[Fecha Suscripción]],"dddd")</f>
        <v>viernes</v>
      </c>
      <c r="L940" s="1">
        <f>DATEVALUE(_xlfn.CONCAT(BBDD_Usiarios_Netflix[[#This Row],[Día Último Pago]],"/",BBDD_Usiarios_Netflix[[#This Row],[Mes Último Pago]],"/",BBDD_Usiarios_Netflix[[#This Row],[Año Último Pago]]))</f>
        <v>45475</v>
      </c>
      <c r="M940" s="4">
        <f>DATEDIF(BBDD_Usiarios_Netflix[[#This Row],[Fecha Suscripción]],BBDD_Usiarios_Netflix[[#This Row],[Fecha Último Pago]],"M")+1</f>
        <v>12</v>
      </c>
      <c r="N940" s="4">
        <f>BBDD_Usiarios_Netflix[[#This Row],[Ingresos Mensuales]]*BBDD_Usiarios_Netflix[[#This Row],[Meses contratados]]</f>
        <v>168</v>
      </c>
      <c r="O940" t="s">
        <v>46</v>
      </c>
      <c r="P940" t="str">
        <f>IF(BBDD_Usiarios_Netflix[[#This Row],[País]]="","Desconocido",BBDD_Usiarios_Netflix[[#This Row],[País]])</f>
        <v>Méjico</v>
      </c>
      <c r="Q940">
        <v>29</v>
      </c>
      <c r="R940" t="s">
        <v>25</v>
      </c>
      <c r="S940" t="s">
        <v>31</v>
      </c>
      <c r="T940" t="s">
        <v>27</v>
      </c>
      <c r="U940">
        <f>IF(IFERROR(VLOOKUP(BBDD_Usiarios_Netflix[[#This Row],[Identificador Usuario]],A941:$A$5870,1,FALSE),0)&lt;&gt;0,1,0)</f>
        <v>0</v>
      </c>
      <c r="V940" s="6" t="str">
        <f>IF(BBDD_Usiarios_Netflix[[#This Row],[Duración Plan]]="12 Meses",LEFT(BBDD_Usiarios_Netflix[[#This Row],[Duración Plan]],2),LEFT(BBDD_Usiarios_Netflix[[#This Row],[Duración Plan]],1))</f>
        <v>1</v>
      </c>
      <c r="W9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1" spans="1:23" x14ac:dyDescent="0.25">
      <c r="A941">
        <v>940</v>
      </c>
      <c r="B941" t="s">
        <v>23</v>
      </c>
      <c r="C941">
        <v>10</v>
      </c>
      <c r="D941" s="3">
        <v>26</v>
      </c>
      <c r="E941" s="3">
        <v>6</v>
      </c>
      <c r="F941">
        <v>23</v>
      </c>
      <c r="G941" s="1">
        <f>DATEVALUE(_xlfn.CONCAT(BBDD_Usiarios_Netflix[[#This Row],[Día Suscripción]],"/",BBDD_Usiarios_Netflix[[#This Row],[Mes Suscripción]],"/",BBDD_Usiarios_Netflix[[#This Row],[Año Suscripción]]))</f>
        <v>45103</v>
      </c>
      <c r="H941" s="1">
        <v>3</v>
      </c>
      <c r="I941" s="1">
        <v>7</v>
      </c>
      <c r="J941" s="1">
        <v>24</v>
      </c>
      <c r="K941" s="1" t="str">
        <f>TEXT(BBDD_Usiarios_Netflix[[#This Row],[Fecha Suscripción]],"dddd")</f>
        <v>lunes</v>
      </c>
      <c r="L941" s="1">
        <f>DATEVALUE(_xlfn.CONCAT(BBDD_Usiarios_Netflix[[#This Row],[Día Último Pago]],"/",BBDD_Usiarios_Netflix[[#This Row],[Mes Último Pago]],"/",BBDD_Usiarios_Netflix[[#This Row],[Año Último Pago]]))</f>
        <v>45476</v>
      </c>
      <c r="M941" s="4">
        <f>DATEDIF(BBDD_Usiarios_Netflix[[#This Row],[Fecha Suscripción]],BBDD_Usiarios_Netflix[[#This Row],[Fecha Último Pago]],"M")+1</f>
        <v>13</v>
      </c>
      <c r="N941" s="4">
        <f>BBDD_Usiarios_Netflix[[#This Row],[Ingresos Mensuales]]*BBDD_Usiarios_Netflix[[#This Row],[Meses contratados]]</f>
        <v>130</v>
      </c>
      <c r="O941" t="s">
        <v>39</v>
      </c>
      <c r="P941" t="str">
        <f>IF(BBDD_Usiarios_Netflix[[#This Row],[País]]="","Desconocido",BBDD_Usiarios_Netflix[[#This Row],[País]])</f>
        <v>Canadá</v>
      </c>
      <c r="Q941">
        <v>48</v>
      </c>
      <c r="R941" t="s">
        <v>30</v>
      </c>
      <c r="S941" t="s">
        <v>34</v>
      </c>
      <c r="T941" t="s">
        <v>41</v>
      </c>
      <c r="U941">
        <f>IF(IFERROR(VLOOKUP(BBDD_Usiarios_Netflix[[#This Row],[Identificador Usuario]],A942:$A$5870,1,FALSE),0)&lt;&gt;0,1,0)</f>
        <v>0</v>
      </c>
      <c r="V941" s="6" t="str">
        <f>IF(BBDD_Usiarios_Netflix[[#This Row],[Duración Plan]]="12 Meses",LEFT(BBDD_Usiarios_Netflix[[#This Row],[Duración Plan]],2),LEFT(BBDD_Usiarios_Netflix[[#This Row],[Duración Plan]],1))</f>
        <v>12</v>
      </c>
      <c r="W9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42" spans="1:23" x14ac:dyDescent="0.25">
      <c r="A942">
        <v>941</v>
      </c>
      <c r="B942" t="s">
        <v>28</v>
      </c>
      <c r="C942">
        <v>14</v>
      </c>
      <c r="D942" s="3">
        <v>26</v>
      </c>
      <c r="E942" s="3">
        <v>6</v>
      </c>
      <c r="F942">
        <v>23</v>
      </c>
      <c r="G942" s="1">
        <f>DATEVALUE(_xlfn.CONCAT(BBDD_Usiarios_Netflix[[#This Row],[Día Suscripción]],"/",BBDD_Usiarios_Netflix[[#This Row],[Mes Suscripción]],"/",BBDD_Usiarios_Netflix[[#This Row],[Año Suscripción]]))</f>
        <v>45103</v>
      </c>
      <c r="H942" s="1">
        <v>29</v>
      </c>
      <c r="I942" s="1">
        <v>6</v>
      </c>
      <c r="J942" s="1">
        <v>24</v>
      </c>
      <c r="K942" s="1" t="str">
        <f>TEXT(BBDD_Usiarios_Netflix[[#This Row],[Fecha Suscripción]],"dddd")</f>
        <v>lunes</v>
      </c>
      <c r="L942" s="1">
        <f>DATEVALUE(_xlfn.CONCAT(BBDD_Usiarios_Netflix[[#This Row],[Día Último Pago]],"/",BBDD_Usiarios_Netflix[[#This Row],[Mes Último Pago]],"/",BBDD_Usiarios_Netflix[[#This Row],[Año Último Pago]]))</f>
        <v>45472</v>
      </c>
      <c r="M942" s="4">
        <f>DATEDIF(BBDD_Usiarios_Netflix[[#This Row],[Fecha Suscripción]],BBDD_Usiarios_Netflix[[#This Row],[Fecha Último Pago]],"M")+1</f>
        <v>13</v>
      </c>
      <c r="N942" s="4">
        <f>BBDD_Usiarios_Netflix[[#This Row],[Ingresos Mensuales]]*BBDD_Usiarios_Netflix[[#This Row],[Meses contratados]]</f>
        <v>182</v>
      </c>
      <c r="O942" t="s">
        <v>42</v>
      </c>
      <c r="P942" t="str">
        <f>IF(BBDD_Usiarios_Netflix[[#This Row],[País]]="","Desconocido",BBDD_Usiarios_Netflix[[#This Row],[País]])</f>
        <v>Reino Unido</v>
      </c>
      <c r="Q942">
        <v>36</v>
      </c>
      <c r="R942" t="s">
        <v>25</v>
      </c>
      <c r="S942" t="s">
        <v>34</v>
      </c>
      <c r="T942" t="s">
        <v>27</v>
      </c>
      <c r="U942">
        <f>IF(IFERROR(VLOOKUP(BBDD_Usiarios_Netflix[[#This Row],[Identificador Usuario]],A943:$A$5870,1,FALSE),0)&lt;&gt;0,1,0)</f>
        <v>0</v>
      </c>
      <c r="V942" s="6" t="str">
        <f>IF(BBDD_Usiarios_Netflix[[#This Row],[Duración Plan]]="12 Meses",LEFT(BBDD_Usiarios_Netflix[[#This Row],[Duración Plan]],2),LEFT(BBDD_Usiarios_Netflix[[#This Row],[Duración Plan]],1))</f>
        <v>1</v>
      </c>
      <c r="W9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3" spans="1:23" x14ac:dyDescent="0.25">
      <c r="A943">
        <v>942</v>
      </c>
      <c r="B943" t="s">
        <v>23</v>
      </c>
      <c r="C943">
        <v>10</v>
      </c>
      <c r="D943" s="3">
        <v>22</v>
      </c>
      <c r="E943" s="3">
        <v>6</v>
      </c>
      <c r="F943">
        <v>23</v>
      </c>
      <c r="G943" s="1">
        <f>DATEVALUE(_xlfn.CONCAT(BBDD_Usiarios_Netflix[[#This Row],[Día Suscripción]],"/",BBDD_Usiarios_Netflix[[#This Row],[Mes Suscripción]],"/",BBDD_Usiarios_Netflix[[#This Row],[Año Suscripción]]))</f>
        <v>45099</v>
      </c>
      <c r="H943" s="1">
        <v>1</v>
      </c>
      <c r="I943" s="1">
        <v>7</v>
      </c>
      <c r="J943" s="1">
        <v>24</v>
      </c>
      <c r="K943" s="1" t="str">
        <f>TEXT(BBDD_Usiarios_Netflix[[#This Row],[Fecha Suscripción]],"dddd")</f>
        <v>jueves</v>
      </c>
      <c r="L943" s="1">
        <f>DATEVALUE(_xlfn.CONCAT(BBDD_Usiarios_Netflix[[#This Row],[Día Último Pago]],"/",BBDD_Usiarios_Netflix[[#This Row],[Mes Último Pago]],"/",BBDD_Usiarios_Netflix[[#This Row],[Año Último Pago]]))</f>
        <v>45474</v>
      </c>
      <c r="M943" s="4">
        <f>DATEDIF(BBDD_Usiarios_Netflix[[#This Row],[Fecha Suscripción]],BBDD_Usiarios_Netflix[[#This Row],[Fecha Último Pago]],"M")+1</f>
        <v>13</v>
      </c>
      <c r="N943" s="4">
        <f>BBDD_Usiarios_Netflix[[#This Row],[Ingresos Mensuales]]*BBDD_Usiarios_Netflix[[#This Row],[Meses contratados]]</f>
        <v>130</v>
      </c>
      <c r="O943" t="s">
        <v>42</v>
      </c>
      <c r="P943" t="str">
        <f>IF(BBDD_Usiarios_Netflix[[#This Row],[País]]="","Desconocido",BBDD_Usiarios_Netflix[[#This Row],[País]])</f>
        <v>Reino Unido</v>
      </c>
      <c r="Q943">
        <v>43</v>
      </c>
      <c r="R943" t="s">
        <v>25</v>
      </c>
      <c r="S943" t="s">
        <v>36</v>
      </c>
      <c r="T943" t="s">
        <v>38</v>
      </c>
      <c r="U943">
        <f>IF(IFERROR(VLOOKUP(BBDD_Usiarios_Netflix[[#This Row],[Identificador Usuario]],A944:$A$5870,1,FALSE),0)&lt;&gt;0,1,0)</f>
        <v>0</v>
      </c>
      <c r="V943" s="6" t="str">
        <f>IF(BBDD_Usiarios_Netflix[[#This Row],[Duración Plan]]="12 Meses",LEFT(BBDD_Usiarios_Netflix[[#This Row],[Duración Plan]],2),LEFT(BBDD_Usiarios_Netflix[[#This Row],[Duración Plan]],1))</f>
        <v>3</v>
      </c>
      <c r="W9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44" spans="1:23" x14ac:dyDescent="0.25">
      <c r="A944">
        <v>943</v>
      </c>
      <c r="B944" t="s">
        <v>32</v>
      </c>
      <c r="C944">
        <v>12</v>
      </c>
      <c r="D944" s="3">
        <v>23</v>
      </c>
      <c r="E944" s="3">
        <v>6</v>
      </c>
      <c r="F944">
        <v>23</v>
      </c>
      <c r="G944" s="1">
        <f>DATEVALUE(_xlfn.CONCAT(BBDD_Usiarios_Netflix[[#This Row],[Día Suscripción]],"/",BBDD_Usiarios_Netflix[[#This Row],[Mes Suscripción]],"/",BBDD_Usiarios_Netflix[[#This Row],[Año Suscripción]]))</f>
        <v>45100</v>
      </c>
      <c r="H944" s="1">
        <v>1</v>
      </c>
      <c r="I944" s="1">
        <v>7</v>
      </c>
      <c r="J944" s="1">
        <v>24</v>
      </c>
      <c r="K944" s="1" t="str">
        <f>TEXT(BBDD_Usiarios_Netflix[[#This Row],[Fecha Suscripción]],"dddd")</f>
        <v>viernes</v>
      </c>
      <c r="L944" s="1">
        <f>DATEVALUE(_xlfn.CONCAT(BBDD_Usiarios_Netflix[[#This Row],[Día Último Pago]],"/",BBDD_Usiarios_Netflix[[#This Row],[Mes Último Pago]],"/",BBDD_Usiarios_Netflix[[#This Row],[Año Último Pago]]))</f>
        <v>45474</v>
      </c>
      <c r="M944" s="4">
        <f>DATEDIF(BBDD_Usiarios_Netflix[[#This Row],[Fecha Suscripción]],BBDD_Usiarios_Netflix[[#This Row],[Fecha Último Pago]],"M")+1</f>
        <v>13</v>
      </c>
      <c r="N944" s="4">
        <f>BBDD_Usiarios_Netflix[[#This Row],[Ingresos Mensuales]]*BBDD_Usiarios_Netflix[[#This Row],[Meses contratados]]</f>
        <v>156</v>
      </c>
      <c r="O944" t="s">
        <v>43</v>
      </c>
      <c r="P944" t="str">
        <f>IF(BBDD_Usiarios_Netflix[[#This Row],[País]]="","Desconocido",BBDD_Usiarios_Netflix[[#This Row],[País]])</f>
        <v>Alemania</v>
      </c>
      <c r="Q944">
        <v>42</v>
      </c>
      <c r="R944" t="s">
        <v>30</v>
      </c>
      <c r="S944" t="s">
        <v>34</v>
      </c>
      <c r="T944" t="s">
        <v>27</v>
      </c>
      <c r="U944">
        <f>IF(IFERROR(VLOOKUP(BBDD_Usiarios_Netflix[[#This Row],[Identificador Usuario]],A945:$A$5870,1,FALSE),0)&lt;&gt;0,1,0)</f>
        <v>0</v>
      </c>
      <c r="V944" s="6" t="str">
        <f>IF(BBDD_Usiarios_Netflix[[#This Row],[Duración Plan]]="12 Meses",LEFT(BBDD_Usiarios_Netflix[[#This Row],[Duración Plan]],2),LEFT(BBDD_Usiarios_Netflix[[#This Row],[Duración Plan]],1))</f>
        <v>1</v>
      </c>
      <c r="W9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5" spans="1:23" x14ac:dyDescent="0.25">
      <c r="A945">
        <v>944</v>
      </c>
      <c r="B945" t="s">
        <v>32</v>
      </c>
      <c r="C945">
        <v>12</v>
      </c>
      <c r="D945" s="3">
        <v>24</v>
      </c>
      <c r="E945" s="3">
        <v>6</v>
      </c>
      <c r="F945">
        <v>23</v>
      </c>
      <c r="G945" s="1">
        <f>DATEVALUE(_xlfn.CONCAT(BBDD_Usiarios_Netflix[[#This Row],[Día Suscripción]],"/",BBDD_Usiarios_Netflix[[#This Row],[Mes Suscripción]],"/",BBDD_Usiarios_Netflix[[#This Row],[Año Suscripción]]))</f>
        <v>45101</v>
      </c>
      <c r="H945" s="1">
        <v>2</v>
      </c>
      <c r="I945" s="1">
        <v>7</v>
      </c>
      <c r="J945" s="1">
        <v>24</v>
      </c>
      <c r="K945" s="1" t="str">
        <f>TEXT(BBDD_Usiarios_Netflix[[#This Row],[Fecha Suscripción]],"dddd")</f>
        <v>sábado</v>
      </c>
      <c r="L945" s="1">
        <f>DATEVALUE(_xlfn.CONCAT(BBDD_Usiarios_Netflix[[#This Row],[Día Último Pago]],"/",BBDD_Usiarios_Netflix[[#This Row],[Mes Último Pago]],"/",BBDD_Usiarios_Netflix[[#This Row],[Año Último Pago]]))</f>
        <v>45475</v>
      </c>
      <c r="M945" s="4">
        <f>DATEDIF(BBDD_Usiarios_Netflix[[#This Row],[Fecha Suscripción]],BBDD_Usiarios_Netflix[[#This Row],[Fecha Último Pago]],"M")+1</f>
        <v>13</v>
      </c>
      <c r="N945" s="4">
        <f>BBDD_Usiarios_Netflix[[#This Row],[Ingresos Mensuales]]*BBDD_Usiarios_Netflix[[#This Row],[Meses contratados]]</f>
        <v>156</v>
      </c>
      <c r="O945" t="s">
        <v>44</v>
      </c>
      <c r="P945" t="str">
        <f>IF(BBDD_Usiarios_Netflix[[#This Row],[País]]="","Desconocido",BBDD_Usiarios_Netflix[[#This Row],[País]])</f>
        <v>Desconocido</v>
      </c>
      <c r="Q945">
        <v>50</v>
      </c>
      <c r="R945" t="s">
        <v>25</v>
      </c>
      <c r="S945" t="s">
        <v>31</v>
      </c>
      <c r="T945" t="s">
        <v>27</v>
      </c>
      <c r="U945">
        <f>IF(IFERROR(VLOOKUP(BBDD_Usiarios_Netflix[[#This Row],[Identificador Usuario]],A946:$A$5870,1,FALSE),0)&lt;&gt;0,1,0)</f>
        <v>0</v>
      </c>
      <c r="V945" s="6" t="str">
        <f>IF(BBDD_Usiarios_Netflix[[#This Row],[Duración Plan]]="12 Meses",LEFT(BBDD_Usiarios_Netflix[[#This Row],[Duración Plan]],2),LEFT(BBDD_Usiarios_Netflix[[#This Row],[Duración Plan]],1))</f>
        <v>1</v>
      </c>
      <c r="W9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6" spans="1:23" x14ac:dyDescent="0.25">
      <c r="A946">
        <v>945</v>
      </c>
      <c r="B946" t="s">
        <v>23</v>
      </c>
      <c r="C946">
        <v>10</v>
      </c>
      <c r="D946" s="3">
        <v>26</v>
      </c>
      <c r="E946" s="3">
        <v>6</v>
      </c>
      <c r="F946">
        <v>23</v>
      </c>
      <c r="G946" s="1">
        <f>DATEVALUE(_xlfn.CONCAT(BBDD_Usiarios_Netflix[[#This Row],[Día Suscripción]],"/",BBDD_Usiarios_Netflix[[#This Row],[Mes Suscripción]],"/",BBDD_Usiarios_Netflix[[#This Row],[Año Suscripción]]))</f>
        <v>45103</v>
      </c>
      <c r="H946" s="1">
        <v>29</v>
      </c>
      <c r="I946" s="1">
        <v>6</v>
      </c>
      <c r="J946" s="1">
        <v>24</v>
      </c>
      <c r="K946" s="1" t="str">
        <f>TEXT(BBDD_Usiarios_Netflix[[#This Row],[Fecha Suscripción]],"dddd")</f>
        <v>lunes</v>
      </c>
      <c r="L946" s="1">
        <f>DATEVALUE(_xlfn.CONCAT(BBDD_Usiarios_Netflix[[#This Row],[Día Último Pago]],"/",BBDD_Usiarios_Netflix[[#This Row],[Mes Último Pago]],"/",BBDD_Usiarios_Netflix[[#This Row],[Año Último Pago]]))</f>
        <v>45472</v>
      </c>
      <c r="M946" s="4">
        <f>DATEDIF(BBDD_Usiarios_Netflix[[#This Row],[Fecha Suscripción]],BBDD_Usiarios_Netflix[[#This Row],[Fecha Último Pago]],"M")+1</f>
        <v>13</v>
      </c>
      <c r="N946" s="4">
        <f>BBDD_Usiarios_Netflix[[#This Row],[Ingresos Mensuales]]*BBDD_Usiarios_Netflix[[#This Row],[Meses contratados]]</f>
        <v>130</v>
      </c>
      <c r="O946" t="s">
        <v>43</v>
      </c>
      <c r="P946" t="str">
        <f>IF(BBDD_Usiarios_Netflix[[#This Row],[País]]="","Desconocido",BBDD_Usiarios_Netflix[[#This Row],[País]])</f>
        <v>Alemania</v>
      </c>
      <c r="Q946">
        <v>39</v>
      </c>
      <c r="R946" t="s">
        <v>25</v>
      </c>
      <c r="S946" t="s">
        <v>36</v>
      </c>
      <c r="T946" t="s">
        <v>27</v>
      </c>
      <c r="U946">
        <f>IF(IFERROR(VLOOKUP(BBDD_Usiarios_Netflix[[#This Row],[Identificador Usuario]],A947:$A$5870,1,FALSE),0)&lt;&gt;0,1,0)</f>
        <v>0</v>
      </c>
      <c r="V946" s="6" t="str">
        <f>IF(BBDD_Usiarios_Netflix[[#This Row],[Duración Plan]]="12 Meses",LEFT(BBDD_Usiarios_Netflix[[#This Row],[Duración Plan]],2),LEFT(BBDD_Usiarios_Netflix[[#This Row],[Duración Plan]],1))</f>
        <v>1</v>
      </c>
      <c r="W9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7" spans="1:23" x14ac:dyDescent="0.25">
      <c r="A947">
        <v>946</v>
      </c>
      <c r="B947" t="s">
        <v>28</v>
      </c>
      <c r="C947">
        <v>14</v>
      </c>
      <c r="D947" s="3">
        <v>28</v>
      </c>
      <c r="E947" s="3">
        <v>6</v>
      </c>
      <c r="F947">
        <v>23</v>
      </c>
      <c r="G947" s="1">
        <f>DATEVALUE(_xlfn.CONCAT(BBDD_Usiarios_Netflix[[#This Row],[Día Suscripción]],"/",BBDD_Usiarios_Netflix[[#This Row],[Mes Suscripción]],"/",BBDD_Usiarios_Netflix[[#This Row],[Año Suscripción]]))</f>
        <v>45105</v>
      </c>
      <c r="H947" s="1">
        <v>1</v>
      </c>
      <c r="I947" s="1">
        <v>7</v>
      </c>
      <c r="J947" s="1">
        <v>24</v>
      </c>
      <c r="K947" s="1" t="str">
        <f>TEXT(BBDD_Usiarios_Netflix[[#This Row],[Fecha Suscripción]],"dddd")</f>
        <v>miércoles</v>
      </c>
      <c r="L947" s="1">
        <f>DATEVALUE(_xlfn.CONCAT(BBDD_Usiarios_Netflix[[#This Row],[Día Último Pago]],"/",BBDD_Usiarios_Netflix[[#This Row],[Mes Último Pago]],"/",BBDD_Usiarios_Netflix[[#This Row],[Año Último Pago]]))</f>
        <v>45474</v>
      </c>
      <c r="M947" s="4">
        <f>DATEDIF(BBDD_Usiarios_Netflix[[#This Row],[Fecha Suscripción]],BBDD_Usiarios_Netflix[[#This Row],[Fecha Último Pago]],"M")+1</f>
        <v>13</v>
      </c>
      <c r="N947" s="4">
        <f>BBDD_Usiarios_Netflix[[#This Row],[Ingresos Mensuales]]*BBDD_Usiarios_Netflix[[#This Row],[Meses contratados]]</f>
        <v>182</v>
      </c>
      <c r="O947" t="s">
        <v>29</v>
      </c>
      <c r="P947" t="str">
        <f>IF(BBDD_Usiarios_Netflix[[#This Row],[País]]="","Desconocido",BBDD_Usiarios_Netflix[[#This Row],[País]])</f>
        <v>EEUU</v>
      </c>
      <c r="Q947">
        <v>43</v>
      </c>
      <c r="R947" t="s">
        <v>30</v>
      </c>
      <c r="S947" t="s">
        <v>36</v>
      </c>
      <c r="T947" t="s">
        <v>35</v>
      </c>
      <c r="U947">
        <f>IF(IFERROR(VLOOKUP(BBDD_Usiarios_Netflix[[#This Row],[Identificador Usuario]],A948:$A$5870,1,FALSE),0)&lt;&gt;0,1,0)</f>
        <v>0</v>
      </c>
      <c r="V947" s="6" t="str">
        <f>IF(BBDD_Usiarios_Netflix[[#This Row],[Duración Plan]]="12 Meses",LEFT(BBDD_Usiarios_Netflix[[#This Row],[Duración Plan]],2),LEFT(BBDD_Usiarios_Netflix[[#This Row],[Duración Plan]],1))</f>
        <v>6</v>
      </c>
      <c r="W9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48" spans="1:23" x14ac:dyDescent="0.25">
      <c r="A948">
        <v>947</v>
      </c>
      <c r="B948" t="s">
        <v>23</v>
      </c>
      <c r="C948">
        <v>10</v>
      </c>
      <c r="D948" s="3">
        <v>29</v>
      </c>
      <c r="E948" s="3">
        <v>6</v>
      </c>
      <c r="F948">
        <v>23</v>
      </c>
      <c r="G948" s="1">
        <f>DATEVALUE(_xlfn.CONCAT(BBDD_Usiarios_Netflix[[#This Row],[Día Suscripción]],"/",BBDD_Usiarios_Netflix[[#This Row],[Mes Suscripción]],"/",BBDD_Usiarios_Netflix[[#This Row],[Año Suscripción]]))</f>
        <v>45106</v>
      </c>
      <c r="H948" s="1">
        <v>2</v>
      </c>
      <c r="I948" s="1">
        <v>7</v>
      </c>
      <c r="J948" s="1">
        <v>24</v>
      </c>
      <c r="K948" s="1" t="str">
        <f>TEXT(BBDD_Usiarios_Netflix[[#This Row],[Fecha Suscripción]],"dddd")</f>
        <v>jueves</v>
      </c>
      <c r="L948" s="1">
        <f>DATEVALUE(_xlfn.CONCAT(BBDD_Usiarios_Netflix[[#This Row],[Día Último Pago]],"/",BBDD_Usiarios_Netflix[[#This Row],[Mes Último Pago]],"/",BBDD_Usiarios_Netflix[[#This Row],[Año Último Pago]]))</f>
        <v>45475</v>
      </c>
      <c r="M948" s="4">
        <f>DATEDIF(BBDD_Usiarios_Netflix[[#This Row],[Fecha Suscripción]],BBDD_Usiarios_Netflix[[#This Row],[Fecha Último Pago]],"M")+1</f>
        <v>13</v>
      </c>
      <c r="N948" s="4">
        <f>BBDD_Usiarios_Netflix[[#This Row],[Ingresos Mensuales]]*BBDD_Usiarios_Netflix[[#This Row],[Meses contratados]]</f>
        <v>130</v>
      </c>
      <c r="O948" t="s">
        <v>24</v>
      </c>
      <c r="P948" t="str">
        <f>IF(BBDD_Usiarios_Netflix[[#This Row],[País]]="","Desconocido",BBDD_Usiarios_Netflix[[#This Row],[País]])</f>
        <v>Australia</v>
      </c>
      <c r="Q948">
        <v>50</v>
      </c>
      <c r="R948" t="s">
        <v>30</v>
      </c>
      <c r="S948" t="s">
        <v>31</v>
      </c>
      <c r="T948" t="s">
        <v>27</v>
      </c>
      <c r="U948">
        <f>IF(IFERROR(VLOOKUP(BBDD_Usiarios_Netflix[[#This Row],[Identificador Usuario]],A949:$A$5870,1,FALSE),0)&lt;&gt;0,1,0)</f>
        <v>0</v>
      </c>
      <c r="V948" s="6" t="str">
        <f>IF(BBDD_Usiarios_Netflix[[#This Row],[Duración Plan]]="12 Meses",LEFT(BBDD_Usiarios_Netflix[[#This Row],[Duración Plan]],2),LEFT(BBDD_Usiarios_Netflix[[#This Row],[Duración Plan]],1))</f>
        <v>1</v>
      </c>
      <c r="W9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49" spans="1:23" x14ac:dyDescent="0.25">
      <c r="A949">
        <v>948</v>
      </c>
      <c r="B949" t="s">
        <v>32</v>
      </c>
      <c r="C949">
        <v>12</v>
      </c>
      <c r="D949" s="3">
        <v>26</v>
      </c>
      <c r="E949" s="3">
        <v>6</v>
      </c>
      <c r="F949">
        <v>23</v>
      </c>
      <c r="G949" s="1">
        <f>DATEVALUE(_xlfn.CONCAT(BBDD_Usiarios_Netflix[[#This Row],[Día Suscripción]],"/",BBDD_Usiarios_Netflix[[#This Row],[Mes Suscripción]],"/",BBDD_Usiarios_Netflix[[#This Row],[Año Suscripción]]))</f>
        <v>45103</v>
      </c>
      <c r="H949" s="1">
        <v>2</v>
      </c>
      <c r="I949" s="1">
        <v>7</v>
      </c>
      <c r="J949" s="1">
        <v>24</v>
      </c>
      <c r="K949" s="1" t="str">
        <f>TEXT(BBDD_Usiarios_Netflix[[#This Row],[Fecha Suscripción]],"dddd")</f>
        <v>lunes</v>
      </c>
      <c r="L949" s="1">
        <f>DATEVALUE(_xlfn.CONCAT(BBDD_Usiarios_Netflix[[#This Row],[Día Último Pago]],"/",BBDD_Usiarios_Netflix[[#This Row],[Mes Último Pago]],"/",BBDD_Usiarios_Netflix[[#This Row],[Año Último Pago]]))</f>
        <v>45475</v>
      </c>
      <c r="M949" s="4">
        <f>DATEDIF(BBDD_Usiarios_Netflix[[#This Row],[Fecha Suscripción]],BBDD_Usiarios_Netflix[[#This Row],[Fecha Último Pago]],"M")+1</f>
        <v>13</v>
      </c>
      <c r="N949" s="4">
        <f>BBDD_Usiarios_Netflix[[#This Row],[Ingresos Mensuales]]*BBDD_Usiarios_Netflix[[#This Row],[Meses contratados]]</f>
        <v>156</v>
      </c>
      <c r="O949" t="s">
        <v>29</v>
      </c>
      <c r="P949" t="str">
        <f>IF(BBDD_Usiarios_Netflix[[#This Row],[País]]="","Desconocido",BBDD_Usiarios_Netflix[[#This Row],[País]])</f>
        <v>EEUU</v>
      </c>
      <c r="Q949">
        <v>51</v>
      </c>
      <c r="R949" t="s">
        <v>25</v>
      </c>
      <c r="S949" t="s">
        <v>36</v>
      </c>
      <c r="T949" t="s">
        <v>35</v>
      </c>
      <c r="U949">
        <f>IF(IFERROR(VLOOKUP(BBDD_Usiarios_Netflix[[#This Row],[Identificador Usuario]],A950:$A$5870,1,FALSE),0)&lt;&gt;0,1,0)</f>
        <v>0</v>
      </c>
      <c r="V949" s="6" t="str">
        <f>IF(BBDD_Usiarios_Netflix[[#This Row],[Duración Plan]]="12 Meses",LEFT(BBDD_Usiarios_Netflix[[#This Row],[Duración Plan]],2),LEFT(BBDD_Usiarios_Netflix[[#This Row],[Duración Plan]],1))</f>
        <v>6</v>
      </c>
      <c r="W9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50" spans="1:23" x14ac:dyDescent="0.25">
      <c r="A950">
        <v>949</v>
      </c>
      <c r="B950" t="s">
        <v>28</v>
      </c>
      <c r="C950">
        <v>14</v>
      </c>
      <c r="D950" s="3">
        <v>26</v>
      </c>
      <c r="E950" s="3">
        <v>6</v>
      </c>
      <c r="F950">
        <v>23</v>
      </c>
      <c r="G950" s="1">
        <f>DATEVALUE(_xlfn.CONCAT(BBDD_Usiarios_Netflix[[#This Row],[Día Suscripción]],"/",BBDD_Usiarios_Netflix[[#This Row],[Mes Suscripción]],"/",BBDD_Usiarios_Netflix[[#This Row],[Año Suscripción]]))</f>
        <v>45103</v>
      </c>
      <c r="H950" s="1">
        <v>30</v>
      </c>
      <c r="I950" s="1">
        <v>6</v>
      </c>
      <c r="J950" s="1">
        <v>24</v>
      </c>
      <c r="K950" s="1" t="str">
        <f>TEXT(BBDD_Usiarios_Netflix[[#This Row],[Fecha Suscripción]],"dddd")</f>
        <v>lunes</v>
      </c>
      <c r="L950" s="1">
        <f>DATEVALUE(_xlfn.CONCAT(BBDD_Usiarios_Netflix[[#This Row],[Día Último Pago]],"/",BBDD_Usiarios_Netflix[[#This Row],[Mes Último Pago]],"/",BBDD_Usiarios_Netflix[[#This Row],[Año Último Pago]]))</f>
        <v>45473</v>
      </c>
      <c r="M950" s="4">
        <f>DATEDIF(BBDD_Usiarios_Netflix[[#This Row],[Fecha Suscripción]],BBDD_Usiarios_Netflix[[#This Row],[Fecha Último Pago]],"M")+1</f>
        <v>13</v>
      </c>
      <c r="N950" s="4">
        <f>BBDD_Usiarios_Netflix[[#This Row],[Ingresos Mensuales]]*BBDD_Usiarios_Netflix[[#This Row],[Meses contratados]]</f>
        <v>182</v>
      </c>
      <c r="O950" t="s">
        <v>42</v>
      </c>
      <c r="P950" t="str">
        <f>IF(BBDD_Usiarios_Netflix[[#This Row],[País]]="","Desconocido",BBDD_Usiarios_Netflix[[#This Row],[País]])</f>
        <v>Reino Unido</v>
      </c>
      <c r="Q950">
        <v>40</v>
      </c>
      <c r="R950" t="s">
        <v>25</v>
      </c>
      <c r="S950" t="s">
        <v>31</v>
      </c>
      <c r="T950" t="s">
        <v>41</v>
      </c>
      <c r="U950">
        <f>IF(IFERROR(VLOOKUP(BBDD_Usiarios_Netflix[[#This Row],[Identificador Usuario]],A951:$A$5870,1,FALSE),0)&lt;&gt;0,1,0)</f>
        <v>0</v>
      </c>
      <c r="V950" s="6" t="str">
        <f>IF(BBDD_Usiarios_Netflix[[#This Row],[Duración Plan]]="12 Meses",LEFT(BBDD_Usiarios_Netflix[[#This Row],[Duración Plan]],2),LEFT(BBDD_Usiarios_Netflix[[#This Row],[Duración Plan]],1))</f>
        <v>12</v>
      </c>
      <c r="W9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51" spans="1:23" x14ac:dyDescent="0.25">
      <c r="A951">
        <v>950</v>
      </c>
      <c r="B951" t="s">
        <v>23</v>
      </c>
      <c r="C951">
        <v>10</v>
      </c>
      <c r="D951" s="3">
        <v>20</v>
      </c>
      <c r="E951" s="3">
        <v>6</v>
      </c>
      <c r="F951">
        <v>23</v>
      </c>
      <c r="G951" s="1">
        <f>DATEVALUE(_xlfn.CONCAT(BBDD_Usiarios_Netflix[[#This Row],[Día Suscripción]],"/",BBDD_Usiarios_Netflix[[#This Row],[Mes Suscripción]],"/",BBDD_Usiarios_Netflix[[#This Row],[Año Suscripción]]))</f>
        <v>45097</v>
      </c>
      <c r="H951" s="1">
        <v>30</v>
      </c>
      <c r="I951" s="1">
        <v>6</v>
      </c>
      <c r="J951" s="1">
        <v>24</v>
      </c>
      <c r="K951" s="1" t="str">
        <f>TEXT(BBDD_Usiarios_Netflix[[#This Row],[Fecha Suscripción]],"dddd")</f>
        <v>martes</v>
      </c>
      <c r="L951" s="1">
        <f>DATEVALUE(_xlfn.CONCAT(BBDD_Usiarios_Netflix[[#This Row],[Día Último Pago]],"/",BBDD_Usiarios_Netflix[[#This Row],[Mes Último Pago]],"/",BBDD_Usiarios_Netflix[[#This Row],[Año Último Pago]]))</f>
        <v>45473</v>
      </c>
      <c r="M951" s="4">
        <f>DATEDIF(BBDD_Usiarios_Netflix[[#This Row],[Fecha Suscripción]],BBDD_Usiarios_Netflix[[#This Row],[Fecha Último Pago]],"M")+1</f>
        <v>13</v>
      </c>
      <c r="N951" s="4">
        <f>BBDD_Usiarios_Netflix[[#This Row],[Ingresos Mensuales]]*BBDD_Usiarios_Netflix[[#This Row],[Meses contratados]]</f>
        <v>130</v>
      </c>
      <c r="O951" t="s">
        <v>44</v>
      </c>
      <c r="P951" t="str">
        <f>IF(BBDD_Usiarios_Netflix[[#This Row],[País]]="","Desconocido",BBDD_Usiarios_Netflix[[#This Row],[País]])</f>
        <v>Desconocido</v>
      </c>
      <c r="Q951">
        <v>31</v>
      </c>
      <c r="R951" t="s">
        <v>25</v>
      </c>
      <c r="S951" t="s">
        <v>31</v>
      </c>
      <c r="T951" t="s">
        <v>27</v>
      </c>
      <c r="U951">
        <f>IF(IFERROR(VLOOKUP(BBDD_Usiarios_Netflix[[#This Row],[Identificador Usuario]],A952:$A$5870,1,FALSE),0)&lt;&gt;0,1,0)</f>
        <v>0</v>
      </c>
      <c r="V951" s="6" t="str">
        <f>IF(BBDD_Usiarios_Netflix[[#This Row],[Duración Plan]]="12 Meses",LEFT(BBDD_Usiarios_Netflix[[#This Row],[Duración Plan]],2),LEFT(BBDD_Usiarios_Netflix[[#This Row],[Duración Plan]],1))</f>
        <v>1</v>
      </c>
      <c r="W9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52" spans="1:23" x14ac:dyDescent="0.25">
      <c r="A952">
        <v>951</v>
      </c>
      <c r="B952" t="s">
        <v>28</v>
      </c>
      <c r="C952">
        <v>14</v>
      </c>
      <c r="D952" s="3">
        <v>18</v>
      </c>
      <c r="E952" s="3">
        <v>6</v>
      </c>
      <c r="F952">
        <v>23</v>
      </c>
      <c r="G952" s="1">
        <f>DATEVALUE(_xlfn.CONCAT(BBDD_Usiarios_Netflix[[#This Row],[Día Suscripción]],"/",BBDD_Usiarios_Netflix[[#This Row],[Mes Suscripción]],"/",BBDD_Usiarios_Netflix[[#This Row],[Año Suscripción]]))</f>
        <v>45095</v>
      </c>
      <c r="H952" s="1">
        <v>3</v>
      </c>
      <c r="I952" s="1">
        <v>7</v>
      </c>
      <c r="J952" s="1">
        <v>24</v>
      </c>
      <c r="K952" s="1" t="str">
        <f>TEXT(BBDD_Usiarios_Netflix[[#This Row],[Fecha Suscripción]],"dddd")</f>
        <v>domingo</v>
      </c>
      <c r="L952" s="1">
        <f>DATEVALUE(_xlfn.CONCAT(BBDD_Usiarios_Netflix[[#This Row],[Día Último Pago]],"/",BBDD_Usiarios_Netflix[[#This Row],[Mes Último Pago]],"/",BBDD_Usiarios_Netflix[[#This Row],[Año Último Pago]]))</f>
        <v>45476</v>
      </c>
      <c r="M952" s="4">
        <f>DATEDIF(BBDD_Usiarios_Netflix[[#This Row],[Fecha Suscripción]],BBDD_Usiarios_Netflix[[#This Row],[Fecha Último Pago]],"M")+1</f>
        <v>13</v>
      </c>
      <c r="N952" s="4">
        <f>BBDD_Usiarios_Netflix[[#This Row],[Ingresos Mensuales]]*BBDD_Usiarios_Netflix[[#This Row],[Meses contratados]]</f>
        <v>182</v>
      </c>
      <c r="O952" t="s">
        <v>24</v>
      </c>
      <c r="P952" t="str">
        <f>IF(BBDD_Usiarios_Netflix[[#This Row],[País]]="","Desconocido",BBDD_Usiarios_Netflix[[#This Row],[País]])</f>
        <v>Australia</v>
      </c>
      <c r="Q952">
        <v>39</v>
      </c>
      <c r="R952" t="s">
        <v>30</v>
      </c>
      <c r="S952" t="s">
        <v>26</v>
      </c>
      <c r="T952" t="s">
        <v>27</v>
      </c>
      <c r="U952">
        <f>IF(IFERROR(VLOOKUP(BBDD_Usiarios_Netflix[[#This Row],[Identificador Usuario]],A953:$A$5870,1,FALSE),0)&lt;&gt;0,1,0)</f>
        <v>0</v>
      </c>
      <c r="V952" s="6" t="str">
        <f>IF(BBDD_Usiarios_Netflix[[#This Row],[Duración Plan]]="12 Meses",LEFT(BBDD_Usiarios_Netflix[[#This Row],[Duración Plan]],2),LEFT(BBDD_Usiarios_Netflix[[#This Row],[Duración Plan]],1))</f>
        <v>1</v>
      </c>
      <c r="W9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53" spans="1:23" x14ac:dyDescent="0.25">
      <c r="A953">
        <v>952</v>
      </c>
      <c r="B953" t="s">
        <v>23</v>
      </c>
      <c r="C953">
        <v>10</v>
      </c>
      <c r="D953" s="3">
        <v>16</v>
      </c>
      <c r="E953" s="3">
        <v>6</v>
      </c>
      <c r="F953">
        <v>23</v>
      </c>
      <c r="G953" s="1">
        <f>DATEVALUE(_xlfn.CONCAT(BBDD_Usiarios_Netflix[[#This Row],[Día Suscripción]],"/",BBDD_Usiarios_Netflix[[#This Row],[Mes Suscripción]],"/",BBDD_Usiarios_Netflix[[#This Row],[Año Suscripción]]))</f>
        <v>45093</v>
      </c>
      <c r="H953" s="1">
        <v>1</v>
      </c>
      <c r="I953" s="1">
        <v>7</v>
      </c>
      <c r="J953" s="1">
        <v>24</v>
      </c>
      <c r="K953" s="1" t="str">
        <f>TEXT(BBDD_Usiarios_Netflix[[#This Row],[Fecha Suscripción]],"dddd")</f>
        <v>viernes</v>
      </c>
      <c r="L953" s="1">
        <f>DATEVALUE(_xlfn.CONCAT(BBDD_Usiarios_Netflix[[#This Row],[Día Último Pago]],"/",BBDD_Usiarios_Netflix[[#This Row],[Mes Último Pago]],"/",BBDD_Usiarios_Netflix[[#This Row],[Año Último Pago]]))</f>
        <v>45474</v>
      </c>
      <c r="M953" s="4">
        <f>DATEDIF(BBDD_Usiarios_Netflix[[#This Row],[Fecha Suscripción]],BBDD_Usiarios_Netflix[[#This Row],[Fecha Último Pago]],"M")+1</f>
        <v>13</v>
      </c>
      <c r="N953" s="4">
        <f>BBDD_Usiarios_Netflix[[#This Row],[Ingresos Mensuales]]*BBDD_Usiarios_Netflix[[#This Row],[Meses contratados]]</f>
        <v>130</v>
      </c>
      <c r="O953" t="s">
        <v>45</v>
      </c>
      <c r="P953" t="str">
        <f>IF(BBDD_Usiarios_Netflix[[#This Row],[País]]="","Desconocido",BBDD_Usiarios_Netflix[[#This Row],[País]])</f>
        <v>España</v>
      </c>
      <c r="Q953">
        <v>49</v>
      </c>
      <c r="R953" t="s">
        <v>30</v>
      </c>
      <c r="S953" t="s">
        <v>31</v>
      </c>
      <c r="T953" t="s">
        <v>27</v>
      </c>
      <c r="U953">
        <f>IF(IFERROR(VLOOKUP(BBDD_Usiarios_Netflix[[#This Row],[Identificador Usuario]],A954:$A$5870,1,FALSE),0)&lt;&gt;0,1,0)</f>
        <v>0</v>
      </c>
      <c r="V953" s="6" t="str">
        <f>IF(BBDD_Usiarios_Netflix[[#This Row],[Duración Plan]]="12 Meses",LEFT(BBDD_Usiarios_Netflix[[#This Row],[Duración Plan]],2),LEFT(BBDD_Usiarios_Netflix[[#This Row],[Duración Plan]],1))</f>
        <v>1</v>
      </c>
      <c r="W9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54" spans="1:23" x14ac:dyDescent="0.25">
      <c r="A954">
        <v>953</v>
      </c>
      <c r="B954" t="s">
        <v>32</v>
      </c>
      <c r="C954">
        <v>12</v>
      </c>
      <c r="D954" s="3">
        <v>16</v>
      </c>
      <c r="E954" s="3">
        <v>6</v>
      </c>
      <c r="F954">
        <v>23</v>
      </c>
      <c r="G954" s="1">
        <f>DATEVALUE(_xlfn.CONCAT(BBDD_Usiarios_Netflix[[#This Row],[Día Suscripción]],"/",BBDD_Usiarios_Netflix[[#This Row],[Mes Suscripción]],"/",BBDD_Usiarios_Netflix[[#This Row],[Año Suscripción]]))</f>
        <v>45093</v>
      </c>
      <c r="H954" s="1">
        <v>30</v>
      </c>
      <c r="I954" s="1">
        <v>6</v>
      </c>
      <c r="J954" s="1">
        <v>24</v>
      </c>
      <c r="K954" s="1" t="str">
        <f>TEXT(BBDD_Usiarios_Netflix[[#This Row],[Fecha Suscripción]],"dddd")</f>
        <v>viernes</v>
      </c>
      <c r="L954" s="1">
        <f>DATEVALUE(_xlfn.CONCAT(BBDD_Usiarios_Netflix[[#This Row],[Día Último Pago]],"/",BBDD_Usiarios_Netflix[[#This Row],[Mes Último Pago]],"/",BBDD_Usiarios_Netflix[[#This Row],[Año Último Pago]]))</f>
        <v>45473</v>
      </c>
      <c r="M954" s="4">
        <f>DATEDIF(BBDD_Usiarios_Netflix[[#This Row],[Fecha Suscripción]],BBDD_Usiarios_Netflix[[#This Row],[Fecha Último Pago]],"M")+1</f>
        <v>13</v>
      </c>
      <c r="N954" s="4">
        <f>BBDD_Usiarios_Netflix[[#This Row],[Ingresos Mensuales]]*BBDD_Usiarios_Netflix[[#This Row],[Meses contratados]]</f>
        <v>156</v>
      </c>
      <c r="O954" t="s">
        <v>39</v>
      </c>
      <c r="P954" t="str">
        <f>IF(BBDD_Usiarios_Netflix[[#This Row],[País]]="","Desconocido",BBDD_Usiarios_Netflix[[#This Row],[País]])</f>
        <v>Canadá</v>
      </c>
      <c r="Q954">
        <v>34</v>
      </c>
      <c r="R954" t="s">
        <v>30</v>
      </c>
      <c r="S954" t="s">
        <v>36</v>
      </c>
      <c r="T954" t="s">
        <v>41</v>
      </c>
      <c r="U954">
        <f>IF(IFERROR(VLOOKUP(BBDD_Usiarios_Netflix[[#This Row],[Identificador Usuario]],A955:$A$5870,1,FALSE),0)&lt;&gt;0,1,0)</f>
        <v>0</v>
      </c>
      <c r="V954" s="6" t="str">
        <f>IF(BBDD_Usiarios_Netflix[[#This Row],[Duración Plan]]="12 Meses",LEFT(BBDD_Usiarios_Netflix[[#This Row],[Duración Plan]],2),LEFT(BBDD_Usiarios_Netflix[[#This Row],[Duración Plan]],1))</f>
        <v>12</v>
      </c>
      <c r="W9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55" spans="1:23" x14ac:dyDescent="0.25">
      <c r="A955">
        <v>954</v>
      </c>
      <c r="B955" t="s">
        <v>32</v>
      </c>
      <c r="C955">
        <v>12</v>
      </c>
      <c r="D955" s="3">
        <v>17</v>
      </c>
      <c r="E955" s="3">
        <v>6</v>
      </c>
      <c r="F955">
        <v>23</v>
      </c>
      <c r="G955" s="1">
        <f>DATEVALUE(_xlfn.CONCAT(BBDD_Usiarios_Netflix[[#This Row],[Día Suscripción]],"/",BBDD_Usiarios_Netflix[[#This Row],[Mes Suscripción]],"/",BBDD_Usiarios_Netflix[[#This Row],[Año Suscripción]]))</f>
        <v>45094</v>
      </c>
      <c r="H955" s="1">
        <v>30</v>
      </c>
      <c r="I955" s="1">
        <v>6</v>
      </c>
      <c r="J955" s="1">
        <v>24</v>
      </c>
      <c r="K955" s="1" t="str">
        <f>TEXT(BBDD_Usiarios_Netflix[[#This Row],[Fecha Suscripción]],"dddd")</f>
        <v>sábado</v>
      </c>
      <c r="L955" s="1">
        <f>DATEVALUE(_xlfn.CONCAT(BBDD_Usiarios_Netflix[[#This Row],[Día Último Pago]],"/",BBDD_Usiarios_Netflix[[#This Row],[Mes Último Pago]],"/",BBDD_Usiarios_Netflix[[#This Row],[Año Último Pago]]))</f>
        <v>45473</v>
      </c>
      <c r="M955" s="4">
        <f>DATEDIF(BBDD_Usiarios_Netflix[[#This Row],[Fecha Suscripción]],BBDD_Usiarios_Netflix[[#This Row],[Fecha Último Pago]],"M")+1</f>
        <v>13</v>
      </c>
      <c r="N955" s="4">
        <f>BBDD_Usiarios_Netflix[[#This Row],[Ingresos Mensuales]]*BBDD_Usiarios_Netflix[[#This Row],[Meses contratados]]</f>
        <v>156</v>
      </c>
      <c r="O955" t="s">
        <v>37</v>
      </c>
      <c r="P955" t="str">
        <f>IF(BBDD_Usiarios_Netflix[[#This Row],[País]]="","Desconocido",BBDD_Usiarios_Netflix[[#This Row],[País]])</f>
        <v>Brasil</v>
      </c>
      <c r="Q955">
        <v>38</v>
      </c>
      <c r="R955" t="s">
        <v>25</v>
      </c>
      <c r="S955" t="s">
        <v>26</v>
      </c>
      <c r="T955" t="s">
        <v>35</v>
      </c>
      <c r="U955">
        <f>IF(IFERROR(VLOOKUP(BBDD_Usiarios_Netflix[[#This Row],[Identificador Usuario]],A956:$A$5870,1,FALSE),0)&lt;&gt;0,1,0)</f>
        <v>0</v>
      </c>
      <c r="V955" s="6" t="str">
        <f>IF(BBDD_Usiarios_Netflix[[#This Row],[Duración Plan]]="12 Meses",LEFT(BBDD_Usiarios_Netflix[[#This Row],[Duración Plan]],2),LEFT(BBDD_Usiarios_Netflix[[#This Row],[Duración Plan]],1))</f>
        <v>6</v>
      </c>
      <c r="W9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56" spans="1:23" x14ac:dyDescent="0.25">
      <c r="A956">
        <v>955</v>
      </c>
      <c r="B956" t="s">
        <v>23</v>
      </c>
      <c r="C956">
        <v>10</v>
      </c>
      <c r="D956" s="3">
        <v>20</v>
      </c>
      <c r="E956" s="3">
        <v>6</v>
      </c>
      <c r="F956">
        <v>23</v>
      </c>
      <c r="G956" s="1">
        <f>DATEVALUE(_xlfn.CONCAT(BBDD_Usiarios_Netflix[[#This Row],[Día Suscripción]],"/",BBDD_Usiarios_Netflix[[#This Row],[Mes Suscripción]],"/",BBDD_Usiarios_Netflix[[#This Row],[Año Suscripción]]))</f>
        <v>45097</v>
      </c>
      <c r="H956" s="1">
        <v>2</v>
      </c>
      <c r="I956" s="1">
        <v>7</v>
      </c>
      <c r="J956" s="1">
        <v>24</v>
      </c>
      <c r="K956" s="1" t="str">
        <f>TEXT(BBDD_Usiarios_Netflix[[#This Row],[Fecha Suscripción]],"dddd")</f>
        <v>martes</v>
      </c>
      <c r="L956" s="1">
        <f>DATEVALUE(_xlfn.CONCAT(BBDD_Usiarios_Netflix[[#This Row],[Día Último Pago]],"/",BBDD_Usiarios_Netflix[[#This Row],[Mes Último Pago]],"/",BBDD_Usiarios_Netflix[[#This Row],[Año Último Pago]]))</f>
        <v>45475</v>
      </c>
      <c r="M956" s="4">
        <f>DATEDIF(BBDD_Usiarios_Netflix[[#This Row],[Fecha Suscripción]],BBDD_Usiarios_Netflix[[#This Row],[Fecha Último Pago]],"M")+1</f>
        <v>13</v>
      </c>
      <c r="N956" s="4">
        <f>BBDD_Usiarios_Netflix[[#This Row],[Ingresos Mensuales]]*BBDD_Usiarios_Netflix[[#This Row],[Meses contratados]]</f>
        <v>130</v>
      </c>
      <c r="O956" t="s">
        <v>29</v>
      </c>
      <c r="P956" t="str">
        <f>IF(BBDD_Usiarios_Netflix[[#This Row],[País]]="","Desconocido",BBDD_Usiarios_Netflix[[#This Row],[País]])</f>
        <v>EEUU</v>
      </c>
      <c r="Q956">
        <v>36</v>
      </c>
      <c r="R956" t="s">
        <v>30</v>
      </c>
      <c r="S956" t="s">
        <v>36</v>
      </c>
      <c r="T956" t="s">
        <v>35</v>
      </c>
      <c r="U956">
        <f>IF(IFERROR(VLOOKUP(BBDD_Usiarios_Netflix[[#This Row],[Identificador Usuario]],A957:$A$5870,1,FALSE),0)&lt;&gt;0,1,0)</f>
        <v>0</v>
      </c>
      <c r="V956" s="6" t="str">
        <f>IF(BBDD_Usiarios_Netflix[[#This Row],[Duración Plan]]="12 Meses",LEFT(BBDD_Usiarios_Netflix[[#This Row],[Duración Plan]],2),LEFT(BBDD_Usiarios_Netflix[[#This Row],[Duración Plan]],1))</f>
        <v>6</v>
      </c>
      <c r="W9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57" spans="1:23" x14ac:dyDescent="0.25">
      <c r="A957">
        <v>956</v>
      </c>
      <c r="B957" t="s">
        <v>28</v>
      </c>
      <c r="C957">
        <v>14</v>
      </c>
      <c r="D957" s="3">
        <v>24</v>
      </c>
      <c r="E957" s="3">
        <v>6</v>
      </c>
      <c r="F957">
        <v>23</v>
      </c>
      <c r="G957" s="1">
        <f>DATEVALUE(_xlfn.CONCAT(BBDD_Usiarios_Netflix[[#This Row],[Día Suscripción]],"/",BBDD_Usiarios_Netflix[[#This Row],[Mes Suscripción]],"/",BBDD_Usiarios_Netflix[[#This Row],[Año Suscripción]]))</f>
        <v>45101</v>
      </c>
      <c r="H957" s="1">
        <v>1</v>
      </c>
      <c r="I957" s="1">
        <v>7</v>
      </c>
      <c r="J957" s="1">
        <v>24</v>
      </c>
      <c r="K957" s="1" t="str">
        <f>TEXT(BBDD_Usiarios_Netflix[[#This Row],[Fecha Suscripción]],"dddd")</f>
        <v>sábado</v>
      </c>
      <c r="L957" s="1">
        <f>DATEVALUE(_xlfn.CONCAT(BBDD_Usiarios_Netflix[[#This Row],[Día Último Pago]],"/",BBDD_Usiarios_Netflix[[#This Row],[Mes Último Pago]],"/",BBDD_Usiarios_Netflix[[#This Row],[Año Último Pago]]))</f>
        <v>45474</v>
      </c>
      <c r="M957" s="4">
        <f>DATEDIF(BBDD_Usiarios_Netflix[[#This Row],[Fecha Suscripción]],BBDD_Usiarios_Netflix[[#This Row],[Fecha Último Pago]],"M")+1</f>
        <v>13</v>
      </c>
      <c r="N957" s="4">
        <f>BBDD_Usiarios_Netflix[[#This Row],[Ingresos Mensuales]]*BBDD_Usiarios_Netflix[[#This Row],[Meses contratados]]</f>
        <v>182</v>
      </c>
      <c r="O957" t="s">
        <v>33</v>
      </c>
      <c r="P957" t="str">
        <f>IF(BBDD_Usiarios_Netflix[[#This Row],[País]]="","Desconocido",BBDD_Usiarios_Netflix[[#This Row],[País]])</f>
        <v>Francia</v>
      </c>
      <c r="Q957">
        <v>42</v>
      </c>
      <c r="R957" t="s">
        <v>30</v>
      </c>
      <c r="S957" t="s">
        <v>34</v>
      </c>
      <c r="T957" t="s">
        <v>41</v>
      </c>
      <c r="U957">
        <f>IF(IFERROR(VLOOKUP(BBDD_Usiarios_Netflix[[#This Row],[Identificador Usuario]],A958:$A$5870,1,FALSE),0)&lt;&gt;0,1,0)</f>
        <v>0</v>
      </c>
      <c r="V957" s="6" t="str">
        <f>IF(BBDD_Usiarios_Netflix[[#This Row],[Duración Plan]]="12 Meses",LEFT(BBDD_Usiarios_Netflix[[#This Row],[Duración Plan]],2),LEFT(BBDD_Usiarios_Netflix[[#This Row],[Duración Plan]],1))</f>
        <v>12</v>
      </c>
      <c r="W9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58" spans="1:23" x14ac:dyDescent="0.25">
      <c r="A958">
        <v>957</v>
      </c>
      <c r="B958" t="s">
        <v>23</v>
      </c>
      <c r="C958">
        <v>10</v>
      </c>
      <c r="D958" s="3">
        <v>27</v>
      </c>
      <c r="E958" s="3">
        <v>6</v>
      </c>
      <c r="F958">
        <v>23</v>
      </c>
      <c r="G958" s="1">
        <f>DATEVALUE(_xlfn.CONCAT(BBDD_Usiarios_Netflix[[#This Row],[Día Suscripción]],"/",BBDD_Usiarios_Netflix[[#This Row],[Mes Suscripción]],"/",BBDD_Usiarios_Netflix[[#This Row],[Año Suscripción]]))</f>
        <v>45104</v>
      </c>
      <c r="H958" s="1">
        <v>1</v>
      </c>
      <c r="I958" s="1">
        <v>7</v>
      </c>
      <c r="J958" s="1">
        <v>24</v>
      </c>
      <c r="K958" s="1" t="str">
        <f>TEXT(BBDD_Usiarios_Netflix[[#This Row],[Fecha Suscripción]],"dddd")</f>
        <v>martes</v>
      </c>
      <c r="L958" s="1">
        <f>DATEVALUE(_xlfn.CONCAT(BBDD_Usiarios_Netflix[[#This Row],[Día Último Pago]],"/",BBDD_Usiarios_Netflix[[#This Row],[Mes Último Pago]],"/",BBDD_Usiarios_Netflix[[#This Row],[Año Último Pago]]))</f>
        <v>45474</v>
      </c>
      <c r="M958" s="4">
        <f>DATEDIF(BBDD_Usiarios_Netflix[[#This Row],[Fecha Suscripción]],BBDD_Usiarios_Netflix[[#This Row],[Fecha Último Pago]],"M")+1</f>
        <v>13</v>
      </c>
      <c r="N958" s="4">
        <f>BBDD_Usiarios_Netflix[[#This Row],[Ingresos Mensuales]]*BBDD_Usiarios_Netflix[[#This Row],[Meses contratados]]</f>
        <v>130</v>
      </c>
      <c r="O958" t="s">
        <v>44</v>
      </c>
      <c r="P958" t="str">
        <f>IF(BBDD_Usiarios_Netflix[[#This Row],[País]]="","Desconocido",BBDD_Usiarios_Netflix[[#This Row],[País]])</f>
        <v>Desconocido</v>
      </c>
      <c r="Q958">
        <v>50</v>
      </c>
      <c r="R958" t="s">
        <v>25</v>
      </c>
      <c r="S958" t="s">
        <v>31</v>
      </c>
      <c r="T958" t="s">
        <v>27</v>
      </c>
      <c r="U958">
        <f>IF(IFERROR(VLOOKUP(BBDD_Usiarios_Netflix[[#This Row],[Identificador Usuario]],A959:$A$5870,1,FALSE),0)&lt;&gt;0,1,0)</f>
        <v>0</v>
      </c>
      <c r="V958" s="6" t="str">
        <f>IF(BBDD_Usiarios_Netflix[[#This Row],[Duración Plan]]="12 Meses",LEFT(BBDD_Usiarios_Netflix[[#This Row],[Duración Plan]],2),LEFT(BBDD_Usiarios_Netflix[[#This Row],[Duración Plan]],1))</f>
        <v>1</v>
      </c>
      <c r="W9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59" spans="1:23" x14ac:dyDescent="0.25">
      <c r="A959">
        <v>958</v>
      </c>
      <c r="B959" t="s">
        <v>32</v>
      </c>
      <c r="C959">
        <v>12</v>
      </c>
      <c r="D959" s="3">
        <v>2</v>
      </c>
      <c r="E959" s="3">
        <v>7</v>
      </c>
      <c r="F959">
        <v>23</v>
      </c>
      <c r="G959" s="1">
        <f>DATEVALUE(_xlfn.CONCAT(BBDD_Usiarios_Netflix[[#This Row],[Día Suscripción]],"/",BBDD_Usiarios_Netflix[[#This Row],[Mes Suscripción]],"/",BBDD_Usiarios_Netflix[[#This Row],[Año Suscripción]]))</f>
        <v>45109</v>
      </c>
      <c r="H959" s="1">
        <v>1</v>
      </c>
      <c r="I959" s="1">
        <v>7</v>
      </c>
      <c r="J959" s="1">
        <v>24</v>
      </c>
      <c r="K959" s="1" t="str">
        <f>TEXT(BBDD_Usiarios_Netflix[[#This Row],[Fecha Suscripción]],"dddd")</f>
        <v>domingo</v>
      </c>
      <c r="L959" s="1">
        <f>DATEVALUE(_xlfn.CONCAT(BBDD_Usiarios_Netflix[[#This Row],[Día Último Pago]],"/",BBDD_Usiarios_Netflix[[#This Row],[Mes Último Pago]],"/",BBDD_Usiarios_Netflix[[#This Row],[Año Último Pago]]))</f>
        <v>45474</v>
      </c>
      <c r="M959" s="4">
        <f>DATEDIF(BBDD_Usiarios_Netflix[[#This Row],[Fecha Suscripción]],BBDD_Usiarios_Netflix[[#This Row],[Fecha Último Pago]],"M")+1</f>
        <v>12</v>
      </c>
      <c r="N959" s="4">
        <f>BBDD_Usiarios_Netflix[[#This Row],[Ingresos Mensuales]]*BBDD_Usiarios_Netflix[[#This Row],[Meses contratados]]</f>
        <v>144</v>
      </c>
      <c r="O959" t="s">
        <v>29</v>
      </c>
      <c r="P959" t="str">
        <f>IF(BBDD_Usiarios_Netflix[[#This Row],[País]]="","Desconocido",BBDD_Usiarios_Netflix[[#This Row],[País]])</f>
        <v>EEUU</v>
      </c>
      <c r="Q959">
        <v>42</v>
      </c>
      <c r="R959" t="s">
        <v>30</v>
      </c>
      <c r="S959" t="s">
        <v>36</v>
      </c>
      <c r="T959" t="s">
        <v>38</v>
      </c>
      <c r="U959">
        <f>IF(IFERROR(VLOOKUP(BBDD_Usiarios_Netflix[[#This Row],[Identificador Usuario]],A960:$A$5870,1,FALSE),0)&lt;&gt;0,1,0)</f>
        <v>0</v>
      </c>
      <c r="V959" s="6" t="str">
        <f>IF(BBDD_Usiarios_Netflix[[#This Row],[Duración Plan]]="12 Meses",LEFT(BBDD_Usiarios_Netflix[[#This Row],[Duración Plan]],2),LEFT(BBDD_Usiarios_Netflix[[#This Row],[Duración Plan]],1))</f>
        <v>3</v>
      </c>
      <c r="W9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60" spans="1:23" x14ac:dyDescent="0.25">
      <c r="A960">
        <v>959</v>
      </c>
      <c r="B960" t="s">
        <v>28</v>
      </c>
      <c r="C960">
        <v>14</v>
      </c>
      <c r="D960" s="3">
        <v>4</v>
      </c>
      <c r="E960" s="3">
        <v>7</v>
      </c>
      <c r="F960">
        <v>23</v>
      </c>
      <c r="G960" s="1">
        <f>DATEVALUE(_xlfn.CONCAT(BBDD_Usiarios_Netflix[[#This Row],[Día Suscripción]],"/",BBDD_Usiarios_Netflix[[#This Row],[Mes Suscripción]],"/",BBDD_Usiarios_Netflix[[#This Row],[Año Suscripción]]))</f>
        <v>45111</v>
      </c>
      <c r="H960" s="1">
        <v>2</v>
      </c>
      <c r="I960" s="1">
        <v>7</v>
      </c>
      <c r="J960" s="1">
        <v>24</v>
      </c>
      <c r="K960" s="1" t="str">
        <f>TEXT(BBDD_Usiarios_Netflix[[#This Row],[Fecha Suscripción]],"dddd")</f>
        <v>martes</v>
      </c>
      <c r="L960" s="1">
        <f>DATEVALUE(_xlfn.CONCAT(BBDD_Usiarios_Netflix[[#This Row],[Día Último Pago]],"/",BBDD_Usiarios_Netflix[[#This Row],[Mes Último Pago]],"/",BBDD_Usiarios_Netflix[[#This Row],[Año Último Pago]]))</f>
        <v>45475</v>
      </c>
      <c r="M960" s="4">
        <f>DATEDIF(BBDD_Usiarios_Netflix[[#This Row],[Fecha Suscripción]],BBDD_Usiarios_Netflix[[#This Row],[Fecha Último Pago]],"M")+1</f>
        <v>12</v>
      </c>
      <c r="N960" s="4">
        <f>BBDD_Usiarios_Netflix[[#This Row],[Ingresos Mensuales]]*BBDD_Usiarios_Netflix[[#This Row],[Meses contratados]]</f>
        <v>168</v>
      </c>
      <c r="O960" t="s">
        <v>43</v>
      </c>
      <c r="P960" t="str">
        <f>IF(BBDD_Usiarios_Netflix[[#This Row],[País]]="","Desconocido",BBDD_Usiarios_Netflix[[#This Row],[País]])</f>
        <v>Alemania</v>
      </c>
      <c r="Q960">
        <v>35</v>
      </c>
      <c r="R960" t="s">
        <v>30</v>
      </c>
      <c r="S960" t="s">
        <v>36</v>
      </c>
      <c r="T960" t="s">
        <v>27</v>
      </c>
      <c r="U960">
        <f>IF(IFERROR(VLOOKUP(BBDD_Usiarios_Netflix[[#This Row],[Identificador Usuario]],A961:$A$5870,1,FALSE),0)&lt;&gt;0,1,0)</f>
        <v>0</v>
      </c>
      <c r="V960" s="6" t="str">
        <f>IF(BBDD_Usiarios_Netflix[[#This Row],[Duración Plan]]="12 Meses",LEFT(BBDD_Usiarios_Netflix[[#This Row],[Duración Plan]],2),LEFT(BBDD_Usiarios_Netflix[[#This Row],[Duración Plan]],1))</f>
        <v>1</v>
      </c>
      <c r="W9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61" spans="1:23" x14ac:dyDescent="0.25">
      <c r="A961">
        <v>960</v>
      </c>
      <c r="B961" t="s">
        <v>23</v>
      </c>
      <c r="C961">
        <v>10</v>
      </c>
      <c r="D961" s="3">
        <v>15</v>
      </c>
      <c r="E961" s="3">
        <v>7</v>
      </c>
      <c r="F961">
        <v>23</v>
      </c>
      <c r="G961" s="1">
        <f>DATEVALUE(_xlfn.CONCAT(BBDD_Usiarios_Netflix[[#This Row],[Día Suscripción]],"/",BBDD_Usiarios_Netflix[[#This Row],[Mes Suscripción]],"/",BBDD_Usiarios_Netflix[[#This Row],[Año Suscripción]]))</f>
        <v>45122</v>
      </c>
      <c r="H961" s="1">
        <v>30</v>
      </c>
      <c r="I961" s="1">
        <v>6</v>
      </c>
      <c r="J961" s="1">
        <v>24</v>
      </c>
      <c r="K961" s="1" t="str">
        <f>TEXT(BBDD_Usiarios_Netflix[[#This Row],[Fecha Suscripción]],"dddd")</f>
        <v>sábado</v>
      </c>
      <c r="L961" s="1">
        <f>DATEVALUE(_xlfn.CONCAT(BBDD_Usiarios_Netflix[[#This Row],[Día Último Pago]],"/",BBDD_Usiarios_Netflix[[#This Row],[Mes Último Pago]],"/",BBDD_Usiarios_Netflix[[#This Row],[Año Último Pago]]))</f>
        <v>45473</v>
      </c>
      <c r="M961" s="4">
        <f>DATEDIF(BBDD_Usiarios_Netflix[[#This Row],[Fecha Suscripción]],BBDD_Usiarios_Netflix[[#This Row],[Fecha Último Pago]],"M")+1</f>
        <v>12</v>
      </c>
      <c r="N961" s="4">
        <f>BBDD_Usiarios_Netflix[[#This Row],[Ingresos Mensuales]]*BBDD_Usiarios_Netflix[[#This Row],[Meses contratados]]</f>
        <v>120</v>
      </c>
      <c r="O961" t="s">
        <v>33</v>
      </c>
      <c r="P961" t="str">
        <f>IF(BBDD_Usiarios_Netflix[[#This Row],[País]]="","Desconocido",BBDD_Usiarios_Netflix[[#This Row],[País]])</f>
        <v>Francia</v>
      </c>
      <c r="Q961">
        <v>46</v>
      </c>
      <c r="R961" t="s">
        <v>30</v>
      </c>
      <c r="S961" t="s">
        <v>31</v>
      </c>
      <c r="T961" t="s">
        <v>35</v>
      </c>
      <c r="U961">
        <f>IF(IFERROR(VLOOKUP(BBDD_Usiarios_Netflix[[#This Row],[Identificador Usuario]],A962:$A$5870,1,FALSE),0)&lt;&gt;0,1,0)</f>
        <v>0</v>
      </c>
      <c r="V961" s="6" t="str">
        <f>IF(BBDD_Usiarios_Netflix[[#This Row],[Duración Plan]]="12 Meses",LEFT(BBDD_Usiarios_Netflix[[#This Row],[Duración Plan]],2),LEFT(BBDD_Usiarios_Netflix[[#This Row],[Duración Plan]],1))</f>
        <v>6</v>
      </c>
      <c r="W9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62" spans="1:23" x14ac:dyDescent="0.25">
      <c r="A962">
        <v>961</v>
      </c>
      <c r="B962" t="s">
        <v>28</v>
      </c>
      <c r="C962">
        <v>14</v>
      </c>
      <c r="D962" s="3">
        <v>23</v>
      </c>
      <c r="E962" s="3">
        <v>7</v>
      </c>
      <c r="F962">
        <v>23</v>
      </c>
      <c r="G962" s="1">
        <f>DATEVALUE(_xlfn.CONCAT(BBDD_Usiarios_Netflix[[#This Row],[Día Suscripción]],"/",BBDD_Usiarios_Netflix[[#This Row],[Mes Suscripción]],"/",BBDD_Usiarios_Netflix[[#This Row],[Año Suscripción]]))</f>
        <v>45130</v>
      </c>
      <c r="H962" s="1">
        <v>1</v>
      </c>
      <c r="I962" s="1">
        <v>7</v>
      </c>
      <c r="J962" s="1">
        <v>24</v>
      </c>
      <c r="K962" s="1" t="str">
        <f>TEXT(BBDD_Usiarios_Netflix[[#This Row],[Fecha Suscripción]],"dddd")</f>
        <v>domingo</v>
      </c>
      <c r="L962" s="1">
        <f>DATEVALUE(_xlfn.CONCAT(BBDD_Usiarios_Netflix[[#This Row],[Día Último Pago]],"/",BBDD_Usiarios_Netflix[[#This Row],[Mes Último Pago]],"/",BBDD_Usiarios_Netflix[[#This Row],[Año Último Pago]]))</f>
        <v>45474</v>
      </c>
      <c r="M962" s="4">
        <f>DATEDIF(BBDD_Usiarios_Netflix[[#This Row],[Fecha Suscripción]],BBDD_Usiarios_Netflix[[#This Row],[Fecha Último Pago]],"M")+1</f>
        <v>12</v>
      </c>
      <c r="N962" s="4">
        <f>BBDD_Usiarios_Netflix[[#This Row],[Ingresos Mensuales]]*BBDD_Usiarios_Netflix[[#This Row],[Meses contratados]]</f>
        <v>168</v>
      </c>
      <c r="O962" t="s">
        <v>45</v>
      </c>
      <c r="P962" t="str">
        <f>IF(BBDD_Usiarios_Netflix[[#This Row],[País]]="","Desconocido",BBDD_Usiarios_Netflix[[#This Row],[País]])</f>
        <v>España</v>
      </c>
      <c r="Q962">
        <v>48</v>
      </c>
      <c r="R962" t="s">
        <v>25</v>
      </c>
      <c r="S962" t="s">
        <v>36</v>
      </c>
      <c r="T962" t="s">
        <v>27</v>
      </c>
      <c r="U962">
        <f>IF(IFERROR(VLOOKUP(BBDD_Usiarios_Netflix[[#This Row],[Identificador Usuario]],A963:$A$5870,1,FALSE),0)&lt;&gt;0,1,0)</f>
        <v>0</v>
      </c>
      <c r="V962" s="6" t="str">
        <f>IF(BBDD_Usiarios_Netflix[[#This Row],[Duración Plan]]="12 Meses",LEFT(BBDD_Usiarios_Netflix[[#This Row],[Duración Plan]],2),LEFT(BBDD_Usiarios_Netflix[[#This Row],[Duración Plan]],1))</f>
        <v>1</v>
      </c>
      <c r="W9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63" spans="1:23" x14ac:dyDescent="0.25">
      <c r="A963">
        <v>962</v>
      </c>
      <c r="B963" t="s">
        <v>23</v>
      </c>
      <c r="C963">
        <v>10</v>
      </c>
      <c r="D963" s="3">
        <v>29</v>
      </c>
      <c r="E963" s="3">
        <v>7</v>
      </c>
      <c r="F963">
        <v>23</v>
      </c>
      <c r="G963" s="1">
        <f>DATEVALUE(_xlfn.CONCAT(BBDD_Usiarios_Netflix[[#This Row],[Día Suscripción]],"/",BBDD_Usiarios_Netflix[[#This Row],[Mes Suscripción]],"/",BBDD_Usiarios_Netflix[[#This Row],[Año Suscripción]]))</f>
        <v>45136</v>
      </c>
      <c r="H963" s="1">
        <v>1</v>
      </c>
      <c r="I963" s="1">
        <v>7</v>
      </c>
      <c r="J963" s="1">
        <v>24</v>
      </c>
      <c r="K963" s="1" t="str">
        <f>TEXT(BBDD_Usiarios_Netflix[[#This Row],[Fecha Suscripción]],"dddd")</f>
        <v>sábado</v>
      </c>
      <c r="L963" s="1">
        <f>DATEVALUE(_xlfn.CONCAT(BBDD_Usiarios_Netflix[[#This Row],[Día Último Pago]],"/",BBDD_Usiarios_Netflix[[#This Row],[Mes Último Pago]],"/",BBDD_Usiarios_Netflix[[#This Row],[Año Último Pago]]))</f>
        <v>45474</v>
      </c>
      <c r="M963" s="4">
        <f>DATEDIF(BBDD_Usiarios_Netflix[[#This Row],[Fecha Suscripción]],BBDD_Usiarios_Netflix[[#This Row],[Fecha Último Pago]],"M")+1</f>
        <v>12</v>
      </c>
      <c r="N963" s="4">
        <f>BBDD_Usiarios_Netflix[[#This Row],[Ingresos Mensuales]]*BBDD_Usiarios_Netflix[[#This Row],[Meses contratados]]</f>
        <v>120</v>
      </c>
      <c r="O963" t="s">
        <v>29</v>
      </c>
      <c r="P963" t="str">
        <f>IF(BBDD_Usiarios_Netflix[[#This Row],[País]]="","Desconocido",BBDD_Usiarios_Netflix[[#This Row],[País]])</f>
        <v>EEUU</v>
      </c>
      <c r="Q963">
        <v>43</v>
      </c>
      <c r="R963" t="s">
        <v>30</v>
      </c>
      <c r="S963" t="s">
        <v>36</v>
      </c>
      <c r="T963" t="s">
        <v>41</v>
      </c>
      <c r="U963">
        <f>IF(IFERROR(VLOOKUP(BBDD_Usiarios_Netflix[[#This Row],[Identificador Usuario]],A964:$A$5870,1,FALSE),0)&lt;&gt;0,1,0)</f>
        <v>0</v>
      </c>
      <c r="V963" s="6" t="str">
        <f>IF(BBDD_Usiarios_Netflix[[#This Row],[Duración Plan]]="12 Meses",LEFT(BBDD_Usiarios_Netflix[[#This Row],[Duración Plan]],2),LEFT(BBDD_Usiarios_Netflix[[#This Row],[Duración Plan]],1))</f>
        <v>12</v>
      </c>
      <c r="W9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64" spans="1:23" x14ac:dyDescent="0.25">
      <c r="A964">
        <v>963</v>
      </c>
      <c r="B964" t="s">
        <v>32</v>
      </c>
      <c r="C964">
        <v>12</v>
      </c>
      <c r="D964" s="3">
        <v>1</v>
      </c>
      <c r="E964" s="3">
        <v>8</v>
      </c>
      <c r="F964">
        <v>23</v>
      </c>
      <c r="G964" s="1">
        <f>DATEVALUE(_xlfn.CONCAT(BBDD_Usiarios_Netflix[[#This Row],[Día Suscripción]],"/",BBDD_Usiarios_Netflix[[#This Row],[Mes Suscripción]],"/",BBDD_Usiarios_Netflix[[#This Row],[Año Suscripción]]))</f>
        <v>45139</v>
      </c>
      <c r="H964" s="1">
        <v>1</v>
      </c>
      <c r="I964" s="1">
        <v>7</v>
      </c>
      <c r="J964" s="1">
        <v>24</v>
      </c>
      <c r="K964" s="1" t="str">
        <f>TEXT(BBDD_Usiarios_Netflix[[#This Row],[Fecha Suscripción]],"dddd")</f>
        <v>martes</v>
      </c>
      <c r="L964" s="1">
        <f>DATEVALUE(_xlfn.CONCAT(BBDD_Usiarios_Netflix[[#This Row],[Día Último Pago]],"/",BBDD_Usiarios_Netflix[[#This Row],[Mes Último Pago]],"/",BBDD_Usiarios_Netflix[[#This Row],[Año Último Pago]]))</f>
        <v>45474</v>
      </c>
      <c r="M964" s="4">
        <f>DATEDIF(BBDD_Usiarios_Netflix[[#This Row],[Fecha Suscripción]],BBDD_Usiarios_Netflix[[#This Row],[Fecha Último Pago]],"M")+1</f>
        <v>12</v>
      </c>
      <c r="N964" s="4">
        <f>BBDD_Usiarios_Netflix[[#This Row],[Ingresos Mensuales]]*BBDD_Usiarios_Netflix[[#This Row],[Meses contratados]]</f>
        <v>144</v>
      </c>
      <c r="O964" t="s">
        <v>29</v>
      </c>
      <c r="P964" t="str">
        <f>IF(BBDD_Usiarios_Netflix[[#This Row],[País]]="","Desconocido",BBDD_Usiarios_Netflix[[#This Row],[País]])</f>
        <v>EEUU</v>
      </c>
      <c r="Q964">
        <v>51</v>
      </c>
      <c r="R964" t="s">
        <v>30</v>
      </c>
      <c r="S964" t="s">
        <v>31</v>
      </c>
      <c r="T964" t="s">
        <v>38</v>
      </c>
      <c r="U964">
        <f>IF(IFERROR(VLOOKUP(BBDD_Usiarios_Netflix[[#This Row],[Identificador Usuario]],A965:$A$5870,1,FALSE),0)&lt;&gt;0,1,0)</f>
        <v>0</v>
      </c>
      <c r="V964" s="6" t="str">
        <f>IF(BBDD_Usiarios_Netflix[[#This Row],[Duración Plan]]="12 Meses",LEFT(BBDD_Usiarios_Netflix[[#This Row],[Duración Plan]],2),LEFT(BBDD_Usiarios_Netflix[[#This Row],[Duración Plan]],1))</f>
        <v>3</v>
      </c>
      <c r="W9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65" spans="1:23" x14ac:dyDescent="0.25">
      <c r="A965">
        <v>964</v>
      </c>
      <c r="B965" t="s">
        <v>32</v>
      </c>
      <c r="C965">
        <v>12</v>
      </c>
      <c r="D965" s="3">
        <v>12</v>
      </c>
      <c r="E965" s="3">
        <v>8</v>
      </c>
      <c r="F965">
        <v>23</v>
      </c>
      <c r="G965" s="1">
        <f>DATEVALUE(_xlfn.CONCAT(BBDD_Usiarios_Netflix[[#This Row],[Día Suscripción]],"/",BBDD_Usiarios_Netflix[[#This Row],[Mes Suscripción]],"/",BBDD_Usiarios_Netflix[[#This Row],[Año Suscripción]]))</f>
        <v>45150</v>
      </c>
      <c r="H965" s="1">
        <v>3</v>
      </c>
      <c r="I965" s="1">
        <v>7</v>
      </c>
      <c r="J965" s="1">
        <v>24</v>
      </c>
      <c r="K965" s="1" t="str">
        <f>TEXT(BBDD_Usiarios_Netflix[[#This Row],[Fecha Suscripción]],"dddd")</f>
        <v>sábado</v>
      </c>
      <c r="L965" s="1">
        <f>DATEVALUE(_xlfn.CONCAT(BBDD_Usiarios_Netflix[[#This Row],[Día Último Pago]],"/",BBDD_Usiarios_Netflix[[#This Row],[Mes Último Pago]],"/",BBDD_Usiarios_Netflix[[#This Row],[Año Último Pago]]))</f>
        <v>45476</v>
      </c>
      <c r="M965" s="4">
        <f>DATEDIF(BBDD_Usiarios_Netflix[[#This Row],[Fecha Suscripción]],BBDD_Usiarios_Netflix[[#This Row],[Fecha Último Pago]],"M")+1</f>
        <v>11</v>
      </c>
      <c r="N965" s="4">
        <f>BBDD_Usiarios_Netflix[[#This Row],[Ingresos Mensuales]]*BBDD_Usiarios_Netflix[[#This Row],[Meses contratados]]</f>
        <v>132</v>
      </c>
      <c r="O965" t="s">
        <v>29</v>
      </c>
      <c r="P965" t="str">
        <f>IF(BBDD_Usiarios_Netflix[[#This Row],[País]]="","Desconocido",BBDD_Usiarios_Netflix[[#This Row],[País]])</f>
        <v>EEUU</v>
      </c>
      <c r="Q965">
        <v>45</v>
      </c>
      <c r="R965" t="s">
        <v>25</v>
      </c>
      <c r="S965" t="s">
        <v>34</v>
      </c>
      <c r="T965" t="s">
        <v>27</v>
      </c>
      <c r="U965">
        <f>IF(IFERROR(VLOOKUP(BBDD_Usiarios_Netflix[[#This Row],[Identificador Usuario]],A966:$A$5870,1,FALSE),0)&lt;&gt;0,1,0)</f>
        <v>0</v>
      </c>
      <c r="V965" s="6" t="str">
        <f>IF(BBDD_Usiarios_Netflix[[#This Row],[Duración Plan]]="12 Meses",LEFT(BBDD_Usiarios_Netflix[[#This Row],[Duración Plan]],2),LEFT(BBDD_Usiarios_Netflix[[#This Row],[Duración Plan]],1))</f>
        <v>1</v>
      </c>
      <c r="W9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66" spans="1:23" x14ac:dyDescent="0.25">
      <c r="A966">
        <v>965</v>
      </c>
      <c r="B966" t="s">
        <v>23</v>
      </c>
      <c r="C966">
        <v>10</v>
      </c>
      <c r="D966" s="3">
        <v>14</v>
      </c>
      <c r="E966" s="3">
        <v>8</v>
      </c>
      <c r="F966">
        <v>23</v>
      </c>
      <c r="G966" s="1">
        <f>DATEVALUE(_xlfn.CONCAT(BBDD_Usiarios_Netflix[[#This Row],[Día Suscripción]],"/",BBDD_Usiarios_Netflix[[#This Row],[Mes Suscripción]],"/",BBDD_Usiarios_Netflix[[#This Row],[Año Suscripción]]))</f>
        <v>45152</v>
      </c>
      <c r="H966" s="1">
        <v>30</v>
      </c>
      <c r="I966" s="1">
        <v>6</v>
      </c>
      <c r="J966" s="1">
        <v>24</v>
      </c>
      <c r="K966" s="1" t="str">
        <f>TEXT(BBDD_Usiarios_Netflix[[#This Row],[Fecha Suscripción]],"dddd")</f>
        <v>lunes</v>
      </c>
      <c r="L966" s="1">
        <f>DATEVALUE(_xlfn.CONCAT(BBDD_Usiarios_Netflix[[#This Row],[Día Último Pago]],"/",BBDD_Usiarios_Netflix[[#This Row],[Mes Último Pago]],"/",BBDD_Usiarios_Netflix[[#This Row],[Año Último Pago]]))</f>
        <v>45473</v>
      </c>
      <c r="M966" s="4">
        <f>DATEDIF(BBDD_Usiarios_Netflix[[#This Row],[Fecha Suscripción]],BBDD_Usiarios_Netflix[[#This Row],[Fecha Último Pago]],"M")+1</f>
        <v>11</v>
      </c>
      <c r="N966" s="4">
        <f>BBDD_Usiarios_Netflix[[#This Row],[Ingresos Mensuales]]*BBDD_Usiarios_Netflix[[#This Row],[Meses contratados]]</f>
        <v>110</v>
      </c>
      <c r="O966" t="s">
        <v>39</v>
      </c>
      <c r="P966" t="str">
        <f>IF(BBDD_Usiarios_Netflix[[#This Row],[País]]="","Desconocido",BBDD_Usiarios_Netflix[[#This Row],[País]])</f>
        <v>Canadá</v>
      </c>
      <c r="Q966">
        <v>46</v>
      </c>
      <c r="R966" t="s">
        <v>25</v>
      </c>
      <c r="S966" t="s">
        <v>36</v>
      </c>
      <c r="T966" t="s">
        <v>27</v>
      </c>
      <c r="U966">
        <f>IF(IFERROR(VLOOKUP(BBDD_Usiarios_Netflix[[#This Row],[Identificador Usuario]],A967:$A$5870,1,FALSE),0)&lt;&gt;0,1,0)</f>
        <v>0</v>
      </c>
      <c r="V966" s="6" t="str">
        <f>IF(BBDD_Usiarios_Netflix[[#This Row],[Duración Plan]]="12 Meses",LEFT(BBDD_Usiarios_Netflix[[#This Row],[Duración Plan]],2),LEFT(BBDD_Usiarios_Netflix[[#This Row],[Duración Plan]],1))</f>
        <v>1</v>
      </c>
      <c r="W9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67" spans="1:23" x14ac:dyDescent="0.25">
      <c r="A967">
        <v>966</v>
      </c>
      <c r="B967" t="s">
        <v>28</v>
      </c>
      <c r="C967">
        <v>14</v>
      </c>
      <c r="D967" s="3">
        <v>16</v>
      </c>
      <c r="E967" s="3">
        <v>8</v>
      </c>
      <c r="F967">
        <v>23</v>
      </c>
      <c r="G967" s="1">
        <f>DATEVALUE(_xlfn.CONCAT(BBDD_Usiarios_Netflix[[#This Row],[Día Suscripción]],"/",BBDD_Usiarios_Netflix[[#This Row],[Mes Suscripción]],"/",BBDD_Usiarios_Netflix[[#This Row],[Año Suscripción]]))</f>
        <v>45154</v>
      </c>
      <c r="H967" s="1">
        <v>4</v>
      </c>
      <c r="I967" s="1">
        <v>7</v>
      </c>
      <c r="J967" s="1">
        <v>24</v>
      </c>
      <c r="K967" s="1" t="str">
        <f>TEXT(BBDD_Usiarios_Netflix[[#This Row],[Fecha Suscripción]],"dddd")</f>
        <v>miércoles</v>
      </c>
      <c r="L967" s="1">
        <f>DATEVALUE(_xlfn.CONCAT(BBDD_Usiarios_Netflix[[#This Row],[Día Último Pago]],"/",BBDD_Usiarios_Netflix[[#This Row],[Mes Último Pago]],"/",BBDD_Usiarios_Netflix[[#This Row],[Año Último Pago]]))</f>
        <v>45477</v>
      </c>
      <c r="M967" s="4">
        <f>DATEDIF(BBDD_Usiarios_Netflix[[#This Row],[Fecha Suscripción]],BBDD_Usiarios_Netflix[[#This Row],[Fecha Último Pago]],"M")+1</f>
        <v>11</v>
      </c>
      <c r="N967" s="4">
        <f>BBDD_Usiarios_Netflix[[#This Row],[Ingresos Mensuales]]*BBDD_Usiarios_Netflix[[#This Row],[Meses contratados]]</f>
        <v>154</v>
      </c>
      <c r="O967" t="s">
        <v>24</v>
      </c>
      <c r="P967" t="str">
        <f>IF(BBDD_Usiarios_Netflix[[#This Row],[País]]="","Desconocido",BBDD_Usiarios_Netflix[[#This Row],[País]])</f>
        <v>Australia</v>
      </c>
      <c r="Q967">
        <v>42</v>
      </c>
      <c r="R967" t="s">
        <v>30</v>
      </c>
      <c r="S967" t="s">
        <v>36</v>
      </c>
      <c r="T967" t="s">
        <v>27</v>
      </c>
      <c r="U967">
        <f>IF(IFERROR(VLOOKUP(BBDD_Usiarios_Netflix[[#This Row],[Identificador Usuario]],A968:$A$5870,1,FALSE),0)&lt;&gt;0,1,0)</f>
        <v>0</v>
      </c>
      <c r="V967" s="6" t="str">
        <f>IF(BBDD_Usiarios_Netflix[[#This Row],[Duración Plan]]="12 Meses",LEFT(BBDD_Usiarios_Netflix[[#This Row],[Duración Plan]],2),LEFT(BBDD_Usiarios_Netflix[[#This Row],[Duración Plan]],1))</f>
        <v>1</v>
      </c>
      <c r="W9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68" spans="1:23" x14ac:dyDescent="0.25">
      <c r="A968">
        <v>967</v>
      </c>
      <c r="B968" t="s">
        <v>23</v>
      </c>
      <c r="C968">
        <v>10</v>
      </c>
      <c r="D968" s="3">
        <v>26</v>
      </c>
      <c r="E968" s="3">
        <v>8</v>
      </c>
      <c r="F968">
        <v>23</v>
      </c>
      <c r="G968" s="1">
        <f>DATEVALUE(_xlfn.CONCAT(BBDD_Usiarios_Netflix[[#This Row],[Día Suscripción]],"/",BBDD_Usiarios_Netflix[[#This Row],[Mes Suscripción]],"/",BBDD_Usiarios_Netflix[[#This Row],[Año Suscripción]]))</f>
        <v>45164</v>
      </c>
      <c r="H968" s="1">
        <v>30</v>
      </c>
      <c r="I968" s="1">
        <v>6</v>
      </c>
      <c r="J968" s="1">
        <v>24</v>
      </c>
      <c r="K968" s="1" t="str">
        <f>TEXT(BBDD_Usiarios_Netflix[[#This Row],[Fecha Suscripción]],"dddd")</f>
        <v>sábado</v>
      </c>
      <c r="L968" s="1">
        <f>DATEVALUE(_xlfn.CONCAT(BBDD_Usiarios_Netflix[[#This Row],[Día Último Pago]],"/",BBDD_Usiarios_Netflix[[#This Row],[Mes Último Pago]],"/",BBDD_Usiarios_Netflix[[#This Row],[Año Último Pago]]))</f>
        <v>45473</v>
      </c>
      <c r="M968" s="4">
        <f>DATEDIF(BBDD_Usiarios_Netflix[[#This Row],[Fecha Suscripción]],BBDD_Usiarios_Netflix[[#This Row],[Fecha Último Pago]],"M")+1</f>
        <v>11</v>
      </c>
      <c r="N968" s="4">
        <f>BBDD_Usiarios_Netflix[[#This Row],[Ingresos Mensuales]]*BBDD_Usiarios_Netflix[[#This Row],[Meses contratados]]</f>
        <v>110</v>
      </c>
      <c r="O968" t="s">
        <v>33</v>
      </c>
      <c r="P968" t="str">
        <f>IF(BBDD_Usiarios_Netflix[[#This Row],[País]]="","Desconocido",BBDD_Usiarios_Netflix[[#This Row],[País]])</f>
        <v>Francia</v>
      </c>
      <c r="Q968">
        <v>42</v>
      </c>
      <c r="R968" t="s">
        <v>30</v>
      </c>
      <c r="S968" t="s">
        <v>26</v>
      </c>
      <c r="T968" t="s">
        <v>35</v>
      </c>
      <c r="U968">
        <f>IF(IFERROR(VLOOKUP(BBDD_Usiarios_Netflix[[#This Row],[Identificador Usuario]],A969:$A$5870,1,FALSE),0)&lt;&gt;0,1,0)</f>
        <v>0</v>
      </c>
      <c r="V968" s="6" t="str">
        <f>IF(BBDD_Usiarios_Netflix[[#This Row],[Duración Plan]]="12 Meses",LEFT(BBDD_Usiarios_Netflix[[#This Row],[Duración Plan]],2),LEFT(BBDD_Usiarios_Netflix[[#This Row],[Duración Plan]],1))</f>
        <v>6</v>
      </c>
      <c r="W9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69" spans="1:23" x14ac:dyDescent="0.25">
      <c r="A969">
        <v>968</v>
      </c>
      <c r="B969" t="s">
        <v>32</v>
      </c>
      <c r="C969">
        <v>12</v>
      </c>
      <c r="D969" s="3">
        <v>31</v>
      </c>
      <c r="E969" s="3">
        <v>8</v>
      </c>
      <c r="F969">
        <v>23</v>
      </c>
      <c r="G969" s="1">
        <f>DATEVALUE(_xlfn.CONCAT(BBDD_Usiarios_Netflix[[#This Row],[Día Suscripción]],"/",BBDD_Usiarios_Netflix[[#This Row],[Mes Suscripción]],"/",BBDD_Usiarios_Netflix[[#This Row],[Año Suscripción]]))</f>
        <v>45169</v>
      </c>
      <c r="H969" s="1">
        <v>3</v>
      </c>
      <c r="I969" s="1">
        <v>7</v>
      </c>
      <c r="J969" s="1">
        <v>24</v>
      </c>
      <c r="K969" s="1" t="str">
        <f>TEXT(BBDD_Usiarios_Netflix[[#This Row],[Fecha Suscripción]],"dddd")</f>
        <v>jueves</v>
      </c>
      <c r="L969" s="1">
        <f>DATEVALUE(_xlfn.CONCAT(BBDD_Usiarios_Netflix[[#This Row],[Día Último Pago]],"/",BBDD_Usiarios_Netflix[[#This Row],[Mes Último Pago]],"/",BBDD_Usiarios_Netflix[[#This Row],[Año Último Pago]]))</f>
        <v>45476</v>
      </c>
      <c r="M969" s="4">
        <f>DATEDIF(BBDD_Usiarios_Netflix[[#This Row],[Fecha Suscripción]],BBDD_Usiarios_Netflix[[#This Row],[Fecha Último Pago]],"M")+1</f>
        <v>11</v>
      </c>
      <c r="N969" s="4">
        <f>BBDD_Usiarios_Netflix[[#This Row],[Ingresos Mensuales]]*BBDD_Usiarios_Netflix[[#This Row],[Meses contratados]]</f>
        <v>132</v>
      </c>
      <c r="O969" t="s">
        <v>40</v>
      </c>
      <c r="P969" t="str">
        <f>IF(BBDD_Usiarios_Netflix[[#This Row],[País]]="","Desconocido",BBDD_Usiarios_Netflix[[#This Row],[País]])</f>
        <v>Italia</v>
      </c>
      <c r="Q969">
        <v>50</v>
      </c>
      <c r="R969" t="s">
        <v>25</v>
      </c>
      <c r="S969" t="s">
        <v>31</v>
      </c>
      <c r="T969" t="s">
        <v>27</v>
      </c>
      <c r="U969">
        <f>IF(IFERROR(VLOOKUP(BBDD_Usiarios_Netflix[[#This Row],[Identificador Usuario]],A970:$A$5870,1,FALSE),0)&lt;&gt;0,1,0)</f>
        <v>0</v>
      </c>
      <c r="V969" s="6" t="str">
        <f>IF(BBDD_Usiarios_Netflix[[#This Row],[Duración Plan]]="12 Meses",LEFT(BBDD_Usiarios_Netflix[[#This Row],[Duración Plan]],2),LEFT(BBDD_Usiarios_Netflix[[#This Row],[Duración Plan]],1))</f>
        <v>1</v>
      </c>
      <c r="W9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70" spans="1:23" x14ac:dyDescent="0.25">
      <c r="A970">
        <v>969</v>
      </c>
      <c r="B970" t="s">
        <v>28</v>
      </c>
      <c r="C970">
        <v>14</v>
      </c>
      <c r="D970" s="3">
        <v>2</v>
      </c>
      <c r="E970" s="3">
        <v>9</v>
      </c>
      <c r="F970">
        <v>23</v>
      </c>
      <c r="G970" s="1">
        <f>DATEVALUE(_xlfn.CONCAT(BBDD_Usiarios_Netflix[[#This Row],[Día Suscripción]],"/",BBDD_Usiarios_Netflix[[#This Row],[Mes Suscripción]],"/",BBDD_Usiarios_Netflix[[#This Row],[Año Suscripción]]))</f>
        <v>45171</v>
      </c>
      <c r="H970" s="1">
        <v>30</v>
      </c>
      <c r="I970" s="1">
        <v>6</v>
      </c>
      <c r="J970" s="1">
        <v>24</v>
      </c>
      <c r="K970" s="1" t="str">
        <f>TEXT(BBDD_Usiarios_Netflix[[#This Row],[Fecha Suscripción]],"dddd")</f>
        <v>sábado</v>
      </c>
      <c r="L970" s="1">
        <f>DATEVALUE(_xlfn.CONCAT(BBDD_Usiarios_Netflix[[#This Row],[Día Último Pago]],"/",BBDD_Usiarios_Netflix[[#This Row],[Mes Último Pago]],"/",BBDD_Usiarios_Netflix[[#This Row],[Año Último Pago]]))</f>
        <v>45473</v>
      </c>
      <c r="M970" s="4">
        <f>DATEDIF(BBDD_Usiarios_Netflix[[#This Row],[Fecha Suscripción]],BBDD_Usiarios_Netflix[[#This Row],[Fecha Último Pago]],"M")+1</f>
        <v>10</v>
      </c>
      <c r="N970" s="4">
        <f>BBDD_Usiarios_Netflix[[#This Row],[Ingresos Mensuales]]*BBDD_Usiarios_Netflix[[#This Row],[Meses contratados]]</f>
        <v>140</v>
      </c>
      <c r="O970" t="s">
        <v>43</v>
      </c>
      <c r="P970" t="str">
        <f>IF(BBDD_Usiarios_Netflix[[#This Row],[País]]="","Desconocido",BBDD_Usiarios_Netflix[[#This Row],[País]])</f>
        <v>Alemania</v>
      </c>
      <c r="Q970">
        <v>28</v>
      </c>
      <c r="R970" t="s">
        <v>25</v>
      </c>
      <c r="S970" t="s">
        <v>34</v>
      </c>
      <c r="T970" t="s">
        <v>27</v>
      </c>
      <c r="U970">
        <f>IF(IFERROR(VLOOKUP(BBDD_Usiarios_Netflix[[#This Row],[Identificador Usuario]],A971:$A$5870,1,FALSE),0)&lt;&gt;0,1,0)</f>
        <v>0</v>
      </c>
      <c r="V970" s="6" t="str">
        <f>IF(BBDD_Usiarios_Netflix[[#This Row],[Duración Plan]]="12 Meses",LEFT(BBDD_Usiarios_Netflix[[#This Row],[Duración Plan]],2),LEFT(BBDD_Usiarios_Netflix[[#This Row],[Duración Plan]],1))</f>
        <v>1</v>
      </c>
      <c r="W9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71" spans="1:23" x14ac:dyDescent="0.25">
      <c r="A971">
        <v>970</v>
      </c>
      <c r="B971" t="s">
        <v>23</v>
      </c>
      <c r="C971">
        <v>10</v>
      </c>
      <c r="D971" s="3">
        <v>3</v>
      </c>
      <c r="E971" s="3">
        <v>9</v>
      </c>
      <c r="F971">
        <v>23</v>
      </c>
      <c r="G971" s="1">
        <f>DATEVALUE(_xlfn.CONCAT(BBDD_Usiarios_Netflix[[#This Row],[Día Suscripción]],"/",BBDD_Usiarios_Netflix[[#This Row],[Mes Suscripción]],"/",BBDD_Usiarios_Netflix[[#This Row],[Año Suscripción]]))</f>
        <v>45172</v>
      </c>
      <c r="H971" s="1">
        <v>3</v>
      </c>
      <c r="I971" s="1">
        <v>7</v>
      </c>
      <c r="J971" s="1">
        <v>24</v>
      </c>
      <c r="K971" s="1" t="str">
        <f>TEXT(BBDD_Usiarios_Netflix[[#This Row],[Fecha Suscripción]],"dddd")</f>
        <v>domingo</v>
      </c>
      <c r="L971" s="1">
        <f>DATEVALUE(_xlfn.CONCAT(BBDD_Usiarios_Netflix[[#This Row],[Día Último Pago]],"/",BBDD_Usiarios_Netflix[[#This Row],[Mes Último Pago]],"/",BBDD_Usiarios_Netflix[[#This Row],[Año Último Pago]]))</f>
        <v>45476</v>
      </c>
      <c r="M971" s="4">
        <f>DATEDIF(BBDD_Usiarios_Netflix[[#This Row],[Fecha Suscripción]],BBDD_Usiarios_Netflix[[#This Row],[Fecha Último Pago]],"M")+1</f>
        <v>11</v>
      </c>
      <c r="N971" s="4">
        <f>BBDD_Usiarios_Netflix[[#This Row],[Ingresos Mensuales]]*BBDD_Usiarios_Netflix[[#This Row],[Meses contratados]]</f>
        <v>110</v>
      </c>
      <c r="O971" t="s">
        <v>39</v>
      </c>
      <c r="P971" t="str">
        <f>IF(BBDD_Usiarios_Netflix[[#This Row],[País]]="","Desconocido",BBDD_Usiarios_Netflix[[#This Row],[País]])</f>
        <v>Canadá</v>
      </c>
      <c r="Q971">
        <v>44</v>
      </c>
      <c r="R971" t="s">
        <v>30</v>
      </c>
      <c r="S971" t="s">
        <v>31</v>
      </c>
      <c r="T971" t="s">
        <v>35</v>
      </c>
      <c r="U971">
        <f>IF(IFERROR(VLOOKUP(BBDD_Usiarios_Netflix[[#This Row],[Identificador Usuario]],A972:$A$5870,1,FALSE),0)&lt;&gt;0,1,0)</f>
        <v>0</v>
      </c>
      <c r="V971" s="6" t="str">
        <f>IF(BBDD_Usiarios_Netflix[[#This Row],[Duración Plan]]="12 Meses",LEFT(BBDD_Usiarios_Netflix[[#This Row],[Duración Plan]],2),LEFT(BBDD_Usiarios_Netflix[[#This Row],[Duración Plan]],1))</f>
        <v>6</v>
      </c>
      <c r="W9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72" spans="1:23" x14ac:dyDescent="0.25">
      <c r="A972">
        <v>971</v>
      </c>
      <c r="B972" t="s">
        <v>23</v>
      </c>
      <c r="C972">
        <v>10</v>
      </c>
      <c r="D972" s="3">
        <v>5</v>
      </c>
      <c r="E972" s="3">
        <v>9</v>
      </c>
      <c r="F972">
        <v>23</v>
      </c>
      <c r="G972" s="1">
        <f>DATEVALUE(_xlfn.CONCAT(BBDD_Usiarios_Netflix[[#This Row],[Día Suscripción]],"/",BBDD_Usiarios_Netflix[[#This Row],[Mes Suscripción]],"/",BBDD_Usiarios_Netflix[[#This Row],[Año Suscripción]]))</f>
        <v>45174</v>
      </c>
      <c r="H972" s="1">
        <v>1</v>
      </c>
      <c r="I972" s="1">
        <v>7</v>
      </c>
      <c r="J972" s="1">
        <v>24</v>
      </c>
      <c r="K972" s="1" t="str">
        <f>TEXT(BBDD_Usiarios_Netflix[[#This Row],[Fecha Suscripción]],"dddd")</f>
        <v>martes</v>
      </c>
      <c r="L972" s="1">
        <f>DATEVALUE(_xlfn.CONCAT(BBDD_Usiarios_Netflix[[#This Row],[Día Último Pago]],"/",BBDD_Usiarios_Netflix[[#This Row],[Mes Último Pago]],"/",BBDD_Usiarios_Netflix[[#This Row],[Año Último Pago]]))</f>
        <v>45474</v>
      </c>
      <c r="M972" s="4">
        <f>DATEDIF(BBDD_Usiarios_Netflix[[#This Row],[Fecha Suscripción]],BBDD_Usiarios_Netflix[[#This Row],[Fecha Último Pago]],"M")+1</f>
        <v>10</v>
      </c>
      <c r="N972" s="4">
        <f>BBDD_Usiarios_Netflix[[#This Row],[Ingresos Mensuales]]*BBDD_Usiarios_Netflix[[#This Row],[Meses contratados]]</f>
        <v>100</v>
      </c>
      <c r="O972" t="s">
        <v>33</v>
      </c>
      <c r="P972" t="str">
        <f>IF(BBDD_Usiarios_Netflix[[#This Row],[País]]="","Desconocido",BBDD_Usiarios_Netflix[[#This Row],[País]])</f>
        <v>Francia</v>
      </c>
      <c r="Q972">
        <v>36</v>
      </c>
      <c r="R972" t="s">
        <v>25</v>
      </c>
      <c r="S972" t="s">
        <v>31</v>
      </c>
      <c r="T972" t="s">
        <v>27</v>
      </c>
      <c r="U972">
        <f>IF(IFERROR(VLOOKUP(BBDD_Usiarios_Netflix[[#This Row],[Identificador Usuario]],A973:$A$5870,1,FALSE),0)&lt;&gt;0,1,0)</f>
        <v>0</v>
      </c>
      <c r="V972" s="6" t="str">
        <f>IF(BBDD_Usiarios_Netflix[[#This Row],[Duración Plan]]="12 Meses",LEFT(BBDD_Usiarios_Netflix[[#This Row],[Duración Plan]],2),LEFT(BBDD_Usiarios_Netflix[[#This Row],[Duración Plan]],1))</f>
        <v>1</v>
      </c>
      <c r="W9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73" spans="1:23" x14ac:dyDescent="0.25">
      <c r="A973">
        <v>972</v>
      </c>
      <c r="B973" t="s">
        <v>23</v>
      </c>
      <c r="C973">
        <v>10</v>
      </c>
      <c r="D973" s="3">
        <v>10</v>
      </c>
      <c r="E973" s="3">
        <v>9</v>
      </c>
      <c r="F973">
        <v>23</v>
      </c>
      <c r="G973" s="1">
        <f>DATEVALUE(_xlfn.CONCAT(BBDD_Usiarios_Netflix[[#This Row],[Día Suscripción]],"/",BBDD_Usiarios_Netflix[[#This Row],[Mes Suscripción]],"/",BBDD_Usiarios_Netflix[[#This Row],[Año Suscripción]]))</f>
        <v>45179</v>
      </c>
      <c r="H973" s="1">
        <v>2</v>
      </c>
      <c r="I973" s="1">
        <v>7</v>
      </c>
      <c r="J973" s="1">
        <v>24</v>
      </c>
      <c r="K973" s="1" t="str">
        <f>TEXT(BBDD_Usiarios_Netflix[[#This Row],[Fecha Suscripción]],"dddd")</f>
        <v>domingo</v>
      </c>
      <c r="L973" s="1">
        <f>DATEVALUE(_xlfn.CONCAT(BBDD_Usiarios_Netflix[[#This Row],[Día Último Pago]],"/",BBDD_Usiarios_Netflix[[#This Row],[Mes Último Pago]],"/",BBDD_Usiarios_Netflix[[#This Row],[Año Último Pago]]))</f>
        <v>45475</v>
      </c>
      <c r="M973" s="4">
        <f>DATEDIF(BBDD_Usiarios_Netflix[[#This Row],[Fecha Suscripción]],BBDD_Usiarios_Netflix[[#This Row],[Fecha Último Pago]],"M")+1</f>
        <v>10</v>
      </c>
      <c r="N973" s="4">
        <f>BBDD_Usiarios_Netflix[[#This Row],[Ingresos Mensuales]]*BBDD_Usiarios_Netflix[[#This Row],[Meses contratados]]</f>
        <v>100</v>
      </c>
      <c r="O973" t="s">
        <v>24</v>
      </c>
      <c r="P973" t="str">
        <f>IF(BBDD_Usiarios_Netflix[[#This Row],[País]]="","Desconocido",BBDD_Usiarios_Netflix[[#This Row],[País]])</f>
        <v>Australia</v>
      </c>
      <c r="Q973">
        <v>37</v>
      </c>
      <c r="R973" t="s">
        <v>30</v>
      </c>
      <c r="S973" t="s">
        <v>36</v>
      </c>
      <c r="T973" t="s">
        <v>35</v>
      </c>
      <c r="U973">
        <f>IF(IFERROR(VLOOKUP(BBDD_Usiarios_Netflix[[#This Row],[Identificador Usuario]],A974:$A$5870,1,FALSE),0)&lt;&gt;0,1,0)</f>
        <v>0</v>
      </c>
      <c r="V973" s="6" t="str">
        <f>IF(BBDD_Usiarios_Netflix[[#This Row],[Duración Plan]]="12 Meses",LEFT(BBDD_Usiarios_Netflix[[#This Row],[Duración Plan]],2),LEFT(BBDD_Usiarios_Netflix[[#This Row],[Duración Plan]],1))</f>
        <v>6</v>
      </c>
      <c r="W9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74" spans="1:23" x14ac:dyDescent="0.25">
      <c r="A974">
        <v>973</v>
      </c>
      <c r="B974" t="s">
        <v>32</v>
      </c>
      <c r="C974">
        <v>12</v>
      </c>
      <c r="D974" s="3">
        <v>17</v>
      </c>
      <c r="E974" s="3">
        <v>9</v>
      </c>
      <c r="F974">
        <v>23</v>
      </c>
      <c r="G974" s="1">
        <f>DATEVALUE(_xlfn.CONCAT(BBDD_Usiarios_Netflix[[#This Row],[Día Suscripción]],"/",BBDD_Usiarios_Netflix[[#This Row],[Mes Suscripción]],"/",BBDD_Usiarios_Netflix[[#This Row],[Año Suscripción]]))</f>
        <v>45186</v>
      </c>
      <c r="H974" s="1">
        <v>1</v>
      </c>
      <c r="I974" s="1">
        <v>7</v>
      </c>
      <c r="J974" s="1">
        <v>24</v>
      </c>
      <c r="K974" s="1" t="str">
        <f>TEXT(BBDD_Usiarios_Netflix[[#This Row],[Fecha Suscripción]],"dddd")</f>
        <v>domingo</v>
      </c>
      <c r="L974" s="1">
        <f>DATEVALUE(_xlfn.CONCAT(BBDD_Usiarios_Netflix[[#This Row],[Día Último Pago]],"/",BBDD_Usiarios_Netflix[[#This Row],[Mes Último Pago]],"/",BBDD_Usiarios_Netflix[[#This Row],[Año Último Pago]]))</f>
        <v>45474</v>
      </c>
      <c r="M974" s="4">
        <f>DATEDIF(BBDD_Usiarios_Netflix[[#This Row],[Fecha Suscripción]],BBDD_Usiarios_Netflix[[#This Row],[Fecha Último Pago]],"M")+1</f>
        <v>10</v>
      </c>
      <c r="N974" s="4">
        <f>BBDD_Usiarios_Netflix[[#This Row],[Ingresos Mensuales]]*BBDD_Usiarios_Netflix[[#This Row],[Meses contratados]]</f>
        <v>120</v>
      </c>
      <c r="O974" t="s">
        <v>29</v>
      </c>
      <c r="P974" t="str">
        <f>IF(BBDD_Usiarios_Netflix[[#This Row],[País]]="","Desconocido",BBDD_Usiarios_Netflix[[#This Row],[País]])</f>
        <v>EEUU</v>
      </c>
      <c r="Q974">
        <v>36</v>
      </c>
      <c r="R974" t="s">
        <v>25</v>
      </c>
      <c r="S974" t="s">
        <v>26</v>
      </c>
      <c r="T974" t="s">
        <v>41</v>
      </c>
      <c r="U974">
        <f>IF(IFERROR(VLOOKUP(BBDD_Usiarios_Netflix[[#This Row],[Identificador Usuario]],A975:$A$5870,1,FALSE),0)&lt;&gt;0,1,0)</f>
        <v>0</v>
      </c>
      <c r="V974" s="6" t="str">
        <f>IF(BBDD_Usiarios_Netflix[[#This Row],[Duración Plan]]="12 Meses",LEFT(BBDD_Usiarios_Netflix[[#This Row],[Duración Plan]],2),LEFT(BBDD_Usiarios_Netflix[[#This Row],[Duración Plan]],1))</f>
        <v>12</v>
      </c>
      <c r="W9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75" spans="1:23" x14ac:dyDescent="0.25">
      <c r="A975">
        <v>974</v>
      </c>
      <c r="B975" t="s">
        <v>28</v>
      </c>
      <c r="C975">
        <v>14</v>
      </c>
      <c r="D975" s="3">
        <v>28</v>
      </c>
      <c r="E975" s="3">
        <v>9</v>
      </c>
      <c r="F975">
        <v>23</v>
      </c>
      <c r="G975" s="1">
        <f>DATEVALUE(_xlfn.CONCAT(BBDD_Usiarios_Netflix[[#This Row],[Día Suscripción]],"/",BBDD_Usiarios_Netflix[[#This Row],[Mes Suscripción]],"/",BBDD_Usiarios_Netflix[[#This Row],[Año Suscripción]]))</f>
        <v>45197</v>
      </c>
      <c r="H975" s="1">
        <v>3</v>
      </c>
      <c r="I975" s="1">
        <v>7</v>
      </c>
      <c r="J975" s="1">
        <v>24</v>
      </c>
      <c r="K975" s="1" t="str">
        <f>TEXT(BBDD_Usiarios_Netflix[[#This Row],[Fecha Suscripción]],"dddd")</f>
        <v>jueves</v>
      </c>
      <c r="L975" s="1">
        <f>DATEVALUE(_xlfn.CONCAT(BBDD_Usiarios_Netflix[[#This Row],[Día Último Pago]],"/",BBDD_Usiarios_Netflix[[#This Row],[Mes Último Pago]],"/",BBDD_Usiarios_Netflix[[#This Row],[Año Último Pago]]))</f>
        <v>45476</v>
      </c>
      <c r="M975" s="4">
        <f>DATEDIF(BBDD_Usiarios_Netflix[[#This Row],[Fecha Suscripción]],BBDD_Usiarios_Netflix[[#This Row],[Fecha Último Pago]],"M")+1</f>
        <v>10</v>
      </c>
      <c r="N975" s="4">
        <f>BBDD_Usiarios_Netflix[[#This Row],[Ingresos Mensuales]]*BBDD_Usiarios_Netflix[[#This Row],[Meses contratados]]</f>
        <v>140</v>
      </c>
      <c r="O975" t="s">
        <v>39</v>
      </c>
      <c r="P975" t="str">
        <f>IF(BBDD_Usiarios_Netflix[[#This Row],[País]]="","Desconocido",BBDD_Usiarios_Netflix[[#This Row],[País]])</f>
        <v>Canadá</v>
      </c>
      <c r="Q975">
        <v>31</v>
      </c>
      <c r="R975" t="s">
        <v>25</v>
      </c>
      <c r="S975" t="s">
        <v>26</v>
      </c>
      <c r="T975" t="s">
        <v>27</v>
      </c>
      <c r="U975">
        <f>IF(IFERROR(VLOOKUP(BBDD_Usiarios_Netflix[[#This Row],[Identificador Usuario]],A976:$A$5870,1,FALSE),0)&lt;&gt;0,1,0)</f>
        <v>0</v>
      </c>
      <c r="V975" s="6" t="str">
        <f>IF(BBDD_Usiarios_Netflix[[#This Row],[Duración Plan]]="12 Meses",LEFT(BBDD_Usiarios_Netflix[[#This Row],[Duración Plan]],2),LEFT(BBDD_Usiarios_Netflix[[#This Row],[Duración Plan]],1))</f>
        <v>1</v>
      </c>
      <c r="W9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76" spans="1:23" x14ac:dyDescent="0.25">
      <c r="A976">
        <v>975</v>
      </c>
      <c r="B976" t="s">
        <v>23</v>
      </c>
      <c r="C976">
        <v>10</v>
      </c>
      <c r="D976" s="3">
        <v>2</v>
      </c>
      <c r="E976" s="3">
        <v>10</v>
      </c>
      <c r="F976">
        <v>23</v>
      </c>
      <c r="G976" s="1">
        <f>DATEVALUE(_xlfn.CONCAT(BBDD_Usiarios_Netflix[[#This Row],[Día Suscripción]],"/",BBDD_Usiarios_Netflix[[#This Row],[Mes Suscripción]],"/",BBDD_Usiarios_Netflix[[#This Row],[Año Suscripción]]))</f>
        <v>45201</v>
      </c>
      <c r="H976" s="1">
        <v>30</v>
      </c>
      <c r="I976" s="1">
        <v>6</v>
      </c>
      <c r="J976" s="1">
        <v>24</v>
      </c>
      <c r="K976" s="1" t="str">
        <f>TEXT(BBDD_Usiarios_Netflix[[#This Row],[Fecha Suscripción]],"dddd")</f>
        <v>lunes</v>
      </c>
      <c r="L976" s="1">
        <f>DATEVALUE(_xlfn.CONCAT(BBDD_Usiarios_Netflix[[#This Row],[Día Último Pago]],"/",BBDD_Usiarios_Netflix[[#This Row],[Mes Último Pago]],"/",BBDD_Usiarios_Netflix[[#This Row],[Año Último Pago]]))</f>
        <v>45473</v>
      </c>
      <c r="M976" s="4">
        <f>DATEDIF(BBDD_Usiarios_Netflix[[#This Row],[Fecha Suscripción]],BBDD_Usiarios_Netflix[[#This Row],[Fecha Último Pago]],"M")+1</f>
        <v>9</v>
      </c>
      <c r="N976" s="4">
        <f>BBDD_Usiarios_Netflix[[#This Row],[Ingresos Mensuales]]*BBDD_Usiarios_Netflix[[#This Row],[Meses contratados]]</f>
        <v>90</v>
      </c>
      <c r="O976" t="s">
        <v>39</v>
      </c>
      <c r="P976" t="str">
        <f>IF(BBDD_Usiarios_Netflix[[#This Row],[País]]="","Desconocido",BBDD_Usiarios_Netflix[[#This Row],[País]])</f>
        <v>Canadá</v>
      </c>
      <c r="Q976">
        <v>83</v>
      </c>
      <c r="R976" t="s">
        <v>30</v>
      </c>
      <c r="S976" t="s">
        <v>34</v>
      </c>
      <c r="T976" t="s">
        <v>38</v>
      </c>
      <c r="U976">
        <f>IF(IFERROR(VLOOKUP(BBDD_Usiarios_Netflix[[#This Row],[Identificador Usuario]],A977:$A$5870,1,FALSE),0)&lt;&gt;0,1,0)</f>
        <v>0</v>
      </c>
      <c r="V976" s="6" t="str">
        <f>IF(BBDD_Usiarios_Netflix[[#This Row],[Duración Plan]]="12 Meses",LEFT(BBDD_Usiarios_Netflix[[#This Row],[Duración Plan]],2),LEFT(BBDD_Usiarios_Netflix[[#This Row],[Duración Plan]],1))</f>
        <v>3</v>
      </c>
      <c r="W9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77" spans="1:23" x14ac:dyDescent="0.25">
      <c r="A977">
        <v>976</v>
      </c>
      <c r="B977" t="s">
        <v>23</v>
      </c>
      <c r="C977">
        <v>10</v>
      </c>
      <c r="D977" s="3">
        <v>5</v>
      </c>
      <c r="E977" s="3">
        <v>10</v>
      </c>
      <c r="F977">
        <v>23</v>
      </c>
      <c r="G977" s="1">
        <f>DATEVALUE(_xlfn.CONCAT(BBDD_Usiarios_Netflix[[#This Row],[Día Suscripción]],"/",BBDD_Usiarios_Netflix[[#This Row],[Mes Suscripción]],"/",BBDD_Usiarios_Netflix[[#This Row],[Año Suscripción]]))</f>
        <v>45204</v>
      </c>
      <c r="H977" s="1">
        <v>3</v>
      </c>
      <c r="I977" s="1">
        <v>7</v>
      </c>
      <c r="J977" s="1">
        <v>24</v>
      </c>
      <c r="K977" s="1" t="str">
        <f>TEXT(BBDD_Usiarios_Netflix[[#This Row],[Fecha Suscripción]],"dddd")</f>
        <v>jueves</v>
      </c>
      <c r="L977" s="1">
        <f>DATEVALUE(_xlfn.CONCAT(BBDD_Usiarios_Netflix[[#This Row],[Día Último Pago]],"/",BBDD_Usiarios_Netflix[[#This Row],[Mes Último Pago]],"/",BBDD_Usiarios_Netflix[[#This Row],[Año Último Pago]]))</f>
        <v>45476</v>
      </c>
      <c r="M977" s="4">
        <f>DATEDIF(BBDD_Usiarios_Netflix[[#This Row],[Fecha Suscripción]],BBDD_Usiarios_Netflix[[#This Row],[Fecha Último Pago]],"M")+1</f>
        <v>9</v>
      </c>
      <c r="N977" s="4">
        <f>BBDD_Usiarios_Netflix[[#This Row],[Ingresos Mensuales]]*BBDD_Usiarios_Netflix[[#This Row],[Meses contratados]]</f>
        <v>90</v>
      </c>
      <c r="O977" t="s">
        <v>24</v>
      </c>
      <c r="P977" t="str">
        <f>IF(BBDD_Usiarios_Netflix[[#This Row],[País]]="","Desconocido",BBDD_Usiarios_Netflix[[#This Row],[País]])</f>
        <v>Australia</v>
      </c>
      <c r="Q977">
        <v>39</v>
      </c>
      <c r="R977" t="s">
        <v>30</v>
      </c>
      <c r="S977" t="s">
        <v>36</v>
      </c>
      <c r="T977" t="s">
        <v>41</v>
      </c>
      <c r="U977">
        <f>IF(IFERROR(VLOOKUP(BBDD_Usiarios_Netflix[[#This Row],[Identificador Usuario]],A978:$A$5870,1,FALSE),0)&lt;&gt;0,1,0)</f>
        <v>0</v>
      </c>
      <c r="V977" s="6" t="str">
        <f>IF(BBDD_Usiarios_Netflix[[#This Row],[Duración Plan]]="12 Meses",LEFT(BBDD_Usiarios_Netflix[[#This Row],[Duración Plan]],2),LEFT(BBDD_Usiarios_Netflix[[#This Row],[Duración Plan]],1))</f>
        <v>12</v>
      </c>
      <c r="W9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78" spans="1:23" x14ac:dyDescent="0.25">
      <c r="A978">
        <v>977</v>
      </c>
      <c r="B978" t="s">
        <v>28</v>
      </c>
      <c r="C978">
        <v>14</v>
      </c>
      <c r="D978" s="3">
        <v>7</v>
      </c>
      <c r="E978" s="3">
        <v>10</v>
      </c>
      <c r="F978">
        <v>23</v>
      </c>
      <c r="G978" s="1">
        <f>DATEVALUE(_xlfn.CONCAT(BBDD_Usiarios_Netflix[[#This Row],[Día Suscripción]],"/",BBDD_Usiarios_Netflix[[#This Row],[Mes Suscripción]],"/",BBDD_Usiarios_Netflix[[#This Row],[Año Suscripción]]))</f>
        <v>45206</v>
      </c>
      <c r="H978" s="1">
        <v>30</v>
      </c>
      <c r="I978" s="1">
        <v>6</v>
      </c>
      <c r="J978" s="1">
        <v>24</v>
      </c>
      <c r="K978" s="1" t="str">
        <f>TEXT(BBDD_Usiarios_Netflix[[#This Row],[Fecha Suscripción]],"dddd")</f>
        <v>sábado</v>
      </c>
      <c r="L978" s="1">
        <f>DATEVALUE(_xlfn.CONCAT(BBDD_Usiarios_Netflix[[#This Row],[Día Último Pago]],"/",BBDD_Usiarios_Netflix[[#This Row],[Mes Último Pago]],"/",BBDD_Usiarios_Netflix[[#This Row],[Año Último Pago]]))</f>
        <v>45473</v>
      </c>
      <c r="M978" s="4">
        <f>DATEDIF(BBDD_Usiarios_Netflix[[#This Row],[Fecha Suscripción]],BBDD_Usiarios_Netflix[[#This Row],[Fecha Último Pago]],"M")+1</f>
        <v>9</v>
      </c>
      <c r="N978" s="4">
        <f>BBDD_Usiarios_Netflix[[#This Row],[Ingresos Mensuales]]*BBDD_Usiarios_Netflix[[#This Row],[Meses contratados]]</f>
        <v>126</v>
      </c>
      <c r="O978" t="s">
        <v>33</v>
      </c>
      <c r="P978" t="str">
        <f>IF(BBDD_Usiarios_Netflix[[#This Row],[País]]="","Desconocido",BBDD_Usiarios_Netflix[[#This Row],[País]])</f>
        <v>Francia</v>
      </c>
      <c r="Q978">
        <v>45</v>
      </c>
      <c r="R978" t="s">
        <v>30</v>
      </c>
      <c r="S978" t="s">
        <v>36</v>
      </c>
      <c r="T978" t="s">
        <v>41</v>
      </c>
      <c r="U978">
        <f>IF(IFERROR(VLOOKUP(BBDD_Usiarios_Netflix[[#This Row],[Identificador Usuario]],A979:$A$5870,1,FALSE),0)&lt;&gt;0,1,0)</f>
        <v>0</v>
      </c>
      <c r="V978" s="6" t="str">
        <f>IF(BBDD_Usiarios_Netflix[[#This Row],[Duración Plan]]="12 Meses",LEFT(BBDD_Usiarios_Netflix[[#This Row],[Duración Plan]],2),LEFT(BBDD_Usiarios_Netflix[[#This Row],[Duración Plan]],1))</f>
        <v>12</v>
      </c>
      <c r="W9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79" spans="1:23" x14ac:dyDescent="0.25">
      <c r="A979">
        <v>978</v>
      </c>
      <c r="B979" t="s">
        <v>32</v>
      </c>
      <c r="C979">
        <v>12</v>
      </c>
      <c r="D979" s="3">
        <v>8</v>
      </c>
      <c r="E979" s="3">
        <v>10</v>
      </c>
      <c r="F979">
        <v>23</v>
      </c>
      <c r="G979" s="1">
        <f>DATEVALUE(_xlfn.CONCAT(BBDD_Usiarios_Netflix[[#This Row],[Día Suscripción]],"/",BBDD_Usiarios_Netflix[[#This Row],[Mes Suscripción]],"/",BBDD_Usiarios_Netflix[[#This Row],[Año Suscripción]]))</f>
        <v>45207</v>
      </c>
      <c r="H979" s="1">
        <v>3</v>
      </c>
      <c r="I979" s="1">
        <v>7</v>
      </c>
      <c r="J979" s="1">
        <v>24</v>
      </c>
      <c r="K979" s="1" t="str">
        <f>TEXT(BBDD_Usiarios_Netflix[[#This Row],[Fecha Suscripción]],"dddd")</f>
        <v>domingo</v>
      </c>
      <c r="L979" s="1">
        <f>DATEVALUE(_xlfn.CONCAT(BBDD_Usiarios_Netflix[[#This Row],[Día Último Pago]],"/",BBDD_Usiarios_Netflix[[#This Row],[Mes Último Pago]],"/",BBDD_Usiarios_Netflix[[#This Row],[Año Último Pago]]))</f>
        <v>45476</v>
      </c>
      <c r="M979" s="4">
        <f>DATEDIF(BBDD_Usiarios_Netflix[[#This Row],[Fecha Suscripción]],BBDD_Usiarios_Netflix[[#This Row],[Fecha Último Pago]],"M")+1</f>
        <v>9</v>
      </c>
      <c r="N979" s="4">
        <f>BBDD_Usiarios_Netflix[[#This Row],[Ingresos Mensuales]]*BBDD_Usiarios_Netflix[[#This Row],[Meses contratados]]</f>
        <v>108</v>
      </c>
      <c r="O979" t="s">
        <v>40</v>
      </c>
      <c r="P979" t="str">
        <f>IF(BBDD_Usiarios_Netflix[[#This Row],[País]]="","Desconocido",BBDD_Usiarios_Netflix[[#This Row],[País]])</f>
        <v>Italia</v>
      </c>
      <c r="Q979">
        <v>29</v>
      </c>
      <c r="R979" t="s">
        <v>25</v>
      </c>
      <c r="S979" t="s">
        <v>34</v>
      </c>
      <c r="T979" t="s">
        <v>35</v>
      </c>
      <c r="U979">
        <f>IF(IFERROR(VLOOKUP(BBDD_Usiarios_Netflix[[#This Row],[Identificador Usuario]],A980:$A$5870,1,FALSE),0)&lt;&gt;0,1,0)</f>
        <v>0</v>
      </c>
      <c r="V979" s="6" t="str">
        <f>IF(BBDD_Usiarios_Netflix[[#This Row],[Duración Plan]]="12 Meses",LEFT(BBDD_Usiarios_Netflix[[#This Row],[Duración Plan]],2),LEFT(BBDD_Usiarios_Netflix[[#This Row],[Duración Plan]],1))</f>
        <v>6</v>
      </c>
      <c r="W9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80" spans="1:23" x14ac:dyDescent="0.25">
      <c r="A980">
        <v>979</v>
      </c>
      <c r="B980" t="s">
        <v>32</v>
      </c>
      <c r="C980">
        <v>12</v>
      </c>
      <c r="D980" s="3">
        <v>8</v>
      </c>
      <c r="E980" s="3">
        <v>10</v>
      </c>
      <c r="F980">
        <v>23</v>
      </c>
      <c r="G980" s="1">
        <f>DATEVALUE(_xlfn.CONCAT(BBDD_Usiarios_Netflix[[#This Row],[Día Suscripción]],"/",BBDD_Usiarios_Netflix[[#This Row],[Mes Suscripción]],"/",BBDD_Usiarios_Netflix[[#This Row],[Año Suscripción]]))</f>
        <v>45207</v>
      </c>
      <c r="H980" s="1">
        <v>1</v>
      </c>
      <c r="I980" s="1">
        <v>7</v>
      </c>
      <c r="J980" s="1">
        <v>24</v>
      </c>
      <c r="K980" s="1" t="str">
        <f>TEXT(BBDD_Usiarios_Netflix[[#This Row],[Fecha Suscripción]],"dddd")</f>
        <v>domingo</v>
      </c>
      <c r="L980" s="1">
        <f>DATEVALUE(_xlfn.CONCAT(BBDD_Usiarios_Netflix[[#This Row],[Día Último Pago]],"/",BBDD_Usiarios_Netflix[[#This Row],[Mes Último Pago]],"/",BBDD_Usiarios_Netflix[[#This Row],[Año Último Pago]]))</f>
        <v>45474</v>
      </c>
      <c r="M980" s="4">
        <f>DATEDIF(BBDD_Usiarios_Netflix[[#This Row],[Fecha Suscripción]],BBDD_Usiarios_Netflix[[#This Row],[Fecha Último Pago]],"M")+1</f>
        <v>9</v>
      </c>
      <c r="N980" s="4">
        <f>BBDD_Usiarios_Netflix[[#This Row],[Ingresos Mensuales]]*BBDD_Usiarios_Netflix[[#This Row],[Meses contratados]]</f>
        <v>108</v>
      </c>
      <c r="O980" t="s">
        <v>40</v>
      </c>
      <c r="P980" t="str">
        <f>IF(BBDD_Usiarios_Netflix[[#This Row],[País]]="","Desconocido",BBDD_Usiarios_Netflix[[#This Row],[País]])</f>
        <v>Italia</v>
      </c>
      <c r="Q980">
        <v>45</v>
      </c>
      <c r="R980" t="s">
        <v>25</v>
      </c>
      <c r="S980" t="s">
        <v>26</v>
      </c>
      <c r="T980" t="s">
        <v>38</v>
      </c>
      <c r="U980">
        <f>IF(IFERROR(VLOOKUP(BBDD_Usiarios_Netflix[[#This Row],[Identificador Usuario]],A981:$A$5870,1,FALSE),0)&lt;&gt;0,1,0)</f>
        <v>0</v>
      </c>
      <c r="V980" s="6" t="str">
        <f>IF(BBDD_Usiarios_Netflix[[#This Row],[Duración Plan]]="12 Meses",LEFT(BBDD_Usiarios_Netflix[[#This Row],[Duración Plan]],2),LEFT(BBDD_Usiarios_Netflix[[#This Row],[Duración Plan]],1))</f>
        <v>3</v>
      </c>
      <c r="W9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81" spans="1:23" x14ac:dyDescent="0.25">
      <c r="A981">
        <v>980</v>
      </c>
      <c r="B981" t="s">
        <v>23</v>
      </c>
      <c r="C981">
        <v>10</v>
      </c>
      <c r="D981" s="3">
        <v>9</v>
      </c>
      <c r="E981" s="3">
        <v>10</v>
      </c>
      <c r="F981">
        <v>23</v>
      </c>
      <c r="G981" s="1">
        <f>DATEVALUE(_xlfn.CONCAT(BBDD_Usiarios_Netflix[[#This Row],[Día Suscripción]],"/",BBDD_Usiarios_Netflix[[#This Row],[Mes Suscripción]],"/",BBDD_Usiarios_Netflix[[#This Row],[Año Suscripción]]))</f>
        <v>45208</v>
      </c>
      <c r="H981" s="1">
        <v>3</v>
      </c>
      <c r="I981" s="1">
        <v>7</v>
      </c>
      <c r="J981" s="1">
        <v>24</v>
      </c>
      <c r="K981" s="1" t="str">
        <f>TEXT(BBDD_Usiarios_Netflix[[#This Row],[Fecha Suscripción]],"dddd")</f>
        <v>lunes</v>
      </c>
      <c r="L981" s="1">
        <f>DATEVALUE(_xlfn.CONCAT(BBDD_Usiarios_Netflix[[#This Row],[Día Último Pago]],"/",BBDD_Usiarios_Netflix[[#This Row],[Mes Último Pago]],"/",BBDD_Usiarios_Netflix[[#This Row],[Año Último Pago]]))</f>
        <v>45476</v>
      </c>
      <c r="M981" s="4">
        <f>DATEDIF(BBDD_Usiarios_Netflix[[#This Row],[Fecha Suscripción]],BBDD_Usiarios_Netflix[[#This Row],[Fecha Último Pago]],"M")+1</f>
        <v>9</v>
      </c>
      <c r="N981" s="4">
        <f>BBDD_Usiarios_Netflix[[#This Row],[Ingresos Mensuales]]*BBDD_Usiarios_Netflix[[#This Row],[Meses contratados]]</f>
        <v>90</v>
      </c>
      <c r="O981" t="s">
        <v>29</v>
      </c>
      <c r="P981" t="str">
        <f>IF(BBDD_Usiarios_Netflix[[#This Row],[País]]="","Desconocido",BBDD_Usiarios_Netflix[[#This Row],[País]])</f>
        <v>EEUU</v>
      </c>
      <c r="Q981">
        <v>29</v>
      </c>
      <c r="R981" t="s">
        <v>25</v>
      </c>
      <c r="S981" t="s">
        <v>34</v>
      </c>
      <c r="T981" t="s">
        <v>27</v>
      </c>
      <c r="U981">
        <f>IF(IFERROR(VLOOKUP(BBDD_Usiarios_Netflix[[#This Row],[Identificador Usuario]],A982:$A$5870,1,FALSE),0)&lt;&gt;0,1,0)</f>
        <v>0</v>
      </c>
      <c r="V981" s="6" t="str">
        <f>IF(BBDD_Usiarios_Netflix[[#This Row],[Duración Plan]]="12 Meses",LEFT(BBDD_Usiarios_Netflix[[#This Row],[Duración Plan]],2),LEFT(BBDD_Usiarios_Netflix[[#This Row],[Duración Plan]],1))</f>
        <v>1</v>
      </c>
      <c r="W9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82" spans="1:23" x14ac:dyDescent="0.25">
      <c r="A982">
        <v>981</v>
      </c>
      <c r="B982" t="s">
        <v>28</v>
      </c>
      <c r="C982">
        <v>14</v>
      </c>
      <c r="D982" s="3">
        <v>9</v>
      </c>
      <c r="E982" s="3">
        <v>10</v>
      </c>
      <c r="F982">
        <v>23</v>
      </c>
      <c r="G982" s="1">
        <f>DATEVALUE(_xlfn.CONCAT(BBDD_Usiarios_Netflix[[#This Row],[Día Suscripción]],"/",BBDD_Usiarios_Netflix[[#This Row],[Mes Suscripción]],"/",BBDD_Usiarios_Netflix[[#This Row],[Año Suscripción]]))</f>
        <v>45208</v>
      </c>
      <c r="H982" s="1">
        <v>30</v>
      </c>
      <c r="I982" s="1">
        <v>6</v>
      </c>
      <c r="J982" s="1">
        <v>24</v>
      </c>
      <c r="K982" s="1" t="str">
        <f>TEXT(BBDD_Usiarios_Netflix[[#This Row],[Fecha Suscripción]],"dddd")</f>
        <v>lunes</v>
      </c>
      <c r="L982" s="1">
        <f>DATEVALUE(_xlfn.CONCAT(BBDD_Usiarios_Netflix[[#This Row],[Día Último Pago]],"/",BBDD_Usiarios_Netflix[[#This Row],[Mes Último Pago]],"/",BBDD_Usiarios_Netflix[[#This Row],[Año Último Pago]]))</f>
        <v>45473</v>
      </c>
      <c r="M982" s="4">
        <f>DATEDIF(BBDD_Usiarios_Netflix[[#This Row],[Fecha Suscripción]],BBDD_Usiarios_Netflix[[#This Row],[Fecha Último Pago]],"M")+1</f>
        <v>9</v>
      </c>
      <c r="N982" s="4">
        <f>BBDD_Usiarios_Netflix[[#This Row],[Ingresos Mensuales]]*BBDD_Usiarios_Netflix[[#This Row],[Meses contratados]]</f>
        <v>126</v>
      </c>
      <c r="O982" t="s">
        <v>40</v>
      </c>
      <c r="P982" t="str">
        <f>IF(BBDD_Usiarios_Netflix[[#This Row],[País]]="","Desconocido",BBDD_Usiarios_Netflix[[#This Row],[País]])</f>
        <v>Italia</v>
      </c>
      <c r="Q982">
        <v>28</v>
      </c>
      <c r="R982" t="s">
        <v>30</v>
      </c>
      <c r="S982" t="s">
        <v>34</v>
      </c>
      <c r="T982" t="s">
        <v>35</v>
      </c>
      <c r="U982">
        <f>IF(IFERROR(VLOOKUP(BBDD_Usiarios_Netflix[[#This Row],[Identificador Usuario]],A983:$A$5870,1,FALSE),0)&lt;&gt;0,1,0)</f>
        <v>0</v>
      </c>
      <c r="V982" s="6" t="str">
        <f>IF(BBDD_Usiarios_Netflix[[#This Row],[Duración Plan]]="12 Meses",LEFT(BBDD_Usiarios_Netflix[[#This Row],[Duración Plan]],2),LEFT(BBDD_Usiarios_Netflix[[#This Row],[Duración Plan]],1))</f>
        <v>6</v>
      </c>
      <c r="W9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83" spans="1:23" x14ac:dyDescent="0.25">
      <c r="A983">
        <v>982</v>
      </c>
      <c r="B983" t="s">
        <v>32</v>
      </c>
      <c r="C983">
        <v>12</v>
      </c>
      <c r="D983" s="3">
        <v>10</v>
      </c>
      <c r="E983" s="3">
        <v>10</v>
      </c>
      <c r="F983">
        <v>23</v>
      </c>
      <c r="G983" s="1">
        <f>DATEVALUE(_xlfn.CONCAT(BBDD_Usiarios_Netflix[[#This Row],[Día Suscripción]],"/",BBDD_Usiarios_Netflix[[#This Row],[Mes Suscripción]],"/",BBDD_Usiarios_Netflix[[#This Row],[Año Suscripción]]))</f>
        <v>45209</v>
      </c>
      <c r="H983" s="1">
        <v>2</v>
      </c>
      <c r="I983" s="1">
        <v>7</v>
      </c>
      <c r="J983" s="1">
        <v>24</v>
      </c>
      <c r="K983" s="1" t="str">
        <f>TEXT(BBDD_Usiarios_Netflix[[#This Row],[Fecha Suscripción]],"dddd")</f>
        <v>martes</v>
      </c>
      <c r="L983" s="1">
        <f>DATEVALUE(_xlfn.CONCAT(BBDD_Usiarios_Netflix[[#This Row],[Día Último Pago]],"/",BBDD_Usiarios_Netflix[[#This Row],[Mes Último Pago]],"/",BBDD_Usiarios_Netflix[[#This Row],[Año Último Pago]]))</f>
        <v>45475</v>
      </c>
      <c r="M983" s="4">
        <f>DATEDIF(BBDD_Usiarios_Netflix[[#This Row],[Fecha Suscripción]],BBDD_Usiarios_Netflix[[#This Row],[Fecha Último Pago]],"M")+1</f>
        <v>9</v>
      </c>
      <c r="N983" s="4">
        <f>BBDD_Usiarios_Netflix[[#This Row],[Ingresos Mensuales]]*BBDD_Usiarios_Netflix[[#This Row],[Meses contratados]]</f>
        <v>108</v>
      </c>
      <c r="O983" t="s">
        <v>39</v>
      </c>
      <c r="P983" t="str">
        <f>IF(BBDD_Usiarios_Netflix[[#This Row],[País]]="","Desconocido",BBDD_Usiarios_Netflix[[#This Row],[País]])</f>
        <v>Canadá</v>
      </c>
      <c r="Q983">
        <v>42</v>
      </c>
      <c r="R983" t="s">
        <v>30</v>
      </c>
      <c r="S983" t="s">
        <v>34</v>
      </c>
      <c r="T983" t="s">
        <v>27</v>
      </c>
      <c r="U983">
        <f>IF(IFERROR(VLOOKUP(BBDD_Usiarios_Netflix[[#This Row],[Identificador Usuario]],A984:$A$5870,1,FALSE),0)&lt;&gt;0,1,0)</f>
        <v>0</v>
      </c>
      <c r="V983" s="6" t="str">
        <f>IF(BBDD_Usiarios_Netflix[[#This Row],[Duración Plan]]="12 Meses",LEFT(BBDD_Usiarios_Netflix[[#This Row],[Duración Plan]],2),LEFT(BBDD_Usiarios_Netflix[[#This Row],[Duración Plan]],1))</f>
        <v>1</v>
      </c>
      <c r="W9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84" spans="1:23" x14ac:dyDescent="0.25">
      <c r="A984">
        <v>983</v>
      </c>
      <c r="B984" t="s">
        <v>23</v>
      </c>
      <c r="C984">
        <v>10</v>
      </c>
      <c r="D984" s="3">
        <v>14</v>
      </c>
      <c r="E984" s="3">
        <v>10</v>
      </c>
      <c r="F984">
        <v>23</v>
      </c>
      <c r="G984" s="1">
        <f>DATEVALUE(_xlfn.CONCAT(BBDD_Usiarios_Netflix[[#This Row],[Día Suscripción]],"/",BBDD_Usiarios_Netflix[[#This Row],[Mes Suscripción]],"/",BBDD_Usiarios_Netflix[[#This Row],[Año Suscripción]]))</f>
        <v>45213</v>
      </c>
      <c r="H984" s="1">
        <v>1</v>
      </c>
      <c r="I984" s="1">
        <v>7</v>
      </c>
      <c r="J984" s="1">
        <v>24</v>
      </c>
      <c r="K984" s="1" t="str">
        <f>TEXT(BBDD_Usiarios_Netflix[[#This Row],[Fecha Suscripción]],"dddd")</f>
        <v>sábado</v>
      </c>
      <c r="L984" s="1">
        <f>DATEVALUE(_xlfn.CONCAT(BBDD_Usiarios_Netflix[[#This Row],[Día Último Pago]],"/",BBDD_Usiarios_Netflix[[#This Row],[Mes Último Pago]],"/",BBDD_Usiarios_Netflix[[#This Row],[Año Último Pago]]))</f>
        <v>45474</v>
      </c>
      <c r="M984" s="4">
        <f>DATEDIF(BBDD_Usiarios_Netflix[[#This Row],[Fecha Suscripción]],BBDD_Usiarios_Netflix[[#This Row],[Fecha Último Pago]],"M")+1</f>
        <v>9</v>
      </c>
      <c r="N984" s="4">
        <f>BBDD_Usiarios_Netflix[[#This Row],[Ingresos Mensuales]]*BBDD_Usiarios_Netflix[[#This Row],[Meses contratados]]</f>
        <v>90</v>
      </c>
      <c r="O984" t="s">
        <v>33</v>
      </c>
      <c r="P984" t="str">
        <f>IF(BBDD_Usiarios_Netflix[[#This Row],[País]]="","Desconocido",BBDD_Usiarios_Netflix[[#This Row],[País]])</f>
        <v>Francia</v>
      </c>
      <c r="Q984">
        <v>36</v>
      </c>
      <c r="R984" t="s">
        <v>30</v>
      </c>
      <c r="S984" t="s">
        <v>26</v>
      </c>
      <c r="T984" t="s">
        <v>27</v>
      </c>
      <c r="U984">
        <f>IF(IFERROR(VLOOKUP(BBDD_Usiarios_Netflix[[#This Row],[Identificador Usuario]],A985:$A$5870,1,FALSE),0)&lt;&gt;0,1,0)</f>
        <v>0</v>
      </c>
      <c r="V984" s="6" t="str">
        <f>IF(BBDD_Usiarios_Netflix[[#This Row],[Duración Plan]]="12 Meses",LEFT(BBDD_Usiarios_Netflix[[#This Row],[Duración Plan]],2),LEFT(BBDD_Usiarios_Netflix[[#This Row],[Duración Plan]],1))</f>
        <v>1</v>
      </c>
      <c r="W9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85" spans="1:23" x14ac:dyDescent="0.25">
      <c r="A985">
        <v>984</v>
      </c>
      <c r="B985" t="s">
        <v>32</v>
      </c>
      <c r="C985">
        <v>12</v>
      </c>
      <c r="D985" s="3">
        <v>16</v>
      </c>
      <c r="E985" s="3">
        <v>10</v>
      </c>
      <c r="F985">
        <v>23</v>
      </c>
      <c r="G985" s="1">
        <f>DATEVALUE(_xlfn.CONCAT(BBDD_Usiarios_Netflix[[#This Row],[Día Suscripción]],"/",BBDD_Usiarios_Netflix[[#This Row],[Mes Suscripción]],"/",BBDD_Usiarios_Netflix[[#This Row],[Año Suscripción]]))</f>
        <v>45215</v>
      </c>
      <c r="H985" s="1">
        <v>3</v>
      </c>
      <c r="I985" s="1">
        <v>7</v>
      </c>
      <c r="J985" s="1">
        <v>24</v>
      </c>
      <c r="K985" s="1" t="str">
        <f>TEXT(BBDD_Usiarios_Netflix[[#This Row],[Fecha Suscripción]],"dddd")</f>
        <v>lunes</v>
      </c>
      <c r="L985" s="1">
        <f>DATEVALUE(_xlfn.CONCAT(BBDD_Usiarios_Netflix[[#This Row],[Día Último Pago]],"/",BBDD_Usiarios_Netflix[[#This Row],[Mes Último Pago]],"/",BBDD_Usiarios_Netflix[[#This Row],[Año Último Pago]]))</f>
        <v>45476</v>
      </c>
      <c r="M985" s="4">
        <f>DATEDIF(BBDD_Usiarios_Netflix[[#This Row],[Fecha Suscripción]],BBDD_Usiarios_Netflix[[#This Row],[Fecha Último Pago]],"M")+1</f>
        <v>9</v>
      </c>
      <c r="N985" s="4">
        <f>BBDD_Usiarios_Netflix[[#This Row],[Ingresos Mensuales]]*BBDD_Usiarios_Netflix[[#This Row],[Meses contratados]]</f>
        <v>108</v>
      </c>
      <c r="O985" t="s">
        <v>42</v>
      </c>
      <c r="P985" t="str">
        <f>IF(BBDD_Usiarios_Netflix[[#This Row],[País]]="","Desconocido",BBDD_Usiarios_Netflix[[#This Row],[País]])</f>
        <v>Reino Unido</v>
      </c>
      <c r="Q985">
        <v>39</v>
      </c>
      <c r="R985" t="s">
        <v>25</v>
      </c>
      <c r="S985" t="s">
        <v>34</v>
      </c>
      <c r="T985" t="s">
        <v>27</v>
      </c>
      <c r="U985">
        <f>IF(IFERROR(VLOOKUP(BBDD_Usiarios_Netflix[[#This Row],[Identificador Usuario]],A986:$A$5870,1,FALSE),0)&lt;&gt;0,1,0)</f>
        <v>0</v>
      </c>
      <c r="V985" s="6" t="str">
        <f>IF(BBDD_Usiarios_Netflix[[#This Row],[Duración Plan]]="12 Meses",LEFT(BBDD_Usiarios_Netflix[[#This Row],[Duración Plan]],2),LEFT(BBDD_Usiarios_Netflix[[#This Row],[Duración Plan]],1))</f>
        <v>1</v>
      </c>
      <c r="W9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86" spans="1:23" x14ac:dyDescent="0.25">
      <c r="A986">
        <v>985</v>
      </c>
      <c r="B986" t="s">
        <v>28</v>
      </c>
      <c r="C986">
        <v>14</v>
      </c>
      <c r="D986" s="3">
        <v>21</v>
      </c>
      <c r="E986" s="3">
        <v>10</v>
      </c>
      <c r="F986">
        <v>23</v>
      </c>
      <c r="G986" s="1">
        <f>DATEVALUE(_xlfn.CONCAT(BBDD_Usiarios_Netflix[[#This Row],[Día Suscripción]],"/",BBDD_Usiarios_Netflix[[#This Row],[Mes Suscripción]],"/",BBDD_Usiarios_Netflix[[#This Row],[Año Suscripción]]))</f>
        <v>45220</v>
      </c>
      <c r="H986" s="1">
        <v>29</v>
      </c>
      <c r="I986" s="1">
        <v>6</v>
      </c>
      <c r="J986" s="1">
        <v>24</v>
      </c>
      <c r="K986" s="1" t="str">
        <f>TEXT(BBDD_Usiarios_Netflix[[#This Row],[Fecha Suscripción]],"dddd")</f>
        <v>sábado</v>
      </c>
      <c r="L986" s="1">
        <f>DATEVALUE(_xlfn.CONCAT(BBDD_Usiarios_Netflix[[#This Row],[Día Último Pago]],"/",BBDD_Usiarios_Netflix[[#This Row],[Mes Último Pago]],"/",BBDD_Usiarios_Netflix[[#This Row],[Año Último Pago]]))</f>
        <v>45472</v>
      </c>
      <c r="M986" s="4">
        <f>DATEDIF(BBDD_Usiarios_Netflix[[#This Row],[Fecha Suscripción]],BBDD_Usiarios_Netflix[[#This Row],[Fecha Último Pago]],"M")+1</f>
        <v>9</v>
      </c>
      <c r="N986" s="4">
        <f>BBDD_Usiarios_Netflix[[#This Row],[Ingresos Mensuales]]*BBDD_Usiarios_Netflix[[#This Row],[Meses contratados]]</f>
        <v>126</v>
      </c>
      <c r="O986" t="s">
        <v>29</v>
      </c>
      <c r="P986" t="str">
        <f>IF(BBDD_Usiarios_Netflix[[#This Row],[País]]="","Desconocido",BBDD_Usiarios_Netflix[[#This Row],[País]])</f>
        <v>EEUU</v>
      </c>
      <c r="Q986">
        <v>36</v>
      </c>
      <c r="R986" t="s">
        <v>25</v>
      </c>
      <c r="S986" t="s">
        <v>34</v>
      </c>
      <c r="T986" t="s">
        <v>41</v>
      </c>
      <c r="U986">
        <f>IF(IFERROR(VLOOKUP(BBDD_Usiarios_Netflix[[#This Row],[Identificador Usuario]],A987:$A$5870,1,FALSE),0)&lt;&gt;0,1,0)</f>
        <v>0</v>
      </c>
      <c r="V986" s="6" t="str">
        <f>IF(BBDD_Usiarios_Netflix[[#This Row],[Duración Plan]]="12 Meses",LEFT(BBDD_Usiarios_Netflix[[#This Row],[Duración Plan]],2),LEFT(BBDD_Usiarios_Netflix[[#This Row],[Duración Plan]],1))</f>
        <v>12</v>
      </c>
      <c r="W9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87" spans="1:23" x14ac:dyDescent="0.25">
      <c r="A987">
        <v>986</v>
      </c>
      <c r="B987" t="s">
        <v>23</v>
      </c>
      <c r="C987">
        <v>10</v>
      </c>
      <c r="D987" s="3">
        <v>25</v>
      </c>
      <c r="E987" s="3">
        <v>10</v>
      </c>
      <c r="F987">
        <v>23</v>
      </c>
      <c r="G987" s="1">
        <f>DATEVALUE(_xlfn.CONCAT(BBDD_Usiarios_Netflix[[#This Row],[Día Suscripción]],"/",BBDD_Usiarios_Netflix[[#This Row],[Mes Suscripción]],"/",BBDD_Usiarios_Netflix[[#This Row],[Año Suscripción]]))</f>
        <v>45224</v>
      </c>
      <c r="H987" s="1">
        <v>1</v>
      </c>
      <c r="I987" s="1">
        <v>7</v>
      </c>
      <c r="J987" s="1">
        <v>24</v>
      </c>
      <c r="K987" s="1" t="str">
        <f>TEXT(BBDD_Usiarios_Netflix[[#This Row],[Fecha Suscripción]],"dddd")</f>
        <v>miércoles</v>
      </c>
      <c r="L987" s="1">
        <f>DATEVALUE(_xlfn.CONCAT(BBDD_Usiarios_Netflix[[#This Row],[Día Último Pago]],"/",BBDD_Usiarios_Netflix[[#This Row],[Mes Último Pago]],"/",BBDD_Usiarios_Netflix[[#This Row],[Año Último Pago]]))</f>
        <v>45474</v>
      </c>
      <c r="M987" s="4">
        <f>DATEDIF(BBDD_Usiarios_Netflix[[#This Row],[Fecha Suscripción]],BBDD_Usiarios_Netflix[[#This Row],[Fecha Último Pago]],"M")+1</f>
        <v>9</v>
      </c>
      <c r="N987" s="4">
        <f>BBDD_Usiarios_Netflix[[#This Row],[Ingresos Mensuales]]*BBDD_Usiarios_Netflix[[#This Row],[Meses contratados]]</f>
        <v>90</v>
      </c>
      <c r="O987" t="s">
        <v>46</v>
      </c>
      <c r="P987" t="str">
        <f>IF(BBDD_Usiarios_Netflix[[#This Row],[País]]="","Desconocido",BBDD_Usiarios_Netflix[[#This Row],[País]])</f>
        <v>Méjico</v>
      </c>
      <c r="Q987">
        <v>49</v>
      </c>
      <c r="R987" t="s">
        <v>25</v>
      </c>
      <c r="S987" t="s">
        <v>36</v>
      </c>
      <c r="T987" t="s">
        <v>35</v>
      </c>
      <c r="U987">
        <f>IF(IFERROR(VLOOKUP(BBDD_Usiarios_Netflix[[#This Row],[Identificador Usuario]],A988:$A$5870,1,FALSE),0)&lt;&gt;0,1,0)</f>
        <v>0</v>
      </c>
      <c r="V987" s="6" t="str">
        <f>IF(BBDD_Usiarios_Netflix[[#This Row],[Duración Plan]]="12 Meses",LEFT(BBDD_Usiarios_Netflix[[#This Row],[Duración Plan]],2),LEFT(BBDD_Usiarios_Netflix[[#This Row],[Duración Plan]],1))</f>
        <v>6</v>
      </c>
      <c r="W9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88" spans="1:23" x14ac:dyDescent="0.25">
      <c r="A988">
        <v>987</v>
      </c>
      <c r="B988" t="s">
        <v>28</v>
      </c>
      <c r="C988">
        <v>14</v>
      </c>
      <c r="D988" s="3">
        <v>30</v>
      </c>
      <c r="E988" s="3">
        <v>10</v>
      </c>
      <c r="F988">
        <v>23</v>
      </c>
      <c r="G988" s="1">
        <f>DATEVALUE(_xlfn.CONCAT(BBDD_Usiarios_Netflix[[#This Row],[Día Suscripción]],"/",BBDD_Usiarios_Netflix[[#This Row],[Mes Suscripción]],"/",BBDD_Usiarios_Netflix[[#This Row],[Año Suscripción]]))</f>
        <v>45229</v>
      </c>
      <c r="H988" s="1">
        <v>1</v>
      </c>
      <c r="I988" s="1">
        <v>7</v>
      </c>
      <c r="J988" s="1">
        <v>24</v>
      </c>
      <c r="K988" s="1" t="str">
        <f>TEXT(BBDD_Usiarios_Netflix[[#This Row],[Fecha Suscripción]],"dddd")</f>
        <v>lunes</v>
      </c>
      <c r="L988" s="1">
        <f>DATEVALUE(_xlfn.CONCAT(BBDD_Usiarios_Netflix[[#This Row],[Día Último Pago]],"/",BBDD_Usiarios_Netflix[[#This Row],[Mes Último Pago]],"/",BBDD_Usiarios_Netflix[[#This Row],[Año Último Pago]]))</f>
        <v>45474</v>
      </c>
      <c r="M988" s="4">
        <f>DATEDIF(BBDD_Usiarios_Netflix[[#This Row],[Fecha Suscripción]],BBDD_Usiarios_Netflix[[#This Row],[Fecha Último Pago]],"M")+1</f>
        <v>9</v>
      </c>
      <c r="N988" s="4">
        <f>BBDD_Usiarios_Netflix[[#This Row],[Ingresos Mensuales]]*BBDD_Usiarios_Netflix[[#This Row],[Meses contratados]]</f>
        <v>126</v>
      </c>
      <c r="O988" t="s">
        <v>39</v>
      </c>
      <c r="P988" t="str">
        <f>IF(BBDD_Usiarios_Netflix[[#This Row],[País]]="","Desconocido",BBDD_Usiarios_Netflix[[#This Row],[País]])</f>
        <v>Canadá</v>
      </c>
      <c r="Q988">
        <v>32</v>
      </c>
      <c r="R988" t="s">
        <v>30</v>
      </c>
      <c r="S988" t="s">
        <v>31</v>
      </c>
      <c r="T988" t="s">
        <v>27</v>
      </c>
      <c r="U988">
        <f>IF(IFERROR(VLOOKUP(BBDD_Usiarios_Netflix[[#This Row],[Identificador Usuario]],A989:$A$5870,1,FALSE),0)&lt;&gt;0,1,0)</f>
        <v>0</v>
      </c>
      <c r="V988" s="6" t="str">
        <f>IF(BBDD_Usiarios_Netflix[[#This Row],[Duración Plan]]="12 Meses",LEFT(BBDD_Usiarios_Netflix[[#This Row],[Duración Plan]],2),LEFT(BBDD_Usiarios_Netflix[[#This Row],[Duración Plan]],1))</f>
        <v>1</v>
      </c>
      <c r="W9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89" spans="1:23" x14ac:dyDescent="0.25">
      <c r="A989">
        <v>988</v>
      </c>
      <c r="B989" t="s">
        <v>32</v>
      </c>
      <c r="C989">
        <v>12</v>
      </c>
      <c r="D989" s="3">
        <v>31</v>
      </c>
      <c r="E989" s="3">
        <v>10</v>
      </c>
      <c r="F989">
        <v>23</v>
      </c>
      <c r="G989" s="1">
        <f>DATEVALUE(_xlfn.CONCAT(BBDD_Usiarios_Netflix[[#This Row],[Día Suscripción]],"/",BBDD_Usiarios_Netflix[[#This Row],[Mes Suscripción]],"/",BBDD_Usiarios_Netflix[[#This Row],[Año Suscripción]]))</f>
        <v>45230</v>
      </c>
      <c r="H989" s="1">
        <v>2</v>
      </c>
      <c r="I989" s="1">
        <v>7</v>
      </c>
      <c r="J989" s="1">
        <v>24</v>
      </c>
      <c r="K989" s="1" t="str">
        <f>TEXT(BBDD_Usiarios_Netflix[[#This Row],[Fecha Suscripción]],"dddd")</f>
        <v>martes</v>
      </c>
      <c r="L989" s="1">
        <f>DATEVALUE(_xlfn.CONCAT(BBDD_Usiarios_Netflix[[#This Row],[Día Último Pago]],"/",BBDD_Usiarios_Netflix[[#This Row],[Mes Último Pago]],"/",BBDD_Usiarios_Netflix[[#This Row],[Año Último Pago]]))</f>
        <v>45475</v>
      </c>
      <c r="M989" s="4">
        <f>DATEDIF(BBDD_Usiarios_Netflix[[#This Row],[Fecha Suscripción]],BBDD_Usiarios_Netflix[[#This Row],[Fecha Último Pago]],"M")+1</f>
        <v>9</v>
      </c>
      <c r="N989" s="4">
        <f>BBDD_Usiarios_Netflix[[#This Row],[Ingresos Mensuales]]*BBDD_Usiarios_Netflix[[#This Row],[Meses contratados]]</f>
        <v>108</v>
      </c>
      <c r="O989" t="s">
        <v>29</v>
      </c>
      <c r="P989" t="str">
        <f>IF(BBDD_Usiarios_Netflix[[#This Row],[País]]="","Desconocido",BBDD_Usiarios_Netflix[[#This Row],[País]])</f>
        <v>EEUU</v>
      </c>
      <c r="Q989">
        <v>40</v>
      </c>
      <c r="R989" t="s">
        <v>30</v>
      </c>
      <c r="S989" t="s">
        <v>26</v>
      </c>
      <c r="T989" t="s">
        <v>41</v>
      </c>
      <c r="U989">
        <f>IF(IFERROR(VLOOKUP(BBDD_Usiarios_Netflix[[#This Row],[Identificador Usuario]],A990:$A$5870,1,FALSE),0)&lt;&gt;0,1,0)</f>
        <v>0</v>
      </c>
      <c r="V989" s="6" t="str">
        <f>IF(BBDD_Usiarios_Netflix[[#This Row],[Duración Plan]]="12 Meses",LEFT(BBDD_Usiarios_Netflix[[#This Row],[Duración Plan]],2),LEFT(BBDD_Usiarios_Netflix[[#This Row],[Duración Plan]],1))</f>
        <v>12</v>
      </c>
      <c r="W9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990" spans="1:23" x14ac:dyDescent="0.25">
      <c r="A990">
        <v>989</v>
      </c>
      <c r="B990" t="s">
        <v>23</v>
      </c>
      <c r="C990">
        <v>10</v>
      </c>
      <c r="D990" s="3">
        <v>8</v>
      </c>
      <c r="E990" s="3">
        <v>11</v>
      </c>
      <c r="F990">
        <v>23</v>
      </c>
      <c r="G990" s="1">
        <f>DATEVALUE(_xlfn.CONCAT(BBDD_Usiarios_Netflix[[#This Row],[Día Suscripción]],"/",BBDD_Usiarios_Netflix[[#This Row],[Mes Suscripción]],"/",BBDD_Usiarios_Netflix[[#This Row],[Año Suscripción]]))</f>
        <v>45238</v>
      </c>
      <c r="H990" s="1">
        <v>1</v>
      </c>
      <c r="I990" s="1">
        <v>7</v>
      </c>
      <c r="J990" s="1">
        <v>24</v>
      </c>
      <c r="K990" s="1" t="str">
        <f>TEXT(BBDD_Usiarios_Netflix[[#This Row],[Fecha Suscripción]],"dddd")</f>
        <v>miércoles</v>
      </c>
      <c r="L990" s="1">
        <f>DATEVALUE(_xlfn.CONCAT(BBDD_Usiarios_Netflix[[#This Row],[Día Último Pago]],"/",BBDD_Usiarios_Netflix[[#This Row],[Mes Último Pago]],"/",BBDD_Usiarios_Netflix[[#This Row],[Año Último Pago]]))</f>
        <v>45474</v>
      </c>
      <c r="M990" s="4">
        <f>DATEDIF(BBDD_Usiarios_Netflix[[#This Row],[Fecha Suscripción]],BBDD_Usiarios_Netflix[[#This Row],[Fecha Último Pago]],"M")+1</f>
        <v>8</v>
      </c>
      <c r="N990" s="4">
        <f>BBDD_Usiarios_Netflix[[#This Row],[Ingresos Mensuales]]*BBDD_Usiarios_Netflix[[#This Row],[Meses contratados]]</f>
        <v>80</v>
      </c>
      <c r="O990" t="s">
        <v>24</v>
      </c>
      <c r="P990" t="str">
        <f>IF(BBDD_Usiarios_Netflix[[#This Row],[País]]="","Desconocido",BBDD_Usiarios_Netflix[[#This Row],[País]])</f>
        <v>Australia</v>
      </c>
      <c r="Q990">
        <v>34</v>
      </c>
      <c r="R990" t="s">
        <v>25</v>
      </c>
      <c r="S990" t="s">
        <v>26</v>
      </c>
      <c r="T990" t="s">
        <v>27</v>
      </c>
      <c r="U990">
        <f>IF(IFERROR(VLOOKUP(BBDD_Usiarios_Netflix[[#This Row],[Identificador Usuario]],A991:$A$5870,1,FALSE),0)&lt;&gt;0,1,0)</f>
        <v>0</v>
      </c>
      <c r="V990" s="6" t="str">
        <f>IF(BBDD_Usiarios_Netflix[[#This Row],[Duración Plan]]="12 Meses",LEFT(BBDD_Usiarios_Netflix[[#This Row],[Duración Plan]],2),LEFT(BBDD_Usiarios_Netflix[[#This Row],[Duración Plan]],1))</f>
        <v>1</v>
      </c>
      <c r="W9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91" spans="1:23" x14ac:dyDescent="0.25">
      <c r="A991">
        <v>990</v>
      </c>
      <c r="B991" t="s">
        <v>32</v>
      </c>
      <c r="C991">
        <v>12</v>
      </c>
      <c r="D991" s="3">
        <v>9</v>
      </c>
      <c r="E991" s="3">
        <v>11</v>
      </c>
      <c r="F991">
        <v>23</v>
      </c>
      <c r="G991" s="1">
        <f>DATEVALUE(_xlfn.CONCAT(BBDD_Usiarios_Netflix[[#This Row],[Día Suscripción]],"/",BBDD_Usiarios_Netflix[[#This Row],[Mes Suscripción]],"/",BBDD_Usiarios_Netflix[[#This Row],[Año Suscripción]]))</f>
        <v>45239</v>
      </c>
      <c r="H991" s="1">
        <v>1</v>
      </c>
      <c r="I991" s="1">
        <v>7</v>
      </c>
      <c r="J991" s="1">
        <v>24</v>
      </c>
      <c r="K991" s="1" t="str">
        <f>TEXT(BBDD_Usiarios_Netflix[[#This Row],[Fecha Suscripción]],"dddd")</f>
        <v>jueves</v>
      </c>
      <c r="L991" s="1">
        <f>DATEVALUE(_xlfn.CONCAT(BBDD_Usiarios_Netflix[[#This Row],[Día Último Pago]],"/",BBDD_Usiarios_Netflix[[#This Row],[Mes Último Pago]],"/",BBDD_Usiarios_Netflix[[#This Row],[Año Último Pago]]))</f>
        <v>45474</v>
      </c>
      <c r="M991" s="4">
        <f>DATEDIF(BBDD_Usiarios_Netflix[[#This Row],[Fecha Suscripción]],BBDD_Usiarios_Netflix[[#This Row],[Fecha Último Pago]],"M")+1</f>
        <v>8</v>
      </c>
      <c r="N991" s="4">
        <f>BBDD_Usiarios_Netflix[[#This Row],[Ingresos Mensuales]]*BBDD_Usiarios_Netflix[[#This Row],[Meses contratados]]</f>
        <v>96</v>
      </c>
      <c r="O991" t="s">
        <v>43</v>
      </c>
      <c r="P991" t="str">
        <f>IF(BBDD_Usiarios_Netflix[[#This Row],[País]]="","Desconocido",BBDD_Usiarios_Netflix[[#This Row],[País]])</f>
        <v>Alemania</v>
      </c>
      <c r="Q991">
        <v>35</v>
      </c>
      <c r="R991" t="s">
        <v>25</v>
      </c>
      <c r="S991" t="s">
        <v>26</v>
      </c>
      <c r="T991" t="s">
        <v>27</v>
      </c>
      <c r="U991">
        <f>IF(IFERROR(VLOOKUP(BBDD_Usiarios_Netflix[[#This Row],[Identificador Usuario]],A992:$A$5870,1,FALSE),0)&lt;&gt;0,1,0)</f>
        <v>0</v>
      </c>
      <c r="V991" s="6" t="str">
        <f>IF(BBDD_Usiarios_Netflix[[#This Row],[Duración Plan]]="12 Meses",LEFT(BBDD_Usiarios_Netflix[[#This Row],[Duración Plan]],2),LEFT(BBDD_Usiarios_Netflix[[#This Row],[Duración Plan]],1))</f>
        <v>1</v>
      </c>
      <c r="W9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92" spans="1:23" x14ac:dyDescent="0.25">
      <c r="A992">
        <v>991</v>
      </c>
      <c r="B992" t="s">
        <v>28</v>
      </c>
      <c r="C992">
        <v>14</v>
      </c>
      <c r="D992" s="3">
        <v>7</v>
      </c>
      <c r="E992" s="3">
        <v>11</v>
      </c>
      <c r="F992">
        <v>23</v>
      </c>
      <c r="G992" s="1">
        <f>DATEVALUE(_xlfn.CONCAT(BBDD_Usiarios_Netflix[[#This Row],[Día Suscripción]],"/",BBDD_Usiarios_Netflix[[#This Row],[Mes Suscripción]],"/",BBDD_Usiarios_Netflix[[#This Row],[Año Suscripción]]))</f>
        <v>45237</v>
      </c>
      <c r="H992" s="1">
        <v>1</v>
      </c>
      <c r="I992" s="1">
        <v>7</v>
      </c>
      <c r="J992" s="1">
        <v>24</v>
      </c>
      <c r="K992" s="1" t="str">
        <f>TEXT(BBDD_Usiarios_Netflix[[#This Row],[Fecha Suscripción]],"dddd")</f>
        <v>martes</v>
      </c>
      <c r="L992" s="1">
        <f>DATEVALUE(_xlfn.CONCAT(BBDD_Usiarios_Netflix[[#This Row],[Día Último Pago]],"/",BBDD_Usiarios_Netflix[[#This Row],[Mes Último Pago]],"/",BBDD_Usiarios_Netflix[[#This Row],[Año Último Pago]]))</f>
        <v>45474</v>
      </c>
      <c r="M992" s="4">
        <f>DATEDIF(BBDD_Usiarios_Netflix[[#This Row],[Fecha Suscripción]],BBDD_Usiarios_Netflix[[#This Row],[Fecha Último Pago]],"M")+1</f>
        <v>8</v>
      </c>
      <c r="N992" s="4">
        <f>BBDD_Usiarios_Netflix[[#This Row],[Ingresos Mensuales]]*BBDD_Usiarios_Netflix[[#This Row],[Meses contratados]]</f>
        <v>112</v>
      </c>
      <c r="O992" t="s">
        <v>24</v>
      </c>
      <c r="P992" t="str">
        <f>IF(BBDD_Usiarios_Netflix[[#This Row],[País]]="","Desconocido",BBDD_Usiarios_Netflix[[#This Row],[País]])</f>
        <v>Australia</v>
      </c>
      <c r="Q992">
        <v>44</v>
      </c>
      <c r="R992" t="s">
        <v>30</v>
      </c>
      <c r="S992" t="s">
        <v>34</v>
      </c>
      <c r="T992" t="s">
        <v>38</v>
      </c>
      <c r="U992">
        <f>IF(IFERROR(VLOOKUP(BBDD_Usiarios_Netflix[[#This Row],[Identificador Usuario]],A993:$A$5870,1,FALSE),0)&lt;&gt;0,1,0)</f>
        <v>0</v>
      </c>
      <c r="V992" s="6" t="str">
        <f>IF(BBDD_Usiarios_Netflix[[#This Row],[Duración Plan]]="12 Meses",LEFT(BBDD_Usiarios_Netflix[[#This Row],[Duración Plan]],2),LEFT(BBDD_Usiarios_Netflix[[#This Row],[Duración Plan]],1))</f>
        <v>3</v>
      </c>
      <c r="W9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93" spans="1:23" x14ac:dyDescent="0.25">
      <c r="A993">
        <v>992</v>
      </c>
      <c r="B993" t="s">
        <v>23</v>
      </c>
      <c r="C993">
        <v>10</v>
      </c>
      <c r="D993" s="3">
        <v>8</v>
      </c>
      <c r="E993" s="3">
        <v>11</v>
      </c>
      <c r="F993">
        <v>23</v>
      </c>
      <c r="G993" s="1">
        <f>DATEVALUE(_xlfn.CONCAT(BBDD_Usiarios_Netflix[[#This Row],[Día Suscripción]],"/",BBDD_Usiarios_Netflix[[#This Row],[Mes Suscripción]],"/",BBDD_Usiarios_Netflix[[#This Row],[Año Suscripción]]))</f>
        <v>45238</v>
      </c>
      <c r="H993" s="1">
        <v>3</v>
      </c>
      <c r="I993" s="1">
        <v>7</v>
      </c>
      <c r="J993" s="1">
        <v>24</v>
      </c>
      <c r="K993" s="1" t="str">
        <f>TEXT(BBDD_Usiarios_Netflix[[#This Row],[Fecha Suscripción]],"dddd")</f>
        <v>miércoles</v>
      </c>
      <c r="L993" s="1">
        <f>DATEVALUE(_xlfn.CONCAT(BBDD_Usiarios_Netflix[[#This Row],[Día Último Pago]],"/",BBDD_Usiarios_Netflix[[#This Row],[Mes Último Pago]],"/",BBDD_Usiarios_Netflix[[#This Row],[Año Último Pago]]))</f>
        <v>45476</v>
      </c>
      <c r="M993" s="4">
        <f>DATEDIF(BBDD_Usiarios_Netflix[[#This Row],[Fecha Suscripción]],BBDD_Usiarios_Netflix[[#This Row],[Fecha Último Pago]],"M")+1</f>
        <v>8</v>
      </c>
      <c r="N993" s="4">
        <f>BBDD_Usiarios_Netflix[[#This Row],[Ingresos Mensuales]]*BBDD_Usiarios_Netflix[[#This Row],[Meses contratados]]</f>
        <v>80</v>
      </c>
      <c r="O993" t="s">
        <v>43</v>
      </c>
      <c r="P993" t="str">
        <f>IF(BBDD_Usiarios_Netflix[[#This Row],[País]]="","Desconocido",BBDD_Usiarios_Netflix[[#This Row],[País]])</f>
        <v>Alemania</v>
      </c>
      <c r="Q993">
        <v>47</v>
      </c>
      <c r="R993" t="s">
        <v>30</v>
      </c>
      <c r="S993" t="s">
        <v>26</v>
      </c>
      <c r="T993" t="s">
        <v>35</v>
      </c>
      <c r="U993">
        <f>IF(IFERROR(VLOOKUP(BBDD_Usiarios_Netflix[[#This Row],[Identificador Usuario]],A994:$A$5870,1,FALSE),0)&lt;&gt;0,1,0)</f>
        <v>0</v>
      </c>
      <c r="V993" s="6" t="str">
        <f>IF(BBDD_Usiarios_Netflix[[#This Row],[Duración Plan]]="12 Meses",LEFT(BBDD_Usiarios_Netflix[[#This Row],[Duración Plan]],2),LEFT(BBDD_Usiarios_Netflix[[#This Row],[Duración Plan]],1))</f>
        <v>6</v>
      </c>
      <c r="W9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994" spans="1:23" x14ac:dyDescent="0.25">
      <c r="A994">
        <v>993</v>
      </c>
      <c r="B994" t="s">
        <v>32</v>
      </c>
      <c r="C994">
        <v>12</v>
      </c>
      <c r="D994" s="3">
        <v>8</v>
      </c>
      <c r="E994" s="3">
        <v>11</v>
      </c>
      <c r="F994">
        <v>23</v>
      </c>
      <c r="G994" s="1">
        <f>DATEVALUE(_xlfn.CONCAT(BBDD_Usiarios_Netflix[[#This Row],[Día Suscripción]],"/",BBDD_Usiarios_Netflix[[#This Row],[Mes Suscripción]],"/",BBDD_Usiarios_Netflix[[#This Row],[Año Suscripción]]))</f>
        <v>45238</v>
      </c>
      <c r="H994" s="1">
        <v>3</v>
      </c>
      <c r="I994" s="1">
        <v>7</v>
      </c>
      <c r="J994" s="1">
        <v>24</v>
      </c>
      <c r="K994" s="1" t="str">
        <f>TEXT(BBDD_Usiarios_Netflix[[#This Row],[Fecha Suscripción]],"dddd")</f>
        <v>miércoles</v>
      </c>
      <c r="L994" s="1">
        <f>DATEVALUE(_xlfn.CONCAT(BBDD_Usiarios_Netflix[[#This Row],[Día Último Pago]],"/",BBDD_Usiarios_Netflix[[#This Row],[Mes Último Pago]],"/",BBDD_Usiarios_Netflix[[#This Row],[Año Último Pago]]))</f>
        <v>45476</v>
      </c>
      <c r="M994" s="4">
        <f>DATEDIF(BBDD_Usiarios_Netflix[[#This Row],[Fecha Suscripción]],BBDD_Usiarios_Netflix[[#This Row],[Fecha Último Pago]],"M")+1</f>
        <v>8</v>
      </c>
      <c r="N994" s="4">
        <f>BBDD_Usiarios_Netflix[[#This Row],[Ingresos Mensuales]]*BBDD_Usiarios_Netflix[[#This Row],[Meses contratados]]</f>
        <v>96</v>
      </c>
      <c r="O994" t="s">
        <v>42</v>
      </c>
      <c r="P994" t="str">
        <f>IF(BBDD_Usiarios_Netflix[[#This Row],[País]]="","Desconocido",BBDD_Usiarios_Netflix[[#This Row],[País]])</f>
        <v>Reino Unido</v>
      </c>
      <c r="Q994">
        <v>33</v>
      </c>
      <c r="R994" t="s">
        <v>30</v>
      </c>
      <c r="S994" t="s">
        <v>36</v>
      </c>
      <c r="T994" t="s">
        <v>38</v>
      </c>
      <c r="U994">
        <f>IF(IFERROR(VLOOKUP(BBDD_Usiarios_Netflix[[#This Row],[Identificador Usuario]],A995:$A$5870,1,FALSE),0)&lt;&gt;0,1,0)</f>
        <v>0</v>
      </c>
      <c r="V994" s="6" t="str">
        <f>IF(BBDD_Usiarios_Netflix[[#This Row],[Duración Plan]]="12 Meses",LEFT(BBDD_Usiarios_Netflix[[#This Row],[Duración Plan]],2),LEFT(BBDD_Usiarios_Netflix[[#This Row],[Duración Plan]],1))</f>
        <v>3</v>
      </c>
      <c r="W9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995" spans="1:23" x14ac:dyDescent="0.25">
      <c r="A995">
        <v>994</v>
      </c>
      <c r="B995" t="s">
        <v>28</v>
      </c>
      <c r="C995">
        <v>14</v>
      </c>
      <c r="D995" s="3">
        <v>31</v>
      </c>
      <c r="E995" s="3">
        <v>10</v>
      </c>
      <c r="F995">
        <v>23</v>
      </c>
      <c r="G995" s="1">
        <f>DATEVALUE(_xlfn.CONCAT(BBDD_Usiarios_Netflix[[#This Row],[Día Suscripción]],"/",BBDD_Usiarios_Netflix[[#This Row],[Mes Suscripción]],"/",BBDD_Usiarios_Netflix[[#This Row],[Año Suscripción]]))</f>
        <v>45230</v>
      </c>
      <c r="H995" s="1">
        <v>2</v>
      </c>
      <c r="I995" s="1">
        <v>7</v>
      </c>
      <c r="J995" s="1">
        <v>24</v>
      </c>
      <c r="K995" s="1" t="str">
        <f>TEXT(BBDD_Usiarios_Netflix[[#This Row],[Fecha Suscripción]],"dddd")</f>
        <v>martes</v>
      </c>
      <c r="L995" s="1">
        <f>DATEVALUE(_xlfn.CONCAT(BBDD_Usiarios_Netflix[[#This Row],[Día Último Pago]],"/",BBDD_Usiarios_Netflix[[#This Row],[Mes Último Pago]],"/",BBDD_Usiarios_Netflix[[#This Row],[Año Último Pago]]))</f>
        <v>45475</v>
      </c>
      <c r="M995" s="4">
        <f>DATEDIF(BBDD_Usiarios_Netflix[[#This Row],[Fecha Suscripción]],BBDD_Usiarios_Netflix[[#This Row],[Fecha Último Pago]],"M")+1</f>
        <v>9</v>
      </c>
      <c r="N995" s="4">
        <f>BBDD_Usiarios_Netflix[[#This Row],[Ingresos Mensuales]]*BBDD_Usiarios_Netflix[[#This Row],[Meses contratados]]</f>
        <v>126</v>
      </c>
      <c r="O995" t="s">
        <v>33</v>
      </c>
      <c r="P995" t="str">
        <f>IF(BBDD_Usiarios_Netflix[[#This Row],[País]]="","Desconocido",BBDD_Usiarios_Netflix[[#This Row],[País]])</f>
        <v>Francia</v>
      </c>
      <c r="Q995">
        <v>45</v>
      </c>
      <c r="R995" t="s">
        <v>25</v>
      </c>
      <c r="S995" t="s">
        <v>31</v>
      </c>
      <c r="T995" t="s">
        <v>27</v>
      </c>
      <c r="U995">
        <f>IF(IFERROR(VLOOKUP(BBDD_Usiarios_Netflix[[#This Row],[Identificador Usuario]],A996:$A$5870,1,FALSE),0)&lt;&gt;0,1,0)</f>
        <v>0</v>
      </c>
      <c r="V995" s="6" t="str">
        <f>IF(BBDD_Usiarios_Netflix[[#This Row],[Duración Plan]]="12 Meses",LEFT(BBDD_Usiarios_Netflix[[#This Row],[Duración Plan]],2),LEFT(BBDD_Usiarios_Netflix[[#This Row],[Duración Plan]],1))</f>
        <v>1</v>
      </c>
      <c r="W9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96" spans="1:23" x14ac:dyDescent="0.25">
      <c r="A996">
        <v>995</v>
      </c>
      <c r="B996" t="s">
        <v>23</v>
      </c>
      <c r="C996">
        <v>10</v>
      </c>
      <c r="D996" s="3">
        <v>28</v>
      </c>
      <c r="E996" s="3">
        <v>10</v>
      </c>
      <c r="F996">
        <v>23</v>
      </c>
      <c r="G996" s="1">
        <f>DATEVALUE(_xlfn.CONCAT(BBDD_Usiarios_Netflix[[#This Row],[Día Suscripción]],"/",BBDD_Usiarios_Netflix[[#This Row],[Mes Suscripción]],"/",BBDD_Usiarios_Netflix[[#This Row],[Año Suscripción]]))</f>
        <v>45227</v>
      </c>
      <c r="H996" s="1">
        <v>1</v>
      </c>
      <c r="I996" s="1">
        <v>7</v>
      </c>
      <c r="J996" s="1">
        <v>24</v>
      </c>
      <c r="K996" s="1" t="str">
        <f>TEXT(BBDD_Usiarios_Netflix[[#This Row],[Fecha Suscripción]],"dddd")</f>
        <v>sábado</v>
      </c>
      <c r="L996" s="1">
        <f>DATEVALUE(_xlfn.CONCAT(BBDD_Usiarios_Netflix[[#This Row],[Día Último Pago]],"/",BBDD_Usiarios_Netflix[[#This Row],[Mes Último Pago]],"/",BBDD_Usiarios_Netflix[[#This Row],[Año Último Pago]]))</f>
        <v>45474</v>
      </c>
      <c r="M996" s="4">
        <f>DATEDIF(BBDD_Usiarios_Netflix[[#This Row],[Fecha Suscripción]],BBDD_Usiarios_Netflix[[#This Row],[Fecha Último Pago]],"M")+1</f>
        <v>9</v>
      </c>
      <c r="N996" s="4">
        <f>BBDD_Usiarios_Netflix[[#This Row],[Ingresos Mensuales]]*BBDD_Usiarios_Netflix[[#This Row],[Meses contratados]]</f>
        <v>90</v>
      </c>
      <c r="O996" t="s">
        <v>40</v>
      </c>
      <c r="P996" t="str">
        <f>IF(BBDD_Usiarios_Netflix[[#This Row],[País]]="","Desconocido",BBDD_Usiarios_Netflix[[#This Row],[País]])</f>
        <v>Italia</v>
      </c>
      <c r="Q996">
        <v>42</v>
      </c>
      <c r="R996" t="s">
        <v>30</v>
      </c>
      <c r="S996" t="s">
        <v>31</v>
      </c>
      <c r="T996" t="s">
        <v>27</v>
      </c>
      <c r="U996">
        <f>IF(IFERROR(VLOOKUP(BBDD_Usiarios_Netflix[[#This Row],[Identificador Usuario]],A997:$A$5870,1,FALSE),0)&lt;&gt;0,1,0)</f>
        <v>0</v>
      </c>
      <c r="V996" s="6" t="str">
        <f>IF(BBDD_Usiarios_Netflix[[#This Row],[Duración Plan]]="12 Meses",LEFT(BBDD_Usiarios_Netflix[[#This Row],[Duración Plan]],2),LEFT(BBDD_Usiarios_Netflix[[#This Row],[Duración Plan]],1))</f>
        <v>1</v>
      </c>
      <c r="W9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97" spans="1:23" x14ac:dyDescent="0.25">
      <c r="A997">
        <v>996</v>
      </c>
      <c r="B997" t="s">
        <v>28</v>
      </c>
      <c r="C997">
        <v>14</v>
      </c>
      <c r="D997" s="3">
        <v>25</v>
      </c>
      <c r="E997" s="3">
        <v>10</v>
      </c>
      <c r="F997">
        <v>23</v>
      </c>
      <c r="G997" s="1">
        <f>DATEVALUE(_xlfn.CONCAT(BBDD_Usiarios_Netflix[[#This Row],[Día Suscripción]],"/",BBDD_Usiarios_Netflix[[#This Row],[Mes Suscripción]],"/",BBDD_Usiarios_Netflix[[#This Row],[Año Suscripción]]))</f>
        <v>45224</v>
      </c>
      <c r="H997" s="1">
        <v>2</v>
      </c>
      <c r="I997" s="1">
        <v>7</v>
      </c>
      <c r="J997" s="1">
        <v>24</v>
      </c>
      <c r="K997" s="1" t="str">
        <f>TEXT(BBDD_Usiarios_Netflix[[#This Row],[Fecha Suscripción]],"dddd")</f>
        <v>miércoles</v>
      </c>
      <c r="L997" s="1">
        <f>DATEVALUE(_xlfn.CONCAT(BBDD_Usiarios_Netflix[[#This Row],[Día Último Pago]],"/",BBDD_Usiarios_Netflix[[#This Row],[Mes Último Pago]],"/",BBDD_Usiarios_Netflix[[#This Row],[Año Último Pago]]))</f>
        <v>45475</v>
      </c>
      <c r="M997" s="4">
        <f>DATEDIF(BBDD_Usiarios_Netflix[[#This Row],[Fecha Suscripción]],BBDD_Usiarios_Netflix[[#This Row],[Fecha Último Pago]],"M")+1</f>
        <v>9</v>
      </c>
      <c r="N997" s="4">
        <f>BBDD_Usiarios_Netflix[[#This Row],[Ingresos Mensuales]]*BBDD_Usiarios_Netflix[[#This Row],[Meses contratados]]</f>
        <v>126</v>
      </c>
      <c r="O997" t="s">
        <v>29</v>
      </c>
      <c r="P997" t="str">
        <f>IF(BBDD_Usiarios_Netflix[[#This Row],[País]]="","Desconocido",BBDD_Usiarios_Netflix[[#This Row],[País]])</f>
        <v>EEUU</v>
      </c>
      <c r="Q997">
        <v>46</v>
      </c>
      <c r="R997" t="s">
        <v>25</v>
      </c>
      <c r="S997" t="s">
        <v>31</v>
      </c>
      <c r="T997" t="s">
        <v>27</v>
      </c>
      <c r="U997">
        <f>IF(IFERROR(VLOOKUP(BBDD_Usiarios_Netflix[[#This Row],[Identificador Usuario]],A998:$A$5870,1,FALSE),0)&lt;&gt;0,1,0)</f>
        <v>0</v>
      </c>
      <c r="V997" s="6" t="str">
        <f>IF(BBDD_Usiarios_Netflix[[#This Row],[Duración Plan]]="12 Meses",LEFT(BBDD_Usiarios_Netflix[[#This Row],[Duración Plan]],2),LEFT(BBDD_Usiarios_Netflix[[#This Row],[Duración Plan]],1))</f>
        <v>1</v>
      </c>
      <c r="W9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98" spans="1:23" x14ac:dyDescent="0.25">
      <c r="A998">
        <v>997</v>
      </c>
      <c r="B998" t="s">
        <v>23</v>
      </c>
      <c r="C998">
        <v>10</v>
      </c>
      <c r="D998" s="3">
        <v>18</v>
      </c>
      <c r="E998" s="3">
        <v>10</v>
      </c>
      <c r="F998">
        <v>23</v>
      </c>
      <c r="G998" s="1">
        <f>DATEVALUE(_xlfn.CONCAT(BBDD_Usiarios_Netflix[[#This Row],[Día Suscripción]],"/",BBDD_Usiarios_Netflix[[#This Row],[Mes Suscripción]],"/",BBDD_Usiarios_Netflix[[#This Row],[Año Suscripción]]))</f>
        <v>45217</v>
      </c>
      <c r="H998" s="1">
        <v>2</v>
      </c>
      <c r="I998" s="1">
        <v>7</v>
      </c>
      <c r="J998" s="1">
        <v>24</v>
      </c>
      <c r="K998" s="1" t="str">
        <f>TEXT(BBDD_Usiarios_Netflix[[#This Row],[Fecha Suscripción]],"dddd")</f>
        <v>miércoles</v>
      </c>
      <c r="L998" s="1">
        <f>DATEVALUE(_xlfn.CONCAT(BBDD_Usiarios_Netflix[[#This Row],[Día Último Pago]],"/",BBDD_Usiarios_Netflix[[#This Row],[Mes Último Pago]],"/",BBDD_Usiarios_Netflix[[#This Row],[Año Último Pago]]))</f>
        <v>45475</v>
      </c>
      <c r="M998" s="4">
        <f>DATEDIF(BBDD_Usiarios_Netflix[[#This Row],[Fecha Suscripción]],BBDD_Usiarios_Netflix[[#This Row],[Fecha Último Pago]],"M")+1</f>
        <v>9</v>
      </c>
      <c r="N998" s="4">
        <f>BBDD_Usiarios_Netflix[[#This Row],[Ingresos Mensuales]]*BBDD_Usiarios_Netflix[[#This Row],[Meses contratados]]</f>
        <v>90</v>
      </c>
      <c r="O998" t="s">
        <v>44</v>
      </c>
      <c r="P998" t="str">
        <f>IF(BBDD_Usiarios_Netflix[[#This Row],[País]]="","Desconocido",BBDD_Usiarios_Netflix[[#This Row],[País]])</f>
        <v>Desconocido</v>
      </c>
      <c r="Q998">
        <v>51</v>
      </c>
      <c r="R998" t="s">
        <v>25</v>
      </c>
      <c r="S998" t="s">
        <v>31</v>
      </c>
      <c r="T998" t="s">
        <v>27</v>
      </c>
      <c r="U998">
        <f>IF(IFERROR(VLOOKUP(BBDD_Usiarios_Netflix[[#This Row],[Identificador Usuario]],A999:$A$5870,1,FALSE),0)&lt;&gt;0,1,0)</f>
        <v>0</v>
      </c>
      <c r="V998" s="6" t="str">
        <f>IF(BBDD_Usiarios_Netflix[[#This Row],[Duración Plan]]="12 Meses",LEFT(BBDD_Usiarios_Netflix[[#This Row],[Duración Plan]],2),LEFT(BBDD_Usiarios_Netflix[[#This Row],[Duración Plan]],1))</f>
        <v>1</v>
      </c>
      <c r="W9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999" spans="1:23" x14ac:dyDescent="0.25">
      <c r="A999">
        <v>998</v>
      </c>
      <c r="B999" t="s">
        <v>32</v>
      </c>
      <c r="C999">
        <v>12</v>
      </c>
      <c r="D999" s="3">
        <v>25</v>
      </c>
      <c r="E999" s="3">
        <v>9</v>
      </c>
      <c r="F999">
        <v>23</v>
      </c>
      <c r="G999" s="1">
        <f>DATEVALUE(_xlfn.CONCAT(BBDD_Usiarios_Netflix[[#This Row],[Día Suscripción]],"/",BBDD_Usiarios_Netflix[[#This Row],[Mes Suscripción]],"/",BBDD_Usiarios_Netflix[[#This Row],[Año Suscripción]]))</f>
        <v>45194</v>
      </c>
      <c r="H999" s="1">
        <v>2</v>
      </c>
      <c r="I999" s="1">
        <v>7</v>
      </c>
      <c r="J999" s="1">
        <v>24</v>
      </c>
      <c r="K999" s="1" t="str">
        <f>TEXT(BBDD_Usiarios_Netflix[[#This Row],[Fecha Suscripción]],"dddd")</f>
        <v>lunes</v>
      </c>
      <c r="L999" s="1">
        <f>DATEVALUE(_xlfn.CONCAT(BBDD_Usiarios_Netflix[[#This Row],[Día Último Pago]],"/",BBDD_Usiarios_Netflix[[#This Row],[Mes Último Pago]],"/",BBDD_Usiarios_Netflix[[#This Row],[Año Último Pago]]))</f>
        <v>45475</v>
      </c>
      <c r="M999" s="4">
        <f>DATEDIF(BBDD_Usiarios_Netflix[[#This Row],[Fecha Suscripción]],BBDD_Usiarios_Netflix[[#This Row],[Fecha Último Pago]],"M")+1</f>
        <v>10</v>
      </c>
      <c r="N999" s="4">
        <f>BBDD_Usiarios_Netflix[[#This Row],[Ingresos Mensuales]]*BBDD_Usiarios_Netflix[[#This Row],[Meses contratados]]</f>
        <v>120</v>
      </c>
      <c r="O999" t="s">
        <v>24</v>
      </c>
      <c r="P999" t="str">
        <f>IF(BBDD_Usiarios_Netflix[[#This Row],[País]]="","Desconocido",BBDD_Usiarios_Netflix[[#This Row],[País]])</f>
        <v>Australia</v>
      </c>
      <c r="Q999">
        <v>41</v>
      </c>
      <c r="R999" t="s">
        <v>30</v>
      </c>
      <c r="S999" t="s">
        <v>36</v>
      </c>
      <c r="T999" t="s">
        <v>27</v>
      </c>
      <c r="U999">
        <f>IF(IFERROR(VLOOKUP(BBDD_Usiarios_Netflix[[#This Row],[Identificador Usuario]],A1000:$A$5870,1,FALSE),0)&lt;&gt;0,1,0)</f>
        <v>0</v>
      </c>
      <c r="V999" s="6" t="str">
        <f>IF(BBDD_Usiarios_Netflix[[#This Row],[Duración Plan]]="12 Meses",LEFT(BBDD_Usiarios_Netflix[[#This Row],[Duración Plan]],2),LEFT(BBDD_Usiarios_Netflix[[#This Row],[Duración Plan]],1))</f>
        <v>1</v>
      </c>
      <c r="W9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00" spans="1:23" x14ac:dyDescent="0.25">
      <c r="A1000">
        <v>999</v>
      </c>
      <c r="B1000" t="s">
        <v>32</v>
      </c>
      <c r="C1000">
        <v>12</v>
      </c>
      <c r="D1000" s="3">
        <v>26</v>
      </c>
      <c r="E1000" s="3">
        <v>8</v>
      </c>
      <c r="F1000">
        <v>23</v>
      </c>
      <c r="G1000" s="1">
        <f>DATEVALUE(_xlfn.CONCAT(BBDD_Usiarios_Netflix[[#This Row],[Día Suscripción]],"/",BBDD_Usiarios_Netflix[[#This Row],[Mes Suscripción]],"/",BBDD_Usiarios_Netflix[[#This Row],[Año Suscripción]]))</f>
        <v>45164</v>
      </c>
      <c r="H1000" s="1">
        <v>1</v>
      </c>
      <c r="I1000" s="1">
        <v>7</v>
      </c>
      <c r="J1000" s="1">
        <v>24</v>
      </c>
      <c r="K1000" s="1" t="str">
        <f>TEXT(BBDD_Usiarios_Netflix[[#This Row],[Fecha Suscripción]],"dddd")</f>
        <v>sábado</v>
      </c>
      <c r="L1000" s="1">
        <f>DATEVALUE(_xlfn.CONCAT(BBDD_Usiarios_Netflix[[#This Row],[Día Último Pago]],"/",BBDD_Usiarios_Netflix[[#This Row],[Mes Último Pago]],"/",BBDD_Usiarios_Netflix[[#This Row],[Año Último Pago]]))</f>
        <v>45474</v>
      </c>
      <c r="M1000" s="4">
        <f>DATEDIF(BBDD_Usiarios_Netflix[[#This Row],[Fecha Suscripción]],BBDD_Usiarios_Netflix[[#This Row],[Fecha Último Pago]],"M")+1</f>
        <v>11</v>
      </c>
      <c r="N1000" s="4">
        <f>BBDD_Usiarios_Netflix[[#This Row],[Ingresos Mensuales]]*BBDD_Usiarios_Netflix[[#This Row],[Meses contratados]]</f>
        <v>132</v>
      </c>
      <c r="O1000" t="s">
        <v>33</v>
      </c>
      <c r="P1000" t="str">
        <f>IF(BBDD_Usiarios_Netflix[[#This Row],[País]]="","Desconocido",BBDD_Usiarios_Netflix[[#This Row],[País]])</f>
        <v>Francia</v>
      </c>
      <c r="Q1000">
        <v>50</v>
      </c>
      <c r="R1000" t="s">
        <v>30</v>
      </c>
      <c r="S1000" t="s">
        <v>31</v>
      </c>
      <c r="T1000" t="s">
        <v>27</v>
      </c>
      <c r="U1000">
        <f>IF(IFERROR(VLOOKUP(BBDD_Usiarios_Netflix[[#This Row],[Identificador Usuario]],A1001:$A$5870,1,FALSE),0)&lt;&gt;0,1,0)</f>
        <v>0</v>
      </c>
      <c r="V1000" s="6" t="str">
        <f>IF(BBDD_Usiarios_Netflix[[#This Row],[Duración Plan]]="12 Meses",LEFT(BBDD_Usiarios_Netflix[[#This Row],[Duración Plan]],2),LEFT(BBDD_Usiarios_Netflix[[#This Row],[Duración Plan]],1))</f>
        <v>1</v>
      </c>
      <c r="W10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01" spans="1:23" x14ac:dyDescent="0.25">
      <c r="A1001">
        <v>1000</v>
      </c>
      <c r="B1001" t="s">
        <v>23</v>
      </c>
      <c r="C1001">
        <v>10</v>
      </c>
      <c r="D1001" s="3">
        <v>20</v>
      </c>
      <c r="E1001" s="3">
        <v>8</v>
      </c>
      <c r="F1001">
        <v>23</v>
      </c>
      <c r="G1001" s="1">
        <f>DATEVALUE(_xlfn.CONCAT(BBDD_Usiarios_Netflix[[#This Row],[Día Suscripción]],"/",BBDD_Usiarios_Netflix[[#This Row],[Mes Suscripción]],"/",BBDD_Usiarios_Netflix[[#This Row],[Año Suscripción]]))</f>
        <v>45158</v>
      </c>
      <c r="H1001" s="1">
        <v>2</v>
      </c>
      <c r="I1001" s="1">
        <v>7</v>
      </c>
      <c r="J1001" s="1">
        <v>24</v>
      </c>
      <c r="K1001" s="1" t="str">
        <f>TEXT(BBDD_Usiarios_Netflix[[#This Row],[Fecha Suscripción]],"dddd")</f>
        <v>domingo</v>
      </c>
      <c r="L1001" s="1">
        <f>DATEVALUE(_xlfn.CONCAT(BBDD_Usiarios_Netflix[[#This Row],[Día Último Pago]],"/",BBDD_Usiarios_Netflix[[#This Row],[Mes Último Pago]],"/",BBDD_Usiarios_Netflix[[#This Row],[Año Último Pago]]))</f>
        <v>45475</v>
      </c>
      <c r="M1001" s="4">
        <f>DATEDIF(BBDD_Usiarios_Netflix[[#This Row],[Fecha Suscripción]],BBDD_Usiarios_Netflix[[#This Row],[Fecha Último Pago]],"M")+1</f>
        <v>11</v>
      </c>
      <c r="N1001" s="4">
        <f>BBDD_Usiarios_Netflix[[#This Row],[Ingresos Mensuales]]*BBDD_Usiarios_Netflix[[#This Row],[Meses contratados]]</f>
        <v>110</v>
      </c>
      <c r="O1001" t="s">
        <v>43</v>
      </c>
      <c r="P1001" t="str">
        <f>IF(BBDD_Usiarios_Netflix[[#This Row],[País]]="","Desconocido",BBDD_Usiarios_Netflix[[#This Row],[País]])</f>
        <v>Alemania</v>
      </c>
      <c r="Q1001">
        <v>49</v>
      </c>
      <c r="R1001" t="s">
        <v>30</v>
      </c>
      <c r="S1001" t="s">
        <v>26</v>
      </c>
      <c r="T1001" t="s">
        <v>27</v>
      </c>
      <c r="U1001">
        <f>IF(IFERROR(VLOOKUP(BBDD_Usiarios_Netflix[[#This Row],[Identificador Usuario]],A1002:$A$5870,1,FALSE),0)&lt;&gt;0,1,0)</f>
        <v>0</v>
      </c>
      <c r="V1001" s="6" t="str">
        <f>IF(BBDD_Usiarios_Netflix[[#This Row],[Duración Plan]]="12 Meses",LEFT(BBDD_Usiarios_Netflix[[#This Row],[Duración Plan]],2),LEFT(BBDD_Usiarios_Netflix[[#This Row],[Duración Plan]],1))</f>
        <v>1</v>
      </c>
      <c r="W10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02" spans="1:23" x14ac:dyDescent="0.25">
      <c r="A1002">
        <v>1001</v>
      </c>
      <c r="B1002" t="s">
        <v>28</v>
      </c>
      <c r="C1002">
        <v>14</v>
      </c>
      <c r="D1002" s="3">
        <v>12</v>
      </c>
      <c r="E1002" s="3">
        <v>8</v>
      </c>
      <c r="F1002">
        <v>23</v>
      </c>
      <c r="G1002" s="1">
        <f>DATEVALUE(_xlfn.CONCAT(BBDD_Usiarios_Netflix[[#This Row],[Día Suscripción]],"/",BBDD_Usiarios_Netflix[[#This Row],[Mes Suscripción]],"/",BBDD_Usiarios_Netflix[[#This Row],[Año Suscripción]]))</f>
        <v>45150</v>
      </c>
      <c r="H1002" s="1">
        <v>3</v>
      </c>
      <c r="I1002" s="1">
        <v>7</v>
      </c>
      <c r="J1002" s="1">
        <v>24</v>
      </c>
      <c r="K1002" s="1" t="str">
        <f>TEXT(BBDD_Usiarios_Netflix[[#This Row],[Fecha Suscripción]],"dddd")</f>
        <v>sábado</v>
      </c>
      <c r="L1002" s="1">
        <f>DATEVALUE(_xlfn.CONCAT(BBDD_Usiarios_Netflix[[#This Row],[Día Último Pago]],"/",BBDD_Usiarios_Netflix[[#This Row],[Mes Último Pago]],"/",BBDD_Usiarios_Netflix[[#This Row],[Año Último Pago]]))</f>
        <v>45476</v>
      </c>
      <c r="M1002" s="4">
        <f>DATEDIF(BBDD_Usiarios_Netflix[[#This Row],[Fecha Suscripción]],BBDD_Usiarios_Netflix[[#This Row],[Fecha Último Pago]],"M")+1</f>
        <v>11</v>
      </c>
      <c r="N1002" s="4">
        <f>BBDD_Usiarios_Netflix[[#This Row],[Ingresos Mensuales]]*BBDD_Usiarios_Netflix[[#This Row],[Meses contratados]]</f>
        <v>154</v>
      </c>
      <c r="O1002" t="s">
        <v>33</v>
      </c>
      <c r="P1002" t="str">
        <f>IF(BBDD_Usiarios_Netflix[[#This Row],[País]]="","Desconocido",BBDD_Usiarios_Netflix[[#This Row],[País]])</f>
        <v>Francia</v>
      </c>
      <c r="Q1002">
        <v>34</v>
      </c>
      <c r="R1002" t="s">
        <v>30</v>
      </c>
      <c r="S1002" t="s">
        <v>36</v>
      </c>
      <c r="T1002" t="s">
        <v>38</v>
      </c>
      <c r="U1002">
        <f>IF(IFERROR(VLOOKUP(BBDD_Usiarios_Netflix[[#This Row],[Identificador Usuario]],A1003:$A$5870,1,FALSE),0)&lt;&gt;0,1,0)</f>
        <v>0</v>
      </c>
      <c r="V1002" s="6" t="str">
        <f>IF(BBDD_Usiarios_Netflix[[#This Row],[Duración Plan]]="12 Meses",LEFT(BBDD_Usiarios_Netflix[[#This Row],[Duración Plan]],2),LEFT(BBDD_Usiarios_Netflix[[#This Row],[Duración Plan]],1))</f>
        <v>3</v>
      </c>
      <c r="W10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03" spans="1:23" x14ac:dyDescent="0.25">
      <c r="A1003">
        <v>1002</v>
      </c>
      <c r="B1003" t="s">
        <v>23</v>
      </c>
      <c r="C1003">
        <v>10</v>
      </c>
      <c r="D1003" s="3">
        <v>12</v>
      </c>
      <c r="E1003" s="3">
        <v>8</v>
      </c>
      <c r="F1003">
        <v>23</v>
      </c>
      <c r="G1003" s="1">
        <f>DATEVALUE(_xlfn.CONCAT(BBDD_Usiarios_Netflix[[#This Row],[Día Suscripción]],"/",BBDD_Usiarios_Netflix[[#This Row],[Mes Suscripción]],"/",BBDD_Usiarios_Netflix[[#This Row],[Año Suscripción]]))</f>
        <v>45150</v>
      </c>
      <c r="H1003" s="1">
        <v>3</v>
      </c>
      <c r="I1003" s="1">
        <v>7</v>
      </c>
      <c r="J1003" s="1">
        <v>24</v>
      </c>
      <c r="K1003" s="1" t="str">
        <f>TEXT(BBDD_Usiarios_Netflix[[#This Row],[Fecha Suscripción]],"dddd")</f>
        <v>sábado</v>
      </c>
      <c r="L1003" s="1">
        <f>DATEVALUE(_xlfn.CONCAT(BBDD_Usiarios_Netflix[[#This Row],[Día Último Pago]],"/",BBDD_Usiarios_Netflix[[#This Row],[Mes Último Pago]],"/",BBDD_Usiarios_Netflix[[#This Row],[Año Último Pago]]))</f>
        <v>45476</v>
      </c>
      <c r="M1003" s="4">
        <f>DATEDIF(BBDD_Usiarios_Netflix[[#This Row],[Fecha Suscripción]],BBDD_Usiarios_Netflix[[#This Row],[Fecha Último Pago]],"M")+1</f>
        <v>11</v>
      </c>
      <c r="N1003" s="4">
        <f>BBDD_Usiarios_Netflix[[#This Row],[Ingresos Mensuales]]*BBDD_Usiarios_Netflix[[#This Row],[Meses contratados]]</f>
        <v>110</v>
      </c>
      <c r="O1003" t="s">
        <v>29</v>
      </c>
      <c r="P1003" t="str">
        <f>IF(BBDD_Usiarios_Netflix[[#This Row],[País]]="","Desconocido",BBDD_Usiarios_Netflix[[#This Row],[País]])</f>
        <v>EEUU</v>
      </c>
      <c r="Q1003">
        <v>38</v>
      </c>
      <c r="R1003" t="s">
        <v>30</v>
      </c>
      <c r="S1003" t="s">
        <v>31</v>
      </c>
      <c r="T1003" t="s">
        <v>35</v>
      </c>
      <c r="U1003">
        <f>IF(IFERROR(VLOOKUP(BBDD_Usiarios_Netflix[[#This Row],[Identificador Usuario]],A1004:$A$5870,1,FALSE),0)&lt;&gt;0,1,0)</f>
        <v>0</v>
      </c>
      <c r="V1003" s="6" t="str">
        <f>IF(BBDD_Usiarios_Netflix[[#This Row],[Duración Plan]]="12 Meses",LEFT(BBDD_Usiarios_Netflix[[#This Row],[Duración Plan]],2),LEFT(BBDD_Usiarios_Netflix[[#This Row],[Duración Plan]],1))</f>
        <v>6</v>
      </c>
      <c r="W10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04" spans="1:23" x14ac:dyDescent="0.25">
      <c r="A1004">
        <v>1003</v>
      </c>
      <c r="B1004" t="s">
        <v>32</v>
      </c>
      <c r="C1004">
        <v>12</v>
      </c>
      <c r="D1004" s="3">
        <v>11</v>
      </c>
      <c r="E1004" s="3">
        <v>8</v>
      </c>
      <c r="F1004">
        <v>23</v>
      </c>
      <c r="G1004" s="1">
        <f>DATEVALUE(_xlfn.CONCAT(BBDD_Usiarios_Netflix[[#This Row],[Día Suscripción]],"/",BBDD_Usiarios_Netflix[[#This Row],[Mes Suscripción]],"/",BBDD_Usiarios_Netflix[[#This Row],[Año Suscripción]]))</f>
        <v>45149</v>
      </c>
      <c r="H1004" s="1">
        <v>1</v>
      </c>
      <c r="I1004" s="1">
        <v>7</v>
      </c>
      <c r="J1004" s="1">
        <v>24</v>
      </c>
      <c r="K1004" s="1" t="str">
        <f>TEXT(BBDD_Usiarios_Netflix[[#This Row],[Fecha Suscripción]],"dddd")</f>
        <v>viernes</v>
      </c>
      <c r="L1004" s="1">
        <f>DATEVALUE(_xlfn.CONCAT(BBDD_Usiarios_Netflix[[#This Row],[Día Último Pago]],"/",BBDD_Usiarios_Netflix[[#This Row],[Mes Último Pago]],"/",BBDD_Usiarios_Netflix[[#This Row],[Año Último Pago]]))</f>
        <v>45474</v>
      </c>
      <c r="M1004" s="4">
        <f>DATEDIF(BBDD_Usiarios_Netflix[[#This Row],[Fecha Suscripción]],BBDD_Usiarios_Netflix[[#This Row],[Fecha Último Pago]],"M")+1</f>
        <v>11</v>
      </c>
      <c r="N1004" s="4">
        <f>BBDD_Usiarios_Netflix[[#This Row],[Ingresos Mensuales]]*BBDD_Usiarios_Netflix[[#This Row],[Meses contratados]]</f>
        <v>132</v>
      </c>
      <c r="O1004" t="s">
        <v>24</v>
      </c>
      <c r="P1004" t="str">
        <f>IF(BBDD_Usiarios_Netflix[[#This Row],[País]]="","Desconocido",BBDD_Usiarios_Netflix[[#This Row],[País]])</f>
        <v>Australia</v>
      </c>
      <c r="Q1004">
        <v>46</v>
      </c>
      <c r="R1004" t="s">
        <v>25</v>
      </c>
      <c r="S1004" t="s">
        <v>34</v>
      </c>
      <c r="T1004" t="s">
        <v>27</v>
      </c>
      <c r="U1004">
        <f>IF(IFERROR(VLOOKUP(BBDD_Usiarios_Netflix[[#This Row],[Identificador Usuario]],A1005:$A$5870,1,FALSE),0)&lt;&gt;0,1,0)</f>
        <v>0</v>
      </c>
      <c r="V1004" s="6" t="str">
        <f>IF(BBDD_Usiarios_Netflix[[#This Row],[Duración Plan]]="12 Meses",LEFT(BBDD_Usiarios_Netflix[[#This Row],[Duración Plan]],2),LEFT(BBDD_Usiarios_Netflix[[#This Row],[Duración Plan]],1))</f>
        <v>1</v>
      </c>
      <c r="W10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05" spans="1:23" x14ac:dyDescent="0.25">
      <c r="A1005">
        <v>1004</v>
      </c>
      <c r="B1005" t="s">
        <v>28</v>
      </c>
      <c r="C1005">
        <v>14</v>
      </c>
      <c r="D1005" s="3">
        <v>11</v>
      </c>
      <c r="E1005" s="3">
        <v>8</v>
      </c>
      <c r="F1005">
        <v>23</v>
      </c>
      <c r="G1005" s="1">
        <f>DATEVALUE(_xlfn.CONCAT(BBDD_Usiarios_Netflix[[#This Row],[Día Suscripción]],"/",BBDD_Usiarios_Netflix[[#This Row],[Mes Suscripción]],"/",BBDD_Usiarios_Netflix[[#This Row],[Año Suscripción]]))</f>
        <v>45149</v>
      </c>
      <c r="H1005" s="1">
        <v>2</v>
      </c>
      <c r="I1005" s="1">
        <v>7</v>
      </c>
      <c r="J1005" s="1">
        <v>24</v>
      </c>
      <c r="K1005" s="1" t="str">
        <f>TEXT(BBDD_Usiarios_Netflix[[#This Row],[Fecha Suscripción]],"dddd")</f>
        <v>viernes</v>
      </c>
      <c r="L1005" s="1">
        <f>DATEVALUE(_xlfn.CONCAT(BBDD_Usiarios_Netflix[[#This Row],[Día Último Pago]],"/",BBDD_Usiarios_Netflix[[#This Row],[Mes Último Pago]],"/",BBDD_Usiarios_Netflix[[#This Row],[Año Último Pago]]))</f>
        <v>45475</v>
      </c>
      <c r="M1005" s="4">
        <f>DATEDIF(BBDD_Usiarios_Netflix[[#This Row],[Fecha Suscripción]],BBDD_Usiarios_Netflix[[#This Row],[Fecha Último Pago]],"M")+1</f>
        <v>11</v>
      </c>
      <c r="N1005" s="4">
        <f>BBDD_Usiarios_Netflix[[#This Row],[Ingresos Mensuales]]*BBDD_Usiarios_Netflix[[#This Row],[Meses contratados]]</f>
        <v>154</v>
      </c>
      <c r="O1005" t="s">
        <v>43</v>
      </c>
      <c r="P1005" t="str">
        <f>IF(BBDD_Usiarios_Netflix[[#This Row],[País]]="","Desconocido",BBDD_Usiarios_Netflix[[#This Row],[País]])</f>
        <v>Alemania</v>
      </c>
      <c r="Q1005">
        <v>42</v>
      </c>
      <c r="R1005" t="s">
        <v>25</v>
      </c>
      <c r="S1005" t="s">
        <v>34</v>
      </c>
      <c r="T1005" t="s">
        <v>41</v>
      </c>
      <c r="U1005">
        <f>IF(IFERROR(VLOOKUP(BBDD_Usiarios_Netflix[[#This Row],[Identificador Usuario]],A1006:$A$5870,1,FALSE),0)&lt;&gt;0,1,0)</f>
        <v>0</v>
      </c>
      <c r="V1005" s="6" t="str">
        <f>IF(BBDD_Usiarios_Netflix[[#This Row],[Duración Plan]]="12 Meses",LEFT(BBDD_Usiarios_Netflix[[#This Row],[Duración Plan]],2),LEFT(BBDD_Usiarios_Netflix[[#This Row],[Duración Plan]],1))</f>
        <v>12</v>
      </c>
      <c r="W10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06" spans="1:23" x14ac:dyDescent="0.25">
      <c r="A1006">
        <v>1005</v>
      </c>
      <c r="B1006" t="s">
        <v>23</v>
      </c>
      <c r="C1006">
        <v>10</v>
      </c>
      <c r="D1006" s="3">
        <v>10</v>
      </c>
      <c r="E1006" s="3">
        <v>8</v>
      </c>
      <c r="F1006">
        <v>23</v>
      </c>
      <c r="G1006" s="1">
        <f>DATEVALUE(_xlfn.CONCAT(BBDD_Usiarios_Netflix[[#This Row],[Día Suscripción]],"/",BBDD_Usiarios_Netflix[[#This Row],[Mes Suscripción]],"/",BBDD_Usiarios_Netflix[[#This Row],[Año Suscripción]]))</f>
        <v>45148</v>
      </c>
      <c r="H1006" s="1">
        <v>2</v>
      </c>
      <c r="I1006" s="1">
        <v>7</v>
      </c>
      <c r="J1006" s="1">
        <v>24</v>
      </c>
      <c r="K1006" s="1" t="str">
        <f>TEXT(BBDD_Usiarios_Netflix[[#This Row],[Fecha Suscripción]],"dddd")</f>
        <v>jueves</v>
      </c>
      <c r="L1006" s="1">
        <f>DATEVALUE(_xlfn.CONCAT(BBDD_Usiarios_Netflix[[#This Row],[Día Último Pago]],"/",BBDD_Usiarios_Netflix[[#This Row],[Mes Último Pago]],"/",BBDD_Usiarios_Netflix[[#This Row],[Año Último Pago]]))</f>
        <v>45475</v>
      </c>
      <c r="M1006" s="4">
        <f>DATEDIF(BBDD_Usiarios_Netflix[[#This Row],[Fecha Suscripción]],BBDD_Usiarios_Netflix[[#This Row],[Fecha Último Pago]],"M")+1</f>
        <v>11</v>
      </c>
      <c r="N1006" s="4">
        <f>BBDD_Usiarios_Netflix[[#This Row],[Ingresos Mensuales]]*BBDD_Usiarios_Netflix[[#This Row],[Meses contratados]]</f>
        <v>110</v>
      </c>
      <c r="O1006" t="s">
        <v>24</v>
      </c>
      <c r="P1006" t="str">
        <f>IF(BBDD_Usiarios_Netflix[[#This Row],[País]]="","Desconocido",BBDD_Usiarios_Netflix[[#This Row],[País]])</f>
        <v>Australia</v>
      </c>
      <c r="Q1006">
        <v>46</v>
      </c>
      <c r="R1006" t="s">
        <v>25</v>
      </c>
      <c r="S1006" t="s">
        <v>36</v>
      </c>
      <c r="T1006" t="s">
        <v>38</v>
      </c>
      <c r="U1006">
        <f>IF(IFERROR(VLOOKUP(BBDD_Usiarios_Netflix[[#This Row],[Identificador Usuario]],A1007:$A$5870,1,FALSE),0)&lt;&gt;0,1,0)</f>
        <v>0</v>
      </c>
      <c r="V1006" s="6" t="str">
        <f>IF(BBDD_Usiarios_Netflix[[#This Row],[Duración Plan]]="12 Meses",LEFT(BBDD_Usiarios_Netflix[[#This Row],[Duración Plan]],2),LEFT(BBDD_Usiarios_Netflix[[#This Row],[Duración Plan]],1))</f>
        <v>3</v>
      </c>
      <c r="W10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07" spans="1:23" x14ac:dyDescent="0.25">
      <c r="A1007">
        <v>1006</v>
      </c>
      <c r="B1007" t="s">
        <v>28</v>
      </c>
      <c r="C1007">
        <v>14</v>
      </c>
      <c r="D1007" s="3">
        <v>31</v>
      </c>
      <c r="E1007" s="3">
        <v>7</v>
      </c>
      <c r="F1007">
        <v>23</v>
      </c>
      <c r="G1007" s="1">
        <f>DATEVALUE(_xlfn.CONCAT(BBDD_Usiarios_Netflix[[#This Row],[Día Suscripción]],"/",BBDD_Usiarios_Netflix[[#This Row],[Mes Suscripción]],"/",BBDD_Usiarios_Netflix[[#This Row],[Año Suscripción]]))</f>
        <v>45138</v>
      </c>
      <c r="H1007" s="1">
        <v>3</v>
      </c>
      <c r="I1007" s="1">
        <v>7</v>
      </c>
      <c r="J1007" s="1">
        <v>24</v>
      </c>
      <c r="K1007" s="1" t="str">
        <f>TEXT(BBDD_Usiarios_Netflix[[#This Row],[Fecha Suscripción]],"dddd")</f>
        <v>lunes</v>
      </c>
      <c r="L1007" s="1">
        <f>DATEVALUE(_xlfn.CONCAT(BBDD_Usiarios_Netflix[[#This Row],[Día Último Pago]],"/",BBDD_Usiarios_Netflix[[#This Row],[Mes Último Pago]],"/",BBDD_Usiarios_Netflix[[#This Row],[Año Último Pago]]))</f>
        <v>45476</v>
      </c>
      <c r="M1007" s="4">
        <f>DATEDIF(BBDD_Usiarios_Netflix[[#This Row],[Fecha Suscripción]],BBDD_Usiarios_Netflix[[#This Row],[Fecha Último Pago]],"M")+1</f>
        <v>12</v>
      </c>
      <c r="N1007" s="4">
        <f>BBDD_Usiarios_Netflix[[#This Row],[Ingresos Mensuales]]*BBDD_Usiarios_Netflix[[#This Row],[Meses contratados]]</f>
        <v>168</v>
      </c>
      <c r="O1007" t="s">
        <v>24</v>
      </c>
      <c r="P1007" t="str">
        <f>IF(BBDD_Usiarios_Netflix[[#This Row],[País]]="","Desconocido",BBDD_Usiarios_Netflix[[#This Row],[País]])</f>
        <v>Australia</v>
      </c>
      <c r="Q1007">
        <v>51</v>
      </c>
      <c r="R1007" t="s">
        <v>30</v>
      </c>
      <c r="S1007" t="s">
        <v>34</v>
      </c>
      <c r="T1007" t="s">
        <v>41</v>
      </c>
      <c r="U1007">
        <f>IF(IFERROR(VLOOKUP(BBDD_Usiarios_Netflix[[#This Row],[Identificador Usuario]],A1008:$A$5870,1,FALSE),0)&lt;&gt;0,1,0)</f>
        <v>0</v>
      </c>
      <c r="V1007" s="6" t="str">
        <f>IF(BBDD_Usiarios_Netflix[[#This Row],[Duración Plan]]="12 Meses",LEFT(BBDD_Usiarios_Netflix[[#This Row],[Duración Plan]],2),LEFT(BBDD_Usiarios_Netflix[[#This Row],[Duración Plan]],1))</f>
        <v>12</v>
      </c>
      <c r="W10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08" spans="1:23" x14ac:dyDescent="0.25">
      <c r="A1008">
        <v>1007</v>
      </c>
      <c r="B1008" t="s">
        <v>23</v>
      </c>
      <c r="C1008">
        <v>10</v>
      </c>
      <c r="D1008" s="3">
        <v>17</v>
      </c>
      <c r="E1008" s="3">
        <v>7</v>
      </c>
      <c r="F1008">
        <v>23</v>
      </c>
      <c r="G1008" s="1">
        <f>DATEVALUE(_xlfn.CONCAT(BBDD_Usiarios_Netflix[[#This Row],[Día Suscripción]],"/",BBDD_Usiarios_Netflix[[#This Row],[Mes Suscripción]],"/",BBDD_Usiarios_Netflix[[#This Row],[Año Suscripción]]))</f>
        <v>45124</v>
      </c>
      <c r="H1008" s="1">
        <v>30</v>
      </c>
      <c r="I1008" s="1">
        <v>6</v>
      </c>
      <c r="J1008" s="1">
        <v>24</v>
      </c>
      <c r="K1008" s="1" t="str">
        <f>TEXT(BBDD_Usiarios_Netflix[[#This Row],[Fecha Suscripción]],"dddd")</f>
        <v>lunes</v>
      </c>
      <c r="L1008" s="1">
        <f>DATEVALUE(_xlfn.CONCAT(BBDD_Usiarios_Netflix[[#This Row],[Día Último Pago]],"/",BBDD_Usiarios_Netflix[[#This Row],[Mes Último Pago]],"/",BBDD_Usiarios_Netflix[[#This Row],[Año Último Pago]]))</f>
        <v>45473</v>
      </c>
      <c r="M1008" s="4">
        <f>DATEDIF(BBDD_Usiarios_Netflix[[#This Row],[Fecha Suscripción]],BBDD_Usiarios_Netflix[[#This Row],[Fecha Último Pago]],"M")+1</f>
        <v>12</v>
      </c>
      <c r="N1008" s="4">
        <f>BBDD_Usiarios_Netflix[[#This Row],[Ingresos Mensuales]]*BBDD_Usiarios_Netflix[[#This Row],[Meses contratados]]</f>
        <v>120</v>
      </c>
      <c r="O1008" t="s">
        <v>42</v>
      </c>
      <c r="P1008" t="str">
        <f>IF(BBDD_Usiarios_Netflix[[#This Row],[País]]="","Desconocido",BBDD_Usiarios_Netflix[[#This Row],[País]])</f>
        <v>Reino Unido</v>
      </c>
      <c r="Q1008">
        <v>35</v>
      </c>
      <c r="R1008" t="s">
        <v>25</v>
      </c>
      <c r="S1008" t="s">
        <v>34</v>
      </c>
      <c r="T1008" t="s">
        <v>27</v>
      </c>
      <c r="U1008">
        <f>IF(IFERROR(VLOOKUP(BBDD_Usiarios_Netflix[[#This Row],[Identificador Usuario]],A1009:$A$5870,1,FALSE),0)&lt;&gt;0,1,0)</f>
        <v>0</v>
      </c>
      <c r="V1008" s="6" t="str">
        <f>IF(BBDD_Usiarios_Netflix[[#This Row],[Duración Plan]]="12 Meses",LEFT(BBDD_Usiarios_Netflix[[#This Row],[Duración Plan]],2),LEFT(BBDD_Usiarios_Netflix[[#This Row],[Duración Plan]],1))</f>
        <v>1</v>
      </c>
      <c r="W10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09" spans="1:23" x14ac:dyDescent="0.25">
      <c r="A1009">
        <v>1008</v>
      </c>
      <c r="B1009" t="s">
        <v>32</v>
      </c>
      <c r="C1009">
        <v>12</v>
      </c>
      <c r="D1009" s="3">
        <v>15</v>
      </c>
      <c r="E1009" s="3">
        <v>7</v>
      </c>
      <c r="F1009">
        <v>23</v>
      </c>
      <c r="G1009" s="1">
        <f>DATEVALUE(_xlfn.CONCAT(BBDD_Usiarios_Netflix[[#This Row],[Día Suscripción]],"/",BBDD_Usiarios_Netflix[[#This Row],[Mes Suscripción]],"/",BBDD_Usiarios_Netflix[[#This Row],[Año Suscripción]]))</f>
        <v>45122</v>
      </c>
      <c r="H1009" s="1">
        <v>2</v>
      </c>
      <c r="I1009" s="1">
        <v>7</v>
      </c>
      <c r="J1009" s="1">
        <v>24</v>
      </c>
      <c r="K1009" s="1" t="str">
        <f>TEXT(BBDD_Usiarios_Netflix[[#This Row],[Fecha Suscripción]],"dddd")</f>
        <v>sábado</v>
      </c>
      <c r="L1009" s="1">
        <f>DATEVALUE(_xlfn.CONCAT(BBDD_Usiarios_Netflix[[#This Row],[Día Último Pago]],"/",BBDD_Usiarios_Netflix[[#This Row],[Mes Último Pago]],"/",BBDD_Usiarios_Netflix[[#This Row],[Año Último Pago]]))</f>
        <v>45475</v>
      </c>
      <c r="M1009" s="4">
        <f>DATEDIF(BBDD_Usiarios_Netflix[[#This Row],[Fecha Suscripción]],BBDD_Usiarios_Netflix[[#This Row],[Fecha Último Pago]],"M")+1</f>
        <v>12</v>
      </c>
      <c r="N1009" s="4">
        <f>BBDD_Usiarios_Netflix[[#This Row],[Ingresos Mensuales]]*BBDD_Usiarios_Netflix[[#This Row],[Meses contratados]]</f>
        <v>144</v>
      </c>
      <c r="O1009" t="s">
        <v>33</v>
      </c>
      <c r="P1009" t="str">
        <f>IF(BBDD_Usiarios_Netflix[[#This Row],[País]]="","Desconocido",BBDD_Usiarios_Netflix[[#This Row],[País]])</f>
        <v>Francia</v>
      </c>
      <c r="Q1009">
        <v>34</v>
      </c>
      <c r="R1009" t="s">
        <v>30</v>
      </c>
      <c r="S1009" t="s">
        <v>26</v>
      </c>
      <c r="T1009" t="s">
        <v>38</v>
      </c>
      <c r="U1009">
        <f>IF(IFERROR(VLOOKUP(BBDD_Usiarios_Netflix[[#This Row],[Identificador Usuario]],A1010:$A$5870,1,FALSE),0)&lt;&gt;0,1,0)</f>
        <v>0</v>
      </c>
      <c r="V1009" s="6" t="str">
        <f>IF(BBDD_Usiarios_Netflix[[#This Row],[Duración Plan]]="12 Meses",LEFT(BBDD_Usiarios_Netflix[[#This Row],[Duración Plan]],2),LEFT(BBDD_Usiarios_Netflix[[#This Row],[Duración Plan]],1))</f>
        <v>3</v>
      </c>
      <c r="W10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10" spans="1:23" x14ac:dyDescent="0.25">
      <c r="A1010">
        <v>1009</v>
      </c>
      <c r="B1010" t="s">
        <v>32</v>
      </c>
      <c r="C1010">
        <v>12</v>
      </c>
      <c r="D1010" s="3">
        <v>5</v>
      </c>
      <c r="E1010" s="3">
        <v>7</v>
      </c>
      <c r="F1010">
        <v>23</v>
      </c>
      <c r="G1010" s="1">
        <f>DATEVALUE(_xlfn.CONCAT(BBDD_Usiarios_Netflix[[#This Row],[Día Suscripción]],"/",BBDD_Usiarios_Netflix[[#This Row],[Mes Suscripción]],"/",BBDD_Usiarios_Netflix[[#This Row],[Año Suscripción]]))</f>
        <v>45112</v>
      </c>
      <c r="H1010" s="1">
        <v>2</v>
      </c>
      <c r="I1010" s="1">
        <v>7</v>
      </c>
      <c r="J1010" s="1">
        <v>24</v>
      </c>
      <c r="K1010" s="1" t="str">
        <f>TEXT(BBDD_Usiarios_Netflix[[#This Row],[Fecha Suscripción]],"dddd")</f>
        <v>miércoles</v>
      </c>
      <c r="L1010" s="1">
        <f>DATEVALUE(_xlfn.CONCAT(BBDD_Usiarios_Netflix[[#This Row],[Día Último Pago]],"/",BBDD_Usiarios_Netflix[[#This Row],[Mes Último Pago]],"/",BBDD_Usiarios_Netflix[[#This Row],[Año Último Pago]]))</f>
        <v>45475</v>
      </c>
      <c r="M1010" s="4">
        <f>DATEDIF(BBDD_Usiarios_Netflix[[#This Row],[Fecha Suscripción]],BBDD_Usiarios_Netflix[[#This Row],[Fecha Último Pago]],"M")+1</f>
        <v>12</v>
      </c>
      <c r="N1010" s="4">
        <f>BBDD_Usiarios_Netflix[[#This Row],[Ingresos Mensuales]]*BBDD_Usiarios_Netflix[[#This Row],[Meses contratados]]</f>
        <v>144</v>
      </c>
      <c r="O1010" t="s">
        <v>42</v>
      </c>
      <c r="P1010" t="str">
        <f>IF(BBDD_Usiarios_Netflix[[#This Row],[País]]="","Desconocido",BBDD_Usiarios_Netflix[[#This Row],[País]])</f>
        <v>Reino Unido</v>
      </c>
      <c r="Q1010">
        <v>31</v>
      </c>
      <c r="R1010" t="s">
        <v>30</v>
      </c>
      <c r="S1010" t="s">
        <v>36</v>
      </c>
      <c r="T1010" t="s">
        <v>41</v>
      </c>
      <c r="U1010">
        <f>IF(IFERROR(VLOOKUP(BBDD_Usiarios_Netflix[[#This Row],[Identificador Usuario]],A1011:$A$5870,1,FALSE),0)&lt;&gt;0,1,0)</f>
        <v>0</v>
      </c>
      <c r="V1010" s="6" t="str">
        <f>IF(BBDD_Usiarios_Netflix[[#This Row],[Duración Plan]]="12 Meses",LEFT(BBDD_Usiarios_Netflix[[#This Row],[Duración Plan]],2),LEFT(BBDD_Usiarios_Netflix[[#This Row],[Duración Plan]],1))</f>
        <v>12</v>
      </c>
      <c r="W10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11" spans="1:23" x14ac:dyDescent="0.25">
      <c r="A1011">
        <v>1010</v>
      </c>
      <c r="B1011" t="s">
        <v>23</v>
      </c>
      <c r="C1011">
        <v>10</v>
      </c>
      <c r="D1011" s="3">
        <v>1</v>
      </c>
      <c r="E1011" s="3">
        <v>7</v>
      </c>
      <c r="F1011">
        <v>23</v>
      </c>
      <c r="G1011" s="1">
        <f>DATEVALUE(_xlfn.CONCAT(BBDD_Usiarios_Netflix[[#This Row],[Día Suscripción]],"/",BBDD_Usiarios_Netflix[[#This Row],[Mes Suscripción]],"/",BBDD_Usiarios_Netflix[[#This Row],[Año Suscripción]]))</f>
        <v>45108</v>
      </c>
      <c r="H1011" s="1">
        <v>3</v>
      </c>
      <c r="I1011" s="1">
        <v>7</v>
      </c>
      <c r="J1011" s="1">
        <v>24</v>
      </c>
      <c r="K1011" s="1" t="str">
        <f>TEXT(BBDD_Usiarios_Netflix[[#This Row],[Fecha Suscripción]],"dddd")</f>
        <v>sábado</v>
      </c>
      <c r="L1011" s="1">
        <f>DATEVALUE(_xlfn.CONCAT(BBDD_Usiarios_Netflix[[#This Row],[Día Último Pago]],"/",BBDD_Usiarios_Netflix[[#This Row],[Mes Último Pago]],"/",BBDD_Usiarios_Netflix[[#This Row],[Año Último Pago]]))</f>
        <v>45476</v>
      </c>
      <c r="M1011" s="4">
        <f>DATEDIF(BBDD_Usiarios_Netflix[[#This Row],[Fecha Suscripción]],BBDD_Usiarios_Netflix[[#This Row],[Fecha Último Pago]],"M")+1</f>
        <v>13</v>
      </c>
      <c r="N1011" s="4">
        <f>BBDD_Usiarios_Netflix[[#This Row],[Ingresos Mensuales]]*BBDD_Usiarios_Netflix[[#This Row],[Meses contratados]]</f>
        <v>130</v>
      </c>
      <c r="O1011" t="s">
        <v>29</v>
      </c>
      <c r="P1011" t="str">
        <f>IF(BBDD_Usiarios_Netflix[[#This Row],[País]]="","Desconocido",BBDD_Usiarios_Netflix[[#This Row],[País]])</f>
        <v>EEUU</v>
      </c>
      <c r="Q1011">
        <v>36</v>
      </c>
      <c r="R1011" t="s">
        <v>30</v>
      </c>
      <c r="S1011" t="s">
        <v>31</v>
      </c>
      <c r="T1011" t="s">
        <v>27</v>
      </c>
      <c r="U1011">
        <f>IF(IFERROR(VLOOKUP(BBDD_Usiarios_Netflix[[#This Row],[Identificador Usuario]],A1012:$A$5870,1,FALSE),0)&lt;&gt;0,1,0)</f>
        <v>0</v>
      </c>
      <c r="V1011" s="6" t="str">
        <f>IF(BBDD_Usiarios_Netflix[[#This Row],[Duración Plan]]="12 Meses",LEFT(BBDD_Usiarios_Netflix[[#This Row],[Duración Plan]],2),LEFT(BBDD_Usiarios_Netflix[[#This Row],[Duración Plan]],1))</f>
        <v>1</v>
      </c>
      <c r="W10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12" spans="1:23" x14ac:dyDescent="0.25">
      <c r="A1012">
        <v>1011</v>
      </c>
      <c r="B1012" t="s">
        <v>28</v>
      </c>
      <c r="C1012">
        <v>14</v>
      </c>
      <c r="D1012" s="3">
        <v>1</v>
      </c>
      <c r="E1012" s="3">
        <v>7</v>
      </c>
      <c r="F1012">
        <v>23</v>
      </c>
      <c r="G1012" s="1">
        <f>DATEVALUE(_xlfn.CONCAT(BBDD_Usiarios_Netflix[[#This Row],[Día Suscripción]],"/",BBDD_Usiarios_Netflix[[#This Row],[Mes Suscripción]],"/",BBDD_Usiarios_Netflix[[#This Row],[Año Suscripción]]))</f>
        <v>45108</v>
      </c>
      <c r="H1012" s="1">
        <v>30</v>
      </c>
      <c r="I1012" s="1">
        <v>6</v>
      </c>
      <c r="J1012" s="1">
        <v>24</v>
      </c>
      <c r="K1012" s="1" t="str">
        <f>TEXT(BBDD_Usiarios_Netflix[[#This Row],[Fecha Suscripción]],"dddd")</f>
        <v>sábado</v>
      </c>
      <c r="L1012" s="1">
        <f>DATEVALUE(_xlfn.CONCAT(BBDD_Usiarios_Netflix[[#This Row],[Día Último Pago]],"/",BBDD_Usiarios_Netflix[[#This Row],[Mes Último Pago]],"/",BBDD_Usiarios_Netflix[[#This Row],[Año Último Pago]]))</f>
        <v>45473</v>
      </c>
      <c r="M1012" s="4">
        <f>DATEDIF(BBDD_Usiarios_Netflix[[#This Row],[Fecha Suscripción]],BBDD_Usiarios_Netflix[[#This Row],[Fecha Último Pago]],"M")+1</f>
        <v>12</v>
      </c>
      <c r="N1012" s="4">
        <f>BBDD_Usiarios_Netflix[[#This Row],[Ingresos Mensuales]]*BBDD_Usiarios_Netflix[[#This Row],[Meses contratados]]</f>
        <v>168</v>
      </c>
      <c r="O1012" t="s">
        <v>39</v>
      </c>
      <c r="P1012" t="str">
        <f>IF(BBDD_Usiarios_Netflix[[#This Row],[País]]="","Desconocido",BBDD_Usiarios_Netflix[[#This Row],[País]])</f>
        <v>Canadá</v>
      </c>
      <c r="Q1012">
        <v>28</v>
      </c>
      <c r="R1012" t="s">
        <v>25</v>
      </c>
      <c r="S1012" t="s">
        <v>34</v>
      </c>
      <c r="T1012" t="s">
        <v>35</v>
      </c>
      <c r="U1012">
        <f>IF(IFERROR(VLOOKUP(BBDD_Usiarios_Netflix[[#This Row],[Identificador Usuario]],A1013:$A$5870,1,FALSE),0)&lt;&gt;0,1,0)</f>
        <v>0</v>
      </c>
      <c r="V1012" s="6" t="str">
        <f>IF(BBDD_Usiarios_Netflix[[#This Row],[Duración Plan]]="12 Meses",LEFT(BBDD_Usiarios_Netflix[[#This Row],[Duración Plan]],2),LEFT(BBDD_Usiarios_Netflix[[#This Row],[Duración Plan]],1))</f>
        <v>6</v>
      </c>
      <c r="W10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13" spans="1:23" x14ac:dyDescent="0.25">
      <c r="A1013">
        <v>1012</v>
      </c>
      <c r="B1013" t="s">
        <v>23</v>
      </c>
      <c r="C1013">
        <v>10</v>
      </c>
      <c r="D1013" s="3">
        <v>26</v>
      </c>
      <c r="E1013" s="3">
        <v>6</v>
      </c>
      <c r="F1013">
        <v>23</v>
      </c>
      <c r="G1013" s="1">
        <f>DATEVALUE(_xlfn.CONCAT(BBDD_Usiarios_Netflix[[#This Row],[Día Suscripción]],"/",BBDD_Usiarios_Netflix[[#This Row],[Mes Suscripción]],"/",BBDD_Usiarios_Netflix[[#This Row],[Año Suscripción]]))</f>
        <v>45103</v>
      </c>
      <c r="H1013" s="1">
        <v>1</v>
      </c>
      <c r="I1013" s="1">
        <v>7</v>
      </c>
      <c r="J1013" s="1">
        <v>24</v>
      </c>
      <c r="K1013" s="1" t="str">
        <f>TEXT(BBDD_Usiarios_Netflix[[#This Row],[Fecha Suscripción]],"dddd")</f>
        <v>lunes</v>
      </c>
      <c r="L1013" s="1">
        <f>DATEVALUE(_xlfn.CONCAT(BBDD_Usiarios_Netflix[[#This Row],[Día Último Pago]],"/",BBDD_Usiarios_Netflix[[#This Row],[Mes Último Pago]],"/",BBDD_Usiarios_Netflix[[#This Row],[Año Último Pago]]))</f>
        <v>45474</v>
      </c>
      <c r="M1013" s="4">
        <f>DATEDIF(BBDD_Usiarios_Netflix[[#This Row],[Fecha Suscripción]],BBDD_Usiarios_Netflix[[#This Row],[Fecha Último Pago]],"M")+1</f>
        <v>13</v>
      </c>
      <c r="N1013" s="4">
        <f>BBDD_Usiarios_Netflix[[#This Row],[Ingresos Mensuales]]*BBDD_Usiarios_Netflix[[#This Row],[Meses contratados]]</f>
        <v>130</v>
      </c>
      <c r="O1013" t="s">
        <v>43</v>
      </c>
      <c r="P1013" t="str">
        <f>IF(BBDD_Usiarios_Netflix[[#This Row],[País]]="","Desconocido",BBDD_Usiarios_Netflix[[#This Row],[País]])</f>
        <v>Alemania</v>
      </c>
      <c r="Q1013">
        <v>29</v>
      </c>
      <c r="R1013" t="s">
        <v>30</v>
      </c>
      <c r="S1013" t="s">
        <v>26</v>
      </c>
      <c r="T1013" t="s">
        <v>35</v>
      </c>
      <c r="U1013">
        <f>IF(IFERROR(VLOOKUP(BBDD_Usiarios_Netflix[[#This Row],[Identificador Usuario]],A1014:$A$5870,1,FALSE),0)&lt;&gt;0,1,0)</f>
        <v>0</v>
      </c>
      <c r="V1013" s="6" t="str">
        <f>IF(BBDD_Usiarios_Netflix[[#This Row],[Duración Plan]]="12 Meses",LEFT(BBDD_Usiarios_Netflix[[#This Row],[Duración Plan]],2),LEFT(BBDD_Usiarios_Netflix[[#This Row],[Duración Plan]],1))</f>
        <v>6</v>
      </c>
      <c r="W10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14" spans="1:23" x14ac:dyDescent="0.25">
      <c r="A1014">
        <v>1013</v>
      </c>
      <c r="B1014" t="s">
        <v>32</v>
      </c>
      <c r="C1014">
        <v>12</v>
      </c>
      <c r="D1014" s="3">
        <v>27</v>
      </c>
      <c r="E1014" s="3">
        <v>6</v>
      </c>
      <c r="F1014">
        <v>23</v>
      </c>
      <c r="G1014" s="1">
        <f>DATEVALUE(_xlfn.CONCAT(BBDD_Usiarios_Netflix[[#This Row],[Día Suscripción]],"/",BBDD_Usiarios_Netflix[[#This Row],[Mes Suscripción]],"/",BBDD_Usiarios_Netflix[[#This Row],[Año Suscripción]]))</f>
        <v>45104</v>
      </c>
      <c r="H1014" s="1">
        <v>2</v>
      </c>
      <c r="I1014" s="1">
        <v>7</v>
      </c>
      <c r="J1014" s="1">
        <v>24</v>
      </c>
      <c r="K1014" s="1" t="str">
        <f>TEXT(BBDD_Usiarios_Netflix[[#This Row],[Fecha Suscripción]],"dddd")</f>
        <v>martes</v>
      </c>
      <c r="L1014" s="1">
        <f>DATEVALUE(_xlfn.CONCAT(BBDD_Usiarios_Netflix[[#This Row],[Día Último Pago]],"/",BBDD_Usiarios_Netflix[[#This Row],[Mes Último Pago]],"/",BBDD_Usiarios_Netflix[[#This Row],[Año Último Pago]]))</f>
        <v>45475</v>
      </c>
      <c r="M1014" s="4">
        <f>DATEDIF(BBDD_Usiarios_Netflix[[#This Row],[Fecha Suscripción]],BBDD_Usiarios_Netflix[[#This Row],[Fecha Último Pago]],"M")+1</f>
        <v>13</v>
      </c>
      <c r="N1014" s="4">
        <f>BBDD_Usiarios_Netflix[[#This Row],[Ingresos Mensuales]]*BBDD_Usiarios_Netflix[[#This Row],[Meses contratados]]</f>
        <v>156</v>
      </c>
      <c r="O1014" t="s">
        <v>39</v>
      </c>
      <c r="P1014" t="str">
        <f>IF(BBDD_Usiarios_Netflix[[#This Row],[País]]="","Desconocido",BBDD_Usiarios_Netflix[[#This Row],[País]])</f>
        <v>Canadá</v>
      </c>
      <c r="Q1014">
        <v>42</v>
      </c>
      <c r="R1014" t="s">
        <v>30</v>
      </c>
      <c r="S1014" t="s">
        <v>34</v>
      </c>
      <c r="T1014" t="s">
        <v>27</v>
      </c>
      <c r="U1014">
        <f>IF(IFERROR(VLOOKUP(BBDD_Usiarios_Netflix[[#This Row],[Identificador Usuario]],A1015:$A$5870,1,FALSE),0)&lt;&gt;0,1,0)</f>
        <v>0</v>
      </c>
      <c r="V1014" s="6" t="str">
        <f>IF(BBDD_Usiarios_Netflix[[#This Row],[Duración Plan]]="12 Meses",LEFT(BBDD_Usiarios_Netflix[[#This Row],[Duración Plan]],2),LEFT(BBDD_Usiarios_Netflix[[#This Row],[Duración Plan]],1))</f>
        <v>1</v>
      </c>
      <c r="W10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15" spans="1:23" x14ac:dyDescent="0.25">
      <c r="A1015">
        <v>1014</v>
      </c>
      <c r="B1015" t="s">
        <v>28</v>
      </c>
      <c r="C1015">
        <v>14</v>
      </c>
      <c r="D1015" s="3">
        <v>28</v>
      </c>
      <c r="E1015" s="3">
        <v>6</v>
      </c>
      <c r="F1015">
        <v>23</v>
      </c>
      <c r="G1015" s="1">
        <f>DATEVALUE(_xlfn.CONCAT(BBDD_Usiarios_Netflix[[#This Row],[Día Suscripción]],"/",BBDD_Usiarios_Netflix[[#This Row],[Mes Suscripción]],"/",BBDD_Usiarios_Netflix[[#This Row],[Año Suscripción]]))</f>
        <v>45105</v>
      </c>
      <c r="H1015" s="1">
        <v>2</v>
      </c>
      <c r="I1015" s="1">
        <v>7</v>
      </c>
      <c r="J1015" s="1">
        <v>24</v>
      </c>
      <c r="K1015" s="1" t="str">
        <f>TEXT(BBDD_Usiarios_Netflix[[#This Row],[Fecha Suscripción]],"dddd")</f>
        <v>miércoles</v>
      </c>
      <c r="L1015" s="1">
        <f>DATEVALUE(_xlfn.CONCAT(BBDD_Usiarios_Netflix[[#This Row],[Día Último Pago]],"/",BBDD_Usiarios_Netflix[[#This Row],[Mes Último Pago]],"/",BBDD_Usiarios_Netflix[[#This Row],[Año Último Pago]]))</f>
        <v>45475</v>
      </c>
      <c r="M1015" s="4">
        <f>DATEDIF(BBDD_Usiarios_Netflix[[#This Row],[Fecha Suscripción]],BBDD_Usiarios_Netflix[[#This Row],[Fecha Último Pago]],"M")+1</f>
        <v>13</v>
      </c>
      <c r="N1015" s="4">
        <f>BBDD_Usiarios_Netflix[[#This Row],[Ingresos Mensuales]]*BBDD_Usiarios_Netflix[[#This Row],[Meses contratados]]</f>
        <v>182</v>
      </c>
      <c r="O1015" t="s">
        <v>33</v>
      </c>
      <c r="P1015" t="str">
        <f>IF(BBDD_Usiarios_Netflix[[#This Row],[País]]="","Desconocido",BBDD_Usiarios_Netflix[[#This Row],[País]])</f>
        <v>Francia</v>
      </c>
      <c r="Q1015">
        <v>35</v>
      </c>
      <c r="R1015" t="s">
        <v>30</v>
      </c>
      <c r="S1015" t="s">
        <v>26</v>
      </c>
      <c r="T1015" t="s">
        <v>38</v>
      </c>
      <c r="U1015">
        <f>IF(IFERROR(VLOOKUP(BBDD_Usiarios_Netflix[[#This Row],[Identificador Usuario]],A1016:$A$5870,1,FALSE),0)&lt;&gt;0,1,0)</f>
        <v>0</v>
      </c>
      <c r="V1015" s="6" t="str">
        <f>IF(BBDD_Usiarios_Netflix[[#This Row],[Duración Plan]]="12 Meses",LEFT(BBDD_Usiarios_Netflix[[#This Row],[Duración Plan]],2),LEFT(BBDD_Usiarios_Netflix[[#This Row],[Duración Plan]],1))</f>
        <v>3</v>
      </c>
      <c r="W10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16" spans="1:23" x14ac:dyDescent="0.25">
      <c r="A1016">
        <v>1015</v>
      </c>
      <c r="B1016" t="s">
        <v>23</v>
      </c>
      <c r="C1016">
        <v>10</v>
      </c>
      <c r="D1016" s="3">
        <v>28</v>
      </c>
      <c r="E1016" s="3">
        <v>6</v>
      </c>
      <c r="F1016">
        <v>23</v>
      </c>
      <c r="G1016" s="1">
        <f>DATEVALUE(_xlfn.CONCAT(BBDD_Usiarios_Netflix[[#This Row],[Día Suscripción]],"/",BBDD_Usiarios_Netflix[[#This Row],[Mes Suscripción]],"/",BBDD_Usiarios_Netflix[[#This Row],[Año Suscripción]]))</f>
        <v>45105</v>
      </c>
      <c r="H1016" s="1">
        <v>30</v>
      </c>
      <c r="I1016" s="1">
        <v>6</v>
      </c>
      <c r="J1016" s="1">
        <v>24</v>
      </c>
      <c r="K1016" s="1" t="str">
        <f>TEXT(BBDD_Usiarios_Netflix[[#This Row],[Fecha Suscripción]],"dddd")</f>
        <v>miércoles</v>
      </c>
      <c r="L1016" s="1">
        <f>DATEVALUE(_xlfn.CONCAT(BBDD_Usiarios_Netflix[[#This Row],[Día Último Pago]],"/",BBDD_Usiarios_Netflix[[#This Row],[Mes Último Pago]],"/",BBDD_Usiarios_Netflix[[#This Row],[Año Último Pago]]))</f>
        <v>45473</v>
      </c>
      <c r="M1016" s="4">
        <f>DATEDIF(BBDD_Usiarios_Netflix[[#This Row],[Fecha Suscripción]],BBDD_Usiarios_Netflix[[#This Row],[Fecha Último Pago]],"M")+1</f>
        <v>13</v>
      </c>
      <c r="N1016" s="4">
        <f>BBDD_Usiarios_Netflix[[#This Row],[Ingresos Mensuales]]*BBDD_Usiarios_Netflix[[#This Row],[Meses contratados]]</f>
        <v>130</v>
      </c>
      <c r="O1016" t="s">
        <v>44</v>
      </c>
      <c r="P1016" t="str">
        <f>IF(BBDD_Usiarios_Netflix[[#This Row],[País]]="","Desconocido",BBDD_Usiarios_Netflix[[#This Row],[País]])</f>
        <v>Desconocido</v>
      </c>
      <c r="Q1016">
        <v>32</v>
      </c>
      <c r="R1016" t="s">
        <v>30</v>
      </c>
      <c r="S1016" t="s">
        <v>36</v>
      </c>
      <c r="T1016" t="s">
        <v>38</v>
      </c>
      <c r="U1016">
        <f>IF(IFERROR(VLOOKUP(BBDD_Usiarios_Netflix[[#This Row],[Identificador Usuario]],A1017:$A$5870,1,FALSE),0)&lt;&gt;0,1,0)</f>
        <v>0</v>
      </c>
      <c r="V1016" s="6" t="str">
        <f>IF(BBDD_Usiarios_Netflix[[#This Row],[Duración Plan]]="12 Meses",LEFT(BBDD_Usiarios_Netflix[[#This Row],[Duración Plan]],2),LEFT(BBDD_Usiarios_Netflix[[#This Row],[Duración Plan]],1))</f>
        <v>3</v>
      </c>
      <c r="W10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17" spans="1:23" x14ac:dyDescent="0.25">
      <c r="A1017">
        <v>1016</v>
      </c>
      <c r="B1017" t="s">
        <v>28</v>
      </c>
      <c r="C1017">
        <v>14</v>
      </c>
      <c r="D1017" s="3">
        <v>29</v>
      </c>
      <c r="E1017" s="3">
        <v>6</v>
      </c>
      <c r="F1017">
        <v>23</v>
      </c>
      <c r="G1017" s="1">
        <f>DATEVALUE(_xlfn.CONCAT(BBDD_Usiarios_Netflix[[#This Row],[Día Suscripción]],"/",BBDD_Usiarios_Netflix[[#This Row],[Mes Suscripción]],"/",BBDD_Usiarios_Netflix[[#This Row],[Año Suscripción]]))</f>
        <v>45106</v>
      </c>
      <c r="H1017" s="1">
        <v>1</v>
      </c>
      <c r="I1017" s="1">
        <v>7</v>
      </c>
      <c r="J1017" s="1">
        <v>24</v>
      </c>
      <c r="K1017" s="1" t="str">
        <f>TEXT(BBDD_Usiarios_Netflix[[#This Row],[Fecha Suscripción]],"dddd")</f>
        <v>jueves</v>
      </c>
      <c r="L1017" s="1">
        <f>DATEVALUE(_xlfn.CONCAT(BBDD_Usiarios_Netflix[[#This Row],[Día Último Pago]],"/",BBDD_Usiarios_Netflix[[#This Row],[Mes Último Pago]],"/",BBDD_Usiarios_Netflix[[#This Row],[Año Último Pago]]))</f>
        <v>45474</v>
      </c>
      <c r="M1017" s="4">
        <f>DATEDIF(BBDD_Usiarios_Netflix[[#This Row],[Fecha Suscripción]],BBDD_Usiarios_Netflix[[#This Row],[Fecha Último Pago]],"M")+1</f>
        <v>13</v>
      </c>
      <c r="N1017" s="4">
        <f>BBDD_Usiarios_Netflix[[#This Row],[Ingresos Mensuales]]*BBDD_Usiarios_Netflix[[#This Row],[Meses contratados]]</f>
        <v>182</v>
      </c>
      <c r="O1017" t="s">
        <v>44</v>
      </c>
      <c r="P1017" t="str">
        <f>IF(BBDD_Usiarios_Netflix[[#This Row],[País]]="","Desconocido",BBDD_Usiarios_Netflix[[#This Row],[País]])</f>
        <v>Desconocido</v>
      </c>
      <c r="Q1017">
        <v>43</v>
      </c>
      <c r="R1017" t="s">
        <v>30</v>
      </c>
      <c r="S1017" t="s">
        <v>31</v>
      </c>
      <c r="T1017" t="s">
        <v>27</v>
      </c>
      <c r="U1017">
        <f>IF(IFERROR(VLOOKUP(BBDD_Usiarios_Netflix[[#This Row],[Identificador Usuario]],A1018:$A$5870,1,FALSE),0)&lt;&gt;0,1,0)</f>
        <v>0</v>
      </c>
      <c r="V1017" s="6" t="str">
        <f>IF(BBDD_Usiarios_Netflix[[#This Row],[Duración Plan]]="12 Meses",LEFT(BBDD_Usiarios_Netflix[[#This Row],[Duración Plan]],2),LEFT(BBDD_Usiarios_Netflix[[#This Row],[Duración Plan]],1))</f>
        <v>1</v>
      </c>
      <c r="W10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18" spans="1:23" x14ac:dyDescent="0.25">
      <c r="A1018">
        <v>1017</v>
      </c>
      <c r="B1018" t="s">
        <v>23</v>
      </c>
      <c r="C1018">
        <v>10</v>
      </c>
      <c r="D1018" s="3">
        <v>26</v>
      </c>
      <c r="E1018" s="3">
        <v>6</v>
      </c>
      <c r="F1018">
        <v>23</v>
      </c>
      <c r="G1018" s="1">
        <f>DATEVALUE(_xlfn.CONCAT(BBDD_Usiarios_Netflix[[#This Row],[Día Suscripción]],"/",BBDD_Usiarios_Netflix[[#This Row],[Mes Suscripción]],"/",BBDD_Usiarios_Netflix[[#This Row],[Año Suscripción]]))</f>
        <v>45103</v>
      </c>
      <c r="H1018" s="1">
        <v>2</v>
      </c>
      <c r="I1018" s="1">
        <v>7</v>
      </c>
      <c r="J1018" s="1">
        <v>24</v>
      </c>
      <c r="K1018" s="1" t="str">
        <f>TEXT(BBDD_Usiarios_Netflix[[#This Row],[Fecha Suscripción]],"dddd")</f>
        <v>lunes</v>
      </c>
      <c r="L1018" s="1">
        <f>DATEVALUE(_xlfn.CONCAT(BBDD_Usiarios_Netflix[[#This Row],[Día Último Pago]],"/",BBDD_Usiarios_Netflix[[#This Row],[Mes Último Pago]],"/",BBDD_Usiarios_Netflix[[#This Row],[Año Último Pago]]))</f>
        <v>45475</v>
      </c>
      <c r="M1018" s="4">
        <f>DATEDIF(BBDD_Usiarios_Netflix[[#This Row],[Fecha Suscripción]],BBDD_Usiarios_Netflix[[#This Row],[Fecha Último Pago]],"M")+1</f>
        <v>13</v>
      </c>
      <c r="N1018" s="4">
        <f>BBDD_Usiarios_Netflix[[#This Row],[Ingresos Mensuales]]*BBDD_Usiarios_Netflix[[#This Row],[Meses contratados]]</f>
        <v>130</v>
      </c>
      <c r="O1018" t="s">
        <v>33</v>
      </c>
      <c r="P1018" t="str">
        <f>IF(BBDD_Usiarios_Netflix[[#This Row],[País]]="","Desconocido",BBDD_Usiarios_Netflix[[#This Row],[País]])</f>
        <v>Francia</v>
      </c>
      <c r="Q1018">
        <v>29</v>
      </c>
      <c r="R1018" t="s">
        <v>25</v>
      </c>
      <c r="S1018" t="s">
        <v>26</v>
      </c>
      <c r="T1018" t="s">
        <v>27</v>
      </c>
      <c r="U1018">
        <f>IF(IFERROR(VLOOKUP(BBDD_Usiarios_Netflix[[#This Row],[Identificador Usuario]],A1019:$A$5870,1,FALSE),0)&lt;&gt;0,1,0)</f>
        <v>0</v>
      </c>
      <c r="V1018" s="6" t="str">
        <f>IF(BBDD_Usiarios_Netflix[[#This Row],[Duración Plan]]="12 Meses",LEFT(BBDD_Usiarios_Netflix[[#This Row],[Duración Plan]],2),LEFT(BBDD_Usiarios_Netflix[[#This Row],[Duración Plan]],1))</f>
        <v>1</v>
      </c>
      <c r="W10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19" spans="1:23" x14ac:dyDescent="0.25">
      <c r="A1019">
        <v>1018</v>
      </c>
      <c r="B1019" t="s">
        <v>32</v>
      </c>
      <c r="C1019">
        <v>12</v>
      </c>
      <c r="D1019" s="3">
        <v>26</v>
      </c>
      <c r="E1019" s="3">
        <v>6</v>
      </c>
      <c r="F1019">
        <v>23</v>
      </c>
      <c r="G1019" s="1">
        <f>DATEVALUE(_xlfn.CONCAT(BBDD_Usiarios_Netflix[[#This Row],[Día Suscripción]],"/",BBDD_Usiarios_Netflix[[#This Row],[Mes Suscripción]],"/",BBDD_Usiarios_Netflix[[#This Row],[Año Suscripción]]))</f>
        <v>45103</v>
      </c>
      <c r="H1019" s="1">
        <v>2</v>
      </c>
      <c r="I1019" s="1">
        <v>7</v>
      </c>
      <c r="J1019" s="1">
        <v>24</v>
      </c>
      <c r="K1019" s="1" t="str">
        <f>TEXT(BBDD_Usiarios_Netflix[[#This Row],[Fecha Suscripción]],"dddd")</f>
        <v>lunes</v>
      </c>
      <c r="L1019" s="1">
        <f>DATEVALUE(_xlfn.CONCAT(BBDD_Usiarios_Netflix[[#This Row],[Día Último Pago]],"/",BBDD_Usiarios_Netflix[[#This Row],[Mes Último Pago]],"/",BBDD_Usiarios_Netflix[[#This Row],[Año Último Pago]]))</f>
        <v>45475</v>
      </c>
      <c r="M1019" s="4">
        <f>DATEDIF(BBDD_Usiarios_Netflix[[#This Row],[Fecha Suscripción]],BBDD_Usiarios_Netflix[[#This Row],[Fecha Último Pago]],"M")+1</f>
        <v>13</v>
      </c>
      <c r="N1019" s="4">
        <f>BBDD_Usiarios_Netflix[[#This Row],[Ingresos Mensuales]]*BBDD_Usiarios_Netflix[[#This Row],[Meses contratados]]</f>
        <v>156</v>
      </c>
      <c r="O1019" t="s">
        <v>45</v>
      </c>
      <c r="P1019" t="str">
        <f>IF(BBDD_Usiarios_Netflix[[#This Row],[País]]="","Desconocido",BBDD_Usiarios_Netflix[[#This Row],[País]])</f>
        <v>España</v>
      </c>
      <c r="Q1019">
        <v>35</v>
      </c>
      <c r="R1019" t="s">
        <v>30</v>
      </c>
      <c r="S1019" t="s">
        <v>31</v>
      </c>
      <c r="T1019" t="s">
        <v>41</v>
      </c>
      <c r="U1019">
        <f>IF(IFERROR(VLOOKUP(BBDD_Usiarios_Netflix[[#This Row],[Identificador Usuario]],A1020:$A$5870,1,FALSE),0)&lt;&gt;0,1,0)</f>
        <v>0</v>
      </c>
      <c r="V1019" s="6" t="str">
        <f>IF(BBDD_Usiarios_Netflix[[#This Row],[Duración Plan]]="12 Meses",LEFT(BBDD_Usiarios_Netflix[[#This Row],[Duración Plan]],2),LEFT(BBDD_Usiarios_Netflix[[#This Row],[Duración Plan]],1))</f>
        <v>12</v>
      </c>
      <c r="W10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20" spans="1:23" x14ac:dyDescent="0.25">
      <c r="A1020">
        <v>1019</v>
      </c>
      <c r="B1020" t="s">
        <v>32</v>
      </c>
      <c r="C1020">
        <v>12</v>
      </c>
      <c r="D1020" s="3">
        <v>24</v>
      </c>
      <c r="E1020" s="3">
        <v>6</v>
      </c>
      <c r="F1020">
        <v>23</v>
      </c>
      <c r="G1020" s="1">
        <f>DATEVALUE(_xlfn.CONCAT(BBDD_Usiarios_Netflix[[#This Row],[Día Suscripción]],"/",BBDD_Usiarios_Netflix[[#This Row],[Mes Suscripción]],"/",BBDD_Usiarios_Netflix[[#This Row],[Año Suscripción]]))</f>
        <v>45101</v>
      </c>
      <c r="H1020" s="1">
        <v>30</v>
      </c>
      <c r="I1020" s="1">
        <v>6</v>
      </c>
      <c r="J1020" s="1">
        <v>24</v>
      </c>
      <c r="K1020" s="1" t="str">
        <f>TEXT(BBDD_Usiarios_Netflix[[#This Row],[Fecha Suscripción]],"dddd")</f>
        <v>sábado</v>
      </c>
      <c r="L1020" s="1">
        <f>DATEVALUE(_xlfn.CONCAT(BBDD_Usiarios_Netflix[[#This Row],[Día Último Pago]],"/",BBDD_Usiarios_Netflix[[#This Row],[Mes Último Pago]],"/",BBDD_Usiarios_Netflix[[#This Row],[Año Último Pago]]))</f>
        <v>45473</v>
      </c>
      <c r="M1020" s="4">
        <f>DATEDIF(BBDD_Usiarios_Netflix[[#This Row],[Fecha Suscripción]],BBDD_Usiarios_Netflix[[#This Row],[Fecha Último Pago]],"M")+1</f>
        <v>13</v>
      </c>
      <c r="N1020" s="4">
        <f>BBDD_Usiarios_Netflix[[#This Row],[Ingresos Mensuales]]*BBDD_Usiarios_Netflix[[#This Row],[Meses contratados]]</f>
        <v>156</v>
      </c>
      <c r="O1020" t="s">
        <v>43</v>
      </c>
      <c r="P1020" t="str">
        <f>IF(BBDD_Usiarios_Netflix[[#This Row],[País]]="","Desconocido",BBDD_Usiarios_Netflix[[#This Row],[País]])</f>
        <v>Alemania</v>
      </c>
      <c r="Q1020">
        <v>27</v>
      </c>
      <c r="R1020" t="s">
        <v>30</v>
      </c>
      <c r="S1020" t="s">
        <v>31</v>
      </c>
      <c r="T1020" t="s">
        <v>27</v>
      </c>
      <c r="U1020">
        <f>IF(IFERROR(VLOOKUP(BBDD_Usiarios_Netflix[[#This Row],[Identificador Usuario]],A1021:$A$5870,1,FALSE),0)&lt;&gt;0,1,0)</f>
        <v>0</v>
      </c>
      <c r="V1020" s="6" t="str">
        <f>IF(BBDD_Usiarios_Netflix[[#This Row],[Duración Plan]]="12 Meses",LEFT(BBDD_Usiarios_Netflix[[#This Row],[Duración Plan]],2),LEFT(BBDD_Usiarios_Netflix[[#This Row],[Duración Plan]],1))</f>
        <v>1</v>
      </c>
      <c r="W10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21" spans="1:23" x14ac:dyDescent="0.25">
      <c r="A1021">
        <v>1020</v>
      </c>
      <c r="B1021" t="s">
        <v>23</v>
      </c>
      <c r="C1021">
        <v>10</v>
      </c>
      <c r="D1021" s="3">
        <v>21</v>
      </c>
      <c r="E1021" s="3">
        <v>6</v>
      </c>
      <c r="F1021">
        <v>23</v>
      </c>
      <c r="G1021" s="1">
        <f>DATEVALUE(_xlfn.CONCAT(BBDD_Usiarios_Netflix[[#This Row],[Día Suscripción]],"/",BBDD_Usiarios_Netflix[[#This Row],[Mes Suscripción]],"/",BBDD_Usiarios_Netflix[[#This Row],[Año Suscripción]]))</f>
        <v>45098</v>
      </c>
      <c r="H1021" s="1">
        <v>1</v>
      </c>
      <c r="I1021" s="1">
        <v>7</v>
      </c>
      <c r="J1021" s="1">
        <v>24</v>
      </c>
      <c r="K1021" s="1" t="str">
        <f>TEXT(BBDD_Usiarios_Netflix[[#This Row],[Fecha Suscripción]],"dddd")</f>
        <v>miércoles</v>
      </c>
      <c r="L1021" s="1">
        <f>DATEVALUE(_xlfn.CONCAT(BBDD_Usiarios_Netflix[[#This Row],[Día Último Pago]],"/",BBDD_Usiarios_Netflix[[#This Row],[Mes Último Pago]],"/",BBDD_Usiarios_Netflix[[#This Row],[Año Último Pago]]))</f>
        <v>45474</v>
      </c>
      <c r="M1021" s="4">
        <f>DATEDIF(BBDD_Usiarios_Netflix[[#This Row],[Fecha Suscripción]],BBDD_Usiarios_Netflix[[#This Row],[Fecha Último Pago]],"M")+1</f>
        <v>13</v>
      </c>
      <c r="N1021" s="4">
        <f>BBDD_Usiarios_Netflix[[#This Row],[Ingresos Mensuales]]*BBDD_Usiarios_Netflix[[#This Row],[Meses contratados]]</f>
        <v>130</v>
      </c>
      <c r="O1021" t="s">
        <v>39</v>
      </c>
      <c r="P1021" t="str">
        <f>IF(BBDD_Usiarios_Netflix[[#This Row],[País]]="","Desconocido",BBDD_Usiarios_Netflix[[#This Row],[País]])</f>
        <v>Canadá</v>
      </c>
      <c r="Q1021">
        <v>38</v>
      </c>
      <c r="R1021" t="s">
        <v>25</v>
      </c>
      <c r="S1021" t="s">
        <v>31</v>
      </c>
      <c r="T1021" t="s">
        <v>35</v>
      </c>
      <c r="U1021">
        <f>IF(IFERROR(VLOOKUP(BBDD_Usiarios_Netflix[[#This Row],[Identificador Usuario]],A1022:$A$5870,1,FALSE),0)&lt;&gt;0,1,0)</f>
        <v>0</v>
      </c>
      <c r="V1021" s="6" t="str">
        <f>IF(BBDD_Usiarios_Netflix[[#This Row],[Duración Plan]]="12 Meses",LEFT(BBDD_Usiarios_Netflix[[#This Row],[Duración Plan]],2),LEFT(BBDD_Usiarios_Netflix[[#This Row],[Duración Plan]],1))</f>
        <v>6</v>
      </c>
      <c r="W10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22" spans="1:23" x14ac:dyDescent="0.25">
      <c r="A1022">
        <v>1021</v>
      </c>
      <c r="B1022" t="s">
        <v>28</v>
      </c>
      <c r="C1022">
        <v>14</v>
      </c>
      <c r="D1022" s="3">
        <v>22</v>
      </c>
      <c r="E1022" s="3">
        <v>6</v>
      </c>
      <c r="F1022">
        <v>23</v>
      </c>
      <c r="G1022" s="1">
        <f>DATEVALUE(_xlfn.CONCAT(BBDD_Usiarios_Netflix[[#This Row],[Día Suscripción]],"/",BBDD_Usiarios_Netflix[[#This Row],[Mes Suscripción]],"/",BBDD_Usiarios_Netflix[[#This Row],[Año Suscripción]]))</f>
        <v>45099</v>
      </c>
      <c r="H1022" s="1">
        <v>3</v>
      </c>
      <c r="I1022" s="1">
        <v>7</v>
      </c>
      <c r="J1022" s="1">
        <v>24</v>
      </c>
      <c r="K1022" s="1" t="str">
        <f>TEXT(BBDD_Usiarios_Netflix[[#This Row],[Fecha Suscripción]],"dddd")</f>
        <v>jueves</v>
      </c>
      <c r="L1022" s="1">
        <f>DATEVALUE(_xlfn.CONCAT(BBDD_Usiarios_Netflix[[#This Row],[Día Último Pago]],"/",BBDD_Usiarios_Netflix[[#This Row],[Mes Último Pago]],"/",BBDD_Usiarios_Netflix[[#This Row],[Año Último Pago]]))</f>
        <v>45476</v>
      </c>
      <c r="M1022" s="4">
        <f>DATEDIF(BBDD_Usiarios_Netflix[[#This Row],[Fecha Suscripción]],BBDD_Usiarios_Netflix[[#This Row],[Fecha Último Pago]],"M")+1</f>
        <v>13</v>
      </c>
      <c r="N1022" s="4">
        <f>BBDD_Usiarios_Netflix[[#This Row],[Ingresos Mensuales]]*BBDD_Usiarios_Netflix[[#This Row],[Meses contratados]]</f>
        <v>182</v>
      </c>
      <c r="O1022" t="s">
        <v>24</v>
      </c>
      <c r="P1022" t="str">
        <f>IF(BBDD_Usiarios_Netflix[[#This Row],[País]]="","Desconocido",BBDD_Usiarios_Netflix[[#This Row],[País]])</f>
        <v>Australia</v>
      </c>
      <c r="Q1022">
        <v>33</v>
      </c>
      <c r="R1022" t="s">
        <v>25</v>
      </c>
      <c r="S1022" t="s">
        <v>34</v>
      </c>
      <c r="T1022" t="s">
        <v>27</v>
      </c>
      <c r="U1022">
        <f>IF(IFERROR(VLOOKUP(BBDD_Usiarios_Netflix[[#This Row],[Identificador Usuario]],A1023:$A$5870,1,FALSE),0)&lt;&gt;0,1,0)</f>
        <v>0</v>
      </c>
      <c r="V1022" s="6" t="str">
        <f>IF(BBDD_Usiarios_Netflix[[#This Row],[Duración Plan]]="12 Meses",LEFT(BBDD_Usiarios_Netflix[[#This Row],[Duración Plan]],2),LEFT(BBDD_Usiarios_Netflix[[#This Row],[Duración Plan]],1))</f>
        <v>1</v>
      </c>
      <c r="W10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23" spans="1:23" x14ac:dyDescent="0.25">
      <c r="A1023">
        <v>1022</v>
      </c>
      <c r="B1023" t="s">
        <v>23</v>
      </c>
      <c r="C1023">
        <v>10</v>
      </c>
      <c r="D1023" s="3">
        <v>18</v>
      </c>
      <c r="E1023" s="3">
        <v>6</v>
      </c>
      <c r="F1023">
        <v>23</v>
      </c>
      <c r="G1023" s="1">
        <f>DATEVALUE(_xlfn.CONCAT(BBDD_Usiarios_Netflix[[#This Row],[Día Suscripción]],"/",BBDD_Usiarios_Netflix[[#This Row],[Mes Suscripción]],"/",BBDD_Usiarios_Netflix[[#This Row],[Año Suscripción]]))</f>
        <v>45095</v>
      </c>
      <c r="H1023" s="1">
        <v>2</v>
      </c>
      <c r="I1023" s="1">
        <v>7</v>
      </c>
      <c r="J1023" s="1">
        <v>24</v>
      </c>
      <c r="K1023" s="1" t="str">
        <f>TEXT(BBDD_Usiarios_Netflix[[#This Row],[Fecha Suscripción]],"dddd")</f>
        <v>domingo</v>
      </c>
      <c r="L1023" s="1">
        <f>DATEVALUE(_xlfn.CONCAT(BBDD_Usiarios_Netflix[[#This Row],[Día Último Pago]],"/",BBDD_Usiarios_Netflix[[#This Row],[Mes Último Pago]],"/",BBDD_Usiarios_Netflix[[#This Row],[Año Último Pago]]))</f>
        <v>45475</v>
      </c>
      <c r="M1023" s="4">
        <f>DATEDIF(BBDD_Usiarios_Netflix[[#This Row],[Fecha Suscripción]],BBDD_Usiarios_Netflix[[#This Row],[Fecha Último Pago]],"M")+1</f>
        <v>13</v>
      </c>
      <c r="N1023" s="4">
        <f>BBDD_Usiarios_Netflix[[#This Row],[Ingresos Mensuales]]*BBDD_Usiarios_Netflix[[#This Row],[Meses contratados]]</f>
        <v>130</v>
      </c>
      <c r="O1023" t="s">
        <v>42</v>
      </c>
      <c r="P1023" t="str">
        <f>IF(BBDD_Usiarios_Netflix[[#This Row],[País]]="","Desconocido",BBDD_Usiarios_Netflix[[#This Row],[País]])</f>
        <v>Reino Unido</v>
      </c>
      <c r="Q1023">
        <v>48</v>
      </c>
      <c r="R1023" t="s">
        <v>25</v>
      </c>
      <c r="S1023" t="s">
        <v>36</v>
      </c>
      <c r="T1023" t="s">
        <v>35</v>
      </c>
      <c r="U1023">
        <f>IF(IFERROR(VLOOKUP(BBDD_Usiarios_Netflix[[#This Row],[Identificador Usuario]],A1024:$A$5870,1,FALSE),0)&lt;&gt;0,1,0)</f>
        <v>0</v>
      </c>
      <c r="V1023" s="6" t="str">
        <f>IF(BBDD_Usiarios_Netflix[[#This Row],[Duración Plan]]="12 Meses",LEFT(BBDD_Usiarios_Netflix[[#This Row],[Duración Plan]],2),LEFT(BBDD_Usiarios_Netflix[[#This Row],[Duración Plan]],1))</f>
        <v>6</v>
      </c>
      <c r="W10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24" spans="1:23" x14ac:dyDescent="0.25">
      <c r="A1024">
        <v>1023</v>
      </c>
      <c r="B1024" t="s">
        <v>32</v>
      </c>
      <c r="C1024">
        <v>12</v>
      </c>
      <c r="D1024" s="3">
        <v>18</v>
      </c>
      <c r="E1024" s="3">
        <v>6</v>
      </c>
      <c r="F1024">
        <v>23</v>
      </c>
      <c r="G1024" s="1">
        <f>DATEVALUE(_xlfn.CONCAT(BBDD_Usiarios_Netflix[[#This Row],[Día Suscripción]],"/",BBDD_Usiarios_Netflix[[#This Row],[Mes Suscripción]],"/",BBDD_Usiarios_Netflix[[#This Row],[Año Suscripción]]))</f>
        <v>45095</v>
      </c>
      <c r="H1024" s="1">
        <v>2</v>
      </c>
      <c r="I1024" s="1">
        <v>7</v>
      </c>
      <c r="J1024" s="1">
        <v>24</v>
      </c>
      <c r="K1024" s="1" t="str">
        <f>TEXT(BBDD_Usiarios_Netflix[[#This Row],[Fecha Suscripción]],"dddd")</f>
        <v>domingo</v>
      </c>
      <c r="L1024" s="1">
        <f>DATEVALUE(_xlfn.CONCAT(BBDD_Usiarios_Netflix[[#This Row],[Día Último Pago]],"/",BBDD_Usiarios_Netflix[[#This Row],[Mes Último Pago]],"/",BBDD_Usiarios_Netflix[[#This Row],[Año Último Pago]]))</f>
        <v>45475</v>
      </c>
      <c r="M1024" s="4">
        <f>DATEDIF(BBDD_Usiarios_Netflix[[#This Row],[Fecha Suscripción]],BBDD_Usiarios_Netflix[[#This Row],[Fecha Último Pago]],"M")+1</f>
        <v>13</v>
      </c>
      <c r="N1024" s="4">
        <f>BBDD_Usiarios_Netflix[[#This Row],[Ingresos Mensuales]]*BBDD_Usiarios_Netflix[[#This Row],[Meses contratados]]</f>
        <v>156</v>
      </c>
      <c r="O1024" t="s">
        <v>39</v>
      </c>
      <c r="P1024" t="str">
        <f>IF(BBDD_Usiarios_Netflix[[#This Row],[País]]="","Desconocido",BBDD_Usiarios_Netflix[[#This Row],[País]])</f>
        <v>Canadá</v>
      </c>
      <c r="Q1024">
        <v>51</v>
      </c>
      <c r="R1024" t="s">
        <v>30</v>
      </c>
      <c r="S1024" t="s">
        <v>36</v>
      </c>
      <c r="T1024" t="s">
        <v>38</v>
      </c>
      <c r="U1024">
        <f>IF(IFERROR(VLOOKUP(BBDD_Usiarios_Netflix[[#This Row],[Identificador Usuario]],A1025:$A$5870,1,FALSE),0)&lt;&gt;0,1,0)</f>
        <v>0</v>
      </c>
      <c r="V1024" s="6" t="str">
        <f>IF(BBDD_Usiarios_Netflix[[#This Row],[Duración Plan]]="12 Meses",LEFT(BBDD_Usiarios_Netflix[[#This Row],[Duración Plan]],2),LEFT(BBDD_Usiarios_Netflix[[#This Row],[Duración Plan]],1))</f>
        <v>3</v>
      </c>
      <c r="W10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25" spans="1:23" x14ac:dyDescent="0.25">
      <c r="A1025">
        <v>1024</v>
      </c>
      <c r="B1025" t="s">
        <v>28</v>
      </c>
      <c r="C1025">
        <v>14</v>
      </c>
      <c r="D1025" s="3">
        <v>20</v>
      </c>
      <c r="E1025" s="3">
        <v>6</v>
      </c>
      <c r="F1025">
        <v>23</v>
      </c>
      <c r="G1025" s="1">
        <f>DATEVALUE(_xlfn.CONCAT(BBDD_Usiarios_Netflix[[#This Row],[Día Suscripción]],"/",BBDD_Usiarios_Netflix[[#This Row],[Mes Suscripción]],"/",BBDD_Usiarios_Netflix[[#This Row],[Año Suscripción]]))</f>
        <v>45097</v>
      </c>
      <c r="H1025" s="1">
        <v>1</v>
      </c>
      <c r="I1025" s="1">
        <v>7</v>
      </c>
      <c r="J1025" s="1">
        <v>24</v>
      </c>
      <c r="K1025" s="1" t="str">
        <f>TEXT(BBDD_Usiarios_Netflix[[#This Row],[Fecha Suscripción]],"dddd")</f>
        <v>martes</v>
      </c>
      <c r="L1025" s="1">
        <f>DATEVALUE(_xlfn.CONCAT(BBDD_Usiarios_Netflix[[#This Row],[Día Último Pago]],"/",BBDD_Usiarios_Netflix[[#This Row],[Mes Último Pago]],"/",BBDD_Usiarios_Netflix[[#This Row],[Año Último Pago]]))</f>
        <v>45474</v>
      </c>
      <c r="M1025" s="4">
        <f>DATEDIF(BBDD_Usiarios_Netflix[[#This Row],[Fecha Suscripción]],BBDD_Usiarios_Netflix[[#This Row],[Fecha Último Pago]],"M")+1</f>
        <v>13</v>
      </c>
      <c r="N1025" s="4">
        <f>BBDD_Usiarios_Netflix[[#This Row],[Ingresos Mensuales]]*BBDD_Usiarios_Netflix[[#This Row],[Meses contratados]]</f>
        <v>182</v>
      </c>
      <c r="O1025" t="s">
        <v>37</v>
      </c>
      <c r="P1025" t="str">
        <f>IF(BBDD_Usiarios_Netflix[[#This Row],[País]]="","Desconocido",BBDD_Usiarios_Netflix[[#This Row],[País]])</f>
        <v>Brasil</v>
      </c>
      <c r="Q1025">
        <v>40</v>
      </c>
      <c r="R1025" t="s">
        <v>30</v>
      </c>
      <c r="S1025" t="s">
        <v>26</v>
      </c>
      <c r="T1025" t="s">
        <v>27</v>
      </c>
      <c r="U1025">
        <f>IF(IFERROR(VLOOKUP(BBDD_Usiarios_Netflix[[#This Row],[Identificador Usuario]],A1026:$A$5870,1,FALSE),0)&lt;&gt;0,1,0)</f>
        <v>0</v>
      </c>
      <c r="V1025" s="6" t="str">
        <f>IF(BBDD_Usiarios_Netflix[[#This Row],[Duración Plan]]="12 Meses",LEFT(BBDD_Usiarios_Netflix[[#This Row],[Duración Plan]],2),LEFT(BBDD_Usiarios_Netflix[[#This Row],[Duración Plan]],1))</f>
        <v>1</v>
      </c>
      <c r="W10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26" spans="1:23" x14ac:dyDescent="0.25">
      <c r="A1026">
        <v>1025</v>
      </c>
      <c r="B1026" t="s">
        <v>23</v>
      </c>
      <c r="C1026">
        <v>10</v>
      </c>
      <c r="D1026" s="3">
        <v>23</v>
      </c>
      <c r="E1026" s="3">
        <v>6</v>
      </c>
      <c r="F1026">
        <v>23</v>
      </c>
      <c r="G1026" s="1">
        <f>DATEVALUE(_xlfn.CONCAT(BBDD_Usiarios_Netflix[[#This Row],[Día Suscripción]],"/",BBDD_Usiarios_Netflix[[#This Row],[Mes Suscripción]],"/",BBDD_Usiarios_Netflix[[#This Row],[Año Suscripción]]))</f>
        <v>45100</v>
      </c>
      <c r="H1026" s="1">
        <v>3</v>
      </c>
      <c r="I1026" s="1">
        <v>7</v>
      </c>
      <c r="J1026" s="1">
        <v>24</v>
      </c>
      <c r="K1026" s="1" t="str">
        <f>TEXT(BBDD_Usiarios_Netflix[[#This Row],[Fecha Suscripción]],"dddd")</f>
        <v>viernes</v>
      </c>
      <c r="L1026" s="1">
        <f>DATEVALUE(_xlfn.CONCAT(BBDD_Usiarios_Netflix[[#This Row],[Día Último Pago]],"/",BBDD_Usiarios_Netflix[[#This Row],[Mes Último Pago]],"/",BBDD_Usiarios_Netflix[[#This Row],[Año Último Pago]]))</f>
        <v>45476</v>
      </c>
      <c r="M1026" s="4">
        <f>DATEDIF(BBDD_Usiarios_Netflix[[#This Row],[Fecha Suscripción]],BBDD_Usiarios_Netflix[[#This Row],[Fecha Último Pago]],"M")+1</f>
        <v>13</v>
      </c>
      <c r="N1026" s="4">
        <f>BBDD_Usiarios_Netflix[[#This Row],[Ingresos Mensuales]]*BBDD_Usiarios_Netflix[[#This Row],[Meses contratados]]</f>
        <v>130</v>
      </c>
      <c r="O1026" t="s">
        <v>43</v>
      </c>
      <c r="P1026" t="str">
        <f>IF(BBDD_Usiarios_Netflix[[#This Row],[País]]="","Desconocido",BBDD_Usiarios_Netflix[[#This Row],[País]])</f>
        <v>Alemania</v>
      </c>
      <c r="Q1026">
        <v>28</v>
      </c>
      <c r="R1026" t="s">
        <v>25</v>
      </c>
      <c r="S1026" t="s">
        <v>26</v>
      </c>
      <c r="T1026" t="s">
        <v>27</v>
      </c>
      <c r="U1026">
        <f>IF(IFERROR(VLOOKUP(BBDD_Usiarios_Netflix[[#This Row],[Identificador Usuario]],A1027:$A$5870,1,FALSE),0)&lt;&gt;0,1,0)</f>
        <v>0</v>
      </c>
      <c r="V1026" s="6" t="str">
        <f>IF(BBDD_Usiarios_Netflix[[#This Row],[Duración Plan]]="12 Meses",LEFT(BBDD_Usiarios_Netflix[[#This Row],[Duración Plan]],2),LEFT(BBDD_Usiarios_Netflix[[#This Row],[Duración Plan]],1))</f>
        <v>1</v>
      </c>
      <c r="W10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27" spans="1:23" x14ac:dyDescent="0.25">
      <c r="A1027">
        <v>1026</v>
      </c>
      <c r="B1027" t="s">
        <v>28</v>
      </c>
      <c r="C1027">
        <v>14</v>
      </c>
      <c r="D1027" s="3">
        <v>26</v>
      </c>
      <c r="E1027" s="3">
        <v>6</v>
      </c>
      <c r="F1027">
        <v>23</v>
      </c>
      <c r="G1027" s="1">
        <f>DATEVALUE(_xlfn.CONCAT(BBDD_Usiarios_Netflix[[#This Row],[Día Suscripción]],"/",BBDD_Usiarios_Netflix[[#This Row],[Mes Suscripción]],"/",BBDD_Usiarios_Netflix[[#This Row],[Año Suscripción]]))</f>
        <v>45103</v>
      </c>
      <c r="H1027" s="1">
        <v>1</v>
      </c>
      <c r="I1027" s="1">
        <v>7</v>
      </c>
      <c r="J1027" s="1">
        <v>24</v>
      </c>
      <c r="K1027" s="1" t="str">
        <f>TEXT(BBDD_Usiarios_Netflix[[#This Row],[Fecha Suscripción]],"dddd")</f>
        <v>lunes</v>
      </c>
      <c r="L1027" s="1">
        <f>DATEVALUE(_xlfn.CONCAT(BBDD_Usiarios_Netflix[[#This Row],[Día Último Pago]],"/",BBDD_Usiarios_Netflix[[#This Row],[Mes Último Pago]],"/",BBDD_Usiarios_Netflix[[#This Row],[Año Último Pago]]))</f>
        <v>45474</v>
      </c>
      <c r="M1027" s="4">
        <f>DATEDIF(BBDD_Usiarios_Netflix[[#This Row],[Fecha Suscripción]],BBDD_Usiarios_Netflix[[#This Row],[Fecha Último Pago]],"M")+1</f>
        <v>13</v>
      </c>
      <c r="N1027" s="4">
        <f>BBDD_Usiarios_Netflix[[#This Row],[Ingresos Mensuales]]*BBDD_Usiarios_Netflix[[#This Row],[Meses contratados]]</f>
        <v>182</v>
      </c>
      <c r="O1027" t="s">
        <v>24</v>
      </c>
      <c r="P1027" t="str">
        <f>IF(BBDD_Usiarios_Netflix[[#This Row],[País]]="","Desconocido",BBDD_Usiarios_Netflix[[#This Row],[País]])</f>
        <v>Australia</v>
      </c>
      <c r="Q1027">
        <v>46</v>
      </c>
      <c r="R1027" t="s">
        <v>30</v>
      </c>
      <c r="S1027" t="s">
        <v>36</v>
      </c>
      <c r="T1027" t="s">
        <v>41</v>
      </c>
      <c r="U1027">
        <f>IF(IFERROR(VLOOKUP(BBDD_Usiarios_Netflix[[#This Row],[Identificador Usuario]],A1028:$A$5870,1,FALSE),0)&lt;&gt;0,1,0)</f>
        <v>0</v>
      </c>
      <c r="V1027" s="6" t="str">
        <f>IF(BBDD_Usiarios_Netflix[[#This Row],[Duración Plan]]="12 Meses",LEFT(BBDD_Usiarios_Netflix[[#This Row],[Duración Plan]],2),LEFT(BBDD_Usiarios_Netflix[[#This Row],[Duración Plan]],1))</f>
        <v>12</v>
      </c>
      <c r="W10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28" spans="1:23" x14ac:dyDescent="0.25">
      <c r="A1028">
        <v>1027</v>
      </c>
      <c r="B1028" t="s">
        <v>23</v>
      </c>
      <c r="C1028">
        <v>10</v>
      </c>
      <c r="D1028" s="3">
        <v>2</v>
      </c>
      <c r="E1028" s="3">
        <v>7</v>
      </c>
      <c r="F1028">
        <v>23</v>
      </c>
      <c r="G1028" s="1">
        <f>DATEVALUE(_xlfn.CONCAT(BBDD_Usiarios_Netflix[[#This Row],[Día Suscripción]],"/",BBDD_Usiarios_Netflix[[#This Row],[Mes Suscripción]],"/",BBDD_Usiarios_Netflix[[#This Row],[Año Suscripción]]))</f>
        <v>45109</v>
      </c>
      <c r="H1028" s="1">
        <v>1</v>
      </c>
      <c r="I1028" s="1">
        <v>7</v>
      </c>
      <c r="J1028" s="1">
        <v>24</v>
      </c>
      <c r="K1028" s="1" t="str">
        <f>TEXT(BBDD_Usiarios_Netflix[[#This Row],[Fecha Suscripción]],"dddd")</f>
        <v>domingo</v>
      </c>
      <c r="L1028" s="1">
        <f>DATEVALUE(_xlfn.CONCAT(BBDD_Usiarios_Netflix[[#This Row],[Día Último Pago]],"/",BBDD_Usiarios_Netflix[[#This Row],[Mes Último Pago]],"/",BBDD_Usiarios_Netflix[[#This Row],[Año Último Pago]]))</f>
        <v>45474</v>
      </c>
      <c r="M1028" s="4">
        <f>DATEDIF(BBDD_Usiarios_Netflix[[#This Row],[Fecha Suscripción]],BBDD_Usiarios_Netflix[[#This Row],[Fecha Último Pago]],"M")+1</f>
        <v>12</v>
      </c>
      <c r="N1028" s="4">
        <f>BBDD_Usiarios_Netflix[[#This Row],[Ingresos Mensuales]]*BBDD_Usiarios_Netflix[[#This Row],[Meses contratados]]</f>
        <v>120</v>
      </c>
      <c r="O1028" t="s">
        <v>24</v>
      </c>
      <c r="P1028" t="str">
        <f>IF(BBDD_Usiarios_Netflix[[#This Row],[País]]="","Desconocido",BBDD_Usiarios_Netflix[[#This Row],[País]])</f>
        <v>Australia</v>
      </c>
      <c r="Q1028">
        <v>28</v>
      </c>
      <c r="R1028" t="s">
        <v>30</v>
      </c>
      <c r="S1028" t="s">
        <v>31</v>
      </c>
      <c r="T1028" t="s">
        <v>38</v>
      </c>
      <c r="U1028">
        <f>IF(IFERROR(VLOOKUP(BBDD_Usiarios_Netflix[[#This Row],[Identificador Usuario]],A1029:$A$5870,1,FALSE),0)&lt;&gt;0,1,0)</f>
        <v>0</v>
      </c>
      <c r="V1028" s="6" t="str">
        <f>IF(BBDD_Usiarios_Netflix[[#This Row],[Duración Plan]]="12 Meses",LEFT(BBDD_Usiarios_Netflix[[#This Row],[Duración Plan]],2),LEFT(BBDD_Usiarios_Netflix[[#This Row],[Duración Plan]],1))</f>
        <v>3</v>
      </c>
      <c r="W10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29" spans="1:23" x14ac:dyDescent="0.25">
      <c r="A1029">
        <v>1028</v>
      </c>
      <c r="B1029" t="s">
        <v>32</v>
      </c>
      <c r="C1029">
        <v>12</v>
      </c>
      <c r="D1029" s="3">
        <v>4</v>
      </c>
      <c r="E1029" s="3">
        <v>7</v>
      </c>
      <c r="F1029">
        <v>23</v>
      </c>
      <c r="G1029" s="1">
        <f>DATEVALUE(_xlfn.CONCAT(BBDD_Usiarios_Netflix[[#This Row],[Día Suscripción]],"/",BBDD_Usiarios_Netflix[[#This Row],[Mes Suscripción]],"/",BBDD_Usiarios_Netflix[[#This Row],[Año Suscripción]]))</f>
        <v>45111</v>
      </c>
      <c r="H1029" s="1">
        <v>1</v>
      </c>
      <c r="I1029" s="1">
        <v>7</v>
      </c>
      <c r="J1029" s="1">
        <v>24</v>
      </c>
      <c r="K1029" s="1" t="str">
        <f>TEXT(BBDD_Usiarios_Netflix[[#This Row],[Fecha Suscripción]],"dddd")</f>
        <v>martes</v>
      </c>
      <c r="L1029" s="1">
        <f>DATEVALUE(_xlfn.CONCAT(BBDD_Usiarios_Netflix[[#This Row],[Día Último Pago]],"/",BBDD_Usiarios_Netflix[[#This Row],[Mes Último Pago]],"/",BBDD_Usiarios_Netflix[[#This Row],[Año Último Pago]]))</f>
        <v>45474</v>
      </c>
      <c r="M1029" s="4">
        <f>DATEDIF(BBDD_Usiarios_Netflix[[#This Row],[Fecha Suscripción]],BBDD_Usiarios_Netflix[[#This Row],[Fecha Último Pago]],"M")+1</f>
        <v>12</v>
      </c>
      <c r="N1029" s="4">
        <f>BBDD_Usiarios_Netflix[[#This Row],[Ingresos Mensuales]]*BBDD_Usiarios_Netflix[[#This Row],[Meses contratados]]</f>
        <v>144</v>
      </c>
      <c r="O1029" t="s">
        <v>24</v>
      </c>
      <c r="P1029" t="str">
        <f>IF(BBDD_Usiarios_Netflix[[#This Row],[País]]="","Desconocido",BBDD_Usiarios_Netflix[[#This Row],[País]])</f>
        <v>Australia</v>
      </c>
      <c r="Q1029">
        <v>47</v>
      </c>
      <c r="R1029" t="s">
        <v>25</v>
      </c>
      <c r="S1029" t="s">
        <v>31</v>
      </c>
      <c r="T1029" t="s">
        <v>38</v>
      </c>
      <c r="U1029">
        <f>IF(IFERROR(VLOOKUP(BBDD_Usiarios_Netflix[[#This Row],[Identificador Usuario]],A1030:$A$5870,1,FALSE),0)&lt;&gt;0,1,0)</f>
        <v>0</v>
      </c>
      <c r="V1029" s="6" t="str">
        <f>IF(BBDD_Usiarios_Netflix[[#This Row],[Duración Plan]]="12 Meses",LEFT(BBDD_Usiarios_Netflix[[#This Row],[Duración Plan]],2),LEFT(BBDD_Usiarios_Netflix[[#This Row],[Duración Plan]],1))</f>
        <v>3</v>
      </c>
      <c r="W10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30" spans="1:23" x14ac:dyDescent="0.25">
      <c r="A1030">
        <v>1029</v>
      </c>
      <c r="B1030" t="s">
        <v>32</v>
      </c>
      <c r="C1030">
        <v>12</v>
      </c>
      <c r="D1030" s="3">
        <v>7</v>
      </c>
      <c r="E1030" s="3">
        <v>7</v>
      </c>
      <c r="F1030">
        <v>23</v>
      </c>
      <c r="G1030" s="1">
        <f>DATEVALUE(_xlfn.CONCAT(BBDD_Usiarios_Netflix[[#This Row],[Día Suscripción]],"/",BBDD_Usiarios_Netflix[[#This Row],[Mes Suscripción]],"/",BBDD_Usiarios_Netflix[[#This Row],[Año Suscripción]]))</f>
        <v>45114</v>
      </c>
      <c r="H1030" s="1">
        <v>2</v>
      </c>
      <c r="I1030" s="1">
        <v>7</v>
      </c>
      <c r="J1030" s="1">
        <v>24</v>
      </c>
      <c r="K1030" s="1" t="str">
        <f>TEXT(BBDD_Usiarios_Netflix[[#This Row],[Fecha Suscripción]],"dddd")</f>
        <v>viernes</v>
      </c>
      <c r="L1030" s="1">
        <f>DATEVALUE(_xlfn.CONCAT(BBDD_Usiarios_Netflix[[#This Row],[Día Último Pago]],"/",BBDD_Usiarios_Netflix[[#This Row],[Mes Último Pago]],"/",BBDD_Usiarios_Netflix[[#This Row],[Año Último Pago]]))</f>
        <v>45475</v>
      </c>
      <c r="M1030" s="4">
        <f>DATEDIF(BBDD_Usiarios_Netflix[[#This Row],[Fecha Suscripción]],BBDD_Usiarios_Netflix[[#This Row],[Fecha Último Pago]],"M")+1</f>
        <v>12</v>
      </c>
      <c r="N1030" s="4">
        <f>BBDD_Usiarios_Netflix[[#This Row],[Ingresos Mensuales]]*BBDD_Usiarios_Netflix[[#This Row],[Meses contratados]]</f>
        <v>144</v>
      </c>
      <c r="O1030" t="s">
        <v>24</v>
      </c>
      <c r="P1030" t="str">
        <f>IF(BBDD_Usiarios_Netflix[[#This Row],[País]]="","Desconocido",BBDD_Usiarios_Netflix[[#This Row],[País]])</f>
        <v>Australia</v>
      </c>
      <c r="Q1030">
        <v>47</v>
      </c>
      <c r="R1030" t="s">
        <v>25</v>
      </c>
      <c r="S1030" t="s">
        <v>26</v>
      </c>
      <c r="T1030" t="s">
        <v>27</v>
      </c>
      <c r="U1030">
        <f>IF(IFERROR(VLOOKUP(BBDD_Usiarios_Netflix[[#This Row],[Identificador Usuario]],A1031:$A$5870,1,FALSE),0)&lt;&gt;0,1,0)</f>
        <v>0</v>
      </c>
      <c r="V1030" s="6" t="str">
        <f>IF(BBDD_Usiarios_Netflix[[#This Row],[Duración Plan]]="12 Meses",LEFT(BBDD_Usiarios_Netflix[[#This Row],[Duración Plan]],2),LEFT(BBDD_Usiarios_Netflix[[#This Row],[Duración Plan]],1))</f>
        <v>1</v>
      </c>
      <c r="W10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31" spans="1:23" x14ac:dyDescent="0.25">
      <c r="A1031">
        <v>1030</v>
      </c>
      <c r="B1031" t="s">
        <v>23</v>
      </c>
      <c r="C1031">
        <v>10</v>
      </c>
      <c r="D1031" s="3">
        <v>14</v>
      </c>
      <c r="E1031" s="3">
        <v>7</v>
      </c>
      <c r="F1031">
        <v>23</v>
      </c>
      <c r="G1031" s="1">
        <f>DATEVALUE(_xlfn.CONCAT(BBDD_Usiarios_Netflix[[#This Row],[Día Suscripción]],"/",BBDD_Usiarios_Netflix[[#This Row],[Mes Suscripción]],"/",BBDD_Usiarios_Netflix[[#This Row],[Año Suscripción]]))</f>
        <v>45121</v>
      </c>
      <c r="H1031" s="1">
        <v>1</v>
      </c>
      <c r="I1031" s="1">
        <v>7</v>
      </c>
      <c r="J1031" s="1">
        <v>24</v>
      </c>
      <c r="K1031" s="1" t="str">
        <f>TEXT(BBDD_Usiarios_Netflix[[#This Row],[Fecha Suscripción]],"dddd")</f>
        <v>viernes</v>
      </c>
      <c r="L1031" s="1">
        <f>DATEVALUE(_xlfn.CONCAT(BBDD_Usiarios_Netflix[[#This Row],[Día Último Pago]],"/",BBDD_Usiarios_Netflix[[#This Row],[Mes Último Pago]],"/",BBDD_Usiarios_Netflix[[#This Row],[Año Último Pago]]))</f>
        <v>45474</v>
      </c>
      <c r="M1031" s="4">
        <f>DATEDIF(BBDD_Usiarios_Netflix[[#This Row],[Fecha Suscripción]],BBDD_Usiarios_Netflix[[#This Row],[Fecha Último Pago]],"M")+1</f>
        <v>12</v>
      </c>
      <c r="N1031" s="4">
        <f>BBDD_Usiarios_Netflix[[#This Row],[Ingresos Mensuales]]*BBDD_Usiarios_Netflix[[#This Row],[Meses contratados]]</f>
        <v>120</v>
      </c>
      <c r="O1031" t="s">
        <v>29</v>
      </c>
      <c r="P1031" t="str">
        <f>IF(BBDD_Usiarios_Netflix[[#This Row],[País]]="","Desconocido",BBDD_Usiarios_Netflix[[#This Row],[País]])</f>
        <v>EEUU</v>
      </c>
      <c r="Q1031">
        <v>50</v>
      </c>
      <c r="R1031" t="s">
        <v>25</v>
      </c>
      <c r="S1031" t="s">
        <v>26</v>
      </c>
      <c r="T1031" t="s">
        <v>38</v>
      </c>
      <c r="U1031">
        <f>IF(IFERROR(VLOOKUP(BBDD_Usiarios_Netflix[[#This Row],[Identificador Usuario]],A1032:$A$5870,1,FALSE),0)&lt;&gt;0,1,0)</f>
        <v>0</v>
      </c>
      <c r="V1031" s="6" t="str">
        <f>IF(BBDD_Usiarios_Netflix[[#This Row],[Duración Plan]]="12 Meses",LEFT(BBDD_Usiarios_Netflix[[#This Row],[Duración Plan]],2),LEFT(BBDD_Usiarios_Netflix[[#This Row],[Duración Plan]],1))</f>
        <v>3</v>
      </c>
      <c r="W10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32" spans="1:23" x14ac:dyDescent="0.25">
      <c r="A1032">
        <v>1031</v>
      </c>
      <c r="B1032" t="s">
        <v>28</v>
      </c>
      <c r="C1032">
        <v>14</v>
      </c>
      <c r="D1032" s="3">
        <v>20</v>
      </c>
      <c r="E1032" s="3">
        <v>7</v>
      </c>
      <c r="F1032">
        <v>23</v>
      </c>
      <c r="G1032" s="1">
        <f>DATEVALUE(_xlfn.CONCAT(BBDD_Usiarios_Netflix[[#This Row],[Día Suscripción]],"/",BBDD_Usiarios_Netflix[[#This Row],[Mes Suscripción]],"/",BBDD_Usiarios_Netflix[[#This Row],[Año Suscripción]]))</f>
        <v>45127</v>
      </c>
      <c r="H1032" s="1">
        <v>1</v>
      </c>
      <c r="I1032" s="1">
        <v>7</v>
      </c>
      <c r="J1032" s="1">
        <v>24</v>
      </c>
      <c r="K1032" s="1" t="str">
        <f>TEXT(BBDD_Usiarios_Netflix[[#This Row],[Fecha Suscripción]],"dddd")</f>
        <v>jueves</v>
      </c>
      <c r="L1032" s="1">
        <f>DATEVALUE(_xlfn.CONCAT(BBDD_Usiarios_Netflix[[#This Row],[Día Último Pago]],"/",BBDD_Usiarios_Netflix[[#This Row],[Mes Último Pago]],"/",BBDD_Usiarios_Netflix[[#This Row],[Año Último Pago]]))</f>
        <v>45474</v>
      </c>
      <c r="M1032" s="4">
        <f>DATEDIF(BBDD_Usiarios_Netflix[[#This Row],[Fecha Suscripción]],BBDD_Usiarios_Netflix[[#This Row],[Fecha Último Pago]],"M")+1</f>
        <v>12</v>
      </c>
      <c r="N1032" s="4">
        <f>BBDD_Usiarios_Netflix[[#This Row],[Ingresos Mensuales]]*BBDD_Usiarios_Netflix[[#This Row],[Meses contratados]]</f>
        <v>168</v>
      </c>
      <c r="O1032" t="s">
        <v>42</v>
      </c>
      <c r="P1032" t="str">
        <f>IF(BBDD_Usiarios_Netflix[[#This Row],[País]]="","Desconocido",BBDD_Usiarios_Netflix[[#This Row],[País]])</f>
        <v>Reino Unido</v>
      </c>
      <c r="Q1032">
        <v>50</v>
      </c>
      <c r="R1032" t="s">
        <v>30</v>
      </c>
      <c r="S1032" t="s">
        <v>34</v>
      </c>
      <c r="T1032" t="s">
        <v>27</v>
      </c>
      <c r="U1032">
        <f>IF(IFERROR(VLOOKUP(BBDD_Usiarios_Netflix[[#This Row],[Identificador Usuario]],A1033:$A$5870,1,FALSE),0)&lt;&gt;0,1,0)</f>
        <v>0</v>
      </c>
      <c r="V1032" s="6" t="str">
        <f>IF(BBDD_Usiarios_Netflix[[#This Row],[Duración Plan]]="12 Meses",LEFT(BBDD_Usiarios_Netflix[[#This Row],[Duración Plan]],2),LEFT(BBDD_Usiarios_Netflix[[#This Row],[Duración Plan]],1))</f>
        <v>1</v>
      </c>
      <c r="W10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33" spans="1:23" x14ac:dyDescent="0.25">
      <c r="A1033">
        <v>1032</v>
      </c>
      <c r="B1033" t="s">
        <v>23</v>
      </c>
      <c r="C1033">
        <v>10</v>
      </c>
      <c r="D1033" s="3">
        <v>23</v>
      </c>
      <c r="E1033" s="3">
        <v>7</v>
      </c>
      <c r="F1033">
        <v>23</v>
      </c>
      <c r="G1033" s="1">
        <f>DATEVALUE(_xlfn.CONCAT(BBDD_Usiarios_Netflix[[#This Row],[Día Suscripción]],"/",BBDD_Usiarios_Netflix[[#This Row],[Mes Suscripción]],"/",BBDD_Usiarios_Netflix[[#This Row],[Año Suscripción]]))</f>
        <v>45130</v>
      </c>
      <c r="H1033" s="1">
        <v>2</v>
      </c>
      <c r="I1033" s="1">
        <v>7</v>
      </c>
      <c r="J1033" s="1">
        <v>24</v>
      </c>
      <c r="K1033" s="1" t="str">
        <f>TEXT(BBDD_Usiarios_Netflix[[#This Row],[Fecha Suscripción]],"dddd")</f>
        <v>domingo</v>
      </c>
      <c r="L1033" s="1">
        <f>DATEVALUE(_xlfn.CONCAT(BBDD_Usiarios_Netflix[[#This Row],[Día Último Pago]],"/",BBDD_Usiarios_Netflix[[#This Row],[Mes Último Pago]],"/",BBDD_Usiarios_Netflix[[#This Row],[Año Último Pago]]))</f>
        <v>45475</v>
      </c>
      <c r="M1033" s="4">
        <f>DATEDIF(BBDD_Usiarios_Netflix[[#This Row],[Fecha Suscripción]],BBDD_Usiarios_Netflix[[#This Row],[Fecha Último Pago]],"M")+1</f>
        <v>12</v>
      </c>
      <c r="N1033" s="4">
        <f>BBDD_Usiarios_Netflix[[#This Row],[Ingresos Mensuales]]*BBDD_Usiarios_Netflix[[#This Row],[Meses contratados]]</f>
        <v>120</v>
      </c>
      <c r="O1033" t="s">
        <v>39</v>
      </c>
      <c r="P1033" t="str">
        <f>IF(BBDD_Usiarios_Netflix[[#This Row],[País]]="","Desconocido",BBDD_Usiarios_Netflix[[#This Row],[País]])</f>
        <v>Canadá</v>
      </c>
      <c r="Q1033">
        <v>29</v>
      </c>
      <c r="R1033" t="s">
        <v>25</v>
      </c>
      <c r="S1033" t="s">
        <v>26</v>
      </c>
      <c r="T1033" t="s">
        <v>35</v>
      </c>
      <c r="U1033">
        <f>IF(IFERROR(VLOOKUP(BBDD_Usiarios_Netflix[[#This Row],[Identificador Usuario]],A1034:$A$5870,1,FALSE),0)&lt;&gt;0,1,0)</f>
        <v>0</v>
      </c>
      <c r="V1033" s="6" t="str">
        <f>IF(BBDD_Usiarios_Netflix[[#This Row],[Duración Plan]]="12 Meses",LEFT(BBDD_Usiarios_Netflix[[#This Row],[Duración Plan]],2),LEFT(BBDD_Usiarios_Netflix[[#This Row],[Duración Plan]],1))</f>
        <v>6</v>
      </c>
      <c r="W10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34" spans="1:23" x14ac:dyDescent="0.25">
      <c r="A1034">
        <v>1033</v>
      </c>
      <c r="B1034" t="s">
        <v>32</v>
      </c>
      <c r="C1034">
        <v>12</v>
      </c>
      <c r="D1034" s="3">
        <v>30</v>
      </c>
      <c r="E1034" s="3">
        <v>7</v>
      </c>
      <c r="F1034">
        <v>23</v>
      </c>
      <c r="G1034" s="1">
        <f>DATEVALUE(_xlfn.CONCAT(BBDD_Usiarios_Netflix[[#This Row],[Día Suscripción]],"/",BBDD_Usiarios_Netflix[[#This Row],[Mes Suscripción]],"/",BBDD_Usiarios_Netflix[[#This Row],[Año Suscripción]]))</f>
        <v>45137</v>
      </c>
      <c r="H1034" s="1">
        <v>1</v>
      </c>
      <c r="I1034" s="1">
        <v>7</v>
      </c>
      <c r="J1034" s="1">
        <v>24</v>
      </c>
      <c r="K1034" s="1" t="str">
        <f>TEXT(BBDD_Usiarios_Netflix[[#This Row],[Fecha Suscripción]],"dddd")</f>
        <v>domingo</v>
      </c>
      <c r="L1034" s="1">
        <f>DATEVALUE(_xlfn.CONCAT(BBDD_Usiarios_Netflix[[#This Row],[Día Último Pago]],"/",BBDD_Usiarios_Netflix[[#This Row],[Mes Último Pago]],"/",BBDD_Usiarios_Netflix[[#This Row],[Año Último Pago]]))</f>
        <v>45474</v>
      </c>
      <c r="M1034" s="4">
        <f>DATEDIF(BBDD_Usiarios_Netflix[[#This Row],[Fecha Suscripción]],BBDD_Usiarios_Netflix[[#This Row],[Fecha Último Pago]],"M")+1</f>
        <v>12</v>
      </c>
      <c r="N1034" s="4">
        <f>BBDD_Usiarios_Netflix[[#This Row],[Ingresos Mensuales]]*BBDD_Usiarios_Netflix[[#This Row],[Meses contratados]]</f>
        <v>144</v>
      </c>
      <c r="O1034" t="s">
        <v>24</v>
      </c>
      <c r="P1034" t="str">
        <f>IF(BBDD_Usiarios_Netflix[[#This Row],[País]]="","Desconocido",BBDD_Usiarios_Netflix[[#This Row],[País]])</f>
        <v>Australia</v>
      </c>
      <c r="Q1034">
        <v>38</v>
      </c>
      <c r="R1034" t="s">
        <v>25</v>
      </c>
      <c r="S1034" t="s">
        <v>31</v>
      </c>
      <c r="T1034" t="s">
        <v>27</v>
      </c>
      <c r="U1034">
        <f>IF(IFERROR(VLOOKUP(BBDD_Usiarios_Netflix[[#This Row],[Identificador Usuario]],A1035:$A$5870,1,FALSE),0)&lt;&gt;0,1,0)</f>
        <v>0</v>
      </c>
      <c r="V1034" s="6" t="str">
        <f>IF(BBDD_Usiarios_Netflix[[#This Row],[Duración Plan]]="12 Meses",LEFT(BBDD_Usiarios_Netflix[[#This Row],[Duración Plan]],2),LEFT(BBDD_Usiarios_Netflix[[#This Row],[Duración Plan]],1))</f>
        <v>1</v>
      </c>
      <c r="W10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35" spans="1:23" x14ac:dyDescent="0.25">
      <c r="A1035">
        <v>1034</v>
      </c>
      <c r="B1035" t="s">
        <v>28</v>
      </c>
      <c r="C1035">
        <v>14</v>
      </c>
      <c r="D1035" s="3">
        <v>12</v>
      </c>
      <c r="E1035" s="3">
        <v>8</v>
      </c>
      <c r="F1035">
        <v>23</v>
      </c>
      <c r="G1035" s="1">
        <f>DATEVALUE(_xlfn.CONCAT(BBDD_Usiarios_Netflix[[#This Row],[Día Suscripción]],"/",BBDD_Usiarios_Netflix[[#This Row],[Mes Suscripción]],"/",BBDD_Usiarios_Netflix[[#This Row],[Año Suscripción]]))</f>
        <v>45150</v>
      </c>
      <c r="H1035" s="1">
        <v>3</v>
      </c>
      <c r="I1035" s="1">
        <v>7</v>
      </c>
      <c r="J1035" s="1">
        <v>24</v>
      </c>
      <c r="K1035" s="1" t="str">
        <f>TEXT(BBDD_Usiarios_Netflix[[#This Row],[Fecha Suscripción]],"dddd")</f>
        <v>sábado</v>
      </c>
      <c r="L1035" s="1">
        <f>DATEVALUE(_xlfn.CONCAT(BBDD_Usiarios_Netflix[[#This Row],[Día Último Pago]],"/",BBDD_Usiarios_Netflix[[#This Row],[Mes Último Pago]],"/",BBDD_Usiarios_Netflix[[#This Row],[Año Último Pago]]))</f>
        <v>45476</v>
      </c>
      <c r="M1035" s="4">
        <f>DATEDIF(BBDD_Usiarios_Netflix[[#This Row],[Fecha Suscripción]],BBDD_Usiarios_Netflix[[#This Row],[Fecha Último Pago]],"M")+1</f>
        <v>11</v>
      </c>
      <c r="N1035" s="4">
        <f>BBDD_Usiarios_Netflix[[#This Row],[Ingresos Mensuales]]*BBDD_Usiarios_Netflix[[#This Row],[Meses contratados]]</f>
        <v>154</v>
      </c>
      <c r="O1035" t="s">
        <v>24</v>
      </c>
      <c r="P1035" t="str">
        <f>IF(BBDD_Usiarios_Netflix[[#This Row],[País]]="","Desconocido",BBDD_Usiarios_Netflix[[#This Row],[País]])</f>
        <v>Australia</v>
      </c>
      <c r="Q1035">
        <v>40</v>
      </c>
      <c r="R1035" t="s">
        <v>30</v>
      </c>
      <c r="S1035" t="s">
        <v>31</v>
      </c>
      <c r="T1035" t="s">
        <v>27</v>
      </c>
      <c r="U1035">
        <f>IF(IFERROR(VLOOKUP(BBDD_Usiarios_Netflix[[#This Row],[Identificador Usuario]],A1036:$A$5870,1,FALSE),0)&lt;&gt;0,1,0)</f>
        <v>0</v>
      </c>
      <c r="V1035" s="6" t="str">
        <f>IF(BBDD_Usiarios_Netflix[[#This Row],[Duración Plan]]="12 Meses",LEFT(BBDD_Usiarios_Netflix[[#This Row],[Duración Plan]],2),LEFT(BBDD_Usiarios_Netflix[[#This Row],[Duración Plan]],1))</f>
        <v>1</v>
      </c>
      <c r="W10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36" spans="1:23" x14ac:dyDescent="0.25">
      <c r="A1036">
        <v>1035</v>
      </c>
      <c r="B1036" t="s">
        <v>23</v>
      </c>
      <c r="C1036">
        <v>10</v>
      </c>
      <c r="D1036" s="3">
        <v>14</v>
      </c>
      <c r="E1036" s="3">
        <v>8</v>
      </c>
      <c r="F1036">
        <v>23</v>
      </c>
      <c r="G1036" s="1">
        <f>DATEVALUE(_xlfn.CONCAT(BBDD_Usiarios_Netflix[[#This Row],[Día Suscripción]],"/",BBDD_Usiarios_Netflix[[#This Row],[Mes Suscripción]],"/",BBDD_Usiarios_Netflix[[#This Row],[Año Suscripción]]))</f>
        <v>45152</v>
      </c>
      <c r="H1036" s="1">
        <v>1</v>
      </c>
      <c r="I1036" s="1">
        <v>7</v>
      </c>
      <c r="J1036" s="1">
        <v>24</v>
      </c>
      <c r="K1036" s="1" t="str">
        <f>TEXT(BBDD_Usiarios_Netflix[[#This Row],[Fecha Suscripción]],"dddd")</f>
        <v>lunes</v>
      </c>
      <c r="L1036" s="1">
        <f>DATEVALUE(_xlfn.CONCAT(BBDD_Usiarios_Netflix[[#This Row],[Día Último Pago]],"/",BBDD_Usiarios_Netflix[[#This Row],[Mes Último Pago]],"/",BBDD_Usiarios_Netflix[[#This Row],[Año Último Pago]]))</f>
        <v>45474</v>
      </c>
      <c r="M1036" s="4">
        <f>DATEDIF(BBDD_Usiarios_Netflix[[#This Row],[Fecha Suscripción]],BBDD_Usiarios_Netflix[[#This Row],[Fecha Último Pago]],"M")+1</f>
        <v>11</v>
      </c>
      <c r="N1036" s="4">
        <f>BBDD_Usiarios_Netflix[[#This Row],[Ingresos Mensuales]]*BBDD_Usiarios_Netflix[[#This Row],[Meses contratados]]</f>
        <v>110</v>
      </c>
      <c r="O1036" t="s">
        <v>40</v>
      </c>
      <c r="P1036" t="str">
        <f>IF(BBDD_Usiarios_Netflix[[#This Row],[País]]="","Desconocido",BBDD_Usiarios_Netflix[[#This Row],[País]])</f>
        <v>Italia</v>
      </c>
      <c r="Q1036">
        <v>43</v>
      </c>
      <c r="R1036" t="s">
        <v>25</v>
      </c>
      <c r="S1036" t="s">
        <v>26</v>
      </c>
      <c r="T1036" t="s">
        <v>38</v>
      </c>
      <c r="U1036">
        <f>IF(IFERROR(VLOOKUP(BBDD_Usiarios_Netflix[[#This Row],[Identificador Usuario]],A1037:$A$5870,1,FALSE),0)&lt;&gt;0,1,0)</f>
        <v>0</v>
      </c>
      <c r="V1036" s="6" t="str">
        <f>IF(BBDD_Usiarios_Netflix[[#This Row],[Duración Plan]]="12 Meses",LEFT(BBDD_Usiarios_Netflix[[#This Row],[Duración Plan]],2),LEFT(BBDD_Usiarios_Netflix[[#This Row],[Duración Plan]],1))</f>
        <v>3</v>
      </c>
      <c r="W10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37" spans="1:23" x14ac:dyDescent="0.25">
      <c r="A1037">
        <v>1036</v>
      </c>
      <c r="B1037" t="s">
        <v>28</v>
      </c>
      <c r="C1037">
        <v>14</v>
      </c>
      <c r="D1037" s="3">
        <v>22</v>
      </c>
      <c r="E1037" s="3">
        <v>8</v>
      </c>
      <c r="F1037">
        <v>23</v>
      </c>
      <c r="G1037" s="1">
        <f>DATEVALUE(_xlfn.CONCAT(BBDD_Usiarios_Netflix[[#This Row],[Día Suscripción]],"/",BBDD_Usiarios_Netflix[[#This Row],[Mes Suscripción]],"/",BBDD_Usiarios_Netflix[[#This Row],[Año Suscripción]]))</f>
        <v>45160</v>
      </c>
      <c r="H1037" s="1">
        <v>4</v>
      </c>
      <c r="I1037" s="1">
        <v>7</v>
      </c>
      <c r="J1037" s="1">
        <v>24</v>
      </c>
      <c r="K1037" s="1" t="str">
        <f>TEXT(BBDD_Usiarios_Netflix[[#This Row],[Fecha Suscripción]],"dddd")</f>
        <v>martes</v>
      </c>
      <c r="L1037" s="1">
        <f>DATEVALUE(_xlfn.CONCAT(BBDD_Usiarios_Netflix[[#This Row],[Día Último Pago]],"/",BBDD_Usiarios_Netflix[[#This Row],[Mes Último Pago]],"/",BBDD_Usiarios_Netflix[[#This Row],[Año Último Pago]]))</f>
        <v>45477</v>
      </c>
      <c r="M1037" s="4">
        <f>DATEDIF(BBDD_Usiarios_Netflix[[#This Row],[Fecha Suscripción]],BBDD_Usiarios_Netflix[[#This Row],[Fecha Último Pago]],"M")+1</f>
        <v>11</v>
      </c>
      <c r="N1037" s="4">
        <f>BBDD_Usiarios_Netflix[[#This Row],[Ingresos Mensuales]]*BBDD_Usiarios_Netflix[[#This Row],[Meses contratados]]</f>
        <v>154</v>
      </c>
      <c r="O1037" t="s">
        <v>29</v>
      </c>
      <c r="P1037" t="str">
        <f>IF(BBDD_Usiarios_Netflix[[#This Row],[País]]="","Desconocido",BBDD_Usiarios_Netflix[[#This Row],[País]])</f>
        <v>EEUU</v>
      </c>
      <c r="Q1037">
        <v>27</v>
      </c>
      <c r="R1037" t="s">
        <v>30</v>
      </c>
      <c r="S1037" t="s">
        <v>26</v>
      </c>
      <c r="T1037" t="s">
        <v>41</v>
      </c>
      <c r="U1037">
        <f>IF(IFERROR(VLOOKUP(BBDD_Usiarios_Netflix[[#This Row],[Identificador Usuario]],A1038:$A$5870,1,FALSE),0)&lt;&gt;0,1,0)</f>
        <v>0</v>
      </c>
      <c r="V1037" s="6" t="str">
        <f>IF(BBDD_Usiarios_Netflix[[#This Row],[Duración Plan]]="12 Meses",LEFT(BBDD_Usiarios_Netflix[[#This Row],[Duración Plan]],2),LEFT(BBDD_Usiarios_Netflix[[#This Row],[Duración Plan]],1))</f>
        <v>12</v>
      </c>
      <c r="W10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38" spans="1:23" x14ac:dyDescent="0.25">
      <c r="A1038">
        <v>1037</v>
      </c>
      <c r="B1038" t="s">
        <v>23</v>
      </c>
      <c r="C1038">
        <v>10</v>
      </c>
      <c r="D1038" s="3">
        <v>29</v>
      </c>
      <c r="E1038" s="3">
        <v>8</v>
      </c>
      <c r="F1038">
        <v>23</v>
      </c>
      <c r="G1038" s="1">
        <f>DATEVALUE(_xlfn.CONCAT(BBDD_Usiarios_Netflix[[#This Row],[Día Suscripción]],"/",BBDD_Usiarios_Netflix[[#This Row],[Mes Suscripción]],"/",BBDD_Usiarios_Netflix[[#This Row],[Año Suscripción]]))</f>
        <v>45167</v>
      </c>
      <c r="H1038" s="1">
        <v>30</v>
      </c>
      <c r="I1038" s="1">
        <v>6</v>
      </c>
      <c r="J1038" s="1">
        <v>24</v>
      </c>
      <c r="K1038" s="1" t="str">
        <f>TEXT(BBDD_Usiarios_Netflix[[#This Row],[Fecha Suscripción]],"dddd")</f>
        <v>martes</v>
      </c>
      <c r="L1038" s="1">
        <f>DATEVALUE(_xlfn.CONCAT(BBDD_Usiarios_Netflix[[#This Row],[Día Último Pago]],"/",BBDD_Usiarios_Netflix[[#This Row],[Mes Último Pago]],"/",BBDD_Usiarios_Netflix[[#This Row],[Año Último Pago]]))</f>
        <v>45473</v>
      </c>
      <c r="M1038" s="4">
        <f>DATEDIF(BBDD_Usiarios_Netflix[[#This Row],[Fecha Suscripción]],BBDD_Usiarios_Netflix[[#This Row],[Fecha Último Pago]],"M")+1</f>
        <v>11</v>
      </c>
      <c r="N1038" s="4">
        <f>BBDD_Usiarios_Netflix[[#This Row],[Ingresos Mensuales]]*BBDD_Usiarios_Netflix[[#This Row],[Meses contratados]]</f>
        <v>110</v>
      </c>
      <c r="O1038" t="s">
        <v>42</v>
      </c>
      <c r="P1038" t="str">
        <f>IF(BBDD_Usiarios_Netflix[[#This Row],[País]]="","Desconocido",BBDD_Usiarios_Netflix[[#This Row],[País]])</f>
        <v>Reino Unido</v>
      </c>
      <c r="Q1038">
        <v>37</v>
      </c>
      <c r="R1038" t="s">
        <v>30</v>
      </c>
      <c r="S1038" t="s">
        <v>31</v>
      </c>
      <c r="T1038" t="s">
        <v>38</v>
      </c>
      <c r="U1038">
        <f>IF(IFERROR(VLOOKUP(BBDD_Usiarios_Netflix[[#This Row],[Identificador Usuario]],A1039:$A$5870,1,FALSE),0)&lt;&gt;0,1,0)</f>
        <v>0</v>
      </c>
      <c r="V1038" s="6" t="str">
        <f>IF(BBDD_Usiarios_Netflix[[#This Row],[Duración Plan]]="12 Meses",LEFT(BBDD_Usiarios_Netflix[[#This Row],[Duración Plan]],2),LEFT(BBDD_Usiarios_Netflix[[#This Row],[Duración Plan]],1))</f>
        <v>3</v>
      </c>
      <c r="W10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39" spans="1:23" x14ac:dyDescent="0.25">
      <c r="A1039">
        <v>1038</v>
      </c>
      <c r="B1039" t="s">
        <v>32</v>
      </c>
      <c r="C1039">
        <v>12</v>
      </c>
      <c r="D1039" s="3">
        <v>2</v>
      </c>
      <c r="E1039" s="3">
        <v>9</v>
      </c>
      <c r="F1039">
        <v>23</v>
      </c>
      <c r="G1039" s="1">
        <f>DATEVALUE(_xlfn.CONCAT(BBDD_Usiarios_Netflix[[#This Row],[Día Suscripción]],"/",BBDD_Usiarios_Netflix[[#This Row],[Mes Suscripción]],"/",BBDD_Usiarios_Netflix[[#This Row],[Año Suscripción]]))</f>
        <v>45171</v>
      </c>
      <c r="H1039" s="1">
        <v>3</v>
      </c>
      <c r="I1039" s="1">
        <v>7</v>
      </c>
      <c r="J1039" s="1">
        <v>24</v>
      </c>
      <c r="K1039" s="1" t="str">
        <f>TEXT(BBDD_Usiarios_Netflix[[#This Row],[Fecha Suscripción]],"dddd")</f>
        <v>sábado</v>
      </c>
      <c r="L1039" s="1">
        <f>DATEVALUE(_xlfn.CONCAT(BBDD_Usiarios_Netflix[[#This Row],[Día Último Pago]],"/",BBDD_Usiarios_Netflix[[#This Row],[Mes Último Pago]],"/",BBDD_Usiarios_Netflix[[#This Row],[Año Último Pago]]))</f>
        <v>45476</v>
      </c>
      <c r="M1039" s="4">
        <f>DATEDIF(BBDD_Usiarios_Netflix[[#This Row],[Fecha Suscripción]],BBDD_Usiarios_Netflix[[#This Row],[Fecha Último Pago]],"M")+1</f>
        <v>11</v>
      </c>
      <c r="N1039" s="4">
        <f>BBDD_Usiarios_Netflix[[#This Row],[Ingresos Mensuales]]*BBDD_Usiarios_Netflix[[#This Row],[Meses contratados]]</f>
        <v>132</v>
      </c>
      <c r="O1039" t="s">
        <v>43</v>
      </c>
      <c r="P1039" t="str">
        <f>IF(BBDD_Usiarios_Netflix[[#This Row],[País]]="","Desconocido",BBDD_Usiarios_Netflix[[#This Row],[País]])</f>
        <v>Alemania</v>
      </c>
      <c r="Q1039">
        <v>30</v>
      </c>
      <c r="R1039" t="s">
        <v>25</v>
      </c>
      <c r="S1039" t="s">
        <v>26</v>
      </c>
      <c r="T1039" t="s">
        <v>27</v>
      </c>
      <c r="U1039">
        <f>IF(IFERROR(VLOOKUP(BBDD_Usiarios_Netflix[[#This Row],[Identificador Usuario]],A1040:$A$5870,1,FALSE),0)&lt;&gt;0,1,0)</f>
        <v>0</v>
      </c>
      <c r="V1039" s="6" t="str">
        <f>IF(BBDD_Usiarios_Netflix[[#This Row],[Duración Plan]]="12 Meses",LEFT(BBDD_Usiarios_Netflix[[#This Row],[Duración Plan]],2),LEFT(BBDD_Usiarios_Netflix[[#This Row],[Duración Plan]],1))</f>
        <v>1</v>
      </c>
      <c r="W10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40" spans="1:23" x14ac:dyDescent="0.25">
      <c r="A1040">
        <v>1039</v>
      </c>
      <c r="B1040" t="s">
        <v>32</v>
      </c>
      <c r="C1040">
        <v>12</v>
      </c>
      <c r="D1040" s="3">
        <v>3</v>
      </c>
      <c r="E1040" s="3">
        <v>9</v>
      </c>
      <c r="F1040">
        <v>23</v>
      </c>
      <c r="G1040" s="1">
        <f>DATEVALUE(_xlfn.CONCAT(BBDD_Usiarios_Netflix[[#This Row],[Día Suscripción]],"/",BBDD_Usiarios_Netflix[[#This Row],[Mes Suscripción]],"/",BBDD_Usiarios_Netflix[[#This Row],[Año Suscripción]]))</f>
        <v>45172</v>
      </c>
      <c r="H1040" s="1">
        <v>1</v>
      </c>
      <c r="I1040" s="1">
        <v>7</v>
      </c>
      <c r="J1040" s="1">
        <v>24</v>
      </c>
      <c r="K1040" s="1" t="str">
        <f>TEXT(BBDD_Usiarios_Netflix[[#This Row],[Fecha Suscripción]],"dddd")</f>
        <v>domingo</v>
      </c>
      <c r="L1040" s="1">
        <f>DATEVALUE(_xlfn.CONCAT(BBDD_Usiarios_Netflix[[#This Row],[Día Último Pago]],"/",BBDD_Usiarios_Netflix[[#This Row],[Mes Último Pago]],"/",BBDD_Usiarios_Netflix[[#This Row],[Año Último Pago]]))</f>
        <v>45474</v>
      </c>
      <c r="M1040" s="4">
        <f>DATEDIF(BBDD_Usiarios_Netflix[[#This Row],[Fecha Suscripción]],BBDD_Usiarios_Netflix[[#This Row],[Fecha Último Pago]],"M")+1</f>
        <v>10</v>
      </c>
      <c r="N1040" s="4">
        <f>BBDD_Usiarios_Netflix[[#This Row],[Ingresos Mensuales]]*BBDD_Usiarios_Netflix[[#This Row],[Meses contratados]]</f>
        <v>120</v>
      </c>
      <c r="O1040" t="s">
        <v>24</v>
      </c>
      <c r="P1040" t="str">
        <f>IF(BBDD_Usiarios_Netflix[[#This Row],[País]]="","Desconocido",BBDD_Usiarios_Netflix[[#This Row],[País]])</f>
        <v>Australia</v>
      </c>
      <c r="Q1040">
        <v>50</v>
      </c>
      <c r="R1040" t="s">
        <v>25</v>
      </c>
      <c r="S1040" t="s">
        <v>36</v>
      </c>
      <c r="T1040" t="s">
        <v>27</v>
      </c>
      <c r="U1040">
        <f>IF(IFERROR(VLOOKUP(BBDD_Usiarios_Netflix[[#This Row],[Identificador Usuario]],A1041:$A$5870,1,FALSE),0)&lt;&gt;0,1,0)</f>
        <v>0</v>
      </c>
      <c r="V1040" s="6" t="str">
        <f>IF(BBDD_Usiarios_Netflix[[#This Row],[Duración Plan]]="12 Meses",LEFT(BBDD_Usiarios_Netflix[[#This Row],[Duración Plan]],2),LEFT(BBDD_Usiarios_Netflix[[#This Row],[Duración Plan]],1))</f>
        <v>1</v>
      </c>
      <c r="W10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41" spans="1:23" x14ac:dyDescent="0.25">
      <c r="A1041">
        <v>1040</v>
      </c>
      <c r="B1041" t="s">
        <v>23</v>
      </c>
      <c r="C1041">
        <v>10</v>
      </c>
      <c r="D1041" s="3">
        <v>4</v>
      </c>
      <c r="E1041" s="3">
        <v>9</v>
      </c>
      <c r="F1041">
        <v>23</v>
      </c>
      <c r="G1041" s="1">
        <f>DATEVALUE(_xlfn.CONCAT(BBDD_Usiarios_Netflix[[#This Row],[Día Suscripción]],"/",BBDD_Usiarios_Netflix[[#This Row],[Mes Suscripción]],"/",BBDD_Usiarios_Netflix[[#This Row],[Año Suscripción]]))</f>
        <v>45173</v>
      </c>
      <c r="H1041" s="1">
        <v>4</v>
      </c>
      <c r="I1041" s="1">
        <v>7</v>
      </c>
      <c r="J1041" s="1">
        <v>24</v>
      </c>
      <c r="K1041" s="1" t="str">
        <f>TEXT(BBDD_Usiarios_Netflix[[#This Row],[Fecha Suscripción]],"dddd")</f>
        <v>lunes</v>
      </c>
      <c r="L1041" s="1">
        <f>DATEVALUE(_xlfn.CONCAT(BBDD_Usiarios_Netflix[[#This Row],[Día Último Pago]],"/",BBDD_Usiarios_Netflix[[#This Row],[Mes Último Pago]],"/",BBDD_Usiarios_Netflix[[#This Row],[Año Último Pago]]))</f>
        <v>45477</v>
      </c>
      <c r="M1041" s="4">
        <f>DATEDIF(BBDD_Usiarios_Netflix[[#This Row],[Fecha Suscripción]],BBDD_Usiarios_Netflix[[#This Row],[Fecha Último Pago]],"M")+1</f>
        <v>11</v>
      </c>
      <c r="N1041" s="4">
        <f>BBDD_Usiarios_Netflix[[#This Row],[Ingresos Mensuales]]*BBDD_Usiarios_Netflix[[#This Row],[Meses contratados]]</f>
        <v>110</v>
      </c>
      <c r="O1041" t="s">
        <v>33</v>
      </c>
      <c r="P1041" t="str">
        <f>IF(BBDD_Usiarios_Netflix[[#This Row],[País]]="","Desconocido",BBDD_Usiarios_Netflix[[#This Row],[País]])</f>
        <v>Francia</v>
      </c>
      <c r="Q1041">
        <v>51</v>
      </c>
      <c r="R1041" t="s">
        <v>25</v>
      </c>
      <c r="S1041" t="s">
        <v>26</v>
      </c>
      <c r="T1041" t="s">
        <v>41</v>
      </c>
      <c r="U1041">
        <f>IF(IFERROR(VLOOKUP(BBDD_Usiarios_Netflix[[#This Row],[Identificador Usuario]],A1042:$A$5870,1,FALSE),0)&lt;&gt;0,1,0)</f>
        <v>0</v>
      </c>
      <c r="V1041" s="6" t="str">
        <f>IF(BBDD_Usiarios_Netflix[[#This Row],[Duración Plan]]="12 Meses",LEFT(BBDD_Usiarios_Netflix[[#This Row],[Duración Plan]],2),LEFT(BBDD_Usiarios_Netflix[[#This Row],[Duración Plan]],1))</f>
        <v>12</v>
      </c>
      <c r="W10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42" spans="1:23" x14ac:dyDescent="0.25">
      <c r="A1042">
        <v>1041</v>
      </c>
      <c r="B1042" t="s">
        <v>28</v>
      </c>
      <c r="C1042">
        <v>14</v>
      </c>
      <c r="D1042" s="3">
        <v>6</v>
      </c>
      <c r="E1042" s="3">
        <v>9</v>
      </c>
      <c r="F1042">
        <v>23</v>
      </c>
      <c r="G1042" s="1">
        <f>DATEVALUE(_xlfn.CONCAT(BBDD_Usiarios_Netflix[[#This Row],[Día Suscripción]],"/",BBDD_Usiarios_Netflix[[#This Row],[Mes Suscripción]],"/",BBDD_Usiarios_Netflix[[#This Row],[Año Suscripción]]))</f>
        <v>45175</v>
      </c>
      <c r="H1042" s="1">
        <v>1</v>
      </c>
      <c r="I1042" s="1">
        <v>7</v>
      </c>
      <c r="J1042" s="1">
        <v>24</v>
      </c>
      <c r="K1042" s="1" t="str">
        <f>TEXT(BBDD_Usiarios_Netflix[[#This Row],[Fecha Suscripción]],"dddd")</f>
        <v>miércoles</v>
      </c>
      <c r="L1042" s="1">
        <f>DATEVALUE(_xlfn.CONCAT(BBDD_Usiarios_Netflix[[#This Row],[Día Último Pago]],"/",BBDD_Usiarios_Netflix[[#This Row],[Mes Último Pago]],"/",BBDD_Usiarios_Netflix[[#This Row],[Año Último Pago]]))</f>
        <v>45474</v>
      </c>
      <c r="M1042" s="4">
        <f>DATEDIF(BBDD_Usiarios_Netflix[[#This Row],[Fecha Suscripción]],BBDD_Usiarios_Netflix[[#This Row],[Fecha Último Pago]],"M")+1</f>
        <v>10</v>
      </c>
      <c r="N1042" s="4">
        <f>BBDD_Usiarios_Netflix[[#This Row],[Ingresos Mensuales]]*BBDD_Usiarios_Netflix[[#This Row],[Meses contratados]]</f>
        <v>140</v>
      </c>
      <c r="O1042" t="s">
        <v>43</v>
      </c>
      <c r="P1042" t="str">
        <f>IF(BBDD_Usiarios_Netflix[[#This Row],[País]]="","Desconocido",BBDD_Usiarios_Netflix[[#This Row],[País]])</f>
        <v>Alemania</v>
      </c>
      <c r="Q1042">
        <v>37</v>
      </c>
      <c r="R1042" t="s">
        <v>30</v>
      </c>
      <c r="S1042" t="s">
        <v>36</v>
      </c>
      <c r="T1042" t="s">
        <v>38</v>
      </c>
      <c r="U1042">
        <f>IF(IFERROR(VLOOKUP(BBDD_Usiarios_Netflix[[#This Row],[Identificador Usuario]],A1043:$A$5870,1,FALSE),0)&lt;&gt;0,1,0)</f>
        <v>0</v>
      </c>
      <c r="V1042" s="6" t="str">
        <f>IF(BBDD_Usiarios_Netflix[[#This Row],[Duración Plan]]="12 Meses",LEFT(BBDD_Usiarios_Netflix[[#This Row],[Duración Plan]],2),LEFT(BBDD_Usiarios_Netflix[[#This Row],[Duración Plan]],1))</f>
        <v>3</v>
      </c>
      <c r="W10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43" spans="1:23" x14ac:dyDescent="0.25">
      <c r="A1043">
        <v>1042</v>
      </c>
      <c r="B1043" t="s">
        <v>23</v>
      </c>
      <c r="C1043">
        <v>10</v>
      </c>
      <c r="D1043" s="3">
        <v>10</v>
      </c>
      <c r="E1043" s="3">
        <v>9</v>
      </c>
      <c r="F1043">
        <v>23</v>
      </c>
      <c r="G1043" s="1">
        <f>DATEVALUE(_xlfn.CONCAT(BBDD_Usiarios_Netflix[[#This Row],[Día Suscripción]],"/",BBDD_Usiarios_Netflix[[#This Row],[Mes Suscripción]],"/",BBDD_Usiarios_Netflix[[#This Row],[Año Suscripción]]))</f>
        <v>45179</v>
      </c>
      <c r="H1043" s="1">
        <v>2</v>
      </c>
      <c r="I1043" s="1">
        <v>7</v>
      </c>
      <c r="J1043" s="1">
        <v>24</v>
      </c>
      <c r="K1043" s="1" t="str">
        <f>TEXT(BBDD_Usiarios_Netflix[[#This Row],[Fecha Suscripción]],"dddd")</f>
        <v>domingo</v>
      </c>
      <c r="L1043" s="1">
        <f>DATEVALUE(_xlfn.CONCAT(BBDD_Usiarios_Netflix[[#This Row],[Día Último Pago]],"/",BBDD_Usiarios_Netflix[[#This Row],[Mes Último Pago]],"/",BBDD_Usiarios_Netflix[[#This Row],[Año Último Pago]]))</f>
        <v>45475</v>
      </c>
      <c r="M1043" s="4">
        <f>DATEDIF(BBDD_Usiarios_Netflix[[#This Row],[Fecha Suscripción]],BBDD_Usiarios_Netflix[[#This Row],[Fecha Último Pago]],"M")+1</f>
        <v>10</v>
      </c>
      <c r="N1043" s="4">
        <f>BBDD_Usiarios_Netflix[[#This Row],[Ingresos Mensuales]]*BBDD_Usiarios_Netflix[[#This Row],[Meses contratados]]</f>
        <v>100</v>
      </c>
      <c r="O1043" t="s">
        <v>43</v>
      </c>
      <c r="P1043" t="str">
        <f>IF(BBDD_Usiarios_Netflix[[#This Row],[País]]="","Desconocido",BBDD_Usiarios_Netflix[[#This Row],[País]])</f>
        <v>Alemania</v>
      </c>
      <c r="Q1043">
        <v>35</v>
      </c>
      <c r="R1043" t="s">
        <v>30</v>
      </c>
      <c r="S1043" t="s">
        <v>31</v>
      </c>
      <c r="T1043" t="s">
        <v>41</v>
      </c>
      <c r="U1043">
        <f>IF(IFERROR(VLOOKUP(BBDD_Usiarios_Netflix[[#This Row],[Identificador Usuario]],A1044:$A$5870,1,FALSE),0)&lt;&gt;0,1,0)</f>
        <v>0</v>
      </c>
      <c r="V1043" s="6" t="str">
        <f>IF(BBDD_Usiarios_Netflix[[#This Row],[Duración Plan]]="12 Meses",LEFT(BBDD_Usiarios_Netflix[[#This Row],[Duración Plan]],2),LEFT(BBDD_Usiarios_Netflix[[#This Row],[Duración Plan]],1))</f>
        <v>12</v>
      </c>
      <c r="W10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44" spans="1:23" x14ac:dyDescent="0.25">
      <c r="A1044">
        <v>1043</v>
      </c>
      <c r="B1044" t="s">
        <v>32</v>
      </c>
      <c r="C1044">
        <v>12</v>
      </c>
      <c r="D1044" s="3">
        <v>20</v>
      </c>
      <c r="E1044" s="3">
        <v>9</v>
      </c>
      <c r="F1044">
        <v>23</v>
      </c>
      <c r="G1044" s="1">
        <f>DATEVALUE(_xlfn.CONCAT(BBDD_Usiarios_Netflix[[#This Row],[Día Suscripción]],"/",BBDD_Usiarios_Netflix[[#This Row],[Mes Suscripción]],"/",BBDD_Usiarios_Netflix[[#This Row],[Año Suscripción]]))</f>
        <v>45189</v>
      </c>
      <c r="H1044" s="1">
        <v>1</v>
      </c>
      <c r="I1044" s="1">
        <v>7</v>
      </c>
      <c r="J1044" s="1">
        <v>24</v>
      </c>
      <c r="K1044" s="1" t="str">
        <f>TEXT(BBDD_Usiarios_Netflix[[#This Row],[Fecha Suscripción]],"dddd")</f>
        <v>miércoles</v>
      </c>
      <c r="L1044" s="1">
        <f>DATEVALUE(_xlfn.CONCAT(BBDD_Usiarios_Netflix[[#This Row],[Día Último Pago]],"/",BBDD_Usiarios_Netflix[[#This Row],[Mes Último Pago]],"/",BBDD_Usiarios_Netflix[[#This Row],[Año Último Pago]]))</f>
        <v>45474</v>
      </c>
      <c r="M1044" s="4">
        <f>DATEDIF(BBDD_Usiarios_Netflix[[#This Row],[Fecha Suscripción]],BBDD_Usiarios_Netflix[[#This Row],[Fecha Último Pago]],"M")+1</f>
        <v>10</v>
      </c>
      <c r="N1044" s="4">
        <f>BBDD_Usiarios_Netflix[[#This Row],[Ingresos Mensuales]]*BBDD_Usiarios_Netflix[[#This Row],[Meses contratados]]</f>
        <v>120</v>
      </c>
      <c r="O1044" t="s">
        <v>40</v>
      </c>
      <c r="P1044" t="str">
        <f>IF(BBDD_Usiarios_Netflix[[#This Row],[País]]="","Desconocido",BBDD_Usiarios_Netflix[[#This Row],[País]])</f>
        <v>Italia</v>
      </c>
      <c r="Q1044">
        <v>35</v>
      </c>
      <c r="R1044" t="s">
        <v>25</v>
      </c>
      <c r="S1044" t="s">
        <v>31</v>
      </c>
      <c r="T1044" t="s">
        <v>27</v>
      </c>
      <c r="U1044">
        <f>IF(IFERROR(VLOOKUP(BBDD_Usiarios_Netflix[[#This Row],[Identificador Usuario]],A1045:$A$5870,1,FALSE),0)&lt;&gt;0,1,0)</f>
        <v>0</v>
      </c>
      <c r="V1044" s="6" t="str">
        <f>IF(BBDD_Usiarios_Netflix[[#This Row],[Duración Plan]]="12 Meses",LEFT(BBDD_Usiarios_Netflix[[#This Row],[Duración Plan]],2),LEFT(BBDD_Usiarios_Netflix[[#This Row],[Duración Plan]],1))</f>
        <v>1</v>
      </c>
      <c r="W10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45" spans="1:23" x14ac:dyDescent="0.25">
      <c r="A1045">
        <v>1044</v>
      </c>
      <c r="B1045" t="s">
        <v>28</v>
      </c>
      <c r="C1045">
        <v>14</v>
      </c>
      <c r="D1045" s="3">
        <v>26</v>
      </c>
      <c r="E1045" s="3">
        <v>9</v>
      </c>
      <c r="F1045">
        <v>23</v>
      </c>
      <c r="G1045" s="1">
        <f>DATEVALUE(_xlfn.CONCAT(BBDD_Usiarios_Netflix[[#This Row],[Día Suscripción]],"/",BBDD_Usiarios_Netflix[[#This Row],[Mes Suscripción]],"/",BBDD_Usiarios_Netflix[[#This Row],[Año Suscripción]]))</f>
        <v>45195</v>
      </c>
      <c r="H1045" s="1">
        <v>3</v>
      </c>
      <c r="I1045" s="1">
        <v>7</v>
      </c>
      <c r="J1045" s="1">
        <v>24</v>
      </c>
      <c r="K1045" s="1" t="str">
        <f>TEXT(BBDD_Usiarios_Netflix[[#This Row],[Fecha Suscripción]],"dddd")</f>
        <v>martes</v>
      </c>
      <c r="L1045" s="1">
        <f>DATEVALUE(_xlfn.CONCAT(BBDD_Usiarios_Netflix[[#This Row],[Día Último Pago]],"/",BBDD_Usiarios_Netflix[[#This Row],[Mes Último Pago]],"/",BBDD_Usiarios_Netflix[[#This Row],[Año Último Pago]]))</f>
        <v>45476</v>
      </c>
      <c r="M1045" s="4">
        <f>DATEDIF(BBDD_Usiarios_Netflix[[#This Row],[Fecha Suscripción]],BBDD_Usiarios_Netflix[[#This Row],[Fecha Último Pago]],"M")+1</f>
        <v>10</v>
      </c>
      <c r="N1045" s="4">
        <f>BBDD_Usiarios_Netflix[[#This Row],[Ingresos Mensuales]]*BBDD_Usiarios_Netflix[[#This Row],[Meses contratados]]</f>
        <v>140</v>
      </c>
      <c r="O1045" t="s">
        <v>29</v>
      </c>
      <c r="P1045" t="str">
        <f>IF(BBDD_Usiarios_Netflix[[#This Row],[País]]="","Desconocido",BBDD_Usiarios_Netflix[[#This Row],[País]])</f>
        <v>EEUU</v>
      </c>
      <c r="Q1045">
        <v>46</v>
      </c>
      <c r="R1045" t="s">
        <v>25</v>
      </c>
      <c r="S1045" t="s">
        <v>31</v>
      </c>
      <c r="T1045" t="s">
        <v>38</v>
      </c>
      <c r="U1045">
        <f>IF(IFERROR(VLOOKUP(BBDD_Usiarios_Netflix[[#This Row],[Identificador Usuario]],A1046:$A$5870,1,FALSE),0)&lt;&gt;0,1,0)</f>
        <v>0</v>
      </c>
      <c r="V1045" s="6" t="str">
        <f>IF(BBDD_Usiarios_Netflix[[#This Row],[Duración Plan]]="12 Meses",LEFT(BBDD_Usiarios_Netflix[[#This Row],[Duración Plan]],2),LEFT(BBDD_Usiarios_Netflix[[#This Row],[Duración Plan]],1))</f>
        <v>3</v>
      </c>
      <c r="W10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46" spans="1:23" x14ac:dyDescent="0.25">
      <c r="A1046">
        <v>1045</v>
      </c>
      <c r="B1046" t="s">
        <v>23</v>
      </c>
      <c r="C1046">
        <v>10</v>
      </c>
      <c r="D1046" s="3">
        <v>4</v>
      </c>
      <c r="E1046" s="3">
        <v>10</v>
      </c>
      <c r="F1046">
        <v>23</v>
      </c>
      <c r="G1046" s="1">
        <f>DATEVALUE(_xlfn.CONCAT(BBDD_Usiarios_Netflix[[#This Row],[Día Suscripción]],"/",BBDD_Usiarios_Netflix[[#This Row],[Mes Suscripción]],"/",BBDD_Usiarios_Netflix[[#This Row],[Año Suscripción]]))</f>
        <v>45203</v>
      </c>
      <c r="H1046" s="1">
        <v>1</v>
      </c>
      <c r="I1046" s="1">
        <v>7</v>
      </c>
      <c r="J1046" s="1">
        <v>24</v>
      </c>
      <c r="K1046" s="1" t="str">
        <f>TEXT(BBDD_Usiarios_Netflix[[#This Row],[Fecha Suscripción]],"dddd")</f>
        <v>miércoles</v>
      </c>
      <c r="L1046" s="1">
        <f>DATEVALUE(_xlfn.CONCAT(BBDD_Usiarios_Netflix[[#This Row],[Día Último Pago]],"/",BBDD_Usiarios_Netflix[[#This Row],[Mes Último Pago]],"/",BBDD_Usiarios_Netflix[[#This Row],[Año Último Pago]]))</f>
        <v>45474</v>
      </c>
      <c r="M1046" s="4">
        <f>DATEDIF(BBDD_Usiarios_Netflix[[#This Row],[Fecha Suscripción]],BBDD_Usiarios_Netflix[[#This Row],[Fecha Último Pago]],"M")+1</f>
        <v>9</v>
      </c>
      <c r="N1046" s="4">
        <f>BBDD_Usiarios_Netflix[[#This Row],[Ingresos Mensuales]]*BBDD_Usiarios_Netflix[[#This Row],[Meses contratados]]</f>
        <v>90</v>
      </c>
      <c r="O1046" t="s">
        <v>44</v>
      </c>
      <c r="P1046" t="str">
        <f>IF(BBDD_Usiarios_Netflix[[#This Row],[País]]="","Desconocido",BBDD_Usiarios_Netflix[[#This Row],[País]])</f>
        <v>Desconocido</v>
      </c>
      <c r="Q1046">
        <v>27</v>
      </c>
      <c r="R1046" t="s">
        <v>25</v>
      </c>
      <c r="S1046" t="s">
        <v>31</v>
      </c>
      <c r="T1046" t="s">
        <v>27</v>
      </c>
      <c r="U1046">
        <f>IF(IFERROR(VLOOKUP(BBDD_Usiarios_Netflix[[#This Row],[Identificador Usuario]],A1047:$A$5870,1,FALSE),0)&lt;&gt;0,1,0)</f>
        <v>0</v>
      </c>
      <c r="V1046" s="6" t="str">
        <f>IF(BBDD_Usiarios_Netflix[[#This Row],[Duración Plan]]="12 Meses",LEFT(BBDD_Usiarios_Netflix[[#This Row],[Duración Plan]],2),LEFT(BBDD_Usiarios_Netflix[[#This Row],[Duración Plan]],1))</f>
        <v>1</v>
      </c>
      <c r="W10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47" spans="1:23" x14ac:dyDescent="0.25">
      <c r="A1047">
        <v>1046</v>
      </c>
      <c r="B1047" t="s">
        <v>23</v>
      </c>
      <c r="C1047">
        <v>10</v>
      </c>
      <c r="D1047" s="3">
        <v>6</v>
      </c>
      <c r="E1047" s="3">
        <v>10</v>
      </c>
      <c r="F1047">
        <v>23</v>
      </c>
      <c r="G1047" s="1">
        <f>DATEVALUE(_xlfn.CONCAT(BBDD_Usiarios_Netflix[[#This Row],[Día Suscripción]],"/",BBDD_Usiarios_Netflix[[#This Row],[Mes Suscripción]],"/",BBDD_Usiarios_Netflix[[#This Row],[Año Suscripción]]))</f>
        <v>45205</v>
      </c>
      <c r="H1047" s="1">
        <v>3</v>
      </c>
      <c r="I1047" s="1">
        <v>7</v>
      </c>
      <c r="J1047" s="1">
        <v>24</v>
      </c>
      <c r="K1047" s="1" t="str">
        <f>TEXT(BBDD_Usiarios_Netflix[[#This Row],[Fecha Suscripción]],"dddd")</f>
        <v>viernes</v>
      </c>
      <c r="L1047" s="1">
        <f>DATEVALUE(_xlfn.CONCAT(BBDD_Usiarios_Netflix[[#This Row],[Día Último Pago]],"/",BBDD_Usiarios_Netflix[[#This Row],[Mes Último Pago]],"/",BBDD_Usiarios_Netflix[[#This Row],[Año Último Pago]]))</f>
        <v>45476</v>
      </c>
      <c r="M1047" s="4">
        <f>DATEDIF(BBDD_Usiarios_Netflix[[#This Row],[Fecha Suscripción]],BBDD_Usiarios_Netflix[[#This Row],[Fecha Último Pago]],"M")+1</f>
        <v>9</v>
      </c>
      <c r="N1047" s="4">
        <f>BBDD_Usiarios_Netflix[[#This Row],[Ingresos Mensuales]]*BBDD_Usiarios_Netflix[[#This Row],[Meses contratados]]</f>
        <v>90</v>
      </c>
      <c r="O1047" t="s">
        <v>42</v>
      </c>
      <c r="P1047" t="str">
        <f>IF(BBDD_Usiarios_Netflix[[#This Row],[País]]="","Desconocido",BBDD_Usiarios_Netflix[[#This Row],[País]])</f>
        <v>Reino Unido</v>
      </c>
      <c r="Q1047">
        <v>27</v>
      </c>
      <c r="R1047" t="s">
        <v>25</v>
      </c>
      <c r="S1047" t="s">
        <v>36</v>
      </c>
      <c r="T1047" t="s">
        <v>27</v>
      </c>
      <c r="U1047">
        <f>IF(IFERROR(VLOOKUP(BBDD_Usiarios_Netflix[[#This Row],[Identificador Usuario]],A1048:$A$5870,1,FALSE),0)&lt;&gt;0,1,0)</f>
        <v>0</v>
      </c>
      <c r="V1047" s="6" t="str">
        <f>IF(BBDD_Usiarios_Netflix[[#This Row],[Duración Plan]]="12 Meses",LEFT(BBDD_Usiarios_Netflix[[#This Row],[Duración Plan]],2),LEFT(BBDD_Usiarios_Netflix[[#This Row],[Duración Plan]],1))</f>
        <v>1</v>
      </c>
      <c r="W10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48" spans="1:23" x14ac:dyDescent="0.25">
      <c r="A1048">
        <v>1047</v>
      </c>
      <c r="B1048" t="s">
        <v>23</v>
      </c>
      <c r="C1048">
        <v>10</v>
      </c>
      <c r="D1048" s="3">
        <v>7</v>
      </c>
      <c r="E1048" s="3">
        <v>10</v>
      </c>
      <c r="F1048">
        <v>23</v>
      </c>
      <c r="G1048" s="1">
        <f>DATEVALUE(_xlfn.CONCAT(BBDD_Usiarios_Netflix[[#This Row],[Día Suscripción]],"/",BBDD_Usiarios_Netflix[[#This Row],[Mes Suscripción]],"/",BBDD_Usiarios_Netflix[[#This Row],[Año Suscripción]]))</f>
        <v>45206</v>
      </c>
      <c r="H1048" s="1">
        <v>1</v>
      </c>
      <c r="I1048" s="1">
        <v>7</v>
      </c>
      <c r="J1048" s="1">
        <v>24</v>
      </c>
      <c r="K1048" s="1" t="str">
        <f>TEXT(BBDD_Usiarios_Netflix[[#This Row],[Fecha Suscripción]],"dddd")</f>
        <v>sábado</v>
      </c>
      <c r="L1048" s="1">
        <f>DATEVALUE(_xlfn.CONCAT(BBDD_Usiarios_Netflix[[#This Row],[Día Último Pago]],"/",BBDD_Usiarios_Netflix[[#This Row],[Mes Último Pago]],"/",BBDD_Usiarios_Netflix[[#This Row],[Año Último Pago]]))</f>
        <v>45474</v>
      </c>
      <c r="M1048" s="4">
        <f>DATEDIF(BBDD_Usiarios_Netflix[[#This Row],[Fecha Suscripción]],BBDD_Usiarios_Netflix[[#This Row],[Fecha Último Pago]],"M")+1</f>
        <v>9</v>
      </c>
      <c r="N1048" s="4">
        <f>BBDD_Usiarios_Netflix[[#This Row],[Ingresos Mensuales]]*BBDD_Usiarios_Netflix[[#This Row],[Meses contratados]]</f>
        <v>90</v>
      </c>
      <c r="O1048" t="s">
        <v>33</v>
      </c>
      <c r="P1048" t="str">
        <f>IF(BBDD_Usiarios_Netflix[[#This Row],[País]]="","Desconocido",BBDD_Usiarios_Netflix[[#This Row],[País]])</f>
        <v>Francia</v>
      </c>
      <c r="Q1048">
        <v>39</v>
      </c>
      <c r="R1048" t="s">
        <v>30</v>
      </c>
      <c r="S1048" t="s">
        <v>36</v>
      </c>
      <c r="T1048" t="s">
        <v>35</v>
      </c>
      <c r="U1048">
        <f>IF(IFERROR(VLOOKUP(BBDD_Usiarios_Netflix[[#This Row],[Identificador Usuario]],A1049:$A$5870,1,FALSE),0)&lt;&gt;0,1,0)</f>
        <v>0</v>
      </c>
      <c r="V1048" s="6" t="str">
        <f>IF(BBDD_Usiarios_Netflix[[#This Row],[Duración Plan]]="12 Meses",LEFT(BBDD_Usiarios_Netflix[[#This Row],[Duración Plan]],2),LEFT(BBDD_Usiarios_Netflix[[#This Row],[Duración Plan]],1))</f>
        <v>6</v>
      </c>
      <c r="W10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49" spans="1:23" x14ac:dyDescent="0.25">
      <c r="A1049">
        <v>1048</v>
      </c>
      <c r="B1049" t="s">
        <v>32</v>
      </c>
      <c r="C1049">
        <v>12</v>
      </c>
      <c r="D1049" s="3">
        <v>8</v>
      </c>
      <c r="E1049" s="3">
        <v>10</v>
      </c>
      <c r="F1049">
        <v>23</v>
      </c>
      <c r="G1049" s="1">
        <f>DATEVALUE(_xlfn.CONCAT(BBDD_Usiarios_Netflix[[#This Row],[Día Suscripción]],"/",BBDD_Usiarios_Netflix[[#This Row],[Mes Suscripción]],"/",BBDD_Usiarios_Netflix[[#This Row],[Año Suscripción]]))</f>
        <v>45207</v>
      </c>
      <c r="H1049" s="1">
        <v>3</v>
      </c>
      <c r="I1049" s="1">
        <v>7</v>
      </c>
      <c r="J1049" s="1">
        <v>24</v>
      </c>
      <c r="K1049" s="1" t="str">
        <f>TEXT(BBDD_Usiarios_Netflix[[#This Row],[Fecha Suscripción]],"dddd")</f>
        <v>domingo</v>
      </c>
      <c r="L1049" s="1">
        <f>DATEVALUE(_xlfn.CONCAT(BBDD_Usiarios_Netflix[[#This Row],[Día Último Pago]],"/",BBDD_Usiarios_Netflix[[#This Row],[Mes Último Pago]],"/",BBDD_Usiarios_Netflix[[#This Row],[Año Último Pago]]))</f>
        <v>45476</v>
      </c>
      <c r="M1049" s="4">
        <f>DATEDIF(BBDD_Usiarios_Netflix[[#This Row],[Fecha Suscripción]],BBDD_Usiarios_Netflix[[#This Row],[Fecha Último Pago]],"M")+1</f>
        <v>9</v>
      </c>
      <c r="N1049" s="4">
        <f>BBDD_Usiarios_Netflix[[#This Row],[Ingresos Mensuales]]*BBDD_Usiarios_Netflix[[#This Row],[Meses contratados]]</f>
        <v>108</v>
      </c>
      <c r="O1049" t="s">
        <v>37</v>
      </c>
      <c r="P1049" t="str">
        <f>IF(BBDD_Usiarios_Netflix[[#This Row],[País]]="","Desconocido",BBDD_Usiarios_Netflix[[#This Row],[País]])</f>
        <v>Brasil</v>
      </c>
      <c r="Q1049">
        <v>51</v>
      </c>
      <c r="R1049" t="s">
        <v>25</v>
      </c>
      <c r="S1049" t="s">
        <v>31</v>
      </c>
      <c r="T1049" t="s">
        <v>35</v>
      </c>
      <c r="U1049">
        <f>IF(IFERROR(VLOOKUP(BBDD_Usiarios_Netflix[[#This Row],[Identificador Usuario]],A1050:$A$5870,1,FALSE),0)&lt;&gt;0,1,0)</f>
        <v>0</v>
      </c>
      <c r="V1049" s="6" t="str">
        <f>IF(BBDD_Usiarios_Netflix[[#This Row],[Duración Plan]]="12 Meses",LEFT(BBDD_Usiarios_Netflix[[#This Row],[Duración Plan]],2),LEFT(BBDD_Usiarios_Netflix[[#This Row],[Duración Plan]],1))</f>
        <v>6</v>
      </c>
      <c r="W10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50" spans="1:23" x14ac:dyDescent="0.25">
      <c r="A1050">
        <v>1049</v>
      </c>
      <c r="B1050" t="s">
        <v>28</v>
      </c>
      <c r="C1050">
        <v>14</v>
      </c>
      <c r="D1050" s="3">
        <v>9</v>
      </c>
      <c r="E1050" s="3">
        <v>10</v>
      </c>
      <c r="F1050">
        <v>23</v>
      </c>
      <c r="G1050" s="1">
        <f>DATEVALUE(_xlfn.CONCAT(BBDD_Usiarios_Netflix[[#This Row],[Día Suscripción]],"/",BBDD_Usiarios_Netflix[[#This Row],[Mes Suscripción]],"/",BBDD_Usiarios_Netflix[[#This Row],[Año Suscripción]]))</f>
        <v>45208</v>
      </c>
      <c r="H1050" s="1">
        <v>1</v>
      </c>
      <c r="I1050" s="1">
        <v>7</v>
      </c>
      <c r="J1050" s="1">
        <v>24</v>
      </c>
      <c r="K1050" s="1" t="str">
        <f>TEXT(BBDD_Usiarios_Netflix[[#This Row],[Fecha Suscripción]],"dddd")</f>
        <v>lunes</v>
      </c>
      <c r="L1050" s="1">
        <f>DATEVALUE(_xlfn.CONCAT(BBDD_Usiarios_Netflix[[#This Row],[Día Último Pago]],"/",BBDD_Usiarios_Netflix[[#This Row],[Mes Último Pago]],"/",BBDD_Usiarios_Netflix[[#This Row],[Año Último Pago]]))</f>
        <v>45474</v>
      </c>
      <c r="M1050" s="4">
        <f>DATEDIF(BBDD_Usiarios_Netflix[[#This Row],[Fecha Suscripción]],BBDD_Usiarios_Netflix[[#This Row],[Fecha Último Pago]],"M")+1</f>
        <v>9</v>
      </c>
      <c r="N1050" s="4">
        <f>BBDD_Usiarios_Netflix[[#This Row],[Ingresos Mensuales]]*BBDD_Usiarios_Netflix[[#This Row],[Meses contratados]]</f>
        <v>126</v>
      </c>
      <c r="O1050" t="s">
        <v>46</v>
      </c>
      <c r="P1050" t="str">
        <f>IF(BBDD_Usiarios_Netflix[[#This Row],[País]]="","Desconocido",BBDD_Usiarios_Netflix[[#This Row],[País]])</f>
        <v>Méjico</v>
      </c>
      <c r="Q1050">
        <v>41</v>
      </c>
      <c r="R1050" t="s">
        <v>25</v>
      </c>
      <c r="S1050" t="s">
        <v>26</v>
      </c>
      <c r="T1050" t="s">
        <v>35</v>
      </c>
      <c r="U1050">
        <f>IF(IFERROR(VLOOKUP(BBDD_Usiarios_Netflix[[#This Row],[Identificador Usuario]],A1051:$A$5870,1,FALSE),0)&lt;&gt;0,1,0)</f>
        <v>0</v>
      </c>
      <c r="V1050" s="6" t="str">
        <f>IF(BBDD_Usiarios_Netflix[[#This Row],[Duración Plan]]="12 Meses",LEFT(BBDD_Usiarios_Netflix[[#This Row],[Duración Plan]],2),LEFT(BBDD_Usiarios_Netflix[[#This Row],[Duración Plan]],1))</f>
        <v>6</v>
      </c>
      <c r="W10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51" spans="1:23" x14ac:dyDescent="0.25">
      <c r="A1051">
        <v>1050</v>
      </c>
      <c r="B1051" t="s">
        <v>23</v>
      </c>
      <c r="C1051">
        <v>10</v>
      </c>
      <c r="D1051" s="3">
        <v>10</v>
      </c>
      <c r="E1051" s="3">
        <v>10</v>
      </c>
      <c r="F1051">
        <v>23</v>
      </c>
      <c r="G1051" s="1">
        <f>DATEVALUE(_xlfn.CONCAT(BBDD_Usiarios_Netflix[[#This Row],[Día Suscripción]],"/",BBDD_Usiarios_Netflix[[#This Row],[Mes Suscripción]],"/",BBDD_Usiarios_Netflix[[#This Row],[Año Suscripción]]))</f>
        <v>45209</v>
      </c>
      <c r="H1051" s="1">
        <v>3</v>
      </c>
      <c r="I1051" s="1">
        <v>7</v>
      </c>
      <c r="J1051" s="1">
        <v>24</v>
      </c>
      <c r="K1051" s="1" t="str">
        <f>TEXT(BBDD_Usiarios_Netflix[[#This Row],[Fecha Suscripción]],"dddd")</f>
        <v>martes</v>
      </c>
      <c r="L1051" s="1">
        <f>DATEVALUE(_xlfn.CONCAT(BBDD_Usiarios_Netflix[[#This Row],[Día Último Pago]],"/",BBDD_Usiarios_Netflix[[#This Row],[Mes Último Pago]],"/",BBDD_Usiarios_Netflix[[#This Row],[Año Último Pago]]))</f>
        <v>45476</v>
      </c>
      <c r="M1051" s="4">
        <f>DATEDIF(BBDD_Usiarios_Netflix[[#This Row],[Fecha Suscripción]],BBDD_Usiarios_Netflix[[#This Row],[Fecha Último Pago]],"M")+1</f>
        <v>9</v>
      </c>
      <c r="N1051" s="4">
        <f>BBDD_Usiarios_Netflix[[#This Row],[Ingresos Mensuales]]*BBDD_Usiarios_Netflix[[#This Row],[Meses contratados]]</f>
        <v>90</v>
      </c>
      <c r="O1051" t="s">
        <v>29</v>
      </c>
      <c r="P1051" t="str">
        <f>IF(BBDD_Usiarios_Netflix[[#This Row],[País]]="","Desconocido",BBDD_Usiarios_Netflix[[#This Row],[País]])</f>
        <v>EEUU</v>
      </c>
      <c r="Q1051">
        <v>30</v>
      </c>
      <c r="R1051" t="s">
        <v>30</v>
      </c>
      <c r="S1051" t="s">
        <v>34</v>
      </c>
      <c r="T1051" t="s">
        <v>27</v>
      </c>
      <c r="U1051">
        <f>IF(IFERROR(VLOOKUP(BBDD_Usiarios_Netflix[[#This Row],[Identificador Usuario]],A1052:$A$5870,1,FALSE),0)&lt;&gt;0,1,0)</f>
        <v>0</v>
      </c>
      <c r="V1051" s="6" t="str">
        <f>IF(BBDD_Usiarios_Netflix[[#This Row],[Duración Plan]]="12 Meses",LEFT(BBDD_Usiarios_Netflix[[#This Row],[Duración Plan]],2),LEFT(BBDD_Usiarios_Netflix[[#This Row],[Duración Plan]],1))</f>
        <v>1</v>
      </c>
      <c r="W10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52" spans="1:23" x14ac:dyDescent="0.25">
      <c r="A1052">
        <v>1051</v>
      </c>
      <c r="B1052" t="s">
        <v>23</v>
      </c>
      <c r="C1052">
        <v>10</v>
      </c>
      <c r="D1052" s="3">
        <v>10</v>
      </c>
      <c r="E1052" s="3">
        <v>10</v>
      </c>
      <c r="F1052">
        <v>23</v>
      </c>
      <c r="G1052" s="1">
        <f>DATEVALUE(_xlfn.CONCAT(BBDD_Usiarios_Netflix[[#This Row],[Día Suscripción]],"/",BBDD_Usiarios_Netflix[[#This Row],[Mes Suscripción]],"/",BBDD_Usiarios_Netflix[[#This Row],[Año Suscripción]]))</f>
        <v>45209</v>
      </c>
      <c r="H1052" s="1">
        <v>30</v>
      </c>
      <c r="I1052" s="1">
        <v>6</v>
      </c>
      <c r="J1052" s="1">
        <v>24</v>
      </c>
      <c r="K1052" s="1" t="str">
        <f>TEXT(BBDD_Usiarios_Netflix[[#This Row],[Fecha Suscripción]],"dddd")</f>
        <v>martes</v>
      </c>
      <c r="L1052" s="1">
        <f>DATEVALUE(_xlfn.CONCAT(BBDD_Usiarios_Netflix[[#This Row],[Día Último Pago]],"/",BBDD_Usiarios_Netflix[[#This Row],[Mes Último Pago]],"/",BBDD_Usiarios_Netflix[[#This Row],[Año Último Pago]]))</f>
        <v>45473</v>
      </c>
      <c r="M1052" s="4">
        <f>DATEDIF(BBDD_Usiarios_Netflix[[#This Row],[Fecha Suscripción]],BBDD_Usiarios_Netflix[[#This Row],[Fecha Último Pago]],"M")+1</f>
        <v>9</v>
      </c>
      <c r="N1052" s="4">
        <f>BBDD_Usiarios_Netflix[[#This Row],[Ingresos Mensuales]]*BBDD_Usiarios_Netflix[[#This Row],[Meses contratados]]</f>
        <v>90</v>
      </c>
      <c r="O1052" t="s">
        <v>33</v>
      </c>
      <c r="P1052" t="str">
        <f>IF(BBDD_Usiarios_Netflix[[#This Row],[País]]="","Desconocido",BBDD_Usiarios_Netflix[[#This Row],[País]])</f>
        <v>Francia</v>
      </c>
      <c r="Q1052">
        <v>46</v>
      </c>
      <c r="R1052" t="s">
        <v>25</v>
      </c>
      <c r="S1052" t="s">
        <v>36</v>
      </c>
      <c r="T1052" t="s">
        <v>27</v>
      </c>
      <c r="U1052">
        <f>IF(IFERROR(VLOOKUP(BBDD_Usiarios_Netflix[[#This Row],[Identificador Usuario]],A1053:$A$5870,1,FALSE),0)&lt;&gt;0,1,0)</f>
        <v>0</v>
      </c>
      <c r="V1052" s="6" t="str">
        <f>IF(BBDD_Usiarios_Netflix[[#This Row],[Duración Plan]]="12 Meses",LEFT(BBDD_Usiarios_Netflix[[#This Row],[Duración Plan]],2),LEFT(BBDD_Usiarios_Netflix[[#This Row],[Duración Plan]],1))</f>
        <v>1</v>
      </c>
      <c r="W10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53" spans="1:23" x14ac:dyDescent="0.25">
      <c r="A1053">
        <v>1052</v>
      </c>
      <c r="B1053" t="s">
        <v>28</v>
      </c>
      <c r="C1053">
        <v>14</v>
      </c>
      <c r="D1053" s="3">
        <v>14</v>
      </c>
      <c r="E1053" s="3">
        <v>10</v>
      </c>
      <c r="F1053">
        <v>23</v>
      </c>
      <c r="G1053" s="1">
        <f>DATEVALUE(_xlfn.CONCAT(BBDD_Usiarios_Netflix[[#This Row],[Día Suscripción]],"/",BBDD_Usiarios_Netflix[[#This Row],[Mes Suscripción]],"/",BBDD_Usiarios_Netflix[[#This Row],[Año Suscripción]]))</f>
        <v>45213</v>
      </c>
      <c r="H1053" s="1">
        <v>2</v>
      </c>
      <c r="I1053" s="1">
        <v>7</v>
      </c>
      <c r="J1053" s="1">
        <v>24</v>
      </c>
      <c r="K1053" s="1" t="str">
        <f>TEXT(BBDD_Usiarios_Netflix[[#This Row],[Fecha Suscripción]],"dddd")</f>
        <v>sábado</v>
      </c>
      <c r="L1053" s="1">
        <f>DATEVALUE(_xlfn.CONCAT(BBDD_Usiarios_Netflix[[#This Row],[Día Último Pago]],"/",BBDD_Usiarios_Netflix[[#This Row],[Mes Último Pago]],"/",BBDD_Usiarios_Netflix[[#This Row],[Año Último Pago]]))</f>
        <v>45475</v>
      </c>
      <c r="M1053" s="4">
        <f>DATEDIF(BBDD_Usiarios_Netflix[[#This Row],[Fecha Suscripción]],BBDD_Usiarios_Netflix[[#This Row],[Fecha Último Pago]],"M")+1</f>
        <v>9</v>
      </c>
      <c r="N1053" s="4">
        <f>BBDD_Usiarios_Netflix[[#This Row],[Ingresos Mensuales]]*BBDD_Usiarios_Netflix[[#This Row],[Meses contratados]]</f>
        <v>126</v>
      </c>
      <c r="O1053" t="s">
        <v>33</v>
      </c>
      <c r="P1053" t="str">
        <f>IF(BBDD_Usiarios_Netflix[[#This Row],[País]]="","Desconocido",BBDD_Usiarios_Netflix[[#This Row],[País]])</f>
        <v>Francia</v>
      </c>
      <c r="Q1053">
        <v>31</v>
      </c>
      <c r="R1053" t="s">
        <v>25</v>
      </c>
      <c r="S1053" t="s">
        <v>31</v>
      </c>
      <c r="T1053" t="s">
        <v>38</v>
      </c>
      <c r="U1053">
        <f>IF(IFERROR(VLOOKUP(BBDD_Usiarios_Netflix[[#This Row],[Identificador Usuario]],A1054:$A$5870,1,FALSE),0)&lt;&gt;0,1,0)</f>
        <v>0</v>
      </c>
      <c r="V1053" s="6" t="str">
        <f>IF(BBDD_Usiarios_Netflix[[#This Row],[Duración Plan]]="12 Meses",LEFT(BBDD_Usiarios_Netflix[[#This Row],[Duración Plan]],2),LEFT(BBDD_Usiarios_Netflix[[#This Row],[Duración Plan]],1))</f>
        <v>3</v>
      </c>
      <c r="W10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54" spans="1:23" x14ac:dyDescent="0.25">
      <c r="A1054">
        <v>1053</v>
      </c>
      <c r="B1054" t="s">
        <v>32</v>
      </c>
      <c r="C1054">
        <v>12</v>
      </c>
      <c r="D1054" s="3">
        <v>15</v>
      </c>
      <c r="E1054" s="3">
        <v>10</v>
      </c>
      <c r="F1054">
        <v>23</v>
      </c>
      <c r="G1054" s="1">
        <f>DATEVALUE(_xlfn.CONCAT(BBDD_Usiarios_Netflix[[#This Row],[Día Suscripción]],"/",BBDD_Usiarios_Netflix[[#This Row],[Mes Suscripción]],"/",BBDD_Usiarios_Netflix[[#This Row],[Año Suscripción]]))</f>
        <v>45214</v>
      </c>
      <c r="H1054" s="1">
        <v>1</v>
      </c>
      <c r="I1054" s="1">
        <v>7</v>
      </c>
      <c r="J1054" s="1">
        <v>24</v>
      </c>
      <c r="K1054" s="1" t="str">
        <f>TEXT(BBDD_Usiarios_Netflix[[#This Row],[Fecha Suscripción]],"dddd")</f>
        <v>domingo</v>
      </c>
      <c r="L1054" s="1">
        <f>DATEVALUE(_xlfn.CONCAT(BBDD_Usiarios_Netflix[[#This Row],[Día Último Pago]],"/",BBDD_Usiarios_Netflix[[#This Row],[Mes Último Pago]],"/",BBDD_Usiarios_Netflix[[#This Row],[Año Último Pago]]))</f>
        <v>45474</v>
      </c>
      <c r="M1054" s="4">
        <f>DATEDIF(BBDD_Usiarios_Netflix[[#This Row],[Fecha Suscripción]],BBDD_Usiarios_Netflix[[#This Row],[Fecha Último Pago]],"M")+1</f>
        <v>9</v>
      </c>
      <c r="N1054" s="4">
        <f>BBDD_Usiarios_Netflix[[#This Row],[Ingresos Mensuales]]*BBDD_Usiarios_Netflix[[#This Row],[Meses contratados]]</f>
        <v>108</v>
      </c>
      <c r="O1054" t="s">
        <v>42</v>
      </c>
      <c r="P1054" t="str">
        <f>IF(BBDD_Usiarios_Netflix[[#This Row],[País]]="","Desconocido",BBDD_Usiarios_Netflix[[#This Row],[País]])</f>
        <v>Reino Unido</v>
      </c>
      <c r="Q1054">
        <v>49</v>
      </c>
      <c r="R1054" t="s">
        <v>25</v>
      </c>
      <c r="S1054" t="s">
        <v>26</v>
      </c>
      <c r="T1054" t="s">
        <v>27</v>
      </c>
      <c r="U1054">
        <f>IF(IFERROR(VLOOKUP(BBDD_Usiarios_Netflix[[#This Row],[Identificador Usuario]],A1055:$A$5870,1,FALSE),0)&lt;&gt;0,1,0)</f>
        <v>0</v>
      </c>
      <c r="V1054" s="6" t="str">
        <f>IF(BBDD_Usiarios_Netflix[[#This Row],[Duración Plan]]="12 Meses",LEFT(BBDD_Usiarios_Netflix[[#This Row],[Duración Plan]],2),LEFT(BBDD_Usiarios_Netflix[[#This Row],[Duración Plan]],1))</f>
        <v>1</v>
      </c>
      <c r="W10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55" spans="1:23" x14ac:dyDescent="0.25">
      <c r="A1055">
        <v>1054</v>
      </c>
      <c r="B1055" t="s">
        <v>32</v>
      </c>
      <c r="C1055">
        <v>12</v>
      </c>
      <c r="D1055" s="3">
        <v>17</v>
      </c>
      <c r="E1055" s="3">
        <v>10</v>
      </c>
      <c r="F1055">
        <v>23</v>
      </c>
      <c r="G1055" s="1">
        <f>DATEVALUE(_xlfn.CONCAT(BBDD_Usiarios_Netflix[[#This Row],[Día Suscripción]],"/",BBDD_Usiarios_Netflix[[#This Row],[Mes Suscripción]],"/",BBDD_Usiarios_Netflix[[#This Row],[Año Suscripción]]))</f>
        <v>45216</v>
      </c>
      <c r="H1055" s="1">
        <v>3</v>
      </c>
      <c r="I1055" s="1">
        <v>7</v>
      </c>
      <c r="J1055" s="1">
        <v>24</v>
      </c>
      <c r="K1055" s="1" t="str">
        <f>TEXT(BBDD_Usiarios_Netflix[[#This Row],[Fecha Suscripción]],"dddd")</f>
        <v>martes</v>
      </c>
      <c r="L1055" s="1">
        <f>DATEVALUE(_xlfn.CONCAT(BBDD_Usiarios_Netflix[[#This Row],[Día Último Pago]],"/",BBDD_Usiarios_Netflix[[#This Row],[Mes Último Pago]],"/",BBDD_Usiarios_Netflix[[#This Row],[Año Último Pago]]))</f>
        <v>45476</v>
      </c>
      <c r="M1055" s="4">
        <f>DATEDIF(BBDD_Usiarios_Netflix[[#This Row],[Fecha Suscripción]],BBDD_Usiarios_Netflix[[#This Row],[Fecha Último Pago]],"M")+1</f>
        <v>9</v>
      </c>
      <c r="N1055" s="4">
        <f>BBDD_Usiarios_Netflix[[#This Row],[Ingresos Mensuales]]*BBDD_Usiarios_Netflix[[#This Row],[Meses contratados]]</f>
        <v>108</v>
      </c>
      <c r="O1055" t="s">
        <v>29</v>
      </c>
      <c r="P1055" t="str">
        <f>IF(BBDD_Usiarios_Netflix[[#This Row],[País]]="","Desconocido",BBDD_Usiarios_Netflix[[#This Row],[País]])</f>
        <v>EEUU</v>
      </c>
      <c r="Q1055">
        <v>39</v>
      </c>
      <c r="R1055" t="s">
        <v>30</v>
      </c>
      <c r="S1055" t="s">
        <v>31</v>
      </c>
      <c r="T1055" t="s">
        <v>27</v>
      </c>
      <c r="U1055">
        <f>IF(IFERROR(VLOOKUP(BBDD_Usiarios_Netflix[[#This Row],[Identificador Usuario]],A1056:$A$5870,1,FALSE),0)&lt;&gt;0,1,0)</f>
        <v>0</v>
      </c>
      <c r="V1055" s="6" t="str">
        <f>IF(BBDD_Usiarios_Netflix[[#This Row],[Duración Plan]]="12 Meses",LEFT(BBDD_Usiarios_Netflix[[#This Row],[Duración Plan]],2),LEFT(BBDD_Usiarios_Netflix[[#This Row],[Duración Plan]],1))</f>
        <v>1</v>
      </c>
      <c r="W10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56" spans="1:23" x14ac:dyDescent="0.25">
      <c r="A1056">
        <v>1055</v>
      </c>
      <c r="B1056" t="s">
        <v>23</v>
      </c>
      <c r="C1056">
        <v>10</v>
      </c>
      <c r="D1056" s="3">
        <v>23</v>
      </c>
      <c r="E1056" s="3">
        <v>10</v>
      </c>
      <c r="F1056">
        <v>23</v>
      </c>
      <c r="G1056" s="1">
        <f>DATEVALUE(_xlfn.CONCAT(BBDD_Usiarios_Netflix[[#This Row],[Día Suscripción]],"/",BBDD_Usiarios_Netflix[[#This Row],[Mes Suscripción]],"/",BBDD_Usiarios_Netflix[[#This Row],[Año Suscripción]]))</f>
        <v>45222</v>
      </c>
      <c r="H1056" s="1">
        <v>1</v>
      </c>
      <c r="I1056" s="1">
        <v>7</v>
      </c>
      <c r="J1056" s="1">
        <v>24</v>
      </c>
      <c r="K1056" s="1" t="str">
        <f>TEXT(BBDD_Usiarios_Netflix[[#This Row],[Fecha Suscripción]],"dddd")</f>
        <v>lunes</v>
      </c>
      <c r="L1056" s="1">
        <f>DATEVALUE(_xlfn.CONCAT(BBDD_Usiarios_Netflix[[#This Row],[Día Último Pago]],"/",BBDD_Usiarios_Netflix[[#This Row],[Mes Último Pago]],"/",BBDD_Usiarios_Netflix[[#This Row],[Año Último Pago]]))</f>
        <v>45474</v>
      </c>
      <c r="M1056" s="4">
        <f>DATEDIF(BBDD_Usiarios_Netflix[[#This Row],[Fecha Suscripción]],BBDD_Usiarios_Netflix[[#This Row],[Fecha Último Pago]],"M")+1</f>
        <v>9</v>
      </c>
      <c r="N1056" s="4">
        <f>BBDD_Usiarios_Netflix[[#This Row],[Ingresos Mensuales]]*BBDD_Usiarios_Netflix[[#This Row],[Meses contratados]]</f>
        <v>90</v>
      </c>
      <c r="O1056" t="s">
        <v>43</v>
      </c>
      <c r="P1056" t="str">
        <f>IF(BBDD_Usiarios_Netflix[[#This Row],[País]]="","Desconocido",BBDD_Usiarios_Netflix[[#This Row],[País]])</f>
        <v>Alemania</v>
      </c>
      <c r="Q1056">
        <v>47</v>
      </c>
      <c r="R1056" t="s">
        <v>25</v>
      </c>
      <c r="S1056" t="s">
        <v>26</v>
      </c>
      <c r="T1056" t="s">
        <v>38</v>
      </c>
      <c r="U1056">
        <f>IF(IFERROR(VLOOKUP(BBDD_Usiarios_Netflix[[#This Row],[Identificador Usuario]],A1057:$A$5870,1,FALSE),0)&lt;&gt;0,1,0)</f>
        <v>0</v>
      </c>
      <c r="V1056" s="6" t="str">
        <f>IF(BBDD_Usiarios_Netflix[[#This Row],[Duración Plan]]="12 Meses",LEFT(BBDD_Usiarios_Netflix[[#This Row],[Duración Plan]],2),LEFT(BBDD_Usiarios_Netflix[[#This Row],[Duración Plan]],1))</f>
        <v>3</v>
      </c>
      <c r="W10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57" spans="1:23" x14ac:dyDescent="0.25">
      <c r="A1057">
        <v>1056</v>
      </c>
      <c r="B1057" t="s">
        <v>28</v>
      </c>
      <c r="C1057">
        <v>14</v>
      </c>
      <c r="D1057" s="3">
        <v>27</v>
      </c>
      <c r="E1057" s="3">
        <v>10</v>
      </c>
      <c r="F1057">
        <v>23</v>
      </c>
      <c r="G1057" s="1">
        <f>DATEVALUE(_xlfn.CONCAT(BBDD_Usiarios_Netflix[[#This Row],[Día Suscripción]],"/",BBDD_Usiarios_Netflix[[#This Row],[Mes Suscripción]],"/",BBDD_Usiarios_Netflix[[#This Row],[Año Suscripción]]))</f>
        <v>45226</v>
      </c>
      <c r="H1057" s="1">
        <v>2</v>
      </c>
      <c r="I1057" s="1">
        <v>7</v>
      </c>
      <c r="J1057" s="1">
        <v>24</v>
      </c>
      <c r="K1057" s="1" t="str">
        <f>TEXT(BBDD_Usiarios_Netflix[[#This Row],[Fecha Suscripción]],"dddd")</f>
        <v>viernes</v>
      </c>
      <c r="L1057" s="1">
        <f>DATEVALUE(_xlfn.CONCAT(BBDD_Usiarios_Netflix[[#This Row],[Día Último Pago]],"/",BBDD_Usiarios_Netflix[[#This Row],[Mes Último Pago]],"/",BBDD_Usiarios_Netflix[[#This Row],[Año Último Pago]]))</f>
        <v>45475</v>
      </c>
      <c r="M1057" s="4">
        <f>DATEDIF(BBDD_Usiarios_Netflix[[#This Row],[Fecha Suscripción]],BBDD_Usiarios_Netflix[[#This Row],[Fecha Último Pago]],"M")+1</f>
        <v>9</v>
      </c>
      <c r="N1057" s="4">
        <f>BBDD_Usiarios_Netflix[[#This Row],[Ingresos Mensuales]]*BBDD_Usiarios_Netflix[[#This Row],[Meses contratados]]</f>
        <v>126</v>
      </c>
      <c r="O1057" t="s">
        <v>29</v>
      </c>
      <c r="P1057" t="str">
        <f>IF(BBDD_Usiarios_Netflix[[#This Row],[País]]="","Desconocido",BBDD_Usiarios_Netflix[[#This Row],[País]])</f>
        <v>EEUU</v>
      </c>
      <c r="Q1057">
        <v>36</v>
      </c>
      <c r="R1057" t="s">
        <v>30</v>
      </c>
      <c r="S1057" t="s">
        <v>31</v>
      </c>
      <c r="T1057" t="s">
        <v>38</v>
      </c>
      <c r="U1057">
        <f>IF(IFERROR(VLOOKUP(BBDD_Usiarios_Netflix[[#This Row],[Identificador Usuario]],A1058:$A$5870,1,FALSE),0)&lt;&gt;0,1,0)</f>
        <v>0</v>
      </c>
      <c r="V1057" s="6" t="str">
        <f>IF(BBDD_Usiarios_Netflix[[#This Row],[Duración Plan]]="12 Meses",LEFT(BBDD_Usiarios_Netflix[[#This Row],[Duración Plan]],2),LEFT(BBDD_Usiarios_Netflix[[#This Row],[Duración Plan]],1))</f>
        <v>3</v>
      </c>
      <c r="W10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58" spans="1:23" x14ac:dyDescent="0.25">
      <c r="A1058">
        <v>1057</v>
      </c>
      <c r="B1058" t="s">
        <v>32</v>
      </c>
      <c r="C1058">
        <v>12</v>
      </c>
      <c r="D1058" s="3">
        <v>29</v>
      </c>
      <c r="E1058" s="3">
        <v>10</v>
      </c>
      <c r="F1058">
        <v>23</v>
      </c>
      <c r="G1058" s="1">
        <f>DATEVALUE(_xlfn.CONCAT(BBDD_Usiarios_Netflix[[#This Row],[Día Suscripción]],"/",BBDD_Usiarios_Netflix[[#This Row],[Mes Suscripción]],"/",BBDD_Usiarios_Netflix[[#This Row],[Año Suscripción]]))</f>
        <v>45228</v>
      </c>
      <c r="H1058" s="1">
        <v>2</v>
      </c>
      <c r="I1058" s="1">
        <v>7</v>
      </c>
      <c r="J1058" s="1">
        <v>24</v>
      </c>
      <c r="K1058" s="1" t="str">
        <f>TEXT(BBDD_Usiarios_Netflix[[#This Row],[Fecha Suscripción]],"dddd")</f>
        <v>domingo</v>
      </c>
      <c r="L1058" s="1">
        <f>DATEVALUE(_xlfn.CONCAT(BBDD_Usiarios_Netflix[[#This Row],[Día Último Pago]],"/",BBDD_Usiarios_Netflix[[#This Row],[Mes Último Pago]],"/",BBDD_Usiarios_Netflix[[#This Row],[Año Último Pago]]))</f>
        <v>45475</v>
      </c>
      <c r="M1058" s="4">
        <f>DATEDIF(BBDD_Usiarios_Netflix[[#This Row],[Fecha Suscripción]],BBDD_Usiarios_Netflix[[#This Row],[Fecha Último Pago]],"M")+1</f>
        <v>9</v>
      </c>
      <c r="N1058" s="4">
        <f>BBDD_Usiarios_Netflix[[#This Row],[Ingresos Mensuales]]*BBDD_Usiarios_Netflix[[#This Row],[Meses contratados]]</f>
        <v>108</v>
      </c>
      <c r="O1058" t="s">
        <v>45</v>
      </c>
      <c r="P1058" t="str">
        <f>IF(BBDD_Usiarios_Netflix[[#This Row],[País]]="","Desconocido",BBDD_Usiarios_Netflix[[#This Row],[País]])</f>
        <v>España</v>
      </c>
      <c r="Q1058">
        <v>42</v>
      </c>
      <c r="R1058" t="s">
        <v>30</v>
      </c>
      <c r="S1058" t="s">
        <v>31</v>
      </c>
      <c r="T1058" t="s">
        <v>41</v>
      </c>
      <c r="U1058">
        <f>IF(IFERROR(VLOOKUP(BBDD_Usiarios_Netflix[[#This Row],[Identificador Usuario]],A1059:$A$5870,1,FALSE),0)&lt;&gt;0,1,0)</f>
        <v>0</v>
      </c>
      <c r="V1058" s="6" t="str">
        <f>IF(BBDD_Usiarios_Netflix[[#This Row],[Duración Plan]]="12 Meses",LEFT(BBDD_Usiarios_Netflix[[#This Row],[Duración Plan]],2),LEFT(BBDD_Usiarios_Netflix[[#This Row],[Duración Plan]],1))</f>
        <v>12</v>
      </c>
      <c r="W10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59" spans="1:23" x14ac:dyDescent="0.25">
      <c r="A1059">
        <v>1058</v>
      </c>
      <c r="B1059" t="s">
        <v>23</v>
      </c>
      <c r="C1059">
        <v>10</v>
      </c>
      <c r="D1059" s="3">
        <v>5</v>
      </c>
      <c r="E1059" s="3">
        <v>11</v>
      </c>
      <c r="F1059">
        <v>23</v>
      </c>
      <c r="G1059" s="1">
        <f>DATEVALUE(_xlfn.CONCAT(BBDD_Usiarios_Netflix[[#This Row],[Día Suscripción]],"/",BBDD_Usiarios_Netflix[[#This Row],[Mes Suscripción]],"/",BBDD_Usiarios_Netflix[[#This Row],[Año Suscripción]]))</f>
        <v>45235</v>
      </c>
      <c r="H1059" s="1">
        <v>2</v>
      </c>
      <c r="I1059" s="1">
        <v>7</v>
      </c>
      <c r="J1059" s="1">
        <v>24</v>
      </c>
      <c r="K1059" s="1" t="str">
        <f>TEXT(BBDD_Usiarios_Netflix[[#This Row],[Fecha Suscripción]],"dddd")</f>
        <v>domingo</v>
      </c>
      <c r="L1059" s="1">
        <f>DATEVALUE(_xlfn.CONCAT(BBDD_Usiarios_Netflix[[#This Row],[Día Último Pago]],"/",BBDD_Usiarios_Netflix[[#This Row],[Mes Último Pago]],"/",BBDD_Usiarios_Netflix[[#This Row],[Año Último Pago]]))</f>
        <v>45475</v>
      </c>
      <c r="M1059" s="4">
        <f>DATEDIF(BBDD_Usiarios_Netflix[[#This Row],[Fecha Suscripción]],BBDD_Usiarios_Netflix[[#This Row],[Fecha Último Pago]],"M")+1</f>
        <v>8</v>
      </c>
      <c r="N1059" s="4">
        <f>BBDD_Usiarios_Netflix[[#This Row],[Ingresos Mensuales]]*BBDD_Usiarios_Netflix[[#This Row],[Meses contratados]]</f>
        <v>80</v>
      </c>
      <c r="O1059" t="s">
        <v>24</v>
      </c>
      <c r="P1059" t="str">
        <f>IF(BBDD_Usiarios_Netflix[[#This Row],[País]]="","Desconocido",BBDD_Usiarios_Netflix[[#This Row],[País]])</f>
        <v>Australia</v>
      </c>
      <c r="Q1059">
        <v>28</v>
      </c>
      <c r="R1059" t="s">
        <v>30</v>
      </c>
      <c r="S1059" t="s">
        <v>34</v>
      </c>
      <c r="T1059" t="s">
        <v>27</v>
      </c>
      <c r="U1059">
        <f>IF(IFERROR(VLOOKUP(BBDD_Usiarios_Netflix[[#This Row],[Identificador Usuario]],A1060:$A$5870,1,FALSE),0)&lt;&gt;0,1,0)</f>
        <v>0</v>
      </c>
      <c r="V1059" s="6" t="str">
        <f>IF(BBDD_Usiarios_Netflix[[#This Row],[Duración Plan]]="12 Meses",LEFT(BBDD_Usiarios_Netflix[[#This Row],[Duración Plan]],2),LEFT(BBDD_Usiarios_Netflix[[#This Row],[Duración Plan]],1))</f>
        <v>1</v>
      </c>
      <c r="W10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60" spans="1:23" x14ac:dyDescent="0.25">
      <c r="A1060">
        <v>1059</v>
      </c>
      <c r="B1060" t="s">
        <v>32</v>
      </c>
      <c r="C1060">
        <v>12</v>
      </c>
      <c r="D1060" s="3">
        <v>7</v>
      </c>
      <c r="E1060" s="3">
        <v>11</v>
      </c>
      <c r="F1060">
        <v>23</v>
      </c>
      <c r="G1060" s="1">
        <f>DATEVALUE(_xlfn.CONCAT(BBDD_Usiarios_Netflix[[#This Row],[Día Suscripción]],"/",BBDD_Usiarios_Netflix[[#This Row],[Mes Suscripción]],"/",BBDD_Usiarios_Netflix[[#This Row],[Año Suscripción]]))</f>
        <v>45237</v>
      </c>
      <c r="H1060" s="1">
        <v>2</v>
      </c>
      <c r="I1060" s="1">
        <v>7</v>
      </c>
      <c r="J1060" s="1">
        <v>24</v>
      </c>
      <c r="K1060" s="1" t="str">
        <f>TEXT(BBDD_Usiarios_Netflix[[#This Row],[Fecha Suscripción]],"dddd")</f>
        <v>martes</v>
      </c>
      <c r="L1060" s="1">
        <f>DATEVALUE(_xlfn.CONCAT(BBDD_Usiarios_Netflix[[#This Row],[Día Último Pago]],"/",BBDD_Usiarios_Netflix[[#This Row],[Mes Último Pago]],"/",BBDD_Usiarios_Netflix[[#This Row],[Año Último Pago]]))</f>
        <v>45475</v>
      </c>
      <c r="M1060" s="4">
        <f>DATEDIF(BBDD_Usiarios_Netflix[[#This Row],[Fecha Suscripción]],BBDD_Usiarios_Netflix[[#This Row],[Fecha Último Pago]],"M")+1</f>
        <v>8</v>
      </c>
      <c r="N1060" s="4">
        <f>BBDD_Usiarios_Netflix[[#This Row],[Ingresos Mensuales]]*BBDD_Usiarios_Netflix[[#This Row],[Meses contratados]]</f>
        <v>96</v>
      </c>
      <c r="O1060" t="s">
        <v>33</v>
      </c>
      <c r="P1060" t="str">
        <f>IF(BBDD_Usiarios_Netflix[[#This Row],[País]]="","Desconocido",BBDD_Usiarios_Netflix[[#This Row],[País]])</f>
        <v>Francia</v>
      </c>
      <c r="Q1060">
        <v>43</v>
      </c>
      <c r="R1060" t="s">
        <v>25</v>
      </c>
      <c r="S1060" t="s">
        <v>31</v>
      </c>
      <c r="T1060" t="s">
        <v>41</v>
      </c>
      <c r="U1060">
        <f>IF(IFERROR(VLOOKUP(BBDD_Usiarios_Netflix[[#This Row],[Identificador Usuario]],A1061:$A$5870,1,FALSE),0)&lt;&gt;0,1,0)</f>
        <v>0</v>
      </c>
      <c r="V1060" s="6" t="str">
        <f>IF(BBDD_Usiarios_Netflix[[#This Row],[Duración Plan]]="12 Meses",LEFT(BBDD_Usiarios_Netflix[[#This Row],[Duración Plan]],2),LEFT(BBDD_Usiarios_Netflix[[#This Row],[Duración Plan]],1))</f>
        <v>12</v>
      </c>
      <c r="W10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61" spans="1:23" x14ac:dyDescent="0.25">
      <c r="A1061">
        <v>1060</v>
      </c>
      <c r="B1061" t="s">
        <v>28</v>
      </c>
      <c r="C1061">
        <v>14</v>
      </c>
      <c r="D1061" s="3">
        <v>8</v>
      </c>
      <c r="E1061" s="3">
        <v>11</v>
      </c>
      <c r="F1061">
        <v>23</v>
      </c>
      <c r="G1061" s="1">
        <f>DATEVALUE(_xlfn.CONCAT(BBDD_Usiarios_Netflix[[#This Row],[Día Suscripción]],"/",BBDD_Usiarios_Netflix[[#This Row],[Mes Suscripción]],"/",BBDD_Usiarios_Netflix[[#This Row],[Año Suscripción]]))</f>
        <v>45238</v>
      </c>
      <c r="H1061" s="1">
        <v>2</v>
      </c>
      <c r="I1061" s="1">
        <v>7</v>
      </c>
      <c r="J1061" s="1">
        <v>24</v>
      </c>
      <c r="K1061" s="1" t="str">
        <f>TEXT(BBDD_Usiarios_Netflix[[#This Row],[Fecha Suscripción]],"dddd")</f>
        <v>miércoles</v>
      </c>
      <c r="L1061" s="1">
        <f>DATEVALUE(_xlfn.CONCAT(BBDD_Usiarios_Netflix[[#This Row],[Día Último Pago]],"/",BBDD_Usiarios_Netflix[[#This Row],[Mes Último Pago]],"/",BBDD_Usiarios_Netflix[[#This Row],[Año Último Pago]]))</f>
        <v>45475</v>
      </c>
      <c r="M1061" s="4">
        <f>DATEDIF(BBDD_Usiarios_Netflix[[#This Row],[Fecha Suscripción]],BBDD_Usiarios_Netflix[[#This Row],[Fecha Último Pago]],"M")+1</f>
        <v>8</v>
      </c>
      <c r="N1061" s="4">
        <f>BBDD_Usiarios_Netflix[[#This Row],[Ingresos Mensuales]]*BBDD_Usiarios_Netflix[[#This Row],[Meses contratados]]</f>
        <v>112</v>
      </c>
      <c r="O1061" t="s">
        <v>37</v>
      </c>
      <c r="P1061" t="str">
        <f>IF(BBDD_Usiarios_Netflix[[#This Row],[País]]="","Desconocido",BBDD_Usiarios_Netflix[[#This Row],[País]])</f>
        <v>Brasil</v>
      </c>
      <c r="Q1061">
        <v>50</v>
      </c>
      <c r="R1061" t="s">
        <v>30</v>
      </c>
      <c r="S1061" t="s">
        <v>36</v>
      </c>
      <c r="T1061" t="s">
        <v>27</v>
      </c>
      <c r="U1061">
        <f>IF(IFERROR(VLOOKUP(BBDD_Usiarios_Netflix[[#This Row],[Identificador Usuario]],A1062:$A$5870,1,FALSE),0)&lt;&gt;0,1,0)</f>
        <v>0</v>
      </c>
      <c r="V1061" s="6" t="str">
        <f>IF(BBDD_Usiarios_Netflix[[#This Row],[Duración Plan]]="12 Meses",LEFT(BBDD_Usiarios_Netflix[[#This Row],[Duración Plan]],2),LEFT(BBDD_Usiarios_Netflix[[#This Row],[Duración Plan]],1))</f>
        <v>1</v>
      </c>
      <c r="W10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62" spans="1:23" x14ac:dyDescent="0.25">
      <c r="A1062">
        <v>1061</v>
      </c>
      <c r="B1062" t="s">
        <v>23</v>
      </c>
      <c r="C1062">
        <v>10</v>
      </c>
      <c r="D1062" s="3">
        <v>9</v>
      </c>
      <c r="E1062" s="3">
        <v>11</v>
      </c>
      <c r="F1062">
        <v>23</v>
      </c>
      <c r="G1062" s="1">
        <f>DATEVALUE(_xlfn.CONCAT(BBDD_Usiarios_Netflix[[#This Row],[Día Suscripción]],"/",BBDD_Usiarios_Netflix[[#This Row],[Mes Suscripción]],"/",BBDD_Usiarios_Netflix[[#This Row],[Año Suscripción]]))</f>
        <v>45239</v>
      </c>
      <c r="H1062" s="1">
        <v>1</v>
      </c>
      <c r="I1062" s="1">
        <v>7</v>
      </c>
      <c r="J1062" s="1">
        <v>24</v>
      </c>
      <c r="K1062" s="1" t="str">
        <f>TEXT(BBDD_Usiarios_Netflix[[#This Row],[Fecha Suscripción]],"dddd")</f>
        <v>jueves</v>
      </c>
      <c r="L1062" s="1">
        <f>DATEVALUE(_xlfn.CONCAT(BBDD_Usiarios_Netflix[[#This Row],[Día Último Pago]],"/",BBDD_Usiarios_Netflix[[#This Row],[Mes Último Pago]],"/",BBDD_Usiarios_Netflix[[#This Row],[Año Último Pago]]))</f>
        <v>45474</v>
      </c>
      <c r="M1062" s="4">
        <f>DATEDIF(BBDD_Usiarios_Netflix[[#This Row],[Fecha Suscripción]],BBDD_Usiarios_Netflix[[#This Row],[Fecha Último Pago]],"M")+1</f>
        <v>8</v>
      </c>
      <c r="N1062" s="4">
        <f>BBDD_Usiarios_Netflix[[#This Row],[Ingresos Mensuales]]*BBDD_Usiarios_Netflix[[#This Row],[Meses contratados]]</f>
        <v>80</v>
      </c>
      <c r="O1062" t="s">
        <v>42</v>
      </c>
      <c r="P1062" t="str">
        <f>IF(BBDD_Usiarios_Netflix[[#This Row],[País]]="","Desconocido",BBDD_Usiarios_Netflix[[#This Row],[País]])</f>
        <v>Reino Unido</v>
      </c>
      <c r="Q1062">
        <v>30</v>
      </c>
      <c r="R1062" t="s">
        <v>30</v>
      </c>
      <c r="S1062" t="s">
        <v>31</v>
      </c>
      <c r="T1062" t="s">
        <v>38</v>
      </c>
      <c r="U1062">
        <f>IF(IFERROR(VLOOKUP(BBDD_Usiarios_Netflix[[#This Row],[Identificador Usuario]],A1063:$A$5870,1,FALSE),0)&lt;&gt;0,1,0)</f>
        <v>0</v>
      </c>
      <c r="V1062" s="6" t="str">
        <f>IF(BBDD_Usiarios_Netflix[[#This Row],[Duración Plan]]="12 Meses",LEFT(BBDD_Usiarios_Netflix[[#This Row],[Duración Plan]],2),LEFT(BBDD_Usiarios_Netflix[[#This Row],[Duración Plan]],1))</f>
        <v>3</v>
      </c>
      <c r="W10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63" spans="1:23" x14ac:dyDescent="0.25">
      <c r="A1063">
        <v>1062</v>
      </c>
      <c r="B1063" t="s">
        <v>28</v>
      </c>
      <c r="C1063">
        <v>14</v>
      </c>
      <c r="D1063" s="3">
        <v>10</v>
      </c>
      <c r="E1063" s="3">
        <v>11</v>
      </c>
      <c r="F1063">
        <v>23</v>
      </c>
      <c r="G1063" s="1">
        <f>DATEVALUE(_xlfn.CONCAT(BBDD_Usiarios_Netflix[[#This Row],[Día Suscripción]],"/",BBDD_Usiarios_Netflix[[#This Row],[Mes Suscripción]],"/",BBDD_Usiarios_Netflix[[#This Row],[Año Suscripción]]))</f>
        <v>45240</v>
      </c>
      <c r="H1063" s="1">
        <v>3</v>
      </c>
      <c r="I1063" s="1">
        <v>7</v>
      </c>
      <c r="J1063" s="1">
        <v>24</v>
      </c>
      <c r="K1063" s="1" t="str">
        <f>TEXT(BBDD_Usiarios_Netflix[[#This Row],[Fecha Suscripción]],"dddd")</f>
        <v>viernes</v>
      </c>
      <c r="L1063" s="1">
        <f>DATEVALUE(_xlfn.CONCAT(BBDD_Usiarios_Netflix[[#This Row],[Día Último Pago]],"/",BBDD_Usiarios_Netflix[[#This Row],[Mes Último Pago]],"/",BBDD_Usiarios_Netflix[[#This Row],[Año Último Pago]]))</f>
        <v>45476</v>
      </c>
      <c r="M1063" s="4">
        <f>DATEDIF(BBDD_Usiarios_Netflix[[#This Row],[Fecha Suscripción]],BBDD_Usiarios_Netflix[[#This Row],[Fecha Último Pago]],"M")+1</f>
        <v>8</v>
      </c>
      <c r="N1063" s="4">
        <f>BBDD_Usiarios_Netflix[[#This Row],[Ingresos Mensuales]]*BBDD_Usiarios_Netflix[[#This Row],[Meses contratados]]</f>
        <v>112</v>
      </c>
      <c r="O1063" t="s">
        <v>42</v>
      </c>
      <c r="P1063" t="str">
        <f>IF(BBDD_Usiarios_Netflix[[#This Row],[País]]="","Desconocido",BBDD_Usiarios_Netflix[[#This Row],[País]])</f>
        <v>Reino Unido</v>
      </c>
      <c r="Q1063">
        <v>34</v>
      </c>
      <c r="R1063" t="s">
        <v>30</v>
      </c>
      <c r="S1063" t="s">
        <v>36</v>
      </c>
      <c r="T1063" t="s">
        <v>27</v>
      </c>
      <c r="U1063">
        <f>IF(IFERROR(VLOOKUP(BBDD_Usiarios_Netflix[[#This Row],[Identificador Usuario]],A1064:$A$5870,1,FALSE),0)&lt;&gt;0,1,0)</f>
        <v>0</v>
      </c>
      <c r="V1063" s="6" t="str">
        <f>IF(BBDD_Usiarios_Netflix[[#This Row],[Duración Plan]]="12 Meses",LEFT(BBDD_Usiarios_Netflix[[#This Row],[Duración Plan]],2),LEFT(BBDD_Usiarios_Netflix[[#This Row],[Duración Plan]],1))</f>
        <v>1</v>
      </c>
      <c r="W10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64" spans="1:23" x14ac:dyDescent="0.25">
      <c r="A1064">
        <v>1063</v>
      </c>
      <c r="B1064" t="s">
        <v>32</v>
      </c>
      <c r="C1064">
        <v>12</v>
      </c>
      <c r="D1064" s="3">
        <v>2</v>
      </c>
      <c r="E1064" s="3">
        <v>11</v>
      </c>
      <c r="F1064">
        <v>23</v>
      </c>
      <c r="G1064" s="1">
        <f>DATEVALUE(_xlfn.CONCAT(BBDD_Usiarios_Netflix[[#This Row],[Día Suscripción]],"/",BBDD_Usiarios_Netflix[[#This Row],[Mes Suscripción]],"/",BBDD_Usiarios_Netflix[[#This Row],[Año Suscripción]]))</f>
        <v>45232</v>
      </c>
      <c r="H1064" s="1">
        <v>3</v>
      </c>
      <c r="I1064" s="1">
        <v>7</v>
      </c>
      <c r="J1064" s="1">
        <v>24</v>
      </c>
      <c r="K1064" s="1" t="str">
        <f>TEXT(BBDD_Usiarios_Netflix[[#This Row],[Fecha Suscripción]],"dddd")</f>
        <v>jueves</v>
      </c>
      <c r="L1064" s="1">
        <f>DATEVALUE(_xlfn.CONCAT(BBDD_Usiarios_Netflix[[#This Row],[Día Último Pago]],"/",BBDD_Usiarios_Netflix[[#This Row],[Mes Último Pago]],"/",BBDD_Usiarios_Netflix[[#This Row],[Año Último Pago]]))</f>
        <v>45476</v>
      </c>
      <c r="M1064" s="4">
        <f>DATEDIF(BBDD_Usiarios_Netflix[[#This Row],[Fecha Suscripción]],BBDD_Usiarios_Netflix[[#This Row],[Fecha Último Pago]],"M")+1</f>
        <v>9</v>
      </c>
      <c r="N1064" s="4">
        <f>BBDD_Usiarios_Netflix[[#This Row],[Ingresos Mensuales]]*BBDD_Usiarios_Netflix[[#This Row],[Meses contratados]]</f>
        <v>108</v>
      </c>
      <c r="O1064" t="s">
        <v>39</v>
      </c>
      <c r="P1064" t="str">
        <f>IF(BBDD_Usiarios_Netflix[[#This Row],[País]]="","Desconocido",BBDD_Usiarios_Netflix[[#This Row],[País]])</f>
        <v>Canadá</v>
      </c>
      <c r="Q1064">
        <v>35</v>
      </c>
      <c r="R1064" t="s">
        <v>30</v>
      </c>
      <c r="S1064" t="s">
        <v>36</v>
      </c>
      <c r="T1064" t="s">
        <v>41</v>
      </c>
      <c r="U1064">
        <f>IF(IFERROR(VLOOKUP(BBDD_Usiarios_Netflix[[#This Row],[Identificador Usuario]],A1065:$A$5870,1,FALSE),0)&lt;&gt;0,1,0)</f>
        <v>0</v>
      </c>
      <c r="V1064" s="6" t="str">
        <f>IF(BBDD_Usiarios_Netflix[[#This Row],[Duración Plan]]="12 Meses",LEFT(BBDD_Usiarios_Netflix[[#This Row],[Duración Plan]],2),LEFT(BBDD_Usiarios_Netflix[[#This Row],[Duración Plan]],1))</f>
        <v>12</v>
      </c>
      <c r="W10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65" spans="1:23" x14ac:dyDescent="0.25">
      <c r="A1065">
        <v>1064</v>
      </c>
      <c r="B1065" t="s">
        <v>23</v>
      </c>
      <c r="C1065">
        <v>10</v>
      </c>
      <c r="D1065" s="3">
        <v>31</v>
      </c>
      <c r="E1065" s="3">
        <v>10</v>
      </c>
      <c r="F1065">
        <v>23</v>
      </c>
      <c r="G1065" s="1">
        <f>DATEVALUE(_xlfn.CONCAT(BBDD_Usiarios_Netflix[[#This Row],[Día Suscripción]],"/",BBDD_Usiarios_Netflix[[#This Row],[Mes Suscripción]],"/",BBDD_Usiarios_Netflix[[#This Row],[Año Suscripción]]))</f>
        <v>45230</v>
      </c>
      <c r="H1065" s="1">
        <v>2</v>
      </c>
      <c r="I1065" s="1">
        <v>7</v>
      </c>
      <c r="J1065" s="1">
        <v>24</v>
      </c>
      <c r="K1065" s="1" t="str">
        <f>TEXT(BBDD_Usiarios_Netflix[[#This Row],[Fecha Suscripción]],"dddd")</f>
        <v>martes</v>
      </c>
      <c r="L1065" s="1">
        <f>DATEVALUE(_xlfn.CONCAT(BBDD_Usiarios_Netflix[[#This Row],[Día Último Pago]],"/",BBDD_Usiarios_Netflix[[#This Row],[Mes Último Pago]],"/",BBDD_Usiarios_Netflix[[#This Row],[Año Último Pago]]))</f>
        <v>45475</v>
      </c>
      <c r="M1065" s="4">
        <f>DATEDIF(BBDD_Usiarios_Netflix[[#This Row],[Fecha Suscripción]],BBDD_Usiarios_Netflix[[#This Row],[Fecha Último Pago]],"M")+1</f>
        <v>9</v>
      </c>
      <c r="N1065" s="4">
        <f>BBDD_Usiarios_Netflix[[#This Row],[Ingresos Mensuales]]*BBDD_Usiarios_Netflix[[#This Row],[Meses contratados]]</f>
        <v>90</v>
      </c>
      <c r="O1065" t="s">
        <v>46</v>
      </c>
      <c r="P1065" t="str">
        <f>IF(BBDD_Usiarios_Netflix[[#This Row],[País]]="","Desconocido",BBDD_Usiarios_Netflix[[#This Row],[País]])</f>
        <v>Méjico</v>
      </c>
      <c r="Q1065">
        <v>29</v>
      </c>
      <c r="R1065" t="s">
        <v>25</v>
      </c>
      <c r="S1065" t="s">
        <v>31</v>
      </c>
      <c r="T1065" t="s">
        <v>27</v>
      </c>
      <c r="U1065">
        <f>IF(IFERROR(VLOOKUP(BBDD_Usiarios_Netflix[[#This Row],[Identificador Usuario]],A1066:$A$5870,1,FALSE),0)&lt;&gt;0,1,0)</f>
        <v>0</v>
      </c>
      <c r="V1065" s="6" t="str">
        <f>IF(BBDD_Usiarios_Netflix[[#This Row],[Duración Plan]]="12 Meses",LEFT(BBDD_Usiarios_Netflix[[#This Row],[Duración Plan]],2),LEFT(BBDD_Usiarios_Netflix[[#This Row],[Duración Plan]],1))</f>
        <v>1</v>
      </c>
      <c r="W10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66" spans="1:23" x14ac:dyDescent="0.25">
      <c r="A1066">
        <v>1065</v>
      </c>
      <c r="B1066" t="s">
        <v>32</v>
      </c>
      <c r="C1066">
        <v>12</v>
      </c>
      <c r="D1066" s="3">
        <v>29</v>
      </c>
      <c r="E1066" s="3">
        <v>10</v>
      </c>
      <c r="F1066">
        <v>23</v>
      </c>
      <c r="G1066" s="1">
        <f>DATEVALUE(_xlfn.CONCAT(BBDD_Usiarios_Netflix[[#This Row],[Día Suscripción]],"/",BBDD_Usiarios_Netflix[[#This Row],[Mes Suscripción]],"/",BBDD_Usiarios_Netflix[[#This Row],[Año Suscripción]]))</f>
        <v>45228</v>
      </c>
      <c r="H1066" s="1">
        <v>2</v>
      </c>
      <c r="I1066" s="1">
        <v>7</v>
      </c>
      <c r="J1066" s="1">
        <v>24</v>
      </c>
      <c r="K1066" s="1" t="str">
        <f>TEXT(BBDD_Usiarios_Netflix[[#This Row],[Fecha Suscripción]],"dddd")</f>
        <v>domingo</v>
      </c>
      <c r="L1066" s="1">
        <f>DATEVALUE(_xlfn.CONCAT(BBDD_Usiarios_Netflix[[#This Row],[Día Último Pago]],"/",BBDD_Usiarios_Netflix[[#This Row],[Mes Último Pago]],"/",BBDD_Usiarios_Netflix[[#This Row],[Año Último Pago]]))</f>
        <v>45475</v>
      </c>
      <c r="M1066" s="4">
        <f>DATEDIF(BBDD_Usiarios_Netflix[[#This Row],[Fecha Suscripción]],BBDD_Usiarios_Netflix[[#This Row],[Fecha Último Pago]],"M")+1</f>
        <v>9</v>
      </c>
      <c r="N1066" s="4">
        <f>BBDD_Usiarios_Netflix[[#This Row],[Ingresos Mensuales]]*BBDD_Usiarios_Netflix[[#This Row],[Meses contratados]]</f>
        <v>108</v>
      </c>
      <c r="O1066" t="s">
        <v>33</v>
      </c>
      <c r="P1066" t="str">
        <f>IF(BBDD_Usiarios_Netflix[[#This Row],[País]]="","Desconocido",BBDD_Usiarios_Netflix[[#This Row],[País]])</f>
        <v>Francia</v>
      </c>
      <c r="Q1066">
        <v>33</v>
      </c>
      <c r="R1066" t="s">
        <v>25</v>
      </c>
      <c r="S1066" t="s">
        <v>34</v>
      </c>
      <c r="T1066" t="s">
        <v>38</v>
      </c>
      <c r="U1066">
        <f>IF(IFERROR(VLOOKUP(BBDD_Usiarios_Netflix[[#This Row],[Identificador Usuario]],A1067:$A$5870,1,FALSE),0)&lt;&gt;0,1,0)</f>
        <v>0</v>
      </c>
      <c r="V1066" s="6" t="str">
        <f>IF(BBDD_Usiarios_Netflix[[#This Row],[Duración Plan]]="12 Meses",LEFT(BBDD_Usiarios_Netflix[[#This Row],[Duración Plan]],2),LEFT(BBDD_Usiarios_Netflix[[#This Row],[Duración Plan]],1))</f>
        <v>3</v>
      </c>
      <c r="W10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67" spans="1:23" x14ac:dyDescent="0.25">
      <c r="A1067">
        <v>1066</v>
      </c>
      <c r="B1067" t="s">
        <v>28</v>
      </c>
      <c r="C1067">
        <v>14</v>
      </c>
      <c r="D1067" s="3">
        <v>22</v>
      </c>
      <c r="E1067" s="3">
        <v>10</v>
      </c>
      <c r="F1067">
        <v>23</v>
      </c>
      <c r="G1067" s="1">
        <f>DATEVALUE(_xlfn.CONCAT(BBDD_Usiarios_Netflix[[#This Row],[Día Suscripción]],"/",BBDD_Usiarios_Netflix[[#This Row],[Mes Suscripción]],"/",BBDD_Usiarios_Netflix[[#This Row],[Año Suscripción]]))</f>
        <v>45221</v>
      </c>
      <c r="H1067" s="1">
        <v>3</v>
      </c>
      <c r="I1067" s="1">
        <v>7</v>
      </c>
      <c r="J1067" s="1">
        <v>24</v>
      </c>
      <c r="K1067" s="1" t="str">
        <f>TEXT(BBDD_Usiarios_Netflix[[#This Row],[Fecha Suscripción]],"dddd")</f>
        <v>domingo</v>
      </c>
      <c r="L1067" s="1">
        <f>DATEVALUE(_xlfn.CONCAT(BBDD_Usiarios_Netflix[[#This Row],[Día Último Pago]],"/",BBDD_Usiarios_Netflix[[#This Row],[Mes Último Pago]],"/",BBDD_Usiarios_Netflix[[#This Row],[Año Último Pago]]))</f>
        <v>45476</v>
      </c>
      <c r="M1067" s="4">
        <f>DATEDIF(BBDD_Usiarios_Netflix[[#This Row],[Fecha Suscripción]],BBDD_Usiarios_Netflix[[#This Row],[Fecha Último Pago]],"M")+1</f>
        <v>9</v>
      </c>
      <c r="N1067" s="4">
        <f>BBDD_Usiarios_Netflix[[#This Row],[Ingresos Mensuales]]*BBDD_Usiarios_Netflix[[#This Row],[Meses contratados]]</f>
        <v>126</v>
      </c>
      <c r="O1067" t="s">
        <v>24</v>
      </c>
      <c r="P1067" t="str">
        <f>IF(BBDD_Usiarios_Netflix[[#This Row],[País]]="","Desconocido",BBDD_Usiarios_Netflix[[#This Row],[País]])</f>
        <v>Australia</v>
      </c>
      <c r="Q1067">
        <v>47</v>
      </c>
      <c r="R1067" t="s">
        <v>25</v>
      </c>
      <c r="S1067" t="s">
        <v>36</v>
      </c>
      <c r="T1067" t="s">
        <v>38</v>
      </c>
      <c r="U1067">
        <f>IF(IFERROR(VLOOKUP(BBDD_Usiarios_Netflix[[#This Row],[Identificador Usuario]],A1068:$A$5870,1,FALSE),0)&lt;&gt;0,1,0)</f>
        <v>0</v>
      </c>
      <c r="V1067" s="6" t="str">
        <f>IF(BBDD_Usiarios_Netflix[[#This Row],[Duración Plan]]="12 Meses",LEFT(BBDD_Usiarios_Netflix[[#This Row],[Duración Plan]],2),LEFT(BBDD_Usiarios_Netflix[[#This Row],[Duración Plan]],1))</f>
        <v>3</v>
      </c>
      <c r="W10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68" spans="1:23" x14ac:dyDescent="0.25">
      <c r="A1068">
        <v>1067</v>
      </c>
      <c r="B1068" t="s">
        <v>23</v>
      </c>
      <c r="C1068">
        <v>10</v>
      </c>
      <c r="D1068" s="3">
        <v>20</v>
      </c>
      <c r="E1068" s="3">
        <v>10</v>
      </c>
      <c r="F1068">
        <v>23</v>
      </c>
      <c r="G1068" s="1">
        <f>DATEVALUE(_xlfn.CONCAT(BBDD_Usiarios_Netflix[[#This Row],[Día Suscripción]],"/",BBDD_Usiarios_Netflix[[#This Row],[Mes Suscripción]],"/",BBDD_Usiarios_Netflix[[#This Row],[Año Suscripción]]))</f>
        <v>45219</v>
      </c>
      <c r="H1068" s="1">
        <v>2</v>
      </c>
      <c r="I1068" s="1">
        <v>7</v>
      </c>
      <c r="J1068" s="1">
        <v>24</v>
      </c>
      <c r="K1068" s="1" t="str">
        <f>TEXT(BBDD_Usiarios_Netflix[[#This Row],[Fecha Suscripción]],"dddd")</f>
        <v>viernes</v>
      </c>
      <c r="L1068" s="1">
        <f>DATEVALUE(_xlfn.CONCAT(BBDD_Usiarios_Netflix[[#This Row],[Día Último Pago]],"/",BBDD_Usiarios_Netflix[[#This Row],[Mes Último Pago]],"/",BBDD_Usiarios_Netflix[[#This Row],[Año Último Pago]]))</f>
        <v>45475</v>
      </c>
      <c r="M1068" s="4">
        <f>DATEDIF(BBDD_Usiarios_Netflix[[#This Row],[Fecha Suscripción]],BBDD_Usiarios_Netflix[[#This Row],[Fecha Último Pago]],"M")+1</f>
        <v>9</v>
      </c>
      <c r="N1068" s="4">
        <f>BBDD_Usiarios_Netflix[[#This Row],[Ingresos Mensuales]]*BBDD_Usiarios_Netflix[[#This Row],[Meses contratados]]</f>
        <v>90</v>
      </c>
      <c r="O1068" t="s">
        <v>44</v>
      </c>
      <c r="P1068" t="str">
        <f>IF(BBDD_Usiarios_Netflix[[#This Row],[País]]="","Desconocido",BBDD_Usiarios_Netflix[[#This Row],[País]])</f>
        <v>Desconocido</v>
      </c>
      <c r="Q1068">
        <v>32</v>
      </c>
      <c r="R1068" t="s">
        <v>30</v>
      </c>
      <c r="S1068" t="s">
        <v>31</v>
      </c>
      <c r="T1068" t="s">
        <v>27</v>
      </c>
      <c r="U1068">
        <f>IF(IFERROR(VLOOKUP(BBDD_Usiarios_Netflix[[#This Row],[Identificador Usuario]],A1069:$A$5870,1,FALSE),0)&lt;&gt;0,1,0)</f>
        <v>0</v>
      </c>
      <c r="V1068" s="6" t="str">
        <f>IF(BBDD_Usiarios_Netflix[[#This Row],[Duración Plan]]="12 Meses",LEFT(BBDD_Usiarios_Netflix[[#This Row],[Duración Plan]],2),LEFT(BBDD_Usiarios_Netflix[[#This Row],[Duración Plan]],1))</f>
        <v>1</v>
      </c>
      <c r="W10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69" spans="1:23" x14ac:dyDescent="0.25">
      <c r="A1069">
        <v>1068</v>
      </c>
      <c r="B1069" t="s">
        <v>32</v>
      </c>
      <c r="C1069">
        <v>12</v>
      </c>
      <c r="D1069" s="3">
        <v>21</v>
      </c>
      <c r="E1069" s="3">
        <v>10</v>
      </c>
      <c r="F1069">
        <v>23</v>
      </c>
      <c r="G1069" s="1">
        <f>DATEVALUE(_xlfn.CONCAT(BBDD_Usiarios_Netflix[[#This Row],[Día Suscripción]],"/",BBDD_Usiarios_Netflix[[#This Row],[Mes Suscripción]],"/",BBDD_Usiarios_Netflix[[#This Row],[Año Suscripción]]))</f>
        <v>45220</v>
      </c>
      <c r="H1069" s="1">
        <v>4</v>
      </c>
      <c r="I1069" s="1">
        <v>7</v>
      </c>
      <c r="J1069" s="1">
        <v>24</v>
      </c>
      <c r="K1069" s="1" t="str">
        <f>TEXT(BBDD_Usiarios_Netflix[[#This Row],[Fecha Suscripción]],"dddd")</f>
        <v>sábado</v>
      </c>
      <c r="L1069" s="1">
        <f>DATEVALUE(_xlfn.CONCAT(BBDD_Usiarios_Netflix[[#This Row],[Día Último Pago]],"/",BBDD_Usiarios_Netflix[[#This Row],[Mes Último Pago]],"/",BBDD_Usiarios_Netflix[[#This Row],[Año Último Pago]]))</f>
        <v>45477</v>
      </c>
      <c r="M1069" s="4">
        <f>DATEDIF(BBDD_Usiarios_Netflix[[#This Row],[Fecha Suscripción]],BBDD_Usiarios_Netflix[[#This Row],[Fecha Último Pago]],"M")+1</f>
        <v>9</v>
      </c>
      <c r="N1069" s="4">
        <f>BBDD_Usiarios_Netflix[[#This Row],[Ingresos Mensuales]]*BBDD_Usiarios_Netflix[[#This Row],[Meses contratados]]</f>
        <v>108</v>
      </c>
      <c r="O1069" t="s">
        <v>37</v>
      </c>
      <c r="P1069" t="str">
        <f>IF(BBDD_Usiarios_Netflix[[#This Row],[País]]="","Desconocido",BBDD_Usiarios_Netflix[[#This Row],[País]])</f>
        <v>Brasil</v>
      </c>
      <c r="Q1069">
        <v>34</v>
      </c>
      <c r="R1069" t="s">
        <v>30</v>
      </c>
      <c r="S1069" t="s">
        <v>31</v>
      </c>
      <c r="T1069" t="s">
        <v>27</v>
      </c>
      <c r="U1069">
        <f>IF(IFERROR(VLOOKUP(BBDD_Usiarios_Netflix[[#This Row],[Identificador Usuario]],A1070:$A$5870,1,FALSE),0)&lt;&gt;0,1,0)</f>
        <v>0</v>
      </c>
      <c r="V1069" s="6" t="str">
        <f>IF(BBDD_Usiarios_Netflix[[#This Row],[Duración Plan]]="12 Meses",LEFT(BBDD_Usiarios_Netflix[[#This Row],[Duración Plan]],2),LEFT(BBDD_Usiarios_Netflix[[#This Row],[Duración Plan]],1))</f>
        <v>1</v>
      </c>
      <c r="W10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70" spans="1:23" x14ac:dyDescent="0.25">
      <c r="A1070">
        <v>1069</v>
      </c>
      <c r="B1070" t="s">
        <v>28</v>
      </c>
      <c r="C1070">
        <v>14</v>
      </c>
      <c r="D1070" s="3">
        <v>10</v>
      </c>
      <c r="E1070" s="3">
        <v>10</v>
      </c>
      <c r="F1070">
        <v>23</v>
      </c>
      <c r="G1070" s="1">
        <f>DATEVALUE(_xlfn.CONCAT(BBDD_Usiarios_Netflix[[#This Row],[Día Suscripción]],"/",BBDD_Usiarios_Netflix[[#This Row],[Mes Suscripción]],"/",BBDD_Usiarios_Netflix[[#This Row],[Año Suscripción]]))</f>
        <v>45209</v>
      </c>
      <c r="H1070" s="1">
        <v>2</v>
      </c>
      <c r="I1070" s="1">
        <v>7</v>
      </c>
      <c r="J1070" s="1">
        <v>24</v>
      </c>
      <c r="K1070" s="1" t="str">
        <f>TEXT(BBDD_Usiarios_Netflix[[#This Row],[Fecha Suscripción]],"dddd")</f>
        <v>martes</v>
      </c>
      <c r="L1070" s="1">
        <f>DATEVALUE(_xlfn.CONCAT(BBDD_Usiarios_Netflix[[#This Row],[Día Último Pago]],"/",BBDD_Usiarios_Netflix[[#This Row],[Mes Último Pago]],"/",BBDD_Usiarios_Netflix[[#This Row],[Año Último Pago]]))</f>
        <v>45475</v>
      </c>
      <c r="M1070" s="4">
        <f>DATEDIF(BBDD_Usiarios_Netflix[[#This Row],[Fecha Suscripción]],BBDD_Usiarios_Netflix[[#This Row],[Fecha Último Pago]],"M")+1</f>
        <v>9</v>
      </c>
      <c r="N1070" s="4">
        <f>BBDD_Usiarios_Netflix[[#This Row],[Ingresos Mensuales]]*BBDD_Usiarios_Netflix[[#This Row],[Meses contratados]]</f>
        <v>126</v>
      </c>
      <c r="O1070" t="s">
        <v>33</v>
      </c>
      <c r="P1070" t="str">
        <f>IF(BBDD_Usiarios_Netflix[[#This Row],[País]]="","Desconocido",BBDD_Usiarios_Netflix[[#This Row],[País]])</f>
        <v>Francia</v>
      </c>
      <c r="Q1070">
        <v>46</v>
      </c>
      <c r="R1070" t="s">
        <v>25</v>
      </c>
      <c r="S1070" t="s">
        <v>34</v>
      </c>
      <c r="T1070" t="s">
        <v>41</v>
      </c>
      <c r="U1070">
        <f>IF(IFERROR(VLOOKUP(BBDD_Usiarios_Netflix[[#This Row],[Identificador Usuario]],A1071:$A$5870,1,FALSE),0)&lt;&gt;0,1,0)</f>
        <v>0</v>
      </c>
      <c r="V1070" s="6" t="str">
        <f>IF(BBDD_Usiarios_Netflix[[#This Row],[Duración Plan]]="12 Meses",LEFT(BBDD_Usiarios_Netflix[[#This Row],[Duración Plan]],2),LEFT(BBDD_Usiarios_Netflix[[#This Row],[Duración Plan]],1))</f>
        <v>12</v>
      </c>
      <c r="W10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71" spans="1:23" x14ac:dyDescent="0.25">
      <c r="A1071">
        <v>1070</v>
      </c>
      <c r="B1071" t="s">
        <v>23</v>
      </c>
      <c r="C1071">
        <v>10</v>
      </c>
      <c r="D1071" s="3">
        <v>6</v>
      </c>
      <c r="E1071" s="3">
        <v>9</v>
      </c>
      <c r="F1071">
        <v>23</v>
      </c>
      <c r="G1071" s="1">
        <f>DATEVALUE(_xlfn.CONCAT(BBDD_Usiarios_Netflix[[#This Row],[Día Suscripción]],"/",BBDD_Usiarios_Netflix[[#This Row],[Mes Suscripción]],"/",BBDD_Usiarios_Netflix[[#This Row],[Año Suscripción]]))</f>
        <v>45175</v>
      </c>
      <c r="H1071" s="1">
        <v>3</v>
      </c>
      <c r="I1071" s="1">
        <v>7</v>
      </c>
      <c r="J1071" s="1">
        <v>24</v>
      </c>
      <c r="K1071" s="1" t="str">
        <f>TEXT(BBDD_Usiarios_Netflix[[#This Row],[Fecha Suscripción]],"dddd")</f>
        <v>miércoles</v>
      </c>
      <c r="L1071" s="1">
        <f>DATEVALUE(_xlfn.CONCAT(BBDD_Usiarios_Netflix[[#This Row],[Día Último Pago]],"/",BBDD_Usiarios_Netflix[[#This Row],[Mes Último Pago]],"/",BBDD_Usiarios_Netflix[[#This Row],[Año Último Pago]]))</f>
        <v>45476</v>
      </c>
      <c r="M1071" s="4">
        <f>DATEDIF(BBDD_Usiarios_Netflix[[#This Row],[Fecha Suscripción]],BBDD_Usiarios_Netflix[[#This Row],[Fecha Último Pago]],"M")+1</f>
        <v>10</v>
      </c>
      <c r="N1071" s="4">
        <f>BBDD_Usiarios_Netflix[[#This Row],[Ingresos Mensuales]]*BBDD_Usiarios_Netflix[[#This Row],[Meses contratados]]</f>
        <v>100</v>
      </c>
      <c r="O1071" t="s">
        <v>39</v>
      </c>
      <c r="P1071" t="str">
        <f>IF(BBDD_Usiarios_Netflix[[#This Row],[País]]="","Desconocido",BBDD_Usiarios_Netflix[[#This Row],[País]])</f>
        <v>Canadá</v>
      </c>
      <c r="Q1071">
        <v>31</v>
      </c>
      <c r="R1071" t="s">
        <v>25</v>
      </c>
      <c r="S1071" t="s">
        <v>31</v>
      </c>
      <c r="T1071" t="s">
        <v>27</v>
      </c>
      <c r="U1071">
        <f>IF(IFERROR(VLOOKUP(BBDD_Usiarios_Netflix[[#This Row],[Identificador Usuario]],A1072:$A$5870,1,FALSE),0)&lt;&gt;0,1,0)</f>
        <v>0</v>
      </c>
      <c r="V1071" s="6" t="str">
        <f>IF(BBDD_Usiarios_Netflix[[#This Row],[Duración Plan]]="12 Meses",LEFT(BBDD_Usiarios_Netflix[[#This Row],[Duración Plan]],2),LEFT(BBDD_Usiarios_Netflix[[#This Row],[Duración Plan]],1))</f>
        <v>1</v>
      </c>
      <c r="W10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72" spans="1:23" x14ac:dyDescent="0.25">
      <c r="A1072">
        <v>1071</v>
      </c>
      <c r="B1072" t="s">
        <v>28</v>
      </c>
      <c r="C1072">
        <v>14</v>
      </c>
      <c r="D1072" s="3">
        <v>6</v>
      </c>
      <c r="E1072" s="3">
        <v>9</v>
      </c>
      <c r="F1072">
        <v>23</v>
      </c>
      <c r="G1072" s="1">
        <f>DATEVALUE(_xlfn.CONCAT(BBDD_Usiarios_Netflix[[#This Row],[Día Suscripción]],"/",BBDD_Usiarios_Netflix[[#This Row],[Mes Suscripción]],"/",BBDD_Usiarios_Netflix[[#This Row],[Año Suscripción]]))</f>
        <v>45175</v>
      </c>
      <c r="H1072" s="1">
        <v>3</v>
      </c>
      <c r="I1072" s="1">
        <v>7</v>
      </c>
      <c r="J1072" s="1">
        <v>24</v>
      </c>
      <c r="K1072" s="1" t="str">
        <f>TEXT(BBDD_Usiarios_Netflix[[#This Row],[Fecha Suscripción]],"dddd")</f>
        <v>miércoles</v>
      </c>
      <c r="L1072" s="1">
        <f>DATEVALUE(_xlfn.CONCAT(BBDD_Usiarios_Netflix[[#This Row],[Día Último Pago]],"/",BBDD_Usiarios_Netflix[[#This Row],[Mes Último Pago]],"/",BBDD_Usiarios_Netflix[[#This Row],[Año Último Pago]]))</f>
        <v>45476</v>
      </c>
      <c r="M1072" s="4">
        <f>DATEDIF(BBDD_Usiarios_Netflix[[#This Row],[Fecha Suscripción]],BBDD_Usiarios_Netflix[[#This Row],[Fecha Último Pago]],"M")+1</f>
        <v>10</v>
      </c>
      <c r="N1072" s="4">
        <f>BBDD_Usiarios_Netflix[[#This Row],[Ingresos Mensuales]]*BBDD_Usiarios_Netflix[[#This Row],[Meses contratados]]</f>
        <v>140</v>
      </c>
      <c r="O1072" t="s">
        <v>39</v>
      </c>
      <c r="P1072" t="str">
        <f>IF(BBDD_Usiarios_Netflix[[#This Row],[País]]="","Desconocido",BBDD_Usiarios_Netflix[[#This Row],[País]])</f>
        <v>Canadá</v>
      </c>
      <c r="Q1072">
        <v>40</v>
      </c>
      <c r="R1072" t="s">
        <v>30</v>
      </c>
      <c r="S1072" t="s">
        <v>31</v>
      </c>
      <c r="T1072" t="s">
        <v>35</v>
      </c>
      <c r="U1072">
        <f>IF(IFERROR(VLOOKUP(BBDD_Usiarios_Netflix[[#This Row],[Identificador Usuario]],A1073:$A$5870,1,FALSE),0)&lt;&gt;0,1,0)</f>
        <v>0</v>
      </c>
      <c r="V1072" s="6" t="str">
        <f>IF(BBDD_Usiarios_Netflix[[#This Row],[Duración Plan]]="12 Meses",LEFT(BBDD_Usiarios_Netflix[[#This Row],[Duración Plan]],2),LEFT(BBDD_Usiarios_Netflix[[#This Row],[Duración Plan]],1))</f>
        <v>6</v>
      </c>
      <c r="W10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73" spans="1:23" x14ac:dyDescent="0.25">
      <c r="A1073">
        <v>1072</v>
      </c>
      <c r="B1073" t="s">
        <v>23</v>
      </c>
      <c r="C1073">
        <v>10</v>
      </c>
      <c r="D1073" s="3">
        <v>13</v>
      </c>
      <c r="E1073" s="3">
        <v>8</v>
      </c>
      <c r="F1073">
        <v>23</v>
      </c>
      <c r="G1073" s="1">
        <f>DATEVALUE(_xlfn.CONCAT(BBDD_Usiarios_Netflix[[#This Row],[Día Suscripción]],"/",BBDD_Usiarios_Netflix[[#This Row],[Mes Suscripción]],"/",BBDD_Usiarios_Netflix[[#This Row],[Año Suscripción]]))</f>
        <v>45151</v>
      </c>
      <c r="H1073" s="1">
        <v>3</v>
      </c>
      <c r="I1073" s="1">
        <v>7</v>
      </c>
      <c r="J1073" s="1">
        <v>24</v>
      </c>
      <c r="K1073" s="1" t="str">
        <f>TEXT(BBDD_Usiarios_Netflix[[#This Row],[Fecha Suscripción]],"dddd")</f>
        <v>domingo</v>
      </c>
      <c r="L1073" s="1">
        <f>DATEVALUE(_xlfn.CONCAT(BBDD_Usiarios_Netflix[[#This Row],[Día Último Pago]],"/",BBDD_Usiarios_Netflix[[#This Row],[Mes Último Pago]],"/",BBDD_Usiarios_Netflix[[#This Row],[Año Último Pago]]))</f>
        <v>45476</v>
      </c>
      <c r="M1073" s="4">
        <f>DATEDIF(BBDD_Usiarios_Netflix[[#This Row],[Fecha Suscripción]],BBDD_Usiarios_Netflix[[#This Row],[Fecha Último Pago]],"M")+1</f>
        <v>11</v>
      </c>
      <c r="N1073" s="4">
        <f>BBDD_Usiarios_Netflix[[#This Row],[Ingresos Mensuales]]*BBDD_Usiarios_Netflix[[#This Row],[Meses contratados]]</f>
        <v>110</v>
      </c>
      <c r="O1073" t="s">
        <v>29</v>
      </c>
      <c r="P1073" t="str">
        <f>IF(BBDD_Usiarios_Netflix[[#This Row],[País]]="","Desconocido",BBDD_Usiarios_Netflix[[#This Row],[País]])</f>
        <v>EEUU</v>
      </c>
      <c r="Q1073">
        <v>38</v>
      </c>
      <c r="R1073" t="s">
        <v>30</v>
      </c>
      <c r="S1073" t="s">
        <v>31</v>
      </c>
      <c r="T1073" t="s">
        <v>38</v>
      </c>
      <c r="U1073">
        <f>IF(IFERROR(VLOOKUP(BBDD_Usiarios_Netflix[[#This Row],[Identificador Usuario]],A1074:$A$5870,1,FALSE),0)&lt;&gt;0,1,0)</f>
        <v>0</v>
      </c>
      <c r="V1073" s="6" t="str">
        <f>IF(BBDD_Usiarios_Netflix[[#This Row],[Duración Plan]]="12 Meses",LEFT(BBDD_Usiarios_Netflix[[#This Row],[Duración Plan]],2),LEFT(BBDD_Usiarios_Netflix[[#This Row],[Duración Plan]],1))</f>
        <v>3</v>
      </c>
      <c r="W10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74" spans="1:23" x14ac:dyDescent="0.25">
      <c r="A1074">
        <v>1073</v>
      </c>
      <c r="B1074" t="s">
        <v>32</v>
      </c>
      <c r="C1074">
        <v>12</v>
      </c>
      <c r="D1074" s="3">
        <v>13</v>
      </c>
      <c r="E1074" s="3">
        <v>8</v>
      </c>
      <c r="F1074">
        <v>23</v>
      </c>
      <c r="G1074" s="1">
        <f>DATEVALUE(_xlfn.CONCAT(BBDD_Usiarios_Netflix[[#This Row],[Día Suscripción]],"/",BBDD_Usiarios_Netflix[[#This Row],[Mes Suscripción]],"/",BBDD_Usiarios_Netflix[[#This Row],[Año Suscripción]]))</f>
        <v>45151</v>
      </c>
      <c r="H1074" s="1">
        <v>1</v>
      </c>
      <c r="I1074" s="1">
        <v>7</v>
      </c>
      <c r="J1074" s="1">
        <v>24</v>
      </c>
      <c r="K1074" s="1" t="str">
        <f>TEXT(BBDD_Usiarios_Netflix[[#This Row],[Fecha Suscripción]],"dddd")</f>
        <v>domingo</v>
      </c>
      <c r="L1074" s="1">
        <f>DATEVALUE(_xlfn.CONCAT(BBDD_Usiarios_Netflix[[#This Row],[Día Último Pago]],"/",BBDD_Usiarios_Netflix[[#This Row],[Mes Último Pago]],"/",BBDD_Usiarios_Netflix[[#This Row],[Año Último Pago]]))</f>
        <v>45474</v>
      </c>
      <c r="M1074" s="4">
        <f>DATEDIF(BBDD_Usiarios_Netflix[[#This Row],[Fecha Suscripción]],BBDD_Usiarios_Netflix[[#This Row],[Fecha Último Pago]],"M")+1</f>
        <v>11</v>
      </c>
      <c r="N1074" s="4">
        <f>BBDD_Usiarios_Netflix[[#This Row],[Ingresos Mensuales]]*BBDD_Usiarios_Netflix[[#This Row],[Meses contratados]]</f>
        <v>132</v>
      </c>
      <c r="O1074" t="s">
        <v>43</v>
      </c>
      <c r="P1074" t="str">
        <f>IF(BBDD_Usiarios_Netflix[[#This Row],[País]]="","Desconocido",BBDD_Usiarios_Netflix[[#This Row],[País]])</f>
        <v>Alemania</v>
      </c>
      <c r="Q1074">
        <v>31</v>
      </c>
      <c r="R1074" t="s">
        <v>25</v>
      </c>
      <c r="S1074" t="s">
        <v>34</v>
      </c>
      <c r="T1074" t="s">
        <v>27</v>
      </c>
      <c r="U1074">
        <f>IF(IFERROR(VLOOKUP(BBDD_Usiarios_Netflix[[#This Row],[Identificador Usuario]],A1075:$A$5870,1,FALSE),0)&lt;&gt;0,1,0)</f>
        <v>0</v>
      </c>
      <c r="V1074" s="6" t="str">
        <f>IF(BBDD_Usiarios_Netflix[[#This Row],[Duración Plan]]="12 Meses",LEFT(BBDD_Usiarios_Netflix[[#This Row],[Duración Plan]],2),LEFT(BBDD_Usiarios_Netflix[[#This Row],[Duración Plan]],1))</f>
        <v>1</v>
      </c>
      <c r="W10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75" spans="1:23" x14ac:dyDescent="0.25">
      <c r="A1075">
        <v>1074</v>
      </c>
      <c r="B1075" t="s">
        <v>32</v>
      </c>
      <c r="C1075">
        <v>12</v>
      </c>
      <c r="D1075" s="3">
        <v>13</v>
      </c>
      <c r="E1075" s="3">
        <v>8</v>
      </c>
      <c r="F1075">
        <v>23</v>
      </c>
      <c r="G1075" s="1">
        <f>DATEVALUE(_xlfn.CONCAT(BBDD_Usiarios_Netflix[[#This Row],[Día Suscripción]],"/",BBDD_Usiarios_Netflix[[#This Row],[Mes Suscripción]],"/",BBDD_Usiarios_Netflix[[#This Row],[Año Suscripción]]))</f>
        <v>45151</v>
      </c>
      <c r="H1075" s="1">
        <v>2</v>
      </c>
      <c r="I1075" s="1">
        <v>7</v>
      </c>
      <c r="J1075" s="1">
        <v>24</v>
      </c>
      <c r="K1075" s="1" t="str">
        <f>TEXT(BBDD_Usiarios_Netflix[[#This Row],[Fecha Suscripción]],"dddd")</f>
        <v>domingo</v>
      </c>
      <c r="L1075" s="1">
        <f>DATEVALUE(_xlfn.CONCAT(BBDD_Usiarios_Netflix[[#This Row],[Día Último Pago]],"/",BBDD_Usiarios_Netflix[[#This Row],[Mes Último Pago]],"/",BBDD_Usiarios_Netflix[[#This Row],[Año Último Pago]]))</f>
        <v>45475</v>
      </c>
      <c r="M1075" s="4">
        <f>DATEDIF(BBDD_Usiarios_Netflix[[#This Row],[Fecha Suscripción]],BBDD_Usiarios_Netflix[[#This Row],[Fecha Último Pago]],"M")+1</f>
        <v>11</v>
      </c>
      <c r="N1075" s="4">
        <f>BBDD_Usiarios_Netflix[[#This Row],[Ingresos Mensuales]]*BBDD_Usiarios_Netflix[[#This Row],[Meses contratados]]</f>
        <v>132</v>
      </c>
      <c r="O1075" t="s">
        <v>29</v>
      </c>
      <c r="P1075" t="str">
        <f>IF(BBDD_Usiarios_Netflix[[#This Row],[País]]="","Desconocido",BBDD_Usiarios_Netflix[[#This Row],[País]])</f>
        <v>EEUU</v>
      </c>
      <c r="Q1075">
        <v>46</v>
      </c>
      <c r="R1075" t="s">
        <v>30</v>
      </c>
      <c r="S1075" t="s">
        <v>26</v>
      </c>
      <c r="T1075" t="s">
        <v>41</v>
      </c>
      <c r="U1075">
        <f>IF(IFERROR(VLOOKUP(BBDD_Usiarios_Netflix[[#This Row],[Identificador Usuario]],A1076:$A$5870,1,FALSE),0)&lt;&gt;0,1,0)</f>
        <v>0</v>
      </c>
      <c r="V1075" s="6" t="str">
        <f>IF(BBDD_Usiarios_Netflix[[#This Row],[Duración Plan]]="12 Meses",LEFT(BBDD_Usiarios_Netflix[[#This Row],[Duración Plan]],2),LEFT(BBDD_Usiarios_Netflix[[#This Row],[Duración Plan]],1))</f>
        <v>12</v>
      </c>
      <c r="W10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76" spans="1:23" x14ac:dyDescent="0.25">
      <c r="A1076">
        <v>1075</v>
      </c>
      <c r="B1076" t="s">
        <v>23</v>
      </c>
      <c r="C1076">
        <v>10</v>
      </c>
      <c r="D1076" s="3">
        <v>6</v>
      </c>
      <c r="E1076" s="3">
        <v>8</v>
      </c>
      <c r="F1076">
        <v>23</v>
      </c>
      <c r="G1076" s="1">
        <f>DATEVALUE(_xlfn.CONCAT(BBDD_Usiarios_Netflix[[#This Row],[Día Suscripción]],"/",BBDD_Usiarios_Netflix[[#This Row],[Mes Suscripción]],"/",BBDD_Usiarios_Netflix[[#This Row],[Año Suscripción]]))</f>
        <v>45144</v>
      </c>
      <c r="H1076" s="1">
        <v>3</v>
      </c>
      <c r="I1076" s="1">
        <v>7</v>
      </c>
      <c r="J1076" s="1">
        <v>24</v>
      </c>
      <c r="K1076" s="1" t="str">
        <f>TEXT(BBDD_Usiarios_Netflix[[#This Row],[Fecha Suscripción]],"dddd")</f>
        <v>domingo</v>
      </c>
      <c r="L1076" s="1">
        <f>DATEVALUE(_xlfn.CONCAT(BBDD_Usiarios_Netflix[[#This Row],[Día Último Pago]],"/",BBDD_Usiarios_Netflix[[#This Row],[Mes Último Pago]],"/",BBDD_Usiarios_Netflix[[#This Row],[Año Último Pago]]))</f>
        <v>45476</v>
      </c>
      <c r="M1076" s="4">
        <f>DATEDIF(BBDD_Usiarios_Netflix[[#This Row],[Fecha Suscripción]],BBDD_Usiarios_Netflix[[#This Row],[Fecha Último Pago]],"M")+1</f>
        <v>11</v>
      </c>
      <c r="N1076" s="4">
        <f>BBDD_Usiarios_Netflix[[#This Row],[Ingresos Mensuales]]*BBDD_Usiarios_Netflix[[#This Row],[Meses contratados]]</f>
        <v>110</v>
      </c>
      <c r="O1076" t="s">
        <v>42</v>
      </c>
      <c r="P1076" t="str">
        <f>IF(BBDD_Usiarios_Netflix[[#This Row],[País]]="","Desconocido",BBDD_Usiarios_Netflix[[#This Row],[País]])</f>
        <v>Reino Unido</v>
      </c>
      <c r="Q1076">
        <v>43</v>
      </c>
      <c r="R1076" t="s">
        <v>25</v>
      </c>
      <c r="S1076" t="s">
        <v>34</v>
      </c>
      <c r="T1076" t="s">
        <v>41</v>
      </c>
      <c r="U1076">
        <f>IF(IFERROR(VLOOKUP(BBDD_Usiarios_Netflix[[#This Row],[Identificador Usuario]],A1077:$A$5870,1,FALSE),0)&lt;&gt;0,1,0)</f>
        <v>0</v>
      </c>
      <c r="V1076" s="6" t="str">
        <f>IF(BBDD_Usiarios_Netflix[[#This Row],[Duración Plan]]="12 Meses",LEFT(BBDD_Usiarios_Netflix[[#This Row],[Duración Plan]],2),LEFT(BBDD_Usiarios_Netflix[[#This Row],[Duración Plan]],1))</f>
        <v>12</v>
      </c>
      <c r="W10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77" spans="1:23" x14ac:dyDescent="0.25">
      <c r="A1077">
        <v>1076</v>
      </c>
      <c r="B1077" t="s">
        <v>28</v>
      </c>
      <c r="C1077">
        <v>14</v>
      </c>
      <c r="D1077" s="3">
        <v>6</v>
      </c>
      <c r="E1077" s="3">
        <v>8</v>
      </c>
      <c r="F1077">
        <v>23</v>
      </c>
      <c r="G1077" s="1">
        <f>DATEVALUE(_xlfn.CONCAT(BBDD_Usiarios_Netflix[[#This Row],[Día Suscripción]],"/",BBDD_Usiarios_Netflix[[#This Row],[Mes Suscripción]],"/",BBDD_Usiarios_Netflix[[#This Row],[Año Suscripción]]))</f>
        <v>45144</v>
      </c>
      <c r="H1077" s="1">
        <v>3</v>
      </c>
      <c r="I1077" s="1">
        <v>7</v>
      </c>
      <c r="J1077" s="1">
        <v>24</v>
      </c>
      <c r="K1077" s="1" t="str">
        <f>TEXT(BBDD_Usiarios_Netflix[[#This Row],[Fecha Suscripción]],"dddd")</f>
        <v>domingo</v>
      </c>
      <c r="L1077" s="1">
        <f>DATEVALUE(_xlfn.CONCAT(BBDD_Usiarios_Netflix[[#This Row],[Día Último Pago]],"/",BBDD_Usiarios_Netflix[[#This Row],[Mes Último Pago]],"/",BBDD_Usiarios_Netflix[[#This Row],[Año Último Pago]]))</f>
        <v>45476</v>
      </c>
      <c r="M1077" s="4">
        <f>DATEDIF(BBDD_Usiarios_Netflix[[#This Row],[Fecha Suscripción]],BBDD_Usiarios_Netflix[[#This Row],[Fecha Último Pago]],"M")+1</f>
        <v>11</v>
      </c>
      <c r="N1077" s="4">
        <f>BBDD_Usiarios_Netflix[[#This Row],[Ingresos Mensuales]]*BBDD_Usiarios_Netflix[[#This Row],[Meses contratados]]</f>
        <v>154</v>
      </c>
      <c r="O1077" t="s">
        <v>24</v>
      </c>
      <c r="P1077" t="str">
        <f>IF(BBDD_Usiarios_Netflix[[#This Row],[País]]="","Desconocido",BBDD_Usiarios_Netflix[[#This Row],[País]])</f>
        <v>Australia</v>
      </c>
      <c r="Q1077">
        <v>38</v>
      </c>
      <c r="R1077" t="s">
        <v>30</v>
      </c>
      <c r="S1077" t="s">
        <v>36</v>
      </c>
      <c r="T1077" t="s">
        <v>27</v>
      </c>
      <c r="U1077">
        <f>IF(IFERROR(VLOOKUP(BBDD_Usiarios_Netflix[[#This Row],[Identificador Usuario]],A1078:$A$5870,1,FALSE),0)&lt;&gt;0,1,0)</f>
        <v>0</v>
      </c>
      <c r="V1077" s="6" t="str">
        <f>IF(BBDD_Usiarios_Netflix[[#This Row],[Duración Plan]]="12 Meses",LEFT(BBDD_Usiarios_Netflix[[#This Row],[Duración Plan]],2),LEFT(BBDD_Usiarios_Netflix[[#This Row],[Duración Plan]],1))</f>
        <v>1</v>
      </c>
      <c r="W10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78" spans="1:23" x14ac:dyDescent="0.25">
      <c r="A1078">
        <v>1077</v>
      </c>
      <c r="B1078" t="s">
        <v>23</v>
      </c>
      <c r="C1078">
        <v>10</v>
      </c>
      <c r="D1078" s="3">
        <v>22</v>
      </c>
      <c r="E1078" s="3">
        <v>7</v>
      </c>
      <c r="F1078">
        <v>23</v>
      </c>
      <c r="G1078" s="1">
        <f>DATEVALUE(_xlfn.CONCAT(BBDD_Usiarios_Netflix[[#This Row],[Día Suscripción]],"/",BBDD_Usiarios_Netflix[[#This Row],[Mes Suscripción]],"/",BBDD_Usiarios_Netflix[[#This Row],[Año Suscripción]]))</f>
        <v>45129</v>
      </c>
      <c r="H1078" s="1">
        <v>30</v>
      </c>
      <c r="I1078" s="1">
        <v>6</v>
      </c>
      <c r="J1078" s="1">
        <v>24</v>
      </c>
      <c r="K1078" s="1" t="str">
        <f>TEXT(BBDD_Usiarios_Netflix[[#This Row],[Fecha Suscripción]],"dddd")</f>
        <v>sábado</v>
      </c>
      <c r="L1078" s="1">
        <f>DATEVALUE(_xlfn.CONCAT(BBDD_Usiarios_Netflix[[#This Row],[Día Último Pago]],"/",BBDD_Usiarios_Netflix[[#This Row],[Mes Último Pago]],"/",BBDD_Usiarios_Netflix[[#This Row],[Año Último Pago]]))</f>
        <v>45473</v>
      </c>
      <c r="M1078" s="4">
        <f>DATEDIF(BBDD_Usiarios_Netflix[[#This Row],[Fecha Suscripción]],BBDD_Usiarios_Netflix[[#This Row],[Fecha Último Pago]],"M")+1</f>
        <v>12</v>
      </c>
      <c r="N1078" s="4">
        <f>BBDD_Usiarios_Netflix[[#This Row],[Ingresos Mensuales]]*BBDD_Usiarios_Netflix[[#This Row],[Meses contratados]]</f>
        <v>120</v>
      </c>
      <c r="O1078" t="s">
        <v>39</v>
      </c>
      <c r="P1078" t="str">
        <f>IF(BBDD_Usiarios_Netflix[[#This Row],[País]]="","Desconocido",BBDD_Usiarios_Netflix[[#This Row],[País]])</f>
        <v>Canadá</v>
      </c>
      <c r="Q1078">
        <v>38</v>
      </c>
      <c r="R1078" t="s">
        <v>30</v>
      </c>
      <c r="S1078" t="s">
        <v>36</v>
      </c>
      <c r="T1078" t="s">
        <v>27</v>
      </c>
      <c r="U1078">
        <f>IF(IFERROR(VLOOKUP(BBDD_Usiarios_Netflix[[#This Row],[Identificador Usuario]],A1079:$A$5870,1,FALSE),0)&lt;&gt;0,1,0)</f>
        <v>0</v>
      </c>
      <c r="V1078" s="6" t="str">
        <f>IF(BBDD_Usiarios_Netflix[[#This Row],[Duración Plan]]="12 Meses",LEFT(BBDD_Usiarios_Netflix[[#This Row],[Duración Plan]],2),LEFT(BBDD_Usiarios_Netflix[[#This Row],[Duración Plan]],1))</f>
        <v>1</v>
      </c>
      <c r="W10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79" spans="1:23" x14ac:dyDescent="0.25">
      <c r="A1079">
        <v>1078</v>
      </c>
      <c r="B1079" t="s">
        <v>32</v>
      </c>
      <c r="C1079">
        <v>12</v>
      </c>
      <c r="D1079" s="3">
        <v>17</v>
      </c>
      <c r="E1079" s="3">
        <v>7</v>
      </c>
      <c r="F1079">
        <v>23</v>
      </c>
      <c r="G1079" s="1">
        <f>DATEVALUE(_xlfn.CONCAT(BBDD_Usiarios_Netflix[[#This Row],[Día Suscripción]],"/",BBDD_Usiarios_Netflix[[#This Row],[Mes Suscripción]],"/",BBDD_Usiarios_Netflix[[#This Row],[Año Suscripción]]))</f>
        <v>45124</v>
      </c>
      <c r="H1079" s="1">
        <v>2</v>
      </c>
      <c r="I1079" s="1">
        <v>7</v>
      </c>
      <c r="J1079" s="1">
        <v>24</v>
      </c>
      <c r="K1079" s="1" t="str">
        <f>TEXT(BBDD_Usiarios_Netflix[[#This Row],[Fecha Suscripción]],"dddd")</f>
        <v>lunes</v>
      </c>
      <c r="L1079" s="1">
        <f>DATEVALUE(_xlfn.CONCAT(BBDD_Usiarios_Netflix[[#This Row],[Día Último Pago]],"/",BBDD_Usiarios_Netflix[[#This Row],[Mes Último Pago]],"/",BBDD_Usiarios_Netflix[[#This Row],[Año Último Pago]]))</f>
        <v>45475</v>
      </c>
      <c r="M1079" s="4">
        <f>DATEDIF(BBDD_Usiarios_Netflix[[#This Row],[Fecha Suscripción]],BBDD_Usiarios_Netflix[[#This Row],[Fecha Último Pago]],"M")+1</f>
        <v>12</v>
      </c>
      <c r="N1079" s="4">
        <f>BBDD_Usiarios_Netflix[[#This Row],[Ingresos Mensuales]]*BBDD_Usiarios_Netflix[[#This Row],[Meses contratados]]</f>
        <v>144</v>
      </c>
      <c r="O1079" t="s">
        <v>40</v>
      </c>
      <c r="P1079" t="str">
        <f>IF(BBDD_Usiarios_Netflix[[#This Row],[País]]="","Desconocido",BBDD_Usiarios_Netflix[[#This Row],[País]])</f>
        <v>Italia</v>
      </c>
      <c r="Q1079">
        <v>27</v>
      </c>
      <c r="R1079" t="s">
        <v>25</v>
      </c>
      <c r="S1079" t="s">
        <v>36</v>
      </c>
      <c r="T1079" t="s">
        <v>41</v>
      </c>
      <c r="U1079">
        <f>IF(IFERROR(VLOOKUP(BBDD_Usiarios_Netflix[[#This Row],[Identificador Usuario]],A1080:$A$5870,1,FALSE),0)&lt;&gt;0,1,0)</f>
        <v>0</v>
      </c>
      <c r="V1079" s="6" t="str">
        <f>IF(BBDD_Usiarios_Netflix[[#This Row],[Duración Plan]]="12 Meses",LEFT(BBDD_Usiarios_Netflix[[#This Row],[Duración Plan]],2),LEFT(BBDD_Usiarios_Netflix[[#This Row],[Duración Plan]],1))</f>
        <v>12</v>
      </c>
      <c r="W10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80" spans="1:23" x14ac:dyDescent="0.25">
      <c r="A1080">
        <v>1079</v>
      </c>
      <c r="B1080" t="s">
        <v>28</v>
      </c>
      <c r="C1080">
        <v>14</v>
      </c>
      <c r="D1080" s="3">
        <v>9</v>
      </c>
      <c r="E1080" s="3">
        <v>7</v>
      </c>
      <c r="F1080">
        <v>23</v>
      </c>
      <c r="G1080" s="1">
        <f>DATEVALUE(_xlfn.CONCAT(BBDD_Usiarios_Netflix[[#This Row],[Día Suscripción]],"/",BBDD_Usiarios_Netflix[[#This Row],[Mes Suscripción]],"/",BBDD_Usiarios_Netflix[[#This Row],[Año Suscripción]]))</f>
        <v>45116</v>
      </c>
      <c r="H1080" s="1">
        <v>2</v>
      </c>
      <c r="I1080" s="1">
        <v>7</v>
      </c>
      <c r="J1080" s="1">
        <v>24</v>
      </c>
      <c r="K1080" s="1" t="str">
        <f>TEXT(BBDD_Usiarios_Netflix[[#This Row],[Fecha Suscripción]],"dddd")</f>
        <v>domingo</v>
      </c>
      <c r="L1080" s="1">
        <f>DATEVALUE(_xlfn.CONCAT(BBDD_Usiarios_Netflix[[#This Row],[Día Último Pago]],"/",BBDD_Usiarios_Netflix[[#This Row],[Mes Último Pago]],"/",BBDD_Usiarios_Netflix[[#This Row],[Año Último Pago]]))</f>
        <v>45475</v>
      </c>
      <c r="M1080" s="4">
        <f>DATEDIF(BBDD_Usiarios_Netflix[[#This Row],[Fecha Suscripción]],BBDD_Usiarios_Netflix[[#This Row],[Fecha Último Pago]],"M")+1</f>
        <v>12</v>
      </c>
      <c r="N1080" s="4">
        <f>BBDD_Usiarios_Netflix[[#This Row],[Ingresos Mensuales]]*BBDD_Usiarios_Netflix[[#This Row],[Meses contratados]]</f>
        <v>168</v>
      </c>
      <c r="O1080" t="s">
        <v>44</v>
      </c>
      <c r="P1080" t="str">
        <f>IF(BBDD_Usiarios_Netflix[[#This Row],[País]]="","Desconocido",BBDD_Usiarios_Netflix[[#This Row],[País]])</f>
        <v>Desconocido</v>
      </c>
      <c r="Q1080">
        <v>49</v>
      </c>
      <c r="R1080" t="s">
        <v>30</v>
      </c>
      <c r="S1080" t="s">
        <v>31</v>
      </c>
      <c r="T1080" t="s">
        <v>35</v>
      </c>
      <c r="U1080">
        <f>IF(IFERROR(VLOOKUP(BBDD_Usiarios_Netflix[[#This Row],[Identificador Usuario]],A1081:$A$5870,1,FALSE),0)&lt;&gt;0,1,0)</f>
        <v>0</v>
      </c>
      <c r="V1080" s="6" t="str">
        <f>IF(BBDD_Usiarios_Netflix[[#This Row],[Duración Plan]]="12 Meses",LEFT(BBDD_Usiarios_Netflix[[#This Row],[Duración Plan]],2),LEFT(BBDD_Usiarios_Netflix[[#This Row],[Duración Plan]],1))</f>
        <v>6</v>
      </c>
      <c r="W10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81" spans="1:23" x14ac:dyDescent="0.25">
      <c r="A1081">
        <v>1080</v>
      </c>
      <c r="B1081" t="s">
        <v>23</v>
      </c>
      <c r="C1081">
        <v>10</v>
      </c>
      <c r="D1081" s="3">
        <v>4</v>
      </c>
      <c r="E1081" s="3">
        <v>7</v>
      </c>
      <c r="F1081">
        <v>23</v>
      </c>
      <c r="G1081" s="1">
        <f>DATEVALUE(_xlfn.CONCAT(BBDD_Usiarios_Netflix[[#This Row],[Día Suscripción]],"/",BBDD_Usiarios_Netflix[[#This Row],[Mes Suscripción]],"/",BBDD_Usiarios_Netflix[[#This Row],[Año Suscripción]]))</f>
        <v>45111</v>
      </c>
      <c r="H1081" s="1">
        <v>3</v>
      </c>
      <c r="I1081" s="1">
        <v>7</v>
      </c>
      <c r="J1081" s="1">
        <v>24</v>
      </c>
      <c r="K1081" s="1" t="str">
        <f>TEXT(BBDD_Usiarios_Netflix[[#This Row],[Fecha Suscripción]],"dddd")</f>
        <v>martes</v>
      </c>
      <c r="L1081" s="1">
        <f>DATEVALUE(_xlfn.CONCAT(BBDD_Usiarios_Netflix[[#This Row],[Día Último Pago]],"/",BBDD_Usiarios_Netflix[[#This Row],[Mes Último Pago]],"/",BBDD_Usiarios_Netflix[[#This Row],[Año Último Pago]]))</f>
        <v>45476</v>
      </c>
      <c r="M1081" s="4">
        <f>DATEDIF(BBDD_Usiarios_Netflix[[#This Row],[Fecha Suscripción]],BBDD_Usiarios_Netflix[[#This Row],[Fecha Último Pago]],"M")+1</f>
        <v>12</v>
      </c>
      <c r="N1081" s="4">
        <f>BBDD_Usiarios_Netflix[[#This Row],[Ingresos Mensuales]]*BBDD_Usiarios_Netflix[[#This Row],[Meses contratados]]</f>
        <v>120</v>
      </c>
      <c r="O1081" t="s">
        <v>29</v>
      </c>
      <c r="P1081" t="str">
        <f>IF(BBDD_Usiarios_Netflix[[#This Row],[País]]="","Desconocido",BBDD_Usiarios_Netflix[[#This Row],[País]])</f>
        <v>EEUU</v>
      </c>
      <c r="Q1081">
        <v>33</v>
      </c>
      <c r="R1081" t="s">
        <v>25</v>
      </c>
      <c r="S1081" t="s">
        <v>26</v>
      </c>
      <c r="T1081" t="s">
        <v>27</v>
      </c>
      <c r="U1081">
        <f>IF(IFERROR(VLOOKUP(BBDD_Usiarios_Netflix[[#This Row],[Identificador Usuario]],A1082:$A$5870,1,FALSE),0)&lt;&gt;0,1,0)</f>
        <v>0</v>
      </c>
      <c r="V1081" s="6" t="str">
        <f>IF(BBDD_Usiarios_Netflix[[#This Row],[Duración Plan]]="12 Meses",LEFT(BBDD_Usiarios_Netflix[[#This Row],[Duración Plan]],2),LEFT(BBDD_Usiarios_Netflix[[#This Row],[Duración Plan]],1))</f>
        <v>1</v>
      </c>
      <c r="W10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82" spans="1:23" x14ac:dyDescent="0.25">
      <c r="A1082">
        <v>1081</v>
      </c>
      <c r="B1082" t="s">
        <v>28</v>
      </c>
      <c r="C1082">
        <v>14</v>
      </c>
      <c r="D1082" s="3">
        <v>27</v>
      </c>
      <c r="E1082" s="3">
        <v>6</v>
      </c>
      <c r="F1082">
        <v>23</v>
      </c>
      <c r="G1082" s="1">
        <f>DATEVALUE(_xlfn.CONCAT(BBDD_Usiarios_Netflix[[#This Row],[Día Suscripción]],"/",BBDD_Usiarios_Netflix[[#This Row],[Mes Suscripción]],"/",BBDD_Usiarios_Netflix[[#This Row],[Año Suscripción]]))</f>
        <v>45104</v>
      </c>
      <c r="H1082" s="1">
        <v>30</v>
      </c>
      <c r="I1082" s="1">
        <v>6</v>
      </c>
      <c r="J1082" s="1">
        <v>24</v>
      </c>
      <c r="K1082" s="1" t="str">
        <f>TEXT(BBDD_Usiarios_Netflix[[#This Row],[Fecha Suscripción]],"dddd")</f>
        <v>martes</v>
      </c>
      <c r="L1082" s="1">
        <f>DATEVALUE(_xlfn.CONCAT(BBDD_Usiarios_Netflix[[#This Row],[Día Último Pago]],"/",BBDD_Usiarios_Netflix[[#This Row],[Mes Último Pago]],"/",BBDD_Usiarios_Netflix[[#This Row],[Año Último Pago]]))</f>
        <v>45473</v>
      </c>
      <c r="M1082" s="4">
        <f>DATEDIF(BBDD_Usiarios_Netflix[[#This Row],[Fecha Suscripción]],BBDD_Usiarios_Netflix[[#This Row],[Fecha Último Pago]],"M")+1</f>
        <v>13</v>
      </c>
      <c r="N1082" s="4">
        <f>BBDD_Usiarios_Netflix[[#This Row],[Ingresos Mensuales]]*BBDD_Usiarios_Netflix[[#This Row],[Meses contratados]]</f>
        <v>182</v>
      </c>
      <c r="O1082" t="s">
        <v>29</v>
      </c>
      <c r="P1082" t="str">
        <f>IF(BBDD_Usiarios_Netflix[[#This Row],[País]]="","Desconocido",BBDD_Usiarios_Netflix[[#This Row],[País]])</f>
        <v>EEUU</v>
      </c>
      <c r="Q1082">
        <v>40</v>
      </c>
      <c r="R1082" t="s">
        <v>30</v>
      </c>
      <c r="S1082" t="s">
        <v>26</v>
      </c>
      <c r="T1082" t="s">
        <v>27</v>
      </c>
      <c r="U1082">
        <f>IF(IFERROR(VLOOKUP(BBDD_Usiarios_Netflix[[#This Row],[Identificador Usuario]],A1083:$A$5870,1,FALSE),0)&lt;&gt;0,1,0)</f>
        <v>0</v>
      </c>
      <c r="V1082" s="6" t="str">
        <f>IF(BBDD_Usiarios_Netflix[[#This Row],[Duración Plan]]="12 Meses",LEFT(BBDD_Usiarios_Netflix[[#This Row],[Duración Plan]],2),LEFT(BBDD_Usiarios_Netflix[[#This Row],[Duración Plan]],1))</f>
        <v>1</v>
      </c>
      <c r="W10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83" spans="1:23" x14ac:dyDescent="0.25">
      <c r="A1083">
        <v>1082</v>
      </c>
      <c r="B1083" t="s">
        <v>23</v>
      </c>
      <c r="C1083">
        <v>10</v>
      </c>
      <c r="D1083" s="3">
        <v>28</v>
      </c>
      <c r="E1083" s="3">
        <v>6</v>
      </c>
      <c r="F1083">
        <v>23</v>
      </c>
      <c r="G1083" s="1">
        <f>DATEVALUE(_xlfn.CONCAT(BBDD_Usiarios_Netflix[[#This Row],[Día Suscripción]],"/",BBDD_Usiarios_Netflix[[#This Row],[Mes Suscripción]],"/",BBDD_Usiarios_Netflix[[#This Row],[Año Suscripción]]))</f>
        <v>45105</v>
      </c>
      <c r="H1083" s="1">
        <v>2</v>
      </c>
      <c r="I1083" s="1">
        <v>7</v>
      </c>
      <c r="J1083" s="1">
        <v>24</v>
      </c>
      <c r="K1083" s="1" t="str">
        <f>TEXT(BBDD_Usiarios_Netflix[[#This Row],[Fecha Suscripción]],"dddd")</f>
        <v>miércoles</v>
      </c>
      <c r="L1083" s="1">
        <f>DATEVALUE(_xlfn.CONCAT(BBDD_Usiarios_Netflix[[#This Row],[Día Último Pago]],"/",BBDD_Usiarios_Netflix[[#This Row],[Mes Último Pago]],"/",BBDD_Usiarios_Netflix[[#This Row],[Año Último Pago]]))</f>
        <v>45475</v>
      </c>
      <c r="M1083" s="4">
        <f>DATEDIF(BBDD_Usiarios_Netflix[[#This Row],[Fecha Suscripción]],BBDD_Usiarios_Netflix[[#This Row],[Fecha Último Pago]],"M")+1</f>
        <v>13</v>
      </c>
      <c r="N1083" s="4">
        <f>BBDD_Usiarios_Netflix[[#This Row],[Ingresos Mensuales]]*BBDD_Usiarios_Netflix[[#This Row],[Meses contratados]]</f>
        <v>130</v>
      </c>
      <c r="O1083" t="s">
        <v>29</v>
      </c>
      <c r="P1083" t="str">
        <f>IF(BBDD_Usiarios_Netflix[[#This Row],[País]]="","Desconocido",BBDD_Usiarios_Netflix[[#This Row],[País]])</f>
        <v>EEUU</v>
      </c>
      <c r="Q1083">
        <v>27</v>
      </c>
      <c r="R1083" t="s">
        <v>25</v>
      </c>
      <c r="S1083" t="s">
        <v>31</v>
      </c>
      <c r="T1083" t="s">
        <v>38</v>
      </c>
      <c r="U1083">
        <f>IF(IFERROR(VLOOKUP(BBDD_Usiarios_Netflix[[#This Row],[Identificador Usuario]],A1084:$A$5870,1,FALSE),0)&lt;&gt;0,1,0)</f>
        <v>0</v>
      </c>
      <c r="V1083" s="6" t="str">
        <f>IF(BBDD_Usiarios_Netflix[[#This Row],[Duración Plan]]="12 Meses",LEFT(BBDD_Usiarios_Netflix[[#This Row],[Duración Plan]],2),LEFT(BBDD_Usiarios_Netflix[[#This Row],[Duración Plan]],1))</f>
        <v>3</v>
      </c>
      <c r="W10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84" spans="1:23" x14ac:dyDescent="0.25">
      <c r="A1084">
        <v>1083</v>
      </c>
      <c r="B1084" t="s">
        <v>32</v>
      </c>
      <c r="C1084">
        <v>12</v>
      </c>
      <c r="D1084" s="3">
        <v>28</v>
      </c>
      <c r="E1084" s="3">
        <v>6</v>
      </c>
      <c r="F1084">
        <v>23</v>
      </c>
      <c r="G1084" s="1">
        <f>DATEVALUE(_xlfn.CONCAT(BBDD_Usiarios_Netflix[[#This Row],[Día Suscripción]],"/",BBDD_Usiarios_Netflix[[#This Row],[Mes Suscripción]],"/",BBDD_Usiarios_Netflix[[#This Row],[Año Suscripción]]))</f>
        <v>45105</v>
      </c>
      <c r="H1084" s="1">
        <v>2</v>
      </c>
      <c r="I1084" s="1">
        <v>7</v>
      </c>
      <c r="J1084" s="1">
        <v>24</v>
      </c>
      <c r="K1084" s="1" t="str">
        <f>TEXT(BBDD_Usiarios_Netflix[[#This Row],[Fecha Suscripción]],"dddd")</f>
        <v>miércoles</v>
      </c>
      <c r="L1084" s="1">
        <f>DATEVALUE(_xlfn.CONCAT(BBDD_Usiarios_Netflix[[#This Row],[Día Último Pago]],"/",BBDD_Usiarios_Netflix[[#This Row],[Mes Último Pago]],"/",BBDD_Usiarios_Netflix[[#This Row],[Año Último Pago]]))</f>
        <v>45475</v>
      </c>
      <c r="M1084" s="4">
        <f>DATEDIF(BBDD_Usiarios_Netflix[[#This Row],[Fecha Suscripción]],BBDD_Usiarios_Netflix[[#This Row],[Fecha Último Pago]],"M")+1</f>
        <v>13</v>
      </c>
      <c r="N1084" s="4">
        <f>BBDD_Usiarios_Netflix[[#This Row],[Ingresos Mensuales]]*BBDD_Usiarios_Netflix[[#This Row],[Meses contratados]]</f>
        <v>156</v>
      </c>
      <c r="O1084" t="s">
        <v>43</v>
      </c>
      <c r="P1084" t="str">
        <f>IF(BBDD_Usiarios_Netflix[[#This Row],[País]]="","Desconocido",BBDD_Usiarios_Netflix[[#This Row],[País]])</f>
        <v>Alemania</v>
      </c>
      <c r="Q1084">
        <v>28</v>
      </c>
      <c r="R1084" t="s">
        <v>30</v>
      </c>
      <c r="S1084" t="s">
        <v>36</v>
      </c>
      <c r="T1084" t="s">
        <v>35</v>
      </c>
      <c r="U1084">
        <f>IF(IFERROR(VLOOKUP(BBDD_Usiarios_Netflix[[#This Row],[Identificador Usuario]],A1085:$A$5870,1,FALSE),0)&lt;&gt;0,1,0)</f>
        <v>0</v>
      </c>
      <c r="V1084" s="6" t="str">
        <f>IF(BBDD_Usiarios_Netflix[[#This Row],[Duración Plan]]="12 Meses",LEFT(BBDD_Usiarios_Netflix[[#This Row],[Duración Plan]],2),LEFT(BBDD_Usiarios_Netflix[[#This Row],[Duración Plan]],1))</f>
        <v>6</v>
      </c>
      <c r="W10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85" spans="1:23" x14ac:dyDescent="0.25">
      <c r="A1085">
        <v>1084</v>
      </c>
      <c r="B1085" t="s">
        <v>32</v>
      </c>
      <c r="C1085">
        <v>12</v>
      </c>
      <c r="D1085" s="3">
        <v>29</v>
      </c>
      <c r="E1085" s="3">
        <v>6</v>
      </c>
      <c r="F1085">
        <v>23</v>
      </c>
      <c r="G1085" s="1">
        <f>DATEVALUE(_xlfn.CONCAT(BBDD_Usiarios_Netflix[[#This Row],[Día Suscripción]],"/",BBDD_Usiarios_Netflix[[#This Row],[Mes Suscripción]],"/",BBDD_Usiarios_Netflix[[#This Row],[Año Suscripción]]))</f>
        <v>45106</v>
      </c>
      <c r="H1085" s="1">
        <v>3</v>
      </c>
      <c r="I1085" s="1">
        <v>7</v>
      </c>
      <c r="J1085" s="1">
        <v>24</v>
      </c>
      <c r="K1085" s="1" t="str">
        <f>TEXT(BBDD_Usiarios_Netflix[[#This Row],[Fecha Suscripción]],"dddd")</f>
        <v>jueves</v>
      </c>
      <c r="L1085" s="1">
        <f>DATEVALUE(_xlfn.CONCAT(BBDD_Usiarios_Netflix[[#This Row],[Día Último Pago]],"/",BBDD_Usiarios_Netflix[[#This Row],[Mes Último Pago]],"/",BBDD_Usiarios_Netflix[[#This Row],[Año Último Pago]]))</f>
        <v>45476</v>
      </c>
      <c r="M1085" s="4">
        <f>DATEDIF(BBDD_Usiarios_Netflix[[#This Row],[Fecha Suscripción]],BBDD_Usiarios_Netflix[[#This Row],[Fecha Último Pago]],"M")+1</f>
        <v>13</v>
      </c>
      <c r="N1085" s="4">
        <f>BBDD_Usiarios_Netflix[[#This Row],[Ingresos Mensuales]]*BBDD_Usiarios_Netflix[[#This Row],[Meses contratados]]</f>
        <v>156</v>
      </c>
      <c r="O1085" t="s">
        <v>44</v>
      </c>
      <c r="P1085" t="str">
        <f>IF(BBDD_Usiarios_Netflix[[#This Row],[País]]="","Desconocido",BBDD_Usiarios_Netflix[[#This Row],[País]])</f>
        <v>Desconocido</v>
      </c>
      <c r="Q1085">
        <v>30</v>
      </c>
      <c r="R1085" t="s">
        <v>25</v>
      </c>
      <c r="S1085" t="s">
        <v>26</v>
      </c>
      <c r="T1085" t="s">
        <v>27</v>
      </c>
      <c r="U1085">
        <f>IF(IFERROR(VLOOKUP(BBDD_Usiarios_Netflix[[#This Row],[Identificador Usuario]],A1086:$A$5870,1,FALSE),0)&lt;&gt;0,1,0)</f>
        <v>0</v>
      </c>
      <c r="V1085" s="6" t="str">
        <f>IF(BBDD_Usiarios_Netflix[[#This Row],[Duración Plan]]="12 Meses",LEFT(BBDD_Usiarios_Netflix[[#This Row],[Duración Plan]],2),LEFT(BBDD_Usiarios_Netflix[[#This Row],[Duración Plan]],1))</f>
        <v>1</v>
      </c>
      <c r="W10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86" spans="1:23" x14ac:dyDescent="0.25">
      <c r="A1086">
        <v>1085</v>
      </c>
      <c r="B1086" t="s">
        <v>23</v>
      </c>
      <c r="C1086">
        <v>10</v>
      </c>
      <c r="D1086" s="3">
        <v>29</v>
      </c>
      <c r="E1086" s="3">
        <v>6</v>
      </c>
      <c r="F1086">
        <v>23</v>
      </c>
      <c r="G1086" s="1">
        <f>DATEVALUE(_xlfn.CONCAT(BBDD_Usiarios_Netflix[[#This Row],[Día Suscripción]],"/",BBDD_Usiarios_Netflix[[#This Row],[Mes Suscripción]],"/",BBDD_Usiarios_Netflix[[#This Row],[Año Suscripción]]))</f>
        <v>45106</v>
      </c>
      <c r="H1086" s="1">
        <v>30</v>
      </c>
      <c r="I1086" s="1">
        <v>6</v>
      </c>
      <c r="J1086" s="1">
        <v>24</v>
      </c>
      <c r="K1086" s="1" t="str">
        <f>TEXT(BBDD_Usiarios_Netflix[[#This Row],[Fecha Suscripción]],"dddd")</f>
        <v>jueves</v>
      </c>
      <c r="L1086" s="1">
        <f>DATEVALUE(_xlfn.CONCAT(BBDD_Usiarios_Netflix[[#This Row],[Día Último Pago]],"/",BBDD_Usiarios_Netflix[[#This Row],[Mes Último Pago]],"/",BBDD_Usiarios_Netflix[[#This Row],[Año Último Pago]]))</f>
        <v>45473</v>
      </c>
      <c r="M1086" s="4">
        <f>DATEDIF(BBDD_Usiarios_Netflix[[#This Row],[Fecha Suscripción]],BBDD_Usiarios_Netflix[[#This Row],[Fecha Último Pago]],"M")+1</f>
        <v>13</v>
      </c>
      <c r="N1086" s="4">
        <f>BBDD_Usiarios_Netflix[[#This Row],[Ingresos Mensuales]]*BBDD_Usiarios_Netflix[[#This Row],[Meses contratados]]</f>
        <v>130</v>
      </c>
      <c r="O1086" t="s">
        <v>39</v>
      </c>
      <c r="P1086" t="str">
        <f>IF(BBDD_Usiarios_Netflix[[#This Row],[País]]="","Desconocido",BBDD_Usiarios_Netflix[[#This Row],[País]])</f>
        <v>Canadá</v>
      </c>
      <c r="Q1086">
        <v>33</v>
      </c>
      <c r="R1086" t="s">
        <v>30</v>
      </c>
      <c r="S1086" t="s">
        <v>26</v>
      </c>
      <c r="T1086" t="s">
        <v>27</v>
      </c>
      <c r="U1086">
        <f>IF(IFERROR(VLOOKUP(BBDD_Usiarios_Netflix[[#This Row],[Identificador Usuario]],A1087:$A$5870,1,FALSE),0)&lt;&gt;0,1,0)</f>
        <v>0</v>
      </c>
      <c r="V1086" s="6" t="str">
        <f>IF(BBDD_Usiarios_Netflix[[#This Row],[Duración Plan]]="12 Meses",LEFT(BBDD_Usiarios_Netflix[[#This Row],[Duración Plan]],2),LEFT(BBDD_Usiarios_Netflix[[#This Row],[Duración Plan]],1))</f>
        <v>1</v>
      </c>
      <c r="W10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87" spans="1:23" x14ac:dyDescent="0.25">
      <c r="A1087">
        <v>1086</v>
      </c>
      <c r="B1087" t="s">
        <v>28</v>
      </c>
      <c r="C1087">
        <v>14</v>
      </c>
      <c r="D1087" s="3">
        <v>26</v>
      </c>
      <c r="E1087" s="3">
        <v>6</v>
      </c>
      <c r="F1087">
        <v>23</v>
      </c>
      <c r="G1087" s="1">
        <f>DATEVALUE(_xlfn.CONCAT(BBDD_Usiarios_Netflix[[#This Row],[Día Suscripción]],"/",BBDD_Usiarios_Netflix[[#This Row],[Mes Suscripción]],"/",BBDD_Usiarios_Netflix[[#This Row],[Año Suscripción]]))</f>
        <v>45103</v>
      </c>
      <c r="H1087" s="1">
        <v>1</v>
      </c>
      <c r="I1087" s="1">
        <v>7</v>
      </c>
      <c r="J1087" s="1">
        <v>24</v>
      </c>
      <c r="K1087" s="1" t="str">
        <f>TEXT(BBDD_Usiarios_Netflix[[#This Row],[Fecha Suscripción]],"dddd")</f>
        <v>lunes</v>
      </c>
      <c r="L1087" s="1">
        <f>DATEVALUE(_xlfn.CONCAT(BBDD_Usiarios_Netflix[[#This Row],[Día Último Pago]],"/",BBDD_Usiarios_Netflix[[#This Row],[Mes Último Pago]],"/",BBDD_Usiarios_Netflix[[#This Row],[Año Último Pago]]))</f>
        <v>45474</v>
      </c>
      <c r="M1087" s="4">
        <f>DATEDIF(BBDD_Usiarios_Netflix[[#This Row],[Fecha Suscripción]],BBDD_Usiarios_Netflix[[#This Row],[Fecha Último Pago]],"M")+1</f>
        <v>13</v>
      </c>
      <c r="N1087" s="4">
        <f>BBDD_Usiarios_Netflix[[#This Row],[Ingresos Mensuales]]*BBDD_Usiarios_Netflix[[#This Row],[Meses contratados]]</f>
        <v>182</v>
      </c>
      <c r="O1087" t="s">
        <v>43</v>
      </c>
      <c r="P1087" t="str">
        <f>IF(BBDD_Usiarios_Netflix[[#This Row],[País]]="","Desconocido",BBDD_Usiarios_Netflix[[#This Row],[País]])</f>
        <v>Alemania</v>
      </c>
      <c r="Q1087">
        <v>51</v>
      </c>
      <c r="R1087" t="s">
        <v>30</v>
      </c>
      <c r="S1087" t="s">
        <v>31</v>
      </c>
      <c r="T1087" t="s">
        <v>27</v>
      </c>
      <c r="U1087">
        <f>IF(IFERROR(VLOOKUP(BBDD_Usiarios_Netflix[[#This Row],[Identificador Usuario]],A1088:$A$5870,1,FALSE),0)&lt;&gt;0,1,0)</f>
        <v>0</v>
      </c>
      <c r="V1087" s="6" t="str">
        <f>IF(BBDD_Usiarios_Netflix[[#This Row],[Duración Plan]]="12 Meses",LEFT(BBDD_Usiarios_Netflix[[#This Row],[Duración Plan]],2),LEFT(BBDD_Usiarios_Netflix[[#This Row],[Duración Plan]],1))</f>
        <v>1</v>
      </c>
      <c r="W10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88" spans="1:23" x14ac:dyDescent="0.25">
      <c r="A1088">
        <v>1087</v>
      </c>
      <c r="B1088" t="s">
        <v>23</v>
      </c>
      <c r="C1088">
        <v>10</v>
      </c>
      <c r="D1088" s="3">
        <v>26</v>
      </c>
      <c r="E1088" s="3">
        <v>6</v>
      </c>
      <c r="F1088">
        <v>23</v>
      </c>
      <c r="G1088" s="1">
        <f>DATEVALUE(_xlfn.CONCAT(BBDD_Usiarios_Netflix[[#This Row],[Día Suscripción]],"/",BBDD_Usiarios_Netflix[[#This Row],[Mes Suscripción]],"/",BBDD_Usiarios_Netflix[[#This Row],[Año Suscripción]]))</f>
        <v>45103</v>
      </c>
      <c r="H1088" s="1">
        <v>3</v>
      </c>
      <c r="I1088" s="1">
        <v>7</v>
      </c>
      <c r="J1088" s="1">
        <v>24</v>
      </c>
      <c r="K1088" s="1" t="str">
        <f>TEXT(BBDD_Usiarios_Netflix[[#This Row],[Fecha Suscripción]],"dddd")</f>
        <v>lunes</v>
      </c>
      <c r="L1088" s="1">
        <f>DATEVALUE(_xlfn.CONCAT(BBDD_Usiarios_Netflix[[#This Row],[Día Último Pago]],"/",BBDD_Usiarios_Netflix[[#This Row],[Mes Último Pago]],"/",BBDD_Usiarios_Netflix[[#This Row],[Año Último Pago]]))</f>
        <v>45476</v>
      </c>
      <c r="M1088" s="4">
        <f>DATEDIF(BBDD_Usiarios_Netflix[[#This Row],[Fecha Suscripción]],BBDD_Usiarios_Netflix[[#This Row],[Fecha Último Pago]],"M")+1</f>
        <v>13</v>
      </c>
      <c r="N1088" s="4">
        <f>BBDD_Usiarios_Netflix[[#This Row],[Ingresos Mensuales]]*BBDD_Usiarios_Netflix[[#This Row],[Meses contratados]]</f>
        <v>130</v>
      </c>
      <c r="O1088" t="s">
        <v>24</v>
      </c>
      <c r="P1088" t="str">
        <f>IF(BBDD_Usiarios_Netflix[[#This Row],[País]]="","Desconocido",BBDD_Usiarios_Netflix[[#This Row],[País]])</f>
        <v>Australia</v>
      </c>
      <c r="Q1088">
        <v>51</v>
      </c>
      <c r="R1088" t="s">
        <v>25</v>
      </c>
      <c r="S1088" t="s">
        <v>31</v>
      </c>
      <c r="T1088" t="s">
        <v>27</v>
      </c>
      <c r="U1088">
        <f>IF(IFERROR(VLOOKUP(BBDD_Usiarios_Netflix[[#This Row],[Identificador Usuario]],A1089:$A$5870,1,FALSE),0)&lt;&gt;0,1,0)</f>
        <v>0</v>
      </c>
      <c r="V1088" s="6" t="str">
        <f>IF(BBDD_Usiarios_Netflix[[#This Row],[Duración Plan]]="12 Meses",LEFT(BBDD_Usiarios_Netflix[[#This Row],[Duración Plan]],2),LEFT(BBDD_Usiarios_Netflix[[#This Row],[Duración Plan]],1))</f>
        <v>1</v>
      </c>
      <c r="W10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89" spans="1:23" x14ac:dyDescent="0.25">
      <c r="A1089">
        <v>1088</v>
      </c>
      <c r="B1089" t="s">
        <v>32</v>
      </c>
      <c r="C1089">
        <v>12</v>
      </c>
      <c r="D1089" s="3">
        <v>26</v>
      </c>
      <c r="E1089" s="3">
        <v>6</v>
      </c>
      <c r="F1089">
        <v>23</v>
      </c>
      <c r="G1089" s="1">
        <f>DATEVALUE(_xlfn.CONCAT(BBDD_Usiarios_Netflix[[#This Row],[Día Suscripción]],"/",BBDD_Usiarios_Netflix[[#This Row],[Mes Suscripción]],"/",BBDD_Usiarios_Netflix[[#This Row],[Año Suscripción]]))</f>
        <v>45103</v>
      </c>
      <c r="H1089" s="1">
        <v>2</v>
      </c>
      <c r="I1089" s="1">
        <v>7</v>
      </c>
      <c r="J1089" s="1">
        <v>24</v>
      </c>
      <c r="K1089" s="1" t="str">
        <f>TEXT(BBDD_Usiarios_Netflix[[#This Row],[Fecha Suscripción]],"dddd")</f>
        <v>lunes</v>
      </c>
      <c r="L1089" s="1">
        <f>DATEVALUE(_xlfn.CONCAT(BBDD_Usiarios_Netflix[[#This Row],[Día Último Pago]],"/",BBDD_Usiarios_Netflix[[#This Row],[Mes Último Pago]],"/",BBDD_Usiarios_Netflix[[#This Row],[Año Último Pago]]))</f>
        <v>45475</v>
      </c>
      <c r="M1089" s="4">
        <f>DATEDIF(BBDD_Usiarios_Netflix[[#This Row],[Fecha Suscripción]],BBDD_Usiarios_Netflix[[#This Row],[Fecha Último Pago]],"M")+1</f>
        <v>13</v>
      </c>
      <c r="N1089" s="4">
        <f>BBDD_Usiarios_Netflix[[#This Row],[Ingresos Mensuales]]*BBDD_Usiarios_Netflix[[#This Row],[Meses contratados]]</f>
        <v>156</v>
      </c>
      <c r="O1089" t="s">
        <v>33</v>
      </c>
      <c r="P1089" t="str">
        <f>IF(BBDD_Usiarios_Netflix[[#This Row],[País]]="","Desconocido",BBDD_Usiarios_Netflix[[#This Row],[País]])</f>
        <v>Francia</v>
      </c>
      <c r="Q1089">
        <v>50</v>
      </c>
      <c r="R1089" t="s">
        <v>30</v>
      </c>
      <c r="S1089" t="s">
        <v>26</v>
      </c>
      <c r="T1089" t="s">
        <v>35</v>
      </c>
      <c r="U1089">
        <f>IF(IFERROR(VLOOKUP(BBDD_Usiarios_Netflix[[#This Row],[Identificador Usuario]],A1090:$A$5870,1,FALSE),0)&lt;&gt;0,1,0)</f>
        <v>0</v>
      </c>
      <c r="V1089" s="6" t="str">
        <f>IF(BBDD_Usiarios_Netflix[[#This Row],[Duración Plan]]="12 Meses",LEFT(BBDD_Usiarios_Netflix[[#This Row],[Duración Plan]],2),LEFT(BBDD_Usiarios_Netflix[[#This Row],[Duración Plan]],1))</f>
        <v>6</v>
      </c>
      <c r="W10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90" spans="1:23" x14ac:dyDescent="0.25">
      <c r="A1090">
        <v>1089</v>
      </c>
      <c r="B1090" t="s">
        <v>28</v>
      </c>
      <c r="C1090">
        <v>14</v>
      </c>
      <c r="D1090" s="3">
        <v>24</v>
      </c>
      <c r="E1090" s="3">
        <v>6</v>
      </c>
      <c r="F1090">
        <v>23</v>
      </c>
      <c r="G1090" s="1">
        <f>DATEVALUE(_xlfn.CONCAT(BBDD_Usiarios_Netflix[[#This Row],[Día Suscripción]],"/",BBDD_Usiarios_Netflix[[#This Row],[Mes Suscripción]],"/",BBDD_Usiarios_Netflix[[#This Row],[Año Suscripción]]))</f>
        <v>45101</v>
      </c>
      <c r="H1090" s="1">
        <v>30</v>
      </c>
      <c r="I1090" s="1">
        <v>6</v>
      </c>
      <c r="J1090" s="1">
        <v>24</v>
      </c>
      <c r="K1090" s="1" t="str">
        <f>TEXT(BBDD_Usiarios_Netflix[[#This Row],[Fecha Suscripción]],"dddd")</f>
        <v>sábado</v>
      </c>
      <c r="L1090" s="1">
        <f>DATEVALUE(_xlfn.CONCAT(BBDD_Usiarios_Netflix[[#This Row],[Día Último Pago]],"/",BBDD_Usiarios_Netflix[[#This Row],[Mes Último Pago]],"/",BBDD_Usiarios_Netflix[[#This Row],[Año Último Pago]]))</f>
        <v>45473</v>
      </c>
      <c r="M1090" s="4">
        <f>DATEDIF(BBDD_Usiarios_Netflix[[#This Row],[Fecha Suscripción]],BBDD_Usiarios_Netflix[[#This Row],[Fecha Último Pago]],"M")+1</f>
        <v>13</v>
      </c>
      <c r="N1090" s="4">
        <f>BBDD_Usiarios_Netflix[[#This Row],[Ingresos Mensuales]]*BBDD_Usiarios_Netflix[[#This Row],[Meses contratados]]</f>
        <v>182</v>
      </c>
      <c r="O1090" t="s">
        <v>39</v>
      </c>
      <c r="P1090" t="str">
        <f>IF(BBDD_Usiarios_Netflix[[#This Row],[País]]="","Desconocido",BBDD_Usiarios_Netflix[[#This Row],[País]])</f>
        <v>Canadá</v>
      </c>
      <c r="Q1090">
        <v>46</v>
      </c>
      <c r="R1090" t="s">
        <v>30</v>
      </c>
      <c r="S1090" t="s">
        <v>31</v>
      </c>
      <c r="T1090" t="s">
        <v>27</v>
      </c>
      <c r="U1090">
        <f>IF(IFERROR(VLOOKUP(BBDD_Usiarios_Netflix[[#This Row],[Identificador Usuario]],A1091:$A$5870,1,FALSE),0)&lt;&gt;0,1,0)</f>
        <v>0</v>
      </c>
      <c r="V1090" s="6" t="str">
        <f>IF(BBDD_Usiarios_Netflix[[#This Row],[Duración Plan]]="12 Meses",LEFT(BBDD_Usiarios_Netflix[[#This Row],[Duración Plan]],2),LEFT(BBDD_Usiarios_Netflix[[#This Row],[Duración Plan]],1))</f>
        <v>1</v>
      </c>
      <c r="W10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91" spans="1:23" x14ac:dyDescent="0.25">
      <c r="A1091">
        <v>1090</v>
      </c>
      <c r="B1091" t="s">
        <v>23</v>
      </c>
      <c r="C1091">
        <v>10</v>
      </c>
      <c r="D1091" s="3">
        <v>25</v>
      </c>
      <c r="E1091" s="3">
        <v>6</v>
      </c>
      <c r="F1091">
        <v>23</v>
      </c>
      <c r="G1091" s="1">
        <f>DATEVALUE(_xlfn.CONCAT(BBDD_Usiarios_Netflix[[#This Row],[Día Suscripción]],"/",BBDD_Usiarios_Netflix[[#This Row],[Mes Suscripción]],"/",BBDD_Usiarios_Netflix[[#This Row],[Año Suscripción]]))</f>
        <v>45102</v>
      </c>
      <c r="H1091" s="1">
        <v>2</v>
      </c>
      <c r="I1091" s="1">
        <v>7</v>
      </c>
      <c r="J1091" s="1">
        <v>24</v>
      </c>
      <c r="K1091" s="1" t="str">
        <f>TEXT(BBDD_Usiarios_Netflix[[#This Row],[Fecha Suscripción]],"dddd")</f>
        <v>domingo</v>
      </c>
      <c r="L1091" s="1">
        <f>DATEVALUE(_xlfn.CONCAT(BBDD_Usiarios_Netflix[[#This Row],[Día Último Pago]],"/",BBDD_Usiarios_Netflix[[#This Row],[Mes Último Pago]],"/",BBDD_Usiarios_Netflix[[#This Row],[Año Último Pago]]))</f>
        <v>45475</v>
      </c>
      <c r="M1091" s="4">
        <f>DATEDIF(BBDD_Usiarios_Netflix[[#This Row],[Fecha Suscripción]],BBDD_Usiarios_Netflix[[#This Row],[Fecha Último Pago]],"M")+1</f>
        <v>13</v>
      </c>
      <c r="N1091" s="4">
        <f>BBDD_Usiarios_Netflix[[#This Row],[Ingresos Mensuales]]*BBDD_Usiarios_Netflix[[#This Row],[Meses contratados]]</f>
        <v>130</v>
      </c>
      <c r="O1091" t="s">
        <v>45</v>
      </c>
      <c r="P1091" t="str">
        <f>IF(BBDD_Usiarios_Netflix[[#This Row],[País]]="","Desconocido",BBDD_Usiarios_Netflix[[#This Row],[País]])</f>
        <v>España</v>
      </c>
      <c r="Q1091">
        <v>31</v>
      </c>
      <c r="R1091" t="s">
        <v>25</v>
      </c>
      <c r="S1091" t="s">
        <v>34</v>
      </c>
      <c r="T1091" t="s">
        <v>35</v>
      </c>
      <c r="U1091">
        <f>IF(IFERROR(VLOOKUP(BBDD_Usiarios_Netflix[[#This Row],[Identificador Usuario]],A1092:$A$5870,1,FALSE),0)&lt;&gt;0,1,0)</f>
        <v>0</v>
      </c>
      <c r="V1091" s="6" t="str">
        <f>IF(BBDD_Usiarios_Netflix[[#This Row],[Duración Plan]]="12 Meses",LEFT(BBDD_Usiarios_Netflix[[#This Row],[Duración Plan]],2),LEFT(BBDD_Usiarios_Netflix[[#This Row],[Duración Plan]],1))</f>
        <v>6</v>
      </c>
      <c r="W10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92" spans="1:23" x14ac:dyDescent="0.25">
      <c r="A1092">
        <v>1091</v>
      </c>
      <c r="B1092" t="s">
        <v>28</v>
      </c>
      <c r="C1092">
        <v>14</v>
      </c>
      <c r="D1092" s="3">
        <v>20</v>
      </c>
      <c r="E1092" s="3">
        <v>6</v>
      </c>
      <c r="F1092">
        <v>23</v>
      </c>
      <c r="G1092" s="1">
        <f>DATEVALUE(_xlfn.CONCAT(BBDD_Usiarios_Netflix[[#This Row],[Día Suscripción]],"/",BBDD_Usiarios_Netflix[[#This Row],[Mes Suscripción]],"/",BBDD_Usiarios_Netflix[[#This Row],[Año Suscripción]]))</f>
        <v>45097</v>
      </c>
      <c r="H1092" s="1">
        <v>3</v>
      </c>
      <c r="I1092" s="1">
        <v>7</v>
      </c>
      <c r="J1092" s="1">
        <v>24</v>
      </c>
      <c r="K1092" s="1" t="str">
        <f>TEXT(BBDD_Usiarios_Netflix[[#This Row],[Fecha Suscripción]],"dddd")</f>
        <v>martes</v>
      </c>
      <c r="L1092" s="1">
        <f>DATEVALUE(_xlfn.CONCAT(BBDD_Usiarios_Netflix[[#This Row],[Día Último Pago]],"/",BBDD_Usiarios_Netflix[[#This Row],[Mes Último Pago]],"/",BBDD_Usiarios_Netflix[[#This Row],[Año Último Pago]]))</f>
        <v>45476</v>
      </c>
      <c r="M1092" s="4">
        <f>DATEDIF(BBDD_Usiarios_Netflix[[#This Row],[Fecha Suscripción]],BBDD_Usiarios_Netflix[[#This Row],[Fecha Último Pago]],"M")+1</f>
        <v>13</v>
      </c>
      <c r="N1092" s="4">
        <f>BBDD_Usiarios_Netflix[[#This Row],[Ingresos Mensuales]]*BBDD_Usiarios_Netflix[[#This Row],[Meses contratados]]</f>
        <v>182</v>
      </c>
      <c r="O1092" t="s">
        <v>43</v>
      </c>
      <c r="P1092" t="str">
        <f>IF(BBDD_Usiarios_Netflix[[#This Row],[País]]="","Desconocido",BBDD_Usiarios_Netflix[[#This Row],[País]])</f>
        <v>Alemania</v>
      </c>
      <c r="Q1092">
        <v>46</v>
      </c>
      <c r="R1092" t="s">
        <v>30</v>
      </c>
      <c r="S1092" t="s">
        <v>26</v>
      </c>
      <c r="T1092" t="s">
        <v>41</v>
      </c>
      <c r="U1092">
        <f>IF(IFERROR(VLOOKUP(BBDD_Usiarios_Netflix[[#This Row],[Identificador Usuario]],A1093:$A$5870,1,FALSE),0)&lt;&gt;0,1,0)</f>
        <v>0</v>
      </c>
      <c r="V1092" s="6" t="str">
        <f>IF(BBDD_Usiarios_Netflix[[#This Row],[Duración Plan]]="12 Meses",LEFT(BBDD_Usiarios_Netflix[[#This Row],[Duración Plan]],2),LEFT(BBDD_Usiarios_Netflix[[#This Row],[Duración Plan]],1))</f>
        <v>12</v>
      </c>
      <c r="W10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093" spans="1:23" x14ac:dyDescent="0.25">
      <c r="A1093">
        <v>1092</v>
      </c>
      <c r="B1093" t="s">
        <v>23</v>
      </c>
      <c r="C1093">
        <v>10</v>
      </c>
      <c r="D1093" s="3">
        <v>21</v>
      </c>
      <c r="E1093" s="3">
        <v>6</v>
      </c>
      <c r="F1093">
        <v>23</v>
      </c>
      <c r="G1093" s="1">
        <f>DATEVALUE(_xlfn.CONCAT(BBDD_Usiarios_Netflix[[#This Row],[Día Suscripción]],"/",BBDD_Usiarios_Netflix[[#This Row],[Mes Suscripción]],"/",BBDD_Usiarios_Netflix[[#This Row],[Año Suscripción]]))</f>
        <v>45098</v>
      </c>
      <c r="H1093" s="1">
        <v>2</v>
      </c>
      <c r="I1093" s="1">
        <v>7</v>
      </c>
      <c r="J1093" s="1">
        <v>24</v>
      </c>
      <c r="K1093" s="1" t="str">
        <f>TEXT(BBDD_Usiarios_Netflix[[#This Row],[Fecha Suscripción]],"dddd")</f>
        <v>miércoles</v>
      </c>
      <c r="L1093" s="1">
        <f>DATEVALUE(_xlfn.CONCAT(BBDD_Usiarios_Netflix[[#This Row],[Día Último Pago]],"/",BBDD_Usiarios_Netflix[[#This Row],[Mes Último Pago]],"/",BBDD_Usiarios_Netflix[[#This Row],[Año Último Pago]]))</f>
        <v>45475</v>
      </c>
      <c r="M1093" s="4">
        <f>DATEDIF(BBDD_Usiarios_Netflix[[#This Row],[Fecha Suscripción]],BBDD_Usiarios_Netflix[[#This Row],[Fecha Último Pago]],"M")+1</f>
        <v>13</v>
      </c>
      <c r="N1093" s="4">
        <f>BBDD_Usiarios_Netflix[[#This Row],[Ingresos Mensuales]]*BBDD_Usiarios_Netflix[[#This Row],[Meses contratados]]</f>
        <v>130</v>
      </c>
      <c r="O1093" t="s">
        <v>24</v>
      </c>
      <c r="P1093" t="str">
        <f>IF(BBDD_Usiarios_Netflix[[#This Row],[País]]="","Desconocido",BBDD_Usiarios_Netflix[[#This Row],[País]])</f>
        <v>Australia</v>
      </c>
      <c r="Q1093">
        <v>41</v>
      </c>
      <c r="R1093" t="s">
        <v>25</v>
      </c>
      <c r="S1093" t="s">
        <v>34</v>
      </c>
      <c r="T1093" t="s">
        <v>38</v>
      </c>
      <c r="U1093">
        <f>IF(IFERROR(VLOOKUP(BBDD_Usiarios_Netflix[[#This Row],[Identificador Usuario]],A1094:$A$5870,1,FALSE),0)&lt;&gt;0,1,0)</f>
        <v>0</v>
      </c>
      <c r="V1093" s="6" t="str">
        <f>IF(BBDD_Usiarios_Netflix[[#This Row],[Duración Plan]]="12 Meses",LEFT(BBDD_Usiarios_Netflix[[#This Row],[Duración Plan]],2),LEFT(BBDD_Usiarios_Netflix[[#This Row],[Duración Plan]],1))</f>
        <v>3</v>
      </c>
      <c r="W10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94" spans="1:23" x14ac:dyDescent="0.25">
      <c r="A1094">
        <v>1093</v>
      </c>
      <c r="B1094" t="s">
        <v>32</v>
      </c>
      <c r="C1094">
        <v>12</v>
      </c>
      <c r="D1094" s="3">
        <v>20</v>
      </c>
      <c r="E1094" s="3">
        <v>6</v>
      </c>
      <c r="F1094">
        <v>23</v>
      </c>
      <c r="G1094" s="1">
        <f>DATEVALUE(_xlfn.CONCAT(BBDD_Usiarios_Netflix[[#This Row],[Día Suscripción]],"/",BBDD_Usiarios_Netflix[[#This Row],[Mes Suscripción]],"/",BBDD_Usiarios_Netflix[[#This Row],[Año Suscripción]]))</f>
        <v>45097</v>
      </c>
      <c r="H1094" s="1">
        <v>2</v>
      </c>
      <c r="I1094" s="1">
        <v>7</v>
      </c>
      <c r="J1094" s="1">
        <v>24</v>
      </c>
      <c r="K1094" s="1" t="str">
        <f>TEXT(BBDD_Usiarios_Netflix[[#This Row],[Fecha Suscripción]],"dddd")</f>
        <v>martes</v>
      </c>
      <c r="L1094" s="1">
        <f>DATEVALUE(_xlfn.CONCAT(BBDD_Usiarios_Netflix[[#This Row],[Día Último Pago]],"/",BBDD_Usiarios_Netflix[[#This Row],[Mes Último Pago]],"/",BBDD_Usiarios_Netflix[[#This Row],[Año Último Pago]]))</f>
        <v>45475</v>
      </c>
      <c r="M1094" s="4">
        <f>DATEDIF(BBDD_Usiarios_Netflix[[#This Row],[Fecha Suscripción]],BBDD_Usiarios_Netflix[[#This Row],[Fecha Último Pago]],"M")+1</f>
        <v>13</v>
      </c>
      <c r="N1094" s="4">
        <f>BBDD_Usiarios_Netflix[[#This Row],[Ingresos Mensuales]]*BBDD_Usiarios_Netflix[[#This Row],[Meses contratados]]</f>
        <v>156</v>
      </c>
      <c r="O1094" t="s">
        <v>45</v>
      </c>
      <c r="P1094" t="str">
        <f>IF(BBDD_Usiarios_Netflix[[#This Row],[País]]="","Desconocido",BBDD_Usiarios_Netflix[[#This Row],[País]])</f>
        <v>España</v>
      </c>
      <c r="Q1094">
        <v>36</v>
      </c>
      <c r="R1094" t="s">
        <v>25</v>
      </c>
      <c r="S1094" t="s">
        <v>26</v>
      </c>
      <c r="T1094" t="s">
        <v>27</v>
      </c>
      <c r="U1094">
        <f>IF(IFERROR(VLOOKUP(BBDD_Usiarios_Netflix[[#This Row],[Identificador Usuario]],A1095:$A$5870,1,FALSE),0)&lt;&gt;0,1,0)</f>
        <v>0</v>
      </c>
      <c r="V1094" s="6" t="str">
        <f>IF(BBDD_Usiarios_Netflix[[#This Row],[Duración Plan]]="12 Meses",LEFT(BBDD_Usiarios_Netflix[[#This Row],[Duración Plan]],2),LEFT(BBDD_Usiarios_Netflix[[#This Row],[Duración Plan]],1))</f>
        <v>1</v>
      </c>
      <c r="W10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95" spans="1:23" x14ac:dyDescent="0.25">
      <c r="A1095">
        <v>1094</v>
      </c>
      <c r="B1095" t="s">
        <v>32</v>
      </c>
      <c r="C1095">
        <v>12</v>
      </c>
      <c r="D1095" s="3">
        <v>22</v>
      </c>
      <c r="E1095" s="3">
        <v>6</v>
      </c>
      <c r="F1095">
        <v>23</v>
      </c>
      <c r="G1095" s="1">
        <f>DATEVALUE(_xlfn.CONCAT(BBDD_Usiarios_Netflix[[#This Row],[Día Suscripción]],"/",BBDD_Usiarios_Netflix[[#This Row],[Mes Suscripción]],"/",BBDD_Usiarios_Netflix[[#This Row],[Año Suscripción]]))</f>
        <v>45099</v>
      </c>
      <c r="H1095" s="1">
        <v>2</v>
      </c>
      <c r="I1095" s="1">
        <v>7</v>
      </c>
      <c r="J1095" s="1">
        <v>24</v>
      </c>
      <c r="K1095" s="1" t="str">
        <f>TEXT(BBDD_Usiarios_Netflix[[#This Row],[Fecha Suscripción]],"dddd")</f>
        <v>jueves</v>
      </c>
      <c r="L1095" s="1">
        <f>DATEVALUE(_xlfn.CONCAT(BBDD_Usiarios_Netflix[[#This Row],[Día Último Pago]],"/",BBDD_Usiarios_Netflix[[#This Row],[Mes Último Pago]],"/",BBDD_Usiarios_Netflix[[#This Row],[Año Último Pago]]))</f>
        <v>45475</v>
      </c>
      <c r="M1095" s="4">
        <f>DATEDIF(BBDD_Usiarios_Netflix[[#This Row],[Fecha Suscripción]],BBDD_Usiarios_Netflix[[#This Row],[Fecha Último Pago]],"M")+1</f>
        <v>13</v>
      </c>
      <c r="N1095" s="4">
        <f>BBDD_Usiarios_Netflix[[#This Row],[Ingresos Mensuales]]*BBDD_Usiarios_Netflix[[#This Row],[Meses contratados]]</f>
        <v>156</v>
      </c>
      <c r="O1095" t="s">
        <v>29</v>
      </c>
      <c r="P1095" t="str">
        <f>IF(BBDD_Usiarios_Netflix[[#This Row],[País]]="","Desconocido",BBDD_Usiarios_Netflix[[#This Row],[País]])</f>
        <v>EEUU</v>
      </c>
      <c r="Q1095">
        <v>45</v>
      </c>
      <c r="R1095" t="s">
        <v>30</v>
      </c>
      <c r="S1095" t="s">
        <v>31</v>
      </c>
      <c r="T1095" t="s">
        <v>35</v>
      </c>
      <c r="U1095">
        <f>IF(IFERROR(VLOOKUP(BBDD_Usiarios_Netflix[[#This Row],[Identificador Usuario]],A1096:$A$5870,1,FALSE),0)&lt;&gt;0,1,0)</f>
        <v>0</v>
      </c>
      <c r="V1095" s="6" t="str">
        <f>IF(BBDD_Usiarios_Netflix[[#This Row],[Duración Plan]]="12 Meses",LEFT(BBDD_Usiarios_Netflix[[#This Row],[Duración Plan]],2),LEFT(BBDD_Usiarios_Netflix[[#This Row],[Duración Plan]],1))</f>
        <v>6</v>
      </c>
      <c r="W10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096" spans="1:23" x14ac:dyDescent="0.25">
      <c r="A1096">
        <v>1095</v>
      </c>
      <c r="B1096" t="s">
        <v>23</v>
      </c>
      <c r="C1096">
        <v>10</v>
      </c>
      <c r="D1096" s="3">
        <v>24</v>
      </c>
      <c r="E1096" s="3">
        <v>6</v>
      </c>
      <c r="F1096">
        <v>23</v>
      </c>
      <c r="G1096" s="1">
        <f>DATEVALUE(_xlfn.CONCAT(BBDD_Usiarios_Netflix[[#This Row],[Día Suscripción]],"/",BBDD_Usiarios_Netflix[[#This Row],[Mes Suscripción]],"/",BBDD_Usiarios_Netflix[[#This Row],[Año Suscripción]]))</f>
        <v>45101</v>
      </c>
      <c r="H1096" s="1">
        <v>3</v>
      </c>
      <c r="I1096" s="1">
        <v>7</v>
      </c>
      <c r="J1096" s="1">
        <v>24</v>
      </c>
      <c r="K1096" s="1" t="str">
        <f>TEXT(BBDD_Usiarios_Netflix[[#This Row],[Fecha Suscripción]],"dddd")</f>
        <v>sábado</v>
      </c>
      <c r="L1096" s="1">
        <f>DATEVALUE(_xlfn.CONCAT(BBDD_Usiarios_Netflix[[#This Row],[Día Último Pago]],"/",BBDD_Usiarios_Netflix[[#This Row],[Mes Último Pago]],"/",BBDD_Usiarios_Netflix[[#This Row],[Año Último Pago]]))</f>
        <v>45476</v>
      </c>
      <c r="M1096" s="4">
        <f>DATEDIF(BBDD_Usiarios_Netflix[[#This Row],[Fecha Suscripción]],BBDD_Usiarios_Netflix[[#This Row],[Fecha Último Pago]],"M")+1</f>
        <v>13</v>
      </c>
      <c r="N1096" s="4">
        <f>BBDD_Usiarios_Netflix[[#This Row],[Ingresos Mensuales]]*BBDD_Usiarios_Netflix[[#This Row],[Meses contratados]]</f>
        <v>130</v>
      </c>
      <c r="O1096" t="s">
        <v>46</v>
      </c>
      <c r="P1096" t="str">
        <f>IF(BBDD_Usiarios_Netflix[[#This Row],[País]]="","Desconocido",BBDD_Usiarios_Netflix[[#This Row],[País]])</f>
        <v>Méjico</v>
      </c>
      <c r="Q1096">
        <v>36</v>
      </c>
      <c r="R1096" t="s">
        <v>25</v>
      </c>
      <c r="S1096" t="s">
        <v>26</v>
      </c>
      <c r="T1096" t="s">
        <v>27</v>
      </c>
      <c r="U1096">
        <f>IF(IFERROR(VLOOKUP(BBDD_Usiarios_Netflix[[#This Row],[Identificador Usuario]],A1097:$A$5870,1,FALSE),0)&lt;&gt;0,1,0)</f>
        <v>0</v>
      </c>
      <c r="V1096" s="6" t="str">
        <f>IF(BBDD_Usiarios_Netflix[[#This Row],[Duración Plan]]="12 Meses",LEFT(BBDD_Usiarios_Netflix[[#This Row],[Duración Plan]],2),LEFT(BBDD_Usiarios_Netflix[[#This Row],[Duración Plan]],1))</f>
        <v>1</v>
      </c>
      <c r="W10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97" spans="1:23" x14ac:dyDescent="0.25">
      <c r="A1097">
        <v>1096</v>
      </c>
      <c r="B1097" t="s">
        <v>28</v>
      </c>
      <c r="C1097">
        <v>14</v>
      </c>
      <c r="D1097" s="3">
        <v>30</v>
      </c>
      <c r="E1097" s="3">
        <v>6</v>
      </c>
      <c r="F1097">
        <v>23</v>
      </c>
      <c r="G1097" s="1">
        <f>DATEVALUE(_xlfn.CONCAT(BBDD_Usiarios_Netflix[[#This Row],[Día Suscripción]],"/",BBDD_Usiarios_Netflix[[#This Row],[Mes Suscripción]],"/",BBDD_Usiarios_Netflix[[#This Row],[Año Suscripción]]))</f>
        <v>45107</v>
      </c>
      <c r="H1097" s="1">
        <v>2</v>
      </c>
      <c r="I1097" s="1">
        <v>7</v>
      </c>
      <c r="J1097" s="1">
        <v>24</v>
      </c>
      <c r="K1097" s="1" t="str">
        <f>TEXT(BBDD_Usiarios_Netflix[[#This Row],[Fecha Suscripción]],"dddd")</f>
        <v>viernes</v>
      </c>
      <c r="L1097" s="1">
        <f>DATEVALUE(_xlfn.CONCAT(BBDD_Usiarios_Netflix[[#This Row],[Día Último Pago]],"/",BBDD_Usiarios_Netflix[[#This Row],[Mes Último Pago]],"/",BBDD_Usiarios_Netflix[[#This Row],[Año Último Pago]]))</f>
        <v>45475</v>
      </c>
      <c r="M1097" s="4">
        <f>DATEDIF(BBDD_Usiarios_Netflix[[#This Row],[Fecha Suscripción]],BBDD_Usiarios_Netflix[[#This Row],[Fecha Último Pago]],"M")+1</f>
        <v>13</v>
      </c>
      <c r="N1097" s="4">
        <f>BBDD_Usiarios_Netflix[[#This Row],[Ingresos Mensuales]]*BBDD_Usiarios_Netflix[[#This Row],[Meses contratados]]</f>
        <v>182</v>
      </c>
      <c r="O1097" t="s">
        <v>29</v>
      </c>
      <c r="P1097" t="str">
        <f>IF(BBDD_Usiarios_Netflix[[#This Row],[País]]="","Desconocido",BBDD_Usiarios_Netflix[[#This Row],[País]])</f>
        <v>EEUU</v>
      </c>
      <c r="Q1097">
        <v>28</v>
      </c>
      <c r="R1097" t="s">
        <v>25</v>
      </c>
      <c r="S1097" t="s">
        <v>26</v>
      </c>
      <c r="T1097" t="s">
        <v>38</v>
      </c>
      <c r="U1097">
        <f>IF(IFERROR(VLOOKUP(BBDD_Usiarios_Netflix[[#This Row],[Identificador Usuario]],A1098:$A$5870,1,FALSE),0)&lt;&gt;0,1,0)</f>
        <v>0</v>
      </c>
      <c r="V1097" s="6" t="str">
        <f>IF(BBDD_Usiarios_Netflix[[#This Row],[Duración Plan]]="12 Meses",LEFT(BBDD_Usiarios_Netflix[[#This Row],[Duración Plan]],2),LEFT(BBDD_Usiarios_Netflix[[#This Row],[Duración Plan]],1))</f>
        <v>3</v>
      </c>
      <c r="W10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098" spans="1:23" x14ac:dyDescent="0.25">
      <c r="A1098">
        <v>1097</v>
      </c>
      <c r="B1098" t="s">
        <v>23</v>
      </c>
      <c r="C1098">
        <v>10</v>
      </c>
      <c r="D1098" s="3">
        <v>3</v>
      </c>
      <c r="E1098" s="3">
        <v>7</v>
      </c>
      <c r="F1098">
        <v>23</v>
      </c>
      <c r="G1098" s="1">
        <f>DATEVALUE(_xlfn.CONCAT(BBDD_Usiarios_Netflix[[#This Row],[Día Suscripción]],"/",BBDD_Usiarios_Netflix[[#This Row],[Mes Suscripción]],"/",BBDD_Usiarios_Netflix[[#This Row],[Año Suscripción]]))</f>
        <v>45110</v>
      </c>
      <c r="H1098" s="1">
        <v>2</v>
      </c>
      <c r="I1098" s="1">
        <v>7</v>
      </c>
      <c r="J1098" s="1">
        <v>24</v>
      </c>
      <c r="K1098" s="1" t="str">
        <f>TEXT(BBDD_Usiarios_Netflix[[#This Row],[Fecha Suscripción]],"dddd")</f>
        <v>lunes</v>
      </c>
      <c r="L1098" s="1">
        <f>DATEVALUE(_xlfn.CONCAT(BBDD_Usiarios_Netflix[[#This Row],[Día Último Pago]],"/",BBDD_Usiarios_Netflix[[#This Row],[Mes Último Pago]],"/",BBDD_Usiarios_Netflix[[#This Row],[Año Último Pago]]))</f>
        <v>45475</v>
      </c>
      <c r="M1098" s="4">
        <f>DATEDIF(BBDD_Usiarios_Netflix[[#This Row],[Fecha Suscripción]],BBDD_Usiarios_Netflix[[#This Row],[Fecha Último Pago]],"M")+1</f>
        <v>12</v>
      </c>
      <c r="N1098" s="4">
        <f>BBDD_Usiarios_Netflix[[#This Row],[Ingresos Mensuales]]*BBDD_Usiarios_Netflix[[#This Row],[Meses contratados]]</f>
        <v>120</v>
      </c>
      <c r="O1098" t="s">
        <v>29</v>
      </c>
      <c r="P1098" t="str">
        <f>IF(BBDD_Usiarios_Netflix[[#This Row],[País]]="","Desconocido",BBDD_Usiarios_Netflix[[#This Row],[País]])</f>
        <v>EEUU</v>
      </c>
      <c r="Q1098">
        <v>45</v>
      </c>
      <c r="R1098" t="s">
        <v>30</v>
      </c>
      <c r="S1098" t="s">
        <v>26</v>
      </c>
      <c r="T1098" t="s">
        <v>27</v>
      </c>
      <c r="U1098">
        <f>IF(IFERROR(VLOOKUP(BBDD_Usiarios_Netflix[[#This Row],[Identificador Usuario]],A1099:$A$5870,1,FALSE),0)&lt;&gt;0,1,0)</f>
        <v>0</v>
      </c>
      <c r="V1098" s="6" t="str">
        <f>IF(BBDD_Usiarios_Netflix[[#This Row],[Duración Plan]]="12 Meses",LEFT(BBDD_Usiarios_Netflix[[#This Row],[Duración Plan]],2),LEFT(BBDD_Usiarios_Netflix[[#This Row],[Duración Plan]],1))</f>
        <v>1</v>
      </c>
      <c r="W10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099" spans="1:23" x14ac:dyDescent="0.25">
      <c r="A1099">
        <v>1098</v>
      </c>
      <c r="B1099" t="s">
        <v>32</v>
      </c>
      <c r="C1099">
        <v>12</v>
      </c>
      <c r="D1099" s="3">
        <v>4</v>
      </c>
      <c r="E1099" s="3">
        <v>7</v>
      </c>
      <c r="F1099">
        <v>23</v>
      </c>
      <c r="G1099" s="1">
        <f>DATEVALUE(_xlfn.CONCAT(BBDD_Usiarios_Netflix[[#This Row],[Día Suscripción]],"/",BBDD_Usiarios_Netflix[[#This Row],[Mes Suscripción]],"/",BBDD_Usiarios_Netflix[[#This Row],[Año Suscripción]]))</f>
        <v>45111</v>
      </c>
      <c r="H1099" s="1">
        <v>2</v>
      </c>
      <c r="I1099" s="1">
        <v>7</v>
      </c>
      <c r="J1099" s="1">
        <v>24</v>
      </c>
      <c r="K1099" s="1" t="str">
        <f>TEXT(BBDD_Usiarios_Netflix[[#This Row],[Fecha Suscripción]],"dddd")</f>
        <v>martes</v>
      </c>
      <c r="L1099" s="1">
        <f>DATEVALUE(_xlfn.CONCAT(BBDD_Usiarios_Netflix[[#This Row],[Día Último Pago]],"/",BBDD_Usiarios_Netflix[[#This Row],[Mes Último Pago]],"/",BBDD_Usiarios_Netflix[[#This Row],[Año Último Pago]]))</f>
        <v>45475</v>
      </c>
      <c r="M1099" s="4">
        <f>DATEDIF(BBDD_Usiarios_Netflix[[#This Row],[Fecha Suscripción]],BBDD_Usiarios_Netflix[[#This Row],[Fecha Último Pago]],"M")+1</f>
        <v>12</v>
      </c>
      <c r="N1099" s="4">
        <f>BBDD_Usiarios_Netflix[[#This Row],[Ingresos Mensuales]]*BBDD_Usiarios_Netflix[[#This Row],[Meses contratados]]</f>
        <v>144</v>
      </c>
      <c r="O1099" t="s">
        <v>24</v>
      </c>
      <c r="P1099" t="str">
        <f>IF(BBDD_Usiarios_Netflix[[#This Row],[País]]="","Desconocido",BBDD_Usiarios_Netflix[[#This Row],[País]])</f>
        <v>Australia</v>
      </c>
      <c r="Q1099">
        <v>39</v>
      </c>
      <c r="R1099" t="s">
        <v>30</v>
      </c>
      <c r="S1099" t="s">
        <v>26</v>
      </c>
      <c r="T1099" t="s">
        <v>35</v>
      </c>
      <c r="U1099">
        <f>IF(IFERROR(VLOOKUP(BBDD_Usiarios_Netflix[[#This Row],[Identificador Usuario]],A1100:$A$5870,1,FALSE),0)&lt;&gt;0,1,0)</f>
        <v>0</v>
      </c>
      <c r="V1099" s="6" t="str">
        <f>IF(BBDD_Usiarios_Netflix[[#This Row],[Duración Plan]]="12 Meses",LEFT(BBDD_Usiarios_Netflix[[#This Row],[Duración Plan]],2),LEFT(BBDD_Usiarios_Netflix[[#This Row],[Duración Plan]],1))</f>
        <v>6</v>
      </c>
      <c r="W10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00" spans="1:23" x14ac:dyDescent="0.25">
      <c r="A1100">
        <v>1099</v>
      </c>
      <c r="B1100" t="s">
        <v>28</v>
      </c>
      <c r="C1100">
        <v>14</v>
      </c>
      <c r="D1100" s="3">
        <v>8</v>
      </c>
      <c r="E1100" s="3">
        <v>7</v>
      </c>
      <c r="F1100">
        <v>23</v>
      </c>
      <c r="G1100" s="1">
        <f>DATEVALUE(_xlfn.CONCAT(BBDD_Usiarios_Netflix[[#This Row],[Día Suscripción]],"/",BBDD_Usiarios_Netflix[[#This Row],[Mes Suscripción]],"/",BBDD_Usiarios_Netflix[[#This Row],[Año Suscripción]]))</f>
        <v>45115</v>
      </c>
      <c r="H1100" s="1">
        <v>2</v>
      </c>
      <c r="I1100" s="1">
        <v>7</v>
      </c>
      <c r="J1100" s="1">
        <v>24</v>
      </c>
      <c r="K1100" s="1" t="str">
        <f>TEXT(BBDD_Usiarios_Netflix[[#This Row],[Fecha Suscripción]],"dddd")</f>
        <v>sábado</v>
      </c>
      <c r="L1100" s="1">
        <f>DATEVALUE(_xlfn.CONCAT(BBDD_Usiarios_Netflix[[#This Row],[Día Último Pago]],"/",BBDD_Usiarios_Netflix[[#This Row],[Mes Último Pago]],"/",BBDD_Usiarios_Netflix[[#This Row],[Año Último Pago]]))</f>
        <v>45475</v>
      </c>
      <c r="M1100" s="4">
        <f>DATEDIF(BBDD_Usiarios_Netflix[[#This Row],[Fecha Suscripción]],BBDD_Usiarios_Netflix[[#This Row],[Fecha Último Pago]],"M")+1</f>
        <v>12</v>
      </c>
      <c r="N1100" s="4">
        <f>BBDD_Usiarios_Netflix[[#This Row],[Ingresos Mensuales]]*BBDD_Usiarios_Netflix[[#This Row],[Meses contratados]]</f>
        <v>168</v>
      </c>
      <c r="O1100" t="s">
        <v>45</v>
      </c>
      <c r="P1100" t="str">
        <f>IF(BBDD_Usiarios_Netflix[[#This Row],[País]]="","Desconocido",BBDD_Usiarios_Netflix[[#This Row],[País]])</f>
        <v>España</v>
      </c>
      <c r="Q1100">
        <v>51</v>
      </c>
      <c r="R1100" t="s">
        <v>30</v>
      </c>
      <c r="S1100" t="s">
        <v>36</v>
      </c>
      <c r="T1100" t="s">
        <v>27</v>
      </c>
      <c r="U1100">
        <f>IF(IFERROR(VLOOKUP(BBDD_Usiarios_Netflix[[#This Row],[Identificador Usuario]],A1101:$A$5870,1,FALSE),0)&lt;&gt;0,1,0)</f>
        <v>0</v>
      </c>
      <c r="V1100" s="6" t="str">
        <f>IF(BBDD_Usiarios_Netflix[[#This Row],[Duración Plan]]="12 Meses",LEFT(BBDD_Usiarios_Netflix[[#This Row],[Duración Plan]],2),LEFT(BBDD_Usiarios_Netflix[[#This Row],[Duración Plan]],1))</f>
        <v>1</v>
      </c>
      <c r="W11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01" spans="1:23" x14ac:dyDescent="0.25">
      <c r="A1101">
        <v>1100</v>
      </c>
      <c r="B1101" t="s">
        <v>23</v>
      </c>
      <c r="C1101">
        <v>10</v>
      </c>
      <c r="D1101" s="3">
        <v>19</v>
      </c>
      <c r="E1101" s="3">
        <v>7</v>
      </c>
      <c r="F1101">
        <v>23</v>
      </c>
      <c r="G1101" s="1">
        <f>DATEVALUE(_xlfn.CONCAT(BBDD_Usiarios_Netflix[[#This Row],[Día Suscripción]],"/",BBDD_Usiarios_Netflix[[#This Row],[Mes Suscripción]],"/",BBDD_Usiarios_Netflix[[#This Row],[Año Suscripción]]))</f>
        <v>45126</v>
      </c>
      <c r="H1101" s="1">
        <v>1</v>
      </c>
      <c r="I1101" s="1">
        <v>7</v>
      </c>
      <c r="J1101" s="1">
        <v>24</v>
      </c>
      <c r="K1101" s="1" t="str">
        <f>TEXT(BBDD_Usiarios_Netflix[[#This Row],[Fecha Suscripción]],"dddd")</f>
        <v>miércoles</v>
      </c>
      <c r="L1101" s="1">
        <f>DATEVALUE(_xlfn.CONCAT(BBDD_Usiarios_Netflix[[#This Row],[Día Último Pago]],"/",BBDD_Usiarios_Netflix[[#This Row],[Mes Último Pago]],"/",BBDD_Usiarios_Netflix[[#This Row],[Año Último Pago]]))</f>
        <v>45474</v>
      </c>
      <c r="M1101" s="4">
        <f>DATEDIF(BBDD_Usiarios_Netflix[[#This Row],[Fecha Suscripción]],BBDD_Usiarios_Netflix[[#This Row],[Fecha Último Pago]],"M")+1</f>
        <v>12</v>
      </c>
      <c r="N1101" s="4">
        <f>BBDD_Usiarios_Netflix[[#This Row],[Ingresos Mensuales]]*BBDD_Usiarios_Netflix[[#This Row],[Meses contratados]]</f>
        <v>120</v>
      </c>
      <c r="O1101" t="s">
        <v>33</v>
      </c>
      <c r="P1101" t="str">
        <f>IF(BBDD_Usiarios_Netflix[[#This Row],[País]]="","Desconocido",BBDD_Usiarios_Netflix[[#This Row],[País]])</f>
        <v>Francia</v>
      </c>
      <c r="Q1101">
        <v>37</v>
      </c>
      <c r="R1101" t="s">
        <v>25</v>
      </c>
      <c r="S1101" t="s">
        <v>36</v>
      </c>
      <c r="T1101" t="s">
        <v>38</v>
      </c>
      <c r="U1101">
        <f>IF(IFERROR(VLOOKUP(BBDD_Usiarios_Netflix[[#This Row],[Identificador Usuario]],A1102:$A$5870,1,FALSE),0)&lt;&gt;0,1,0)</f>
        <v>0</v>
      </c>
      <c r="V1101" s="6" t="str">
        <f>IF(BBDD_Usiarios_Netflix[[#This Row],[Duración Plan]]="12 Meses",LEFT(BBDD_Usiarios_Netflix[[#This Row],[Duración Plan]],2),LEFT(BBDD_Usiarios_Netflix[[#This Row],[Duración Plan]],1))</f>
        <v>3</v>
      </c>
      <c r="W11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02" spans="1:23" x14ac:dyDescent="0.25">
      <c r="A1102">
        <v>1101</v>
      </c>
      <c r="B1102" t="s">
        <v>28</v>
      </c>
      <c r="C1102">
        <v>14</v>
      </c>
      <c r="D1102" s="3">
        <v>21</v>
      </c>
      <c r="E1102" s="3">
        <v>7</v>
      </c>
      <c r="F1102">
        <v>23</v>
      </c>
      <c r="G1102" s="1">
        <f>DATEVALUE(_xlfn.CONCAT(BBDD_Usiarios_Netflix[[#This Row],[Día Suscripción]],"/",BBDD_Usiarios_Netflix[[#This Row],[Mes Suscripción]],"/",BBDD_Usiarios_Netflix[[#This Row],[Año Suscripción]]))</f>
        <v>45128</v>
      </c>
      <c r="H1102" s="1">
        <v>1</v>
      </c>
      <c r="I1102" s="1">
        <v>7</v>
      </c>
      <c r="J1102" s="1">
        <v>24</v>
      </c>
      <c r="K1102" s="1" t="str">
        <f>TEXT(BBDD_Usiarios_Netflix[[#This Row],[Fecha Suscripción]],"dddd")</f>
        <v>viernes</v>
      </c>
      <c r="L1102" s="1">
        <f>DATEVALUE(_xlfn.CONCAT(BBDD_Usiarios_Netflix[[#This Row],[Día Último Pago]],"/",BBDD_Usiarios_Netflix[[#This Row],[Mes Último Pago]],"/",BBDD_Usiarios_Netflix[[#This Row],[Año Último Pago]]))</f>
        <v>45474</v>
      </c>
      <c r="M1102" s="4">
        <f>DATEDIF(BBDD_Usiarios_Netflix[[#This Row],[Fecha Suscripción]],BBDD_Usiarios_Netflix[[#This Row],[Fecha Último Pago]],"M")+1</f>
        <v>12</v>
      </c>
      <c r="N1102" s="4">
        <f>BBDD_Usiarios_Netflix[[#This Row],[Ingresos Mensuales]]*BBDD_Usiarios_Netflix[[#This Row],[Meses contratados]]</f>
        <v>168</v>
      </c>
      <c r="O1102" t="s">
        <v>29</v>
      </c>
      <c r="P1102" t="str">
        <f>IF(BBDD_Usiarios_Netflix[[#This Row],[País]]="","Desconocido",BBDD_Usiarios_Netflix[[#This Row],[País]])</f>
        <v>EEUU</v>
      </c>
      <c r="Q1102">
        <v>33</v>
      </c>
      <c r="R1102" t="s">
        <v>30</v>
      </c>
      <c r="S1102" t="s">
        <v>31</v>
      </c>
      <c r="T1102" t="s">
        <v>35</v>
      </c>
      <c r="U1102">
        <f>IF(IFERROR(VLOOKUP(BBDD_Usiarios_Netflix[[#This Row],[Identificador Usuario]],A1103:$A$5870,1,FALSE),0)&lt;&gt;0,1,0)</f>
        <v>0</v>
      </c>
      <c r="V1102" s="6" t="str">
        <f>IF(BBDD_Usiarios_Netflix[[#This Row],[Duración Plan]]="12 Meses",LEFT(BBDD_Usiarios_Netflix[[#This Row],[Duración Plan]],2),LEFT(BBDD_Usiarios_Netflix[[#This Row],[Duración Plan]],1))</f>
        <v>6</v>
      </c>
      <c r="W11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03" spans="1:23" x14ac:dyDescent="0.25">
      <c r="A1103">
        <v>1102</v>
      </c>
      <c r="B1103" t="s">
        <v>23</v>
      </c>
      <c r="C1103">
        <v>10</v>
      </c>
      <c r="D1103" s="3">
        <v>27</v>
      </c>
      <c r="E1103" s="3">
        <v>7</v>
      </c>
      <c r="F1103">
        <v>23</v>
      </c>
      <c r="G1103" s="1">
        <f>DATEVALUE(_xlfn.CONCAT(BBDD_Usiarios_Netflix[[#This Row],[Día Suscripción]],"/",BBDD_Usiarios_Netflix[[#This Row],[Mes Suscripción]],"/",BBDD_Usiarios_Netflix[[#This Row],[Año Suscripción]]))</f>
        <v>45134</v>
      </c>
      <c r="H1103" s="1">
        <v>3</v>
      </c>
      <c r="I1103" s="1">
        <v>7</v>
      </c>
      <c r="J1103" s="1">
        <v>24</v>
      </c>
      <c r="K1103" s="1" t="str">
        <f>TEXT(BBDD_Usiarios_Netflix[[#This Row],[Fecha Suscripción]],"dddd")</f>
        <v>jueves</v>
      </c>
      <c r="L1103" s="1">
        <f>DATEVALUE(_xlfn.CONCAT(BBDD_Usiarios_Netflix[[#This Row],[Día Último Pago]],"/",BBDD_Usiarios_Netflix[[#This Row],[Mes Último Pago]],"/",BBDD_Usiarios_Netflix[[#This Row],[Año Último Pago]]))</f>
        <v>45476</v>
      </c>
      <c r="M1103" s="4">
        <f>DATEDIF(BBDD_Usiarios_Netflix[[#This Row],[Fecha Suscripción]],BBDD_Usiarios_Netflix[[#This Row],[Fecha Último Pago]],"M")+1</f>
        <v>12</v>
      </c>
      <c r="N1103" s="4">
        <f>BBDD_Usiarios_Netflix[[#This Row],[Ingresos Mensuales]]*BBDD_Usiarios_Netflix[[#This Row],[Meses contratados]]</f>
        <v>120</v>
      </c>
      <c r="O1103" t="s">
        <v>43</v>
      </c>
      <c r="P1103" t="str">
        <f>IF(BBDD_Usiarios_Netflix[[#This Row],[País]]="","Desconocido",BBDD_Usiarios_Netflix[[#This Row],[País]])</f>
        <v>Alemania</v>
      </c>
      <c r="Q1103">
        <v>32</v>
      </c>
      <c r="R1103" t="s">
        <v>30</v>
      </c>
      <c r="S1103" t="s">
        <v>26</v>
      </c>
      <c r="T1103" t="s">
        <v>27</v>
      </c>
      <c r="U1103">
        <f>IF(IFERROR(VLOOKUP(BBDD_Usiarios_Netflix[[#This Row],[Identificador Usuario]],A1104:$A$5870,1,FALSE),0)&lt;&gt;0,1,0)</f>
        <v>0</v>
      </c>
      <c r="V1103" s="6" t="str">
        <f>IF(BBDD_Usiarios_Netflix[[#This Row],[Duración Plan]]="12 Meses",LEFT(BBDD_Usiarios_Netflix[[#This Row],[Duración Plan]],2),LEFT(BBDD_Usiarios_Netflix[[#This Row],[Duración Plan]],1))</f>
        <v>1</v>
      </c>
      <c r="W11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04" spans="1:23" x14ac:dyDescent="0.25">
      <c r="A1104">
        <v>1103</v>
      </c>
      <c r="B1104" t="s">
        <v>32</v>
      </c>
      <c r="C1104">
        <v>12</v>
      </c>
      <c r="D1104" s="3">
        <v>2</v>
      </c>
      <c r="E1104" s="3">
        <v>8</v>
      </c>
      <c r="F1104">
        <v>23</v>
      </c>
      <c r="G1104" s="1">
        <f>DATEVALUE(_xlfn.CONCAT(BBDD_Usiarios_Netflix[[#This Row],[Día Suscripción]],"/",BBDD_Usiarios_Netflix[[#This Row],[Mes Suscripción]],"/",BBDD_Usiarios_Netflix[[#This Row],[Año Suscripción]]))</f>
        <v>45140</v>
      </c>
      <c r="H1104" s="1">
        <v>1</v>
      </c>
      <c r="I1104" s="1">
        <v>7</v>
      </c>
      <c r="J1104" s="1">
        <v>24</v>
      </c>
      <c r="K1104" s="1" t="str">
        <f>TEXT(BBDD_Usiarios_Netflix[[#This Row],[Fecha Suscripción]],"dddd")</f>
        <v>miércoles</v>
      </c>
      <c r="L1104" s="1">
        <f>DATEVALUE(_xlfn.CONCAT(BBDD_Usiarios_Netflix[[#This Row],[Día Último Pago]],"/",BBDD_Usiarios_Netflix[[#This Row],[Mes Último Pago]],"/",BBDD_Usiarios_Netflix[[#This Row],[Año Último Pago]]))</f>
        <v>45474</v>
      </c>
      <c r="M1104" s="4">
        <f>DATEDIF(BBDD_Usiarios_Netflix[[#This Row],[Fecha Suscripción]],BBDD_Usiarios_Netflix[[#This Row],[Fecha Último Pago]],"M")+1</f>
        <v>11</v>
      </c>
      <c r="N1104" s="4">
        <f>BBDD_Usiarios_Netflix[[#This Row],[Ingresos Mensuales]]*BBDD_Usiarios_Netflix[[#This Row],[Meses contratados]]</f>
        <v>132</v>
      </c>
      <c r="O1104" t="s">
        <v>43</v>
      </c>
      <c r="P1104" t="str">
        <f>IF(BBDD_Usiarios_Netflix[[#This Row],[País]]="","Desconocido",BBDD_Usiarios_Netflix[[#This Row],[País]])</f>
        <v>Alemania</v>
      </c>
      <c r="Q1104">
        <v>49</v>
      </c>
      <c r="R1104" t="s">
        <v>30</v>
      </c>
      <c r="S1104" t="s">
        <v>31</v>
      </c>
      <c r="T1104" t="s">
        <v>41</v>
      </c>
      <c r="U1104">
        <f>IF(IFERROR(VLOOKUP(BBDD_Usiarios_Netflix[[#This Row],[Identificador Usuario]],A1105:$A$5870,1,FALSE),0)&lt;&gt;0,1,0)</f>
        <v>0</v>
      </c>
      <c r="V1104" s="6" t="str">
        <f>IF(BBDD_Usiarios_Netflix[[#This Row],[Duración Plan]]="12 Meses",LEFT(BBDD_Usiarios_Netflix[[#This Row],[Duración Plan]],2),LEFT(BBDD_Usiarios_Netflix[[#This Row],[Duración Plan]],1))</f>
        <v>12</v>
      </c>
      <c r="W11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05" spans="1:23" x14ac:dyDescent="0.25">
      <c r="A1105">
        <v>1104</v>
      </c>
      <c r="B1105" t="s">
        <v>32</v>
      </c>
      <c r="C1105">
        <v>12</v>
      </c>
      <c r="D1105" s="3">
        <v>9</v>
      </c>
      <c r="E1105" s="3">
        <v>8</v>
      </c>
      <c r="F1105">
        <v>23</v>
      </c>
      <c r="G1105" s="1">
        <f>DATEVALUE(_xlfn.CONCAT(BBDD_Usiarios_Netflix[[#This Row],[Día Suscripción]],"/",BBDD_Usiarios_Netflix[[#This Row],[Mes Suscripción]],"/",BBDD_Usiarios_Netflix[[#This Row],[Año Suscripción]]))</f>
        <v>45147</v>
      </c>
      <c r="H1105" s="1">
        <v>3</v>
      </c>
      <c r="I1105" s="1">
        <v>7</v>
      </c>
      <c r="J1105" s="1">
        <v>24</v>
      </c>
      <c r="K1105" s="1" t="str">
        <f>TEXT(BBDD_Usiarios_Netflix[[#This Row],[Fecha Suscripción]],"dddd")</f>
        <v>miércoles</v>
      </c>
      <c r="L1105" s="1">
        <f>DATEVALUE(_xlfn.CONCAT(BBDD_Usiarios_Netflix[[#This Row],[Día Último Pago]],"/",BBDD_Usiarios_Netflix[[#This Row],[Mes Último Pago]],"/",BBDD_Usiarios_Netflix[[#This Row],[Año Último Pago]]))</f>
        <v>45476</v>
      </c>
      <c r="M1105" s="4">
        <f>DATEDIF(BBDD_Usiarios_Netflix[[#This Row],[Fecha Suscripción]],BBDD_Usiarios_Netflix[[#This Row],[Fecha Último Pago]],"M")+1</f>
        <v>11</v>
      </c>
      <c r="N1105" s="4">
        <f>BBDD_Usiarios_Netflix[[#This Row],[Ingresos Mensuales]]*BBDD_Usiarios_Netflix[[#This Row],[Meses contratados]]</f>
        <v>132</v>
      </c>
      <c r="O1105" t="s">
        <v>45</v>
      </c>
      <c r="P1105" t="str">
        <f>IF(BBDD_Usiarios_Netflix[[#This Row],[País]]="","Desconocido",BBDD_Usiarios_Netflix[[#This Row],[País]])</f>
        <v>España</v>
      </c>
      <c r="Q1105">
        <v>37</v>
      </c>
      <c r="R1105" t="s">
        <v>30</v>
      </c>
      <c r="S1105" t="s">
        <v>34</v>
      </c>
      <c r="T1105" t="s">
        <v>38</v>
      </c>
      <c r="U1105">
        <f>IF(IFERROR(VLOOKUP(BBDD_Usiarios_Netflix[[#This Row],[Identificador Usuario]],A1106:$A$5870,1,FALSE),0)&lt;&gt;0,1,0)</f>
        <v>0</v>
      </c>
      <c r="V1105" s="6" t="str">
        <f>IF(BBDD_Usiarios_Netflix[[#This Row],[Duración Plan]]="12 Meses",LEFT(BBDD_Usiarios_Netflix[[#This Row],[Duración Plan]],2),LEFT(BBDD_Usiarios_Netflix[[#This Row],[Duración Plan]],1))</f>
        <v>3</v>
      </c>
      <c r="W11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06" spans="1:23" x14ac:dyDescent="0.25">
      <c r="A1106">
        <v>1105</v>
      </c>
      <c r="B1106" t="s">
        <v>23</v>
      </c>
      <c r="C1106">
        <v>10</v>
      </c>
      <c r="D1106" s="3">
        <v>21</v>
      </c>
      <c r="E1106" s="3">
        <v>8</v>
      </c>
      <c r="F1106">
        <v>23</v>
      </c>
      <c r="G1106" s="1">
        <f>DATEVALUE(_xlfn.CONCAT(BBDD_Usiarios_Netflix[[#This Row],[Día Suscripción]],"/",BBDD_Usiarios_Netflix[[#This Row],[Mes Suscripción]],"/",BBDD_Usiarios_Netflix[[#This Row],[Año Suscripción]]))</f>
        <v>45159</v>
      </c>
      <c r="H1106" s="1">
        <v>1</v>
      </c>
      <c r="I1106" s="1">
        <v>7</v>
      </c>
      <c r="J1106" s="1">
        <v>24</v>
      </c>
      <c r="K1106" s="1" t="str">
        <f>TEXT(BBDD_Usiarios_Netflix[[#This Row],[Fecha Suscripción]],"dddd")</f>
        <v>lunes</v>
      </c>
      <c r="L1106" s="1">
        <f>DATEVALUE(_xlfn.CONCAT(BBDD_Usiarios_Netflix[[#This Row],[Día Último Pago]],"/",BBDD_Usiarios_Netflix[[#This Row],[Mes Último Pago]],"/",BBDD_Usiarios_Netflix[[#This Row],[Año Último Pago]]))</f>
        <v>45474</v>
      </c>
      <c r="M1106" s="4">
        <f>DATEDIF(BBDD_Usiarios_Netflix[[#This Row],[Fecha Suscripción]],BBDD_Usiarios_Netflix[[#This Row],[Fecha Último Pago]],"M")+1</f>
        <v>11</v>
      </c>
      <c r="N1106" s="4">
        <f>BBDD_Usiarios_Netflix[[#This Row],[Ingresos Mensuales]]*BBDD_Usiarios_Netflix[[#This Row],[Meses contratados]]</f>
        <v>110</v>
      </c>
      <c r="O1106" t="s">
        <v>45</v>
      </c>
      <c r="P1106" t="str">
        <f>IF(BBDD_Usiarios_Netflix[[#This Row],[País]]="","Desconocido",BBDD_Usiarios_Netflix[[#This Row],[País]])</f>
        <v>España</v>
      </c>
      <c r="Q1106">
        <v>39</v>
      </c>
      <c r="R1106" t="s">
        <v>25</v>
      </c>
      <c r="S1106" t="s">
        <v>31</v>
      </c>
      <c r="T1106" t="s">
        <v>27</v>
      </c>
      <c r="U1106">
        <f>IF(IFERROR(VLOOKUP(BBDD_Usiarios_Netflix[[#This Row],[Identificador Usuario]],A1107:$A$5870,1,FALSE),0)&lt;&gt;0,1,0)</f>
        <v>0</v>
      </c>
      <c r="V1106" s="6" t="str">
        <f>IF(BBDD_Usiarios_Netflix[[#This Row],[Duración Plan]]="12 Meses",LEFT(BBDD_Usiarios_Netflix[[#This Row],[Duración Plan]],2),LEFT(BBDD_Usiarios_Netflix[[#This Row],[Duración Plan]],1))</f>
        <v>1</v>
      </c>
      <c r="W11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07" spans="1:23" x14ac:dyDescent="0.25">
      <c r="A1107">
        <v>1106</v>
      </c>
      <c r="B1107" t="s">
        <v>28</v>
      </c>
      <c r="C1107">
        <v>14</v>
      </c>
      <c r="D1107" s="3">
        <v>29</v>
      </c>
      <c r="E1107" s="3">
        <v>8</v>
      </c>
      <c r="F1107">
        <v>23</v>
      </c>
      <c r="G1107" s="1">
        <f>DATEVALUE(_xlfn.CONCAT(BBDD_Usiarios_Netflix[[#This Row],[Día Suscripción]],"/",BBDD_Usiarios_Netflix[[#This Row],[Mes Suscripción]],"/",BBDD_Usiarios_Netflix[[#This Row],[Año Suscripción]]))</f>
        <v>45167</v>
      </c>
      <c r="H1107" s="1">
        <v>4</v>
      </c>
      <c r="I1107" s="1">
        <v>7</v>
      </c>
      <c r="J1107" s="1">
        <v>24</v>
      </c>
      <c r="K1107" s="1" t="str">
        <f>TEXT(BBDD_Usiarios_Netflix[[#This Row],[Fecha Suscripción]],"dddd")</f>
        <v>martes</v>
      </c>
      <c r="L1107" s="1">
        <f>DATEVALUE(_xlfn.CONCAT(BBDD_Usiarios_Netflix[[#This Row],[Día Último Pago]],"/",BBDD_Usiarios_Netflix[[#This Row],[Mes Último Pago]],"/",BBDD_Usiarios_Netflix[[#This Row],[Año Último Pago]]))</f>
        <v>45477</v>
      </c>
      <c r="M1107" s="4">
        <f>DATEDIF(BBDD_Usiarios_Netflix[[#This Row],[Fecha Suscripción]],BBDD_Usiarios_Netflix[[#This Row],[Fecha Último Pago]],"M")+1</f>
        <v>11</v>
      </c>
      <c r="N1107" s="4">
        <f>BBDD_Usiarios_Netflix[[#This Row],[Ingresos Mensuales]]*BBDD_Usiarios_Netflix[[#This Row],[Meses contratados]]</f>
        <v>154</v>
      </c>
      <c r="O1107" t="s">
        <v>33</v>
      </c>
      <c r="P1107" t="str">
        <f>IF(BBDD_Usiarios_Netflix[[#This Row],[País]]="","Desconocido",BBDD_Usiarios_Netflix[[#This Row],[País]])</f>
        <v>Francia</v>
      </c>
      <c r="Q1107">
        <v>37</v>
      </c>
      <c r="R1107" t="s">
        <v>25</v>
      </c>
      <c r="S1107" t="s">
        <v>34</v>
      </c>
      <c r="T1107" t="s">
        <v>41</v>
      </c>
      <c r="U1107">
        <f>IF(IFERROR(VLOOKUP(BBDD_Usiarios_Netflix[[#This Row],[Identificador Usuario]],A1108:$A$5870,1,FALSE),0)&lt;&gt;0,1,0)</f>
        <v>0</v>
      </c>
      <c r="V1107" s="6" t="str">
        <f>IF(BBDD_Usiarios_Netflix[[#This Row],[Duración Plan]]="12 Meses",LEFT(BBDD_Usiarios_Netflix[[#This Row],[Duración Plan]],2),LEFT(BBDD_Usiarios_Netflix[[#This Row],[Duración Plan]],1))</f>
        <v>12</v>
      </c>
      <c r="W11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08" spans="1:23" x14ac:dyDescent="0.25">
      <c r="A1108">
        <v>1107</v>
      </c>
      <c r="B1108" t="s">
        <v>23</v>
      </c>
      <c r="C1108">
        <v>10</v>
      </c>
      <c r="D1108" s="3">
        <v>31</v>
      </c>
      <c r="E1108" s="3">
        <v>8</v>
      </c>
      <c r="F1108">
        <v>23</v>
      </c>
      <c r="G1108" s="1">
        <f>DATEVALUE(_xlfn.CONCAT(BBDD_Usiarios_Netflix[[#This Row],[Día Suscripción]],"/",BBDD_Usiarios_Netflix[[#This Row],[Mes Suscripción]],"/",BBDD_Usiarios_Netflix[[#This Row],[Año Suscripción]]))</f>
        <v>45169</v>
      </c>
      <c r="H1108" s="1">
        <v>1</v>
      </c>
      <c r="I1108" s="1">
        <v>7</v>
      </c>
      <c r="J1108" s="1">
        <v>24</v>
      </c>
      <c r="K1108" s="1" t="str">
        <f>TEXT(BBDD_Usiarios_Netflix[[#This Row],[Fecha Suscripción]],"dddd")</f>
        <v>jueves</v>
      </c>
      <c r="L1108" s="1">
        <f>DATEVALUE(_xlfn.CONCAT(BBDD_Usiarios_Netflix[[#This Row],[Día Último Pago]],"/",BBDD_Usiarios_Netflix[[#This Row],[Mes Último Pago]],"/",BBDD_Usiarios_Netflix[[#This Row],[Año Último Pago]]))</f>
        <v>45474</v>
      </c>
      <c r="M1108" s="4">
        <f>DATEDIF(BBDD_Usiarios_Netflix[[#This Row],[Fecha Suscripción]],BBDD_Usiarios_Netflix[[#This Row],[Fecha Último Pago]],"M")+1</f>
        <v>11</v>
      </c>
      <c r="N1108" s="4">
        <f>BBDD_Usiarios_Netflix[[#This Row],[Ingresos Mensuales]]*BBDD_Usiarios_Netflix[[#This Row],[Meses contratados]]</f>
        <v>110</v>
      </c>
      <c r="O1108" t="s">
        <v>43</v>
      </c>
      <c r="P1108" t="str">
        <f>IF(BBDD_Usiarios_Netflix[[#This Row],[País]]="","Desconocido",BBDD_Usiarios_Netflix[[#This Row],[País]])</f>
        <v>Alemania</v>
      </c>
      <c r="Q1108">
        <v>36</v>
      </c>
      <c r="R1108" t="s">
        <v>30</v>
      </c>
      <c r="S1108" t="s">
        <v>34</v>
      </c>
      <c r="T1108" t="s">
        <v>27</v>
      </c>
      <c r="U1108">
        <f>IF(IFERROR(VLOOKUP(BBDD_Usiarios_Netflix[[#This Row],[Identificador Usuario]],A1109:$A$5870,1,FALSE),0)&lt;&gt;0,1,0)</f>
        <v>0</v>
      </c>
      <c r="V1108" s="6" t="str">
        <f>IF(BBDD_Usiarios_Netflix[[#This Row],[Duración Plan]]="12 Meses",LEFT(BBDD_Usiarios_Netflix[[#This Row],[Duración Plan]],2),LEFT(BBDD_Usiarios_Netflix[[#This Row],[Duración Plan]],1))</f>
        <v>1</v>
      </c>
      <c r="W11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09" spans="1:23" x14ac:dyDescent="0.25">
      <c r="A1109">
        <v>1108</v>
      </c>
      <c r="B1109" t="s">
        <v>32</v>
      </c>
      <c r="C1109">
        <v>12</v>
      </c>
      <c r="D1109" s="3">
        <v>2</v>
      </c>
      <c r="E1109" s="3">
        <v>9</v>
      </c>
      <c r="F1109">
        <v>23</v>
      </c>
      <c r="G1109" s="1">
        <f>DATEVALUE(_xlfn.CONCAT(BBDD_Usiarios_Netflix[[#This Row],[Día Suscripción]],"/",BBDD_Usiarios_Netflix[[#This Row],[Mes Suscripción]],"/",BBDD_Usiarios_Netflix[[#This Row],[Año Suscripción]]))</f>
        <v>45171</v>
      </c>
      <c r="H1109" s="1">
        <v>3</v>
      </c>
      <c r="I1109" s="1">
        <v>7</v>
      </c>
      <c r="J1109" s="1">
        <v>24</v>
      </c>
      <c r="K1109" s="1" t="str">
        <f>TEXT(BBDD_Usiarios_Netflix[[#This Row],[Fecha Suscripción]],"dddd")</f>
        <v>sábado</v>
      </c>
      <c r="L1109" s="1">
        <f>DATEVALUE(_xlfn.CONCAT(BBDD_Usiarios_Netflix[[#This Row],[Día Último Pago]],"/",BBDD_Usiarios_Netflix[[#This Row],[Mes Último Pago]],"/",BBDD_Usiarios_Netflix[[#This Row],[Año Último Pago]]))</f>
        <v>45476</v>
      </c>
      <c r="M1109" s="4">
        <f>DATEDIF(BBDD_Usiarios_Netflix[[#This Row],[Fecha Suscripción]],BBDD_Usiarios_Netflix[[#This Row],[Fecha Último Pago]],"M")+1</f>
        <v>11</v>
      </c>
      <c r="N1109" s="4">
        <f>BBDD_Usiarios_Netflix[[#This Row],[Ingresos Mensuales]]*BBDD_Usiarios_Netflix[[#This Row],[Meses contratados]]</f>
        <v>132</v>
      </c>
      <c r="O1109" t="s">
        <v>24</v>
      </c>
      <c r="P1109" t="str">
        <f>IF(BBDD_Usiarios_Netflix[[#This Row],[País]]="","Desconocido",BBDD_Usiarios_Netflix[[#This Row],[País]])</f>
        <v>Australia</v>
      </c>
      <c r="Q1109">
        <v>34</v>
      </c>
      <c r="R1109" t="s">
        <v>25</v>
      </c>
      <c r="S1109" t="s">
        <v>36</v>
      </c>
      <c r="T1109" t="s">
        <v>38</v>
      </c>
      <c r="U1109">
        <f>IF(IFERROR(VLOOKUP(BBDD_Usiarios_Netflix[[#This Row],[Identificador Usuario]],A1110:$A$5870,1,FALSE),0)&lt;&gt;0,1,0)</f>
        <v>0</v>
      </c>
      <c r="V1109" s="6" t="str">
        <f>IF(BBDD_Usiarios_Netflix[[#This Row],[Duración Plan]]="12 Meses",LEFT(BBDD_Usiarios_Netflix[[#This Row],[Duración Plan]],2),LEFT(BBDD_Usiarios_Netflix[[#This Row],[Duración Plan]],1))</f>
        <v>3</v>
      </c>
      <c r="W11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10" spans="1:23" x14ac:dyDescent="0.25">
      <c r="A1110">
        <v>1109</v>
      </c>
      <c r="B1110" t="s">
        <v>28</v>
      </c>
      <c r="C1110">
        <v>14</v>
      </c>
      <c r="D1110" s="3">
        <v>4</v>
      </c>
      <c r="E1110" s="3">
        <v>9</v>
      </c>
      <c r="F1110">
        <v>23</v>
      </c>
      <c r="G1110" s="1">
        <f>DATEVALUE(_xlfn.CONCAT(BBDD_Usiarios_Netflix[[#This Row],[Día Suscripción]],"/",BBDD_Usiarios_Netflix[[#This Row],[Mes Suscripción]],"/",BBDD_Usiarios_Netflix[[#This Row],[Año Suscripción]]))</f>
        <v>45173</v>
      </c>
      <c r="H1110" s="1">
        <v>1</v>
      </c>
      <c r="I1110" s="1">
        <v>7</v>
      </c>
      <c r="J1110" s="1">
        <v>24</v>
      </c>
      <c r="K1110" s="1" t="str">
        <f>TEXT(BBDD_Usiarios_Netflix[[#This Row],[Fecha Suscripción]],"dddd")</f>
        <v>lunes</v>
      </c>
      <c r="L1110" s="1">
        <f>DATEVALUE(_xlfn.CONCAT(BBDD_Usiarios_Netflix[[#This Row],[Día Último Pago]],"/",BBDD_Usiarios_Netflix[[#This Row],[Mes Último Pago]],"/",BBDD_Usiarios_Netflix[[#This Row],[Año Último Pago]]))</f>
        <v>45474</v>
      </c>
      <c r="M1110" s="4">
        <f>DATEDIF(BBDD_Usiarios_Netflix[[#This Row],[Fecha Suscripción]],BBDD_Usiarios_Netflix[[#This Row],[Fecha Último Pago]],"M")+1</f>
        <v>10</v>
      </c>
      <c r="N1110" s="4">
        <f>BBDD_Usiarios_Netflix[[#This Row],[Ingresos Mensuales]]*BBDD_Usiarios_Netflix[[#This Row],[Meses contratados]]</f>
        <v>140</v>
      </c>
      <c r="O1110" t="s">
        <v>40</v>
      </c>
      <c r="P1110" t="str">
        <f>IF(BBDD_Usiarios_Netflix[[#This Row],[País]]="","Desconocido",BBDD_Usiarios_Netflix[[#This Row],[País]])</f>
        <v>Italia</v>
      </c>
      <c r="Q1110">
        <v>51</v>
      </c>
      <c r="R1110" t="s">
        <v>30</v>
      </c>
      <c r="S1110" t="s">
        <v>26</v>
      </c>
      <c r="T1110" t="s">
        <v>41</v>
      </c>
      <c r="U1110">
        <f>IF(IFERROR(VLOOKUP(BBDD_Usiarios_Netflix[[#This Row],[Identificador Usuario]],A1111:$A$5870,1,FALSE),0)&lt;&gt;0,1,0)</f>
        <v>0</v>
      </c>
      <c r="V1110" s="6" t="str">
        <f>IF(BBDD_Usiarios_Netflix[[#This Row],[Duración Plan]]="12 Meses",LEFT(BBDD_Usiarios_Netflix[[#This Row],[Duración Plan]],2),LEFT(BBDD_Usiarios_Netflix[[#This Row],[Duración Plan]],1))</f>
        <v>12</v>
      </c>
      <c r="W11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11" spans="1:23" x14ac:dyDescent="0.25">
      <c r="A1111">
        <v>1110</v>
      </c>
      <c r="B1111" t="s">
        <v>23</v>
      </c>
      <c r="C1111">
        <v>10</v>
      </c>
      <c r="D1111" s="3">
        <v>5</v>
      </c>
      <c r="E1111" s="3">
        <v>9</v>
      </c>
      <c r="F1111">
        <v>23</v>
      </c>
      <c r="G1111" s="1">
        <f>DATEVALUE(_xlfn.CONCAT(BBDD_Usiarios_Netflix[[#This Row],[Día Suscripción]],"/",BBDD_Usiarios_Netflix[[#This Row],[Mes Suscripción]],"/",BBDD_Usiarios_Netflix[[#This Row],[Año Suscripción]]))</f>
        <v>45174</v>
      </c>
      <c r="H1111" s="1">
        <v>4</v>
      </c>
      <c r="I1111" s="1">
        <v>7</v>
      </c>
      <c r="J1111" s="1">
        <v>24</v>
      </c>
      <c r="K1111" s="1" t="str">
        <f>TEXT(BBDD_Usiarios_Netflix[[#This Row],[Fecha Suscripción]],"dddd")</f>
        <v>martes</v>
      </c>
      <c r="L1111" s="1">
        <f>DATEVALUE(_xlfn.CONCAT(BBDD_Usiarios_Netflix[[#This Row],[Día Último Pago]],"/",BBDD_Usiarios_Netflix[[#This Row],[Mes Último Pago]],"/",BBDD_Usiarios_Netflix[[#This Row],[Año Último Pago]]))</f>
        <v>45477</v>
      </c>
      <c r="M1111" s="4">
        <f>DATEDIF(BBDD_Usiarios_Netflix[[#This Row],[Fecha Suscripción]],BBDD_Usiarios_Netflix[[#This Row],[Fecha Último Pago]],"M")+1</f>
        <v>10</v>
      </c>
      <c r="N1111" s="4">
        <f>BBDD_Usiarios_Netflix[[#This Row],[Ingresos Mensuales]]*BBDD_Usiarios_Netflix[[#This Row],[Meses contratados]]</f>
        <v>100</v>
      </c>
      <c r="O1111" t="s">
        <v>40</v>
      </c>
      <c r="P1111" t="str">
        <f>IF(BBDD_Usiarios_Netflix[[#This Row],[País]]="","Desconocido",BBDD_Usiarios_Netflix[[#This Row],[País]])</f>
        <v>Italia</v>
      </c>
      <c r="Q1111">
        <v>41</v>
      </c>
      <c r="R1111" t="s">
        <v>30</v>
      </c>
      <c r="S1111" t="s">
        <v>31</v>
      </c>
      <c r="T1111" t="s">
        <v>35</v>
      </c>
      <c r="U1111">
        <f>IF(IFERROR(VLOOKUP(BBDD_Usiarios_Netflix[[#This Row],[Identificador Usuario]],A1112:$A$5870,1,FALSE),0)&lt;&gt;0,1,0)</f>
        <v>0</v>
      </c>
      <c r="V1111" s="6" t="str">
        <f>IF(BBDD_Usiarios_Netflix[[#This Row],[Duración Plan]]="12 Meses",LEFT(BBDD_Usiarios_Netflix[[#This Row],[Duración Plan]],2),LEFT(BBDD_Usiarios_Netflix[[#This Row],[Duración Plan]],1))</f>
        <v>6</v>
      </c>
      <c r="W11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12" spans="1:23" x14ac:dyDescent="0.25">
      <c r="A1112">
        <v>1111</v>
      </c>
      <c r="B1112" t="s">
        <v>28</v>
      </c>
      <c r="C1112">
        <v>14</v>
      </c>
      <c r="D1112" s="3">
        <v>10</v>
      </c>
      <c r="E1112" s="3">
        <v>9</v>
      </c>
      <c r="F1112">
        <v>23</v>
      </c>
      <c r="G1112" s="1">
        <f>DATEVALUE(_xlfn.CONCAT(BBDD_Usiarios_Netflix[[#This Row],[Día Suscripción]],"/",BBDD_Usiarios_Netflix[[#This Row],[Mes Suscripción]],"/",BBDD_Usiarios_Netflix[[#This Row],[Año Suscripción]]))</f>
        <v>45179</v>
      </c>
      <c r="H1112" s="1">
        <v>1</v>
      </c>
      <c r="I1112" s="1">
        <v>7</v>
      </c>
      <c r="J1112" s="1">
        <v>24</v>
      </c>
      <c r="K1112" s="1" t="str">
        <f>TEXT(BBDD_Usiarios_Netflix[[#This Row],[Fecha Suscripción]],"dddd")</f>
        <v>domingo</v>
      </c>
      <c r="L1112" s="1">
        <f>DATEVALUE(_xlfn.CONCAT(BBDD_Usiarios_Netflix[[#This Row],[Día Último Pago]],"/",BBDD_Usiarios_Netflix[[#This Row],[Mes Último Pago]],"/",BBDD_Usiarios_Netflix[[#This Row],[Año Último Pago]]))</f>
        <v>45474</v>
      </c>
      <c r="M1112" s="4">
        <f>DATEDIF(BBDD_Usiarios_Netflix[[#This Row],[Fecha Suscripción]],BBDD_Usiarios_Netflix[[#This Row],[Fecha Último Pago]],"M")+1</f>
        <v>10</v>
      </c>
      <c r="N1112" s="4">
        <f>BBDD_Usiarios_Netflix[[#This Row],[Ingresos Mensuales]]*BBDD_Usiarios_Netflix[[#This Row],[Meses contratados]]</f>
        <v>140</v>
      </c>
      <c r="O1112" t="s">
        <v>42</v>
      </c>
      <c r="P1112" t="str">
        <f>IF(BBDD_Usiarios_Netflix[[#This Row],[País]]="","Desconocido",BBDD_Usiarios_Netflix[[#This Row],[País]])</f>
        <v>Reino Unido</v>
      </c>
      <c r="Q1112">
        <v>51</v>
      </c>
      <c r="R1112" t="s">
        <v>25</v>
      </c>
      <c r="S1112" t="s">
        <v>34</v>
      </c>
      <c r="T1112" t="s">
        <v>27</v>
      </c>
      <c r="U1112">
        <f>IF(IFERROR(VLOOKUP(BBDD_Usiarios_Netflix[[#This Row],[Identificador Usuario]],A1113:$A$5870,1,FALSE),0)&lt;&gt;0,1,0)</f>
        <v>0</v>
      </c>
      <c r="V1112" s="6" t="str">
        <f>IF(BBDD_Usiarios_Netflix[[#This Row],[Duración Plan]]="12 Meses",LEFT(BBDD_Usiarios_Netflix[[#This Row],[Duración Plan]],2),LEFT(BBDD_Usiarios_Netflix[[#This Row],[Duración Plan]],1))</f>
        <v>1</v>
      </c>
      <c r="W11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13" spans="1:23" x14ac:dyDescent="0.25">
      <c r="A1113">
        <v>1112</v>
      </c>
      <c r="B1113" t="s">
        <v>23</v>
      </c>
      <c r="C1113">
        <v>10</v>
      </c>
      <c r="D1113" s="3">
        <v>13</v>
      </c>
      <c r="E1113" s="3">
        <v>9</v>
      </c>
      <c r="F1113">
        <v>23</v>
      </c>
      <c r="G1113" s="1">
        <f>DATEVALUE(_xlfn.CONCAT(BBDD_Usiarios_Netflix[[#This Row],[Día Suscripción]],"/",BBDD_Usiarios_Netflix[[#This Row],[Mes Suscripción]],"/",BBDD_Usiarios_Netflix[[#This Row],[Año Suscripción]]))</f>
        <v>45182</v>
      </c>
      <c r="H1113" s="1">
        <v>3</v>
      </c>
      <c r="I1113" s="1">
        <v>7</v>
      </c>
      <c r="J1113" s="1">
        <v>24</v>
      </c>
      <c r="K1113" s="1" t="str">
        <f>TEXT(BBDD_Usiarios_Netflix[[#This Row],[Fecha Suscripción]],"dddd")</f>
        <v>miércoles</v>
      </c>
      <c r="L1113" s="1">
        <f>DATEVALUE(_xlfn.CONCAT(BBDD_Usiarios_Netflix[[#This Row],[Día Último Pago]],"/",BBDD_Usiarios_Netflix[[#This Row],[Mes Último Pago]],"/",BBDD_Usiarios_Netflix[[#This Row],[Año Último Pago]]))</f>
        <v>45476</v>
      </c>
      <c r="M1113" s="4">
        <f>DATEDIF(BBDD_Usiarios_Netflix[[#This Row],[Fecha Suscripción]],BBDD_Usiarios_Netflix[[#This Row],[Fecha Último Pago]],"M")+1</f>
        <v>10</v>
      </c>
      <c r="N1113" s="4">
        <f>BBDD_Usiarios_Netflix[[#This Row],[Ingresos Mensuales]]*BBDD_Usiarios_Netflix[[#This Row],[Meses contratados]]</f>
        <v>100</v>
      </c>
      <c r="O1113" t="s">
        <v>42</v>
      </c>
      <c r="P1113" t="str">
        <f>IF(BBDD_Usiarios_Netflix[[#This Row],[País]]="","Desconocido",BBDD_Usiarios_Netflix[[#This Row],[País]])</f>
        <v>Reino Unido</v>
      </c>
      <c r="Q1113">
        <v>31</v>
      </c>
      <c r="R1113" t="s">
        <v>30</v>
      </c>
      <c r="S1113" t="s">
        <v>31</v>
      </c>
      <c r="T1113" t="s">
        <v>27</v>
      </c>
      <c r="U1113">
        <f>IF(IFERROR(VLOOKUP(BBDD_Usiarios_Netflix[[#This Row],[Identificador Usuario]],A1114:$A$5870,1,FALSE),0)&lt;&gt;0,1,0)</f>
        <v>0</v>
      </c>
      <c r="V1113" s="6" t="str">
        <f>IF(BBDD_Usiarios_Netflix[[#This Row],[Duración Plan]]="12 Meses",LEFT(BBDD_Usiarios_Netflix[[#This Row],[Duración Plan]],2),LEFT(BBDD_Usiarios_Netflix[[#This Row],[Duración Plan]],1))</f>
        <v>1</v>
      </c>
      <c r="W11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14" spans="1:23" x14ac:dyDescent="0.25">
      <c r="A1114">
        <v>1113</v>
      </c>
      <c r="B1114" t="s">
        <v>32</v>
      </c>
      <c r="C1114">
        <v>12</v>
      </c>
      <c r="D1114" s="3">
        <v>20</v>
      </c>
      <c r="E1114" s="3">
        <v>9</v>
      </c>
      <c r="F1114">
        <v>23</v>
      </c>
      <c r="G1114" s="1">
        <f>DATEVALUE(_xlfn.CONCAT(BBDD_Usiarios_Netflix[[#This Row],[Día Suscripción]],"/",BBDD_Usiarios_Netflix[[#This Row],[Mes Suscripción]],"/",BBDD_Usiarios_Netflix[[#This Row],[Año Suscripción]]))</f>
        <v>45189</v>
      </c>
      <c r="H1114" s="1">
        <v>1</v>
      </c>
      <c r="I1114" s="1">
        <v>7</v>
      </c>
      <c r="J1114" s="1">
        <v>24</v>
      </c>
      <c r="K1114" s="1" t="str">
        <f>TEXT(BBDD_Usiarios_Netflix[[#This Row],[Fecha Suscripción]],"dddd")</f>
        <v>miércoles</v>
      </c>
      <c r="L1114" s="1">
        <f>DATEVALUE(_xlfn.CONCAT(BBDD_Usiarios_Netflix[[#This Row],[Día Último Pago]],"/",BBDD_Usiarios_Netflix[[#This Row],[Mes Último Pago]],"/",BBDD_Usiarios_Netflix[[#This Row],[Año Último Pago]]))</f>
        <v>45474</v>
      </c>
      <c r="M1114" s="4">
        <f>DATEDIF(BBDD_Usiarios_Netflix[[#This Row],[Fecha Suscripción]],BBDD_Usiarios_Netflix[[#This Row],[Fecha Último Pago]],"M")+1</f>
        <v>10</v>
      </c>
      <c r="N1114" s="4">
        <f>BBDD_Usiarios_Netflix[[#This Row],[Ingresos Mensuales]]*BBDD_Usiarios_Netflix[[#This Row],[Meses contratados]]</f>
        <v>120</v>
      </c>
      <c r="O1114" t="s">
        <v>45</v>
      </c>
      <c r="P1114" t="str">
        <f>IF(BBDD_Usiarios_Netflix[[#This Row],[País]]="","Desconocido",BBDD_Usiarios_Netflix[[#This Row],[País]])</f>
        <v>España</v>
      </c>
      <c r="Q1114">
        <v>44</v>
      </c>
      <c r="R1114" t="s">
        <v>25</v>
      </c>
      <c r="S1114" t="s">
        <v>36</v>
      </c>
      <c r="T1114" t="s">
        <v>35</v>
      </c>
      <c r="U1114">
        <f>IF(IFERROR(VLOOKUP(BBDD_Usiarios_Netflix[[#This Row],[Identificador Usuario]],A1115:$A$5870,1,FALSE),0)&lt;&gt;0,1,0)</f>
        <v>0</v>
      </c>
      <c r="V1114" s="6" t="str">
        <f>IF(BBDD_Usiarios_Netflix[[#This Row],[Duración Plan]]="12 Meses",LEFT(BBDD_Usiarios_Netflix[[#This Row],[Duración Plan]],2),LEFT(BBDD_Usiarios_Netflix[[#This Row],[Duración Plan]],1))</f>
        <v>6</v>
      </c>
      <c r="W11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15" spans="1:23" x14ac:dyDescent="0.25">
      <c r="A1115">
        <v>1114</v>
      </c>
      <c r="B1115" t="s">
        <v>32</v>
      </c>
      <c r="C1115">
        <v>12</v>
      </c>
      <c r="D1115" s="3">
        <v>1</v>
      </c>
      <c r="E1115" s="3">
        <v>10</v>
      </c>
      <c r="F1115">
        <v>23</v>
      </c>
      <c r="G1115" s="1">
        <f>DATEVALUE(_xlfn.CONCAT(BBDD_Usiarios_Netflix[[#This Row],[Día Suscripción]],"/",BBDD_Usiarios_Netflix[[#This Row],[Mes Suscripción]],"/",BBDD_Usiarios_Netflix[[#This Row],[Año Suscripción]]))</f>
        <v>45200</v>
      </c>
      <c r="H1115" s="1">
        <v>3</v>
      </c>
      <c r="I1115" s="1">
        <v>7</v>
      </c>
      <c r="J1115" s="1">
        <v>24</v>
      </c>
      <c r="K1115" s="1" t="str">
        <f>TEXT(BBDD_Usiarios_Netflix[[#This Row],[Fecha Suscripción]],"dddd")</f>
        <v>domingo</v>
      </c>
      <c r="L1115" s="1">
        <f>DATEVALUE(_xlfn.CONCAT(BBDD_Usiarios_Netflix[[#This Row],[Día Último Pago]],"/",BBDD_Usiarios_Netflix[[#This Row],[Mes Último Pago]],"/",BBDD_Usiarios_Netflix[[#This Row],[Año Último Pago]]))</f>
        <v>45476</v>
      </c>
      <c r="M1115" s="4">
        <f>DATEDIF(BBDD_Usiarios_Netflix[[#This Row],[Fecha Suscripción]],BBDD_Usiarios_Netflix[[#This Row],[Fecha Último Pago]],"M")+1</f>
        <v>10</v>
      </c>
      <c r="N1115" s="4">
        <f>BBDD_Usiarios_Netflix[[#This Row],[Ingresos Mensuales]]*BBDD_Usiarios_Netflix[[#This Row],[Meses contratados]]</f>
        <v>120</v>
      </c>
      <c r="O1115" t="s">
        <v>42</v>
      </c>
      <c r="P1115" t="str">
        <f>IF(BBDD_Usiarios_Netflix[[#This Row],[País]]="","Desconocido",BBDD_Usiarios_Netflix[[#This Row],[País]])</f>
        <v>Reino Unido</v>
      </c>
      <c r="Q1115">
        <v>50</v>
      </c>
      <c r="R1115" t="s">
        <v>25</v>
      </c>
      <c r="S1115" t="s">
        <v>34</v>
      </c>
      <c r="T1115" t="s">
        <v>35</v>
      </c>
      <c r="U1115">
        <f>IF(IFERROR(VLOOKUP(BBDD_Usiarios_Netflix[[#This Row],[Identificador Usuario]],A1116:$A$5870,1,FALSE),0)&lt;&gt;0,1,0)</f>
        <v>0</v>
      </c>
      <c r="V1115" s="6" t="str">
        <f>IF(BBDD_Usiarios_Netflix[[#This Row],[Duración Plan]]="12 Meses",LEFT(BBDD_Usiarios_Netflix[[#This Row],[Duración Plan]],2),LEFT(BBDD_Usiarios_Netflix[[#This Row],[Duración Plan]],1))</f>
        <v>6</v>
      </c>
      <c r="W11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16" spans="1:23" x14ac:dyDescent="0.25">
      <c r="A1116">
        <v>1115</v>
      </c>
      <c r="B1116" t="s">
        <v>23</v>
      </c>
      <c r="C1116">
        <v>10</v>
      </c>
      <c r="D1116" s="3">
        <v>3</v>
      </c>
      <c r="E1116" s="3">
        <v>10</v>
      </c>
      <c r="F1116">
        <v>23</v>
      </c>
      <c r="G1116" s="1">
        <f>DATEVALUE(_xlfn.CONCAT(BBDD_Usiarios_Netflix[[#This Row],[Día Suscripción]],"/",BBDD_Usiarios_Netflix[[#This Row],[Mes Suscripción]],"/",BBDD_Usiarios_Netflix[[#This Row],[Año Suscripción]]))</f>
        <v>45202</v>
      </c>
      <c r="H1116" s="1">
        <v>1</v>
      </c>
      <c r="I1116" s="1">
        <v>7</v>
      </c>
      <c r="J1116" s="1">
        <v>24</v>
      </c>
      <c r="K1116" s="1" t="str">
        <f>TEXT(BBDD_Usiarios_Netflix[[#This Row],[Fecha Suscripción]],"dddd")</f>
        <v>martes</v>
      </c>
      <c r="L1116" s="1">
        <f>DATEVALUE(_xlfn.CONCAT(BBDD_Usiarios_Netflix[[#This Row],[Día Último Pago]],"/",BBDD_Usiarios_Netflix[[#This Row],[Mes Último Pago]],"/",BBDD_Usiarios_Netflix[[#This Row],[Año Último Pago]]))</f>
        <v>45474</v>
      </c>
      <c r="M1116" s="4">
        <f>DATEDIF(BBDD_Usiarios_Netflix[[#This Row],[Fecha Suscripción]],BBDD_Usiarios_Netflix[[#This Row],[Fecha Último Pago]],"M")+1</f>
        <v>9</v>
      </c>
      <c r="N1116" s="4">
        <f>BBDD_Usiarios_Netflix[[#This Row],[Ingresos Mensuales]]*BBDD_Usiarios_Netflix[[#This Row],[Meses contratados]]</f>
        <v>90</v>
      </c>
      <c r="O1116" t="s">
        <v>43</v>
      </c>
      <c r="P1116" t="str">
        <f>IF(BBDD_Usiarios_Netflix[[#This Row],[País]]="","Desconocido",BBDD_Usiarios_Netflix[[#This Row],[País]])</f>
        <v>Alemania</v>
      </c>
      <c r="Q1116">
        <v>33</v>
      </c>
      <c r="R1116" t="s">
        <v>25</v>
      </c>
      <c r="S1116" t="s">
        <v>36</v>
      </c>
      <c r="T1116" t="s">
        <v>41</v>
      </c>
      <c r="U1116">
        <f>IF(IFERROR(VLOOKUP(BBDD_Usiarios_Netflix[[#This Row],[Identificador Usuario]],A1117:$A$5870,1,FALSE),0)&lt;&gt;0,1,0)</f>
        <v>0</v>
      </c>
      <c r="V1116" s="6" t="str">
        <f>IF(BBDD_Usiarios_Netflix[[#This Row],[Duración Plan]]="12 Meses",LEFT(BBDD_Usiarios_Netflix[[#This Row],[Duración Plan]],2),LEFT(BBDD_Usiarios_Netflix[[#This Row],[Duración Plan]],1))</f>
        <v>12</v>
      </c>
      <c r="W11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17" spans="1:23" x14ac:dyDescent="0.25">
      <c r="A1117">
        <v>1116</v>
      </c>
      <c r="B1117" t="s">
        <v>28</v>
      </c>
      <c r="C1117">
        <v>14</v>
      </c>
      <c r="D1117" s="3">
        <v>6</v>
      </c>
      <c r="E1117" s="3">
        <v>10</v>
      </c>
      <c r="F1117">
        <v>23</v>
      </c>
      <c r="G1117" s="1">
        <f>DATEVALUE(_xlfn.CONCAT(BBDD_Usiarios_Netflix[[#This Row],[Día Suscripción]],"/",BBDD_Usiarios_Netflix[[#This Row],[Mes Suscripción]],"/",BBDD_Usiarios_Netflix[[#This Row],[Año Suscripción]]))</f>
        <v>45205</v>
      </c>
      <c r="H1117" s="1">
        <v>4</v>
      </c>
      <c r="I1117" s="1">
        <v>7</v>
      </c>
      <c r="J1117" s="1">
        <v>24</v>
      </c>
      <c r="K1117" s="1" t="str">
        <f>TEXT(BBDD_Usiarios_Netflix[[#This Row],[Fecha Suscripción]],"dddd")</f>
        <v>viernes</v>
      </c>
      <c r="L1117" s="1">
        <f>DATEVALUE(_xlfn.CONCAT(BBDD_Usiarios_Netflix[[#This Row],[Día Último Pago]],"/",BBDD_Usiarios_Netflix[[#This Row],[Mes Último Pago]],"/",BBDD_Usiarios_Netflix[[#This Row],[Año Último Pago]]))</f>
        <v>45477</v>
      </c>
      <c r="M1117" s="4">
        <f>DATEDIF(BBDD_Usiarios_Netflix[[#This Row],[Fecha Suscripción]],BBDD_Usiarios_Netflix[[#This Row],[Fecha Último Pago]],"M")+1</f>
        <v>9</v>
      </c>
      <c r="N1117" s="4">
        <f>BBDD_Usiarios_Netflix[[#This Row],[Ingresos Mensuales]]*BBDD_Usiarios_Netflix[[#This Row],[Meses contratados]]</f>
        <v>126</v>
      </c>
      <c r="O1117" t="s">
        <v>42</v>
      </c>
      <c r="P1117" t="str">
        <f>IF(BBDD_Usiarios_Netflix[[#This Row],[País]]="","Desconocido",BBDD_Usiarios_Netflix[[#This Row],[País]])</f>
        <v>Reino Unido</v>
      </c>
      <c r="Q1117">
        <v>44</v>
      </c>
      <c r="R1117" t="s">
        <v>30</v>
      </c>
      <c r="S1117" t="s">
        <v>36</v>
      </c>
      <c r="T1117" t="s">
        <v>27</v>
      </c>
      <c r="U1117">
        <f>IF(IFERROR(VLOOKUP(BBDD_Usiarios_Netflix[[#This Row],[Identificador Usuario]],A1118:$A$5870,1,FALSE),0)&lt;&gt;0,1,0)</f>
        <v>0</v>
      </c>
      <c r="V1117" s="6" t="str">
        <f>IF(BBDD_Usiarios_Netflix[[#This Row],[Duración Plan]]="12 Meses",LEFT(BBDD_Usiarios_Netflix[[#This Row],[Duración Plan]],2),LEFT(BBDD_Usiarios_Netflix[[#This Row],[Duración Plan]],1))</f>
        <v>1</v>
      </c>
      <c r="W11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18" spans="1:23" x14ac:dyDescent="0.25">
      <c r="A1118">
        <v>1117</v>
      </c>
      <c r="B1118" t="s">
        <v>23</v>
      </c>
      <c r="C1118">
        <v>10</v>
      </c>
      <c r="D1118" s="3">
        <v>8</v>
      </c>
      <c r="E1118" s="3">
        <v>10</v>
      </c>
      <c r="F1118">
        <v>23</v>
      </c>
      <c r="G1118" s="1">
        <f>DATEVALUE(_xlfn.CONCAT(BBDD_Usiarios_Netflix[[#This Row],[Día Suscripción]],"/",BBDD_Usiarios_Netflix[[#This Row],[Mes Suscripción]],"/",BBDD_Usiarios_Netflix[[#This Row],[Año Suscripción]]))</f>
        <v>45207</v>
      </c>
      <c r="H1118" s="1">
        <v>1</v>
      </c>
      <c r="I1118" s="1">
        <v>7</v>
      </c>
      <c r="J1118" s="1">
        <v>24</v>
      </c>
      <c r="K1118" s="1" t="str">
        <f>TEXT(BBDD_Usiarios_Netflix[[#This Row],[Fecha Suscripción]],"dddd")</f>
        <v>domingo</v>
      </c>
      <c r="L1118" s="1">
        <f>DATEVALUE(_xlfn.CONCAT(BBDD_Usiarios_Netflix[[#This Row],[Día Último Pago]],"/",BBDD_Usiarios_Netflix[[#This Row],[Mes Último Pago]],"/",BBDD_Usiarios_Netflix[[#This Row],[Año Último Pago]]))</f>
        <v>45474</v>
      </c>
      <c r="M1118" s="4">
        <f>DATEDIF(BBDD_Usiarios_Netflix[[#This Row],[Fecha Suscripción]],BBDD_Usiarios_Netflix[[#This Row],[Fecha Último Pago]],"M")+1</f>
        <v>9</v>
      </c>
      <c r="N1118" s="4">
        <f>BBDD_Usiarios_Netflix[[#This Row],[Ingresos Mensuales]]*BBDD_Usiarios_Netflix[[#This Row],[Meses contratados]]</f>
        <v>90</v>
      </c>
      <c r="O1118" t="s">
        <v>39</v>
      </c>
      <c r="P1118" t="str">
        <f>IF(BBDD_Usiarios_Netflix[[#This Row],[País]]="","Desconocido",BBDD_Usiarios_Netflix[[#This Row],[País]])</f>
        <v>Canadá</v>
      </c>
      <c r="Q1118">
        <v>42</v>
      </c>
      <c r="R1118" t="s">
        <v>30</v>
      </c>
      <c r="S1118" t="s">
        <v>31</v>
      </c>
      <c r="T1118" t="s">
        <v>38</v>
      </c>
      <c r="U1118">
        <f>IF(IFERROR(VLOOKUP(BBDD_Usiarios_Netflix[[#This Row],[Identificador Usuario]],A1119:$A$5870,1,FALSE),0)&lt;&gt;0,1,0)</f>
        <v>0</v>
      </c>
      <c r="V1118" s="6" t="str">
        <f>IF(BBDD_Usiarios_Netflix[[#This Row],[Duración Plan]]="12 Meses",LEFT(BBDD_Usiarios_Netflix[[#This Row],[Duración Plan]],2),LEFT(BBDD_Usiarios_Netflix[[#This Row],[Duración Plan]],1))</f>
        <v>3</v>
      </c>
      <c r="W11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19" spans="1:23" x14ac:dyDescent="0.25">
      <c r="A1119">
        <v>1118</v>
      </c>
      <c r="B1119" t="s">
        <v>32</v>
      </c>
      <c r="C1119">
        <v>12</v>
      </c>
      <c r="D1119" s="3">
        <v>9</v>
      </c>
      <c r="E1119" s="3">
        <v>10</v>
      </c>
      <c r="F1119">
        <v>23</v>
      </c>
      <c r="G1119" s="1">
        <f>DATEVALUE(_xlfn.CONCAT(BBDD_Usiarios_Netflix[[#This Row],[Día Suscripción]],"/",BBDD_Usiarios_Netflix[[#This Row],[Mes Suscripción]],"/",BBDD_Usiarios_Netflix[[#This Row],[Año Suscripción]]))</f>
        <v>45208</v>
      </c>
      <c r="H1119" s="1">
        <v>3</v>
      </c>
      <c r="I1119" s="1">
        <v>7</v>
      </c>
      <c r="J1119" s="1">
        <v>24</v>
      </c>
      <c r="K1119" s="1" t="str">
        <f>TEXT(BBDD_Usiarios_Netflix[[#This Row],[Fecha Suscripción]],"dddd")</f>
        <v>lunes</v>
      </c>
      <c r="L1119" s="1">
        <f>DATEVALUE(_xlfn.CONCAT(BBDD_Usiarios_Netflix[[#This Row],[Día Último Pago]],"/",BBDD_Usiarios_Netflix[[#This Row],[Mes Último Pago]],"/",BBDD_Usiarios_Netflix[[#This Row],[Año Último Pago]]))</f>
        <v>45476</v>
      </c>
      <c r="M1119" s="4">
        <f>DATEDIF(BBDD_Usiarios_Netflix[[#This Row],[Fecha Suscripción]],BBDD_Usiarios_Netflix[[#This Row],[Fecha Último Pago]],"M")+1</f>
        <v>9</v>
      </c>
      <c r="N1119" s="4">
        <f>BBDD_Usiarios_Netflix[[#This Row],[Ingresos Mensuales]]*BBDD_Usiarios_Netflix[[#This Row],[Meses contratados]]</f>
        <v>108</v>
      </c>
      <c r="O1119" t="s">
        <v>46</v>
      </c>
      <c r="P1119" t="str">
        <f>IF(BBDD_Usiarios_Netflix[[#This Row],[País]]="","Desconocido",BBDD_Usiarios_Netflix[[#This Row],[País]])</f>
        <v>Méjico</v>
      </c>
      <c r="Q1119">
        <v>35</v>
      </c>
      <c r="R1119" t="s">
        <v>25</v>
      </c>
      <c r="S1119" t="s">
        <v>34</v>
      </c>
      <c r="T1119" t="s">
        <v>41</v>
      </c>
      <c r="U1119">
        <f>IF(IFERROR(VLOOKUP(BBDD_Usiarios_Netflix[[#This Row],[Identificador Usuario]],A1120:$A$5870,1,FALSE),0)&lt;&gt;0,1,0)</f>
        <v>0</v>
      </c>
      <c r="V1119" s="6" t="str">
        <f>IF(BBDD_Usiarios_Netflix[[#This Row],[Duración Plan]]="12 Meses",LEFT(BBDD_Usiarios_Netflix[[#This Row],[Duración Plan]],2),LEFT(BBDD_Usiarios_Netflix[[#This Row],[Duración Plan]],1))</f>
        <v>12</v>
      </c>
      <c r="W11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20" spans="1:23" x14ac:dyDescent="0.25">
      <c r="A1120">
        <v>1119</v>
      </c>
      <c r="B1120" t="s">
        <v>28</v>
      </c>
      <c r="C1120">
        <v>14</v>
      </c>
      <c r="D1120" s="3">
        <v>10</v>
      </c>
      <c r="E1120" s="3">
        <v>10</v>
      </c>
      <c r="F1120">
        <v>23</v>
      </c>
      <c r="G1120" s="1">
        <f>DATEVALUE(_xlfn.CONCAT(BBDD_Usiarios_Netflix[[#This Row],[Día Suscripción]],"/",BBDD_Usiarios_Netflix[[#This Row],[Mes Suscripción]],"/",BBDD_Usiarios_Netflix[[#This Row],[Año Suscripción]]))</f>
        <v>45209</v>
      </c>
      <c r="H1120" s="1">
        <v>2</v>
      </c>
      <c r="I1120" s="1">
        <v>7</v>
      </c>
      <c r="J1120" s="1">
        <v>24</v>
      </c>
      <c r="K1120" s="1" t="str">
        <f>TEXT(BBDD_Usiarios_Netflix[[#This Row],[Fecha Suscripción]],"dddd")</f>
        <v>martes</v>
      </c>
      <c r="L1120" s="1">
        <f>DATEVALUE(_xlfn.CONCAT(BBDD_Usiarios_Netflix[[#This Row],[Día Último Pago]],"/",BBDD_Usiarios_Netflix[[#This Row],[Mes Último Pago]],"/",BBDD_Usiarios_Netflix[[#This Row],[Año Último Pago]]))</f>
        <v>45475</v>
      </c>
      <c r="M1120" s="4">
        <f>DATEDIF(BBDD_Usiarios_Netflix[[#This Row],[Fecha Suscripción]],BBDD_Usiarios_Netflix[[#This Row],[Fecha Último Pago]],"M")+1</f>
        <v>9</v>
      </c>
      <c r="N1120" s="4">
        <f>BBDD_Usiarios_Netflix[[#This Row],[Ingresos Mensuales]]*BBDD_Usiarios_Netflix[[#This Row],[Meses contratados]]</f>
        <v>126</v>
      </c>
      <c r="O1120" t="s">
        <v>29</v>
      </c>
      <c r="P1120" t="str">
        <f>IF(BBDD_Usiarios_Netflix[[#This Row],[País]]="","Desconocido",BBDD_Usiarios_Netflix[[#This Row],[País]])</f>
        <v>EEUU</v>
      </c>
      <c r="Q1120">
        <v>48</v>
      </c>
      <c r="R1120" t="s">
        <v>25</v>
      </c>
      <c r="S1120" t="s">
        <v>26</v>
      </c>
      <c r="T1120" t="s">
        <v>27</v>
      </c>
      <c r="U1120">
        <f>IF(IFERROR(VLOOKUP(BBDD_Usiarios_Netflix[[#This Row],[Identificador Usuario]],A1121:$A$5870,1,FALSE),0)&lt;&gt;0,1,0)</f>
        <v>0</v>
      </c>
      <c r="V1120" s="6" t="str">
        <f>IF(BBDD_Usiarios_Netflix[[#This Row],[Duración Plan]]="12 Meses",LEFT(BBDD_Usiarios_Netflix[[#This Row],[Duración Plan]],2),LEFT(BBDD_Usiarios_Netflix[[#This Row],[Duración Plan]],1))</f>
        <v>1</v>
      </c>
      <c r="W11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21" spans="1:23" x14ac:dyDescent="0.25">
      <c r="A1121">
        <v>1120</v>
      </c>
      <c r="B1121" t="s">
        <v>23</v>
      </c>
      <c r="C1121">
        <v>10</v>
      </c>
      <c r="D1121" s="3">
        <v>10</v>
      </c>
      <c r="E1121" s="3">
        <v>10</v>
      </c>
      <c r="F1121">
        <v>23</v>
      </c>
      <c r="G1121" s="1">
        <f>DATEVALUE(_xlfn.CONCAT(BBDD_Usiarios_Netflix[[#This Row],[Día Suscripción]],"/",BBDD_Usiarios_Netflix[[#This Row],[Mes Suscripción]],"/",BBDD_Usiarios_Netflix[[#This Row],[Año Suscripción]]))</f>
        <v>45209</v>
      </c>
      <c r="H1121" s="1">
        <v>4</v>
      </c>
      <c r="I1121" s="1">
        <v>7</v>
      </c>
      <c r="J1121" s="1">
        <v>24</v>
      </c>
      <c r="K1121" s="1" t="str">
        <f>TEXT(BBDD_Usiarios_Netflix[[#This Row],[Fecha Suscripción]],"dddd")</f>
        <v>martes</v>
      </c>
      <c r="L1121" s="1">
        <f>DATEVALUE(_xlfn.CONCAT(BBDD_Usiarios_Netflix[[#This Row],[Día Último Pago]],"/",BBDD_Usiarios_Netflix[[#This Row],[Mes Último Pago]],"/",BBDD_Usiarios_Netflix[[#This Row],[Año Último Pago]]))</f>
        <v>45477</v>
      </c>
      <c r="M1121" s="4">
        <f>DATEDIF(BBDD_Usiarios_Netflix[[#This Row],[Fecha Suscripción]],BBDD_Usiarios_Netflix[[#This Row],[Fecha Último Pago]],"M")+1</f>
        <v>9</v>
      </c>
      <c r="N1121" s="4">
        <f>BBDD_Usiarios_Netflix[[#This Row],[Ingresos Mensuales]]*BBDD_Usiarios_Netflix[[#This Row],[Meses contratados]]</f>
        <v>90</v>
      </c>
      <c r="O1121" t="s">
        <v>33</v>
      </c>
      <c r="P1121" t="str">
        <f>IF(BBDD_Usiarios_Netflix[[#This Row],[País]]="","Desconocido",BBDD_Usiarios_Netflix[[#This Row],[País]])</f>
        <v>Francia</v>
      </c>
      <c r="Q1121">
        <v>51</v>
      </c>
      <c r="R1121" t="s">
        <v>30</v>
      </c>
      <c r="S1121" t="s">
        <v>26</v>
      </c>
      <c r="T1121" t="s">
        <v>27</v>
      </c>
      <c r="U1121">
        <f>IF(IFERROR(VLOOKUP(BBDD_Usiarios_Netflix[[#This Row],[Identificador Usuario]],A1122:$A$5870,1,FALSE),0)&lt;&gt;0,1,0)</f>
        <v>0</v>
      </c>
      <c r="V1121" s="6" t="str">
        <f>IF(BBDD_Usiarios_Netflix[[#This Row],[Duración Plan]]="12 Meses",LEFT(BBDD_Usiarios_Netflix[[#This Row],[Duración Plan]],2),LEFT(BBDD_Usiarios_Netflix[[#This Row],[Duración Plan]],1))</f>
        <v>1</v>
      </c>
      <c r="W11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22" spans="1:23" x14ac:dyDescent="0.25">
      <c r="A1122">
        <v>1121</v>
      </c>
      <c r="B1122" t="s">
        <v>23</v>
      </c>
      <c r="C1122">
        <v>10</v>
      </c>
      <c r="D1122" s="3">
        <v>12</v>
      </c>
      <c r="E1122" s="3">
        <v>10</v>
      </c>
      <c r="F1122">
        <v>23</v>
      </c>
      <c r="G1122" s="1">
        <f>DATEVALUE(_xlfn.CONCAT(BBDD_Usiarios_Netflix[[#This Row],[Día Suscripción]],"/",BBDD_Usiarios_Netflix[[#This Row],[Mes Suscripción]],"/",BBDD_Usiarios_Netflix[[#This Row],[Año Suscripción]]))</f>
        <v>45211</v>
      </c>
      <c r="H1122" s="1">
        <v>1</v>
      </c>
      <c r="I1122" s="1">
        <v>7</v>
      </c>
      <c r="J1122" s="1">
        <v>24</v>
      </c>
      <c r="K1122" s="1" t="str">
        <f>TEXT(BBDD_Usiarios_Netflix[[#This Row],[Fecha Suscripción]],"dddd")</f>
        <v>jueves</v>
      </c>
      <c r="L1122" s="1">
        <f>DATEVALUE(_xlfn.CONCAT(BBDD_Usiarios_Netflix[[#This Row],[Día Último Pago]],"/",BBDD_Usiarios_Netflix[[#This Row],[Mes Último Pago]],"/",BBDD_Usiarios_Netflix[[#This Row],[Año Último Pago]]))</f>
        <v>45474</v>
      </c>
      <c r="M1122" s="4">
        <f>DATEDIF(BBDD_Usiarios_Netflix[[#This Row],[Fecha Suscripción]],BBDD_Usiarios_Netflix[[#This Row],[Fecha Último Pago]],"M")+1</f>
        <v>9</v>
      </c>
      <c r="N1122" s="4">
        <f>BBDD_Usiarios_Netflix[[#This Row],[Ingresos Mensuales]]*BBDD_Usiarios_Netflix[[#This Row],[Meses contratados]]</f>
        <v>90</v>
      </c>
      <c r="O1122" t="s">
        <v>43</v>
      </c>
      <c r="P1122" t="str">
        <f>IF(BBDD_Usiarios_Netflix[[#This Row],[País]]="","Desconocido",BBDD_Usiarios_Netflix[[#This Row],[País]])</f>
        <v>Alemania</v>
      </c>
      <c r="Q1122">
        <v>44</v>
      </c>
      <c r="R1122" t="s">
        <v>30</v>
      </c>
      <c r="S1122" t="s">
        <v>34</v>
      </c>
      <c r="T1122" t="s">
        <v>27</v>
      </c>
      <c r="U1122">
        <f>IF(IFERROR(VLOOKUP(BBDD_Usiarios_Netflix[[#This Row],[Identificador Usuario]],A1123:$A$5870,1,FALSE),0)&lt;&gt;0,1,0)</f>
        <v>0</v>
      </c>
      <c r="V1122" s="6" t="str">
        <f>IF(BBDD_Usiarios_Netflix[[#This Row],[Duración Plan]]="12 Meses",LEFT(BBDD_Usiarios_Netflix[[#This Row],[Duración Plan]],2),LEFT(BBDD_Usiarios_Netflix[[#This Row],[Duración Plan]],1))</f>
        <v>1</v>
      </c>
      <c r="W11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23" spans="1:23" x14ac:dyDescent="0.25">
      <c r="A1123">
        <v>1122</v>
      </c>
      <c r="B1123" t="s">
        <v>23</v>
      </c>
      <c r="C1123">
        <v>10</v>
      </c>
      <c r="D1123" s="3">
        <v>14</v>
      </c>
      <c r="E1123" s="3">
        <v>10</v>
      </c>
      <c r="F1123">
        <v>23</v>
      </c>
      <c r="G1123" s="1">
        <f>DATEVALUE(_xlfn.CONCAT(BBDD_Usiarios_Netflix[[#This Row],[Día Suscripción]],"/",BBDD_Usiarios_Netflix[[#This Row],[Mes Suscripción]],"/",BBDD_Usiarios_Netflix[[#This Row],[Año Suscripción]]))</f>
        <v>45213</v>
      </c>
      <c r="H1123" s="1">
        <v>2</v>
      </c>
      <c r="I1123" s="1">
        <v>7</v>
      </c>
      <c r="J1123" s="1">
        <v>24</v>
      </c>
      <c r="K1123" s="1" t="str">
        <f>TEXT(BBDD_Usiarios_Netflix[[#This Row],[Fecha Suscripción]],"dddd")</f>
        <v>sábado</v>
      </c>
      <c r="L1123" s="1">
        <f>DATEVALUE(_xlfn.CONCAT(BBDD_Usiarios_Netflix[[#This Row],[Día Último Pago]],"/",BBDD_Usiarios_Netflix[[#This Row],[Mes Último Pago]],"/",BBDD_Usiarios_Netflix[[#This Row],[Año Último Pago]]))</f>
        <v>45475</v>
      </c>
      <c r="M1123" s="4">
        <f>DATEDIF(BBDD_Usiarios_Netflix[[#This Row],[Fecha Suscripción]],BBDD_Usiarios_Netflix[[#This Row],[Fecha Último Pago]],"M")+1</f>
        <v>9</v>
      </c>
      <c r="N1123" s="4">
        <f>BBDD_Usiarios_Netflix[[#This Row],[Ingresos Mensuales]]*BBDD_Usiarios_Netflix[[#This Row],[Meses contratados]]</f>
        <v>90</v>
      </c>
      <c r="O1123" t="s">
        <v>24</v>
      </c>
      <c r="P1123" t="str">
        <f>IF(BBDD_Usiarios_Netflix[[#This Row],[País]]="","Desconocido",BBDD_Usiarios_Netflix[[#This Row],[País]])</f>
        <v>Australia</v>
      </c>
      <c r="Q1123">
        <v>37</v>
      </c>
      <c r="R1123" t="s">
        <v>30</v>
      </c>
      <c r="S1123" t="s">
        <v>26</v>
      </c>
      <c r="T1123" t="s">
        <v>38</v>
      </c>
      <c r="U1123">
        <f>IF(IFERROR(VLOOKUP(BBDD_Usiarios_Netflix[[#This Row],[Identificador Usuario]],A1124:$A$5870,1,FALSE),0)&lt;&gt;0,1,0)</f>
        <v>0</v>
      </c>
      <c r="V1123" s="6" t="str">
        <f>IF(BBDD_Usiarios_Netflix[[#This Row],[Duración Plan]]="12 Meses",LEFT(BBDD_Usiarios_Netflix[[#This Row],[Duración Plan]],2),LEFT(BBDD_Usiarios_Netflix[[#This Row],[Duración Plan]],1))</f>
        <v>3</v>
      </c>
      <c r="W11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24" spans="1:23" x14ac:dyDescent="0.25">
      <c r="A1124">
        <v>1123</v>
      </c>
      <c r="B1124" t="s">
        <v>32</v>
      </c>
      <c r="C1124">
        <v>12</v>
      </c>
      <c r="D1124" s="3">
        <v>15</v>
      </c>
      <c r="E1124" s="3">
        <v>10</v>
      </c>
      <c r="F1124">
        <v>23</v>
      </c>
      <c r="G1124" s="1">
        <f>DATEVALUE(_xlfn.CONCAT(BBDD_Usiarios_Netflix[[#This Row],[Día Suscripción]],"/",BBDD_Usiarios_Netflix[[#This Row],[Mes Suscripción]],"/",BBDD_Usiarios_Netflix[[#This Row],[Año Suscripción]]))</f>
        <v>45214</v>
      </c>
      <c r="H1124" s="1">
        <v>2</v>
      </c>
      <c r="I1124" s="1">
        <v>7</v>
      </c>
      <c r="J1124" s="1">
        <v>24</v>
      </c>
      <c r="K1124" s="1" t="str">
        <f>TEXT(BBDD_Usiarios_Netflix[[#This Row],[Fecha Suscripción]],"dddd")</f>
        <v>domingo</v>
      </c>
      <c r="L1124" s="1">
        <f>DATEVALUE(_xlfn.CONCAT(BBDD_Usiarios_Netflix[[#This Row],[Día Último Pago]],"/",BBDD_Usiarios_Netflix[[#This Row],[Mes Último Pago]],"/",BBDD_Usiarios_Netflix[[#This Row],[Año Último Pago]]))</f>
        <v>45475</v>
      </c>
      <c r="M1124" s="4">
        <f>DATEDIF(BBDD_Usiarios_Netflix[[#This Row],[Fecha Suscripción]],BBDD_Usiarios_Netflix[[#This Row],[Fecha Último Pago]],"M")+1</f>
        <v>9</v>
      </c>
      <c r="N1124" s="4">
        <f>BBDD_Usiarios_Netflix[[#This Row],[Ingresos Mensuales]]*BBDD_Usiarios_Netflix[[#This Row],[Meses contratados]]</f>
        <v>108</v>
      </c>
      <c r="O1124" t="s">
        <v>24</v>
      </c>
      <c r="P1124" t="str">
        <f>IF(BBDD_Usiarios_Netflix[[#This Row],[País]]="","Desconocido",BBDD_Usiarios_Netflix[[#This Row],[País]])</f>
        <v>Australia</v>
      </c>
      <c r="Q1124">
        <v>35</v>
      </c>
      <c r="R1124" t="s">
        <v>30</v>
      </c>
      <c r="S1124" t="s">
        <v>36</v>
      </c>
      <c r="T1124" t="s">
        <v>41</v>
      </c>
      <c r="U1124">
        <f>IF(IFERROR(VLOOKUP(BBDD_Usiarios_Netflix[[#This Row],[Identificador Usuario]],A1125:$A$5870,1,FALSE),0)&lt;&gt;0,1,0)</f>
        <v>0</v>
      </c>
      <c r="V1124" s="6" t="str">
        <f>IF(BBDD_Usiarios_Netflix[[#This Row],[Duración Plan]]="12 Meses",LEFT(BBDD_Usiarios_Netflix[[#This Row],[Duración Plan]],2),LEFT(BBDD_Usiarios_Netflix[[#This Row],[Duración Plan]],1))</f>
        <v>12</v>
      </c>
      <c r="W11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25" spans="1:23" x14ac:dyDescent="0.25">
      <c r="A1125">
        <v>1124</v>
      </c>
      <c r="B1125" t="s">
        <v>28</v>
      </c>
      <c r="C1125">
        <v>14</v>
      </c>
      <c r="D1125" s="3">
        <v>17</v>
      </c>
      <c r="E1125" s="3">
        <v>10</v>
      </c>
      <c r="F1125">
        <v>23</v>
      </c>
      <c r="G1125" s="1">
        <f>DATEVALUE(_xlfn.CONCAT(BBDD_Usiarios_Netflix[[#This Row],[Día Suscripción]],"/",BBDD_Usiarios_Netflix[[#This Row],[Mes Suscripción]],"/",BBDD_Usiarios_Netflix[[#This Row],[Año Suscripción]]))</f>
        <v>45216</v>
      </c>
      <c r="H1125" s="1">
        <v>3</v>
      </c>
      <c r="I1125" s="1">
        <v>7</v>
      </c>
      <c r="J1125" s="1">
        <v>24</v>
      </c>
      <c r="K1125" s="1" t="str">
        <f>TEXT(BBDD_Usiarios_Netflix[[#This Row],[Fecha Suscripción]],"dddd")</f>
        <v>martes</v>
      </c>
      <c r="L1125" s="1">
        <f>DATEVALUE(_xlfn.CONCAT(BBDD_Usiarios_Netflix[[#This Row],[Día Último Pago]],"/",BBDD_Usiarios_Netflix[[#This Row],[Mes Último Pago]],"/",BBDD_Usiarios_Netflix[[#This Row],[Año Último Pago]]))</f>
        <v>45476</v>
      </c>
      <c r="M1125" s="4">
        <f>DATEDIF(BBDD_Usiarios_Netflix[[#This Row],[Fecha Suscripción]],BBDD_Usiarios_Netflix[[#This Row],[Fecha Último Pago]],"M")+1</f>
        <v>9</v>
      </c>
      <c r="N1125" s="4">
        <f>BBDD_Usiarios_Netflix[[#This Row],[Ingresos Mensuales]]*BBDD_Usiarios_Netflix[[#This Row],[Meses contratados]]</f>
        <v>126</v>
      </c>
      <c r="O1125" t="s">
        <v>39</v>
      </c>
      <c r="P1125" t="str">
        <f>IF(BBDD_Usiarios_Netflix[[#This Row],[País]]="","Desconocido",BBDD_Usiarios_Netflix[[#This Row],[País]])</f>
        <v>Canadá</v>
      </c>
      <c r="Q1125">
        <v>32</v>
      </c>
      <c r="R1125" t="s">
        <v>25</v>
      </c>
      <c r="S1125" t="s">
        <v>36</v>
      </c>
      <c r="T1125" t="s">
        <v>27</v>
      </c>
      <c r="U1125">
        <f>IF(IFERROR(VLOOKUP(BBDD_Usiarios_Netflix[[#This Row],[Identificador Usuario]],A1126:$A$5870,1,FALSE),0)&lt;&gt;0,1,0)</f>
        <v>0</v>
      </c>
      <c r="V1125" s="6" t="str">
        <f>IF(BBDD_Usiarios_Netflix[[#This Row],[Duración Plan]]="12 Meses",LEFT(BBDD_Usiarios_Netflix[[#This Row],[Duración Plan]],2),LEFT(BBDD_Usiarios_Netflix[[#This Row],[Duración Plan]],1))</f>
        <v>1</v>
      </c>
      <c r="W11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26" spans="1:23" x14ac:dyDescent="0.25">
      <c r="A1126">
        <v>1125</v>
      </c>
      <c r="B1126" t="s">
        <v>23</v>
      </c>
      <c r="C1126">
        <v>10</v>
      </c>
      <c r="D1126" s="3">
        <v>19</v>
      </c>
      <c r="E1126" s="3">
        <v>10</v>
      </c>
      <c r="F1126">
        <v>23</v>
      </c>
      <c r="G1126" s="1">
        <f>DATEVALUE(_xlfn.CONCAT(BBDD_Usiarios_Netflix[[#This Row],[Día Suscripción]],"/",BBDD_Usiarios_Netflix[[#This Row],[Mes Suscripción]],"/",BBDD_Usiarios_Netflix[[#This Row],[Año Suscripción]]))</f>
        <v>45218</v>
      </c>
      <c r="H1126" s="1">
        <v>2</v>
      </c>
      <c r="I1126" s="1">
        <v>7</v>
      </c>
      <c r="J1126" s="1">
        <v>24</v>
      </c>
      <c r="K1126" s="1" t="str">
        <f>TEXT(BBDD_Usiarios_Netflix[[#This Row],[Fecha Suscripción]],"dddd")</f>
        <v>jueves</v>
      </c>
      <c r="L1126" s="1">
        <f>DATEVALUE(_xlfn.CONCAT(BBDD_Usiarios_Netflix[[#This Row],[Día Último Pago]],"/",BBDD_Usiarios_Netflix[[#This Row],[Mes Último Pago]],"/",BBDD_Usiarios_Netflix[[#This Row],[Año Último Pago]]))</f>
        <v>45475</v>
      </c>
      <c r="M1126" s="4">
        <f>DATEDIF(BBDD_Usiarios_Netflix[[#This Row],[Fecha Suscripción]],BBDD_Usiarios_Netflix[[#This Row],[Fecha Último Pago]],"M")+1</f>
        <v>9</v>
      </c>
      <c r="N1126" s="4">
        <f>BBDD_Usiarios_Netflix[[#This Row],[Ingresos Mensuales]]*BBDD_Usiarios_Netflix[[#This Row],[Meses contratados]]</f>
        <v>90</v>
      </c>
      <c r="O1126" t="s">
        <v>33</v>
      </c>
      <c r="P1126" t="str">
        <f>IF(BBDD_Usiarios_Netflix[[#This Row],[País]]="","Desconocido",BBDD_Usiarios_Netflix[[#This Row],[País]])</f>
        <v>Francia</v>
      </c>
      <c r="Q1126">
        <v>46</v>
      </c>
      <c r="R1126" t="s">
        <v>30</v>
      </c>
      <c r="S1126" t="s">
        <v>31</v>
      </c>
      <c r="T1126" t="s">
        <v>35</v>
      </c>
      <c r="U1126">
        <f>IF(IFERROR(VLOOKUP(BBDD_Usiarios_Netflix[[#This Row],[Identificador Usuario]],A1127:$A$5870,1,FALSE),0)&lt;&gt;0,1,0)</f>
        <v>0</v>
      </c>
      <c r="V1126" s="6" t="str">
        <f>IF(BBDD_Usiarios_Netflix[[#This Row],[Duración Plan]]="12 Meses",LEFT(BBDD_Usiarios_Netflix[[#This Row],[Duración Plan]],2),LEFT(BBDD_Usiarios_Netflix[[#This Row],[Duración Plan]],1))</f>
        <v>6</v>
      </c>
      <c r="W11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27" spans="1:23" x14ac:dyDescent="0.25">
      <c r="A1127">
        <v>1126</v>
      </c>
      <c r="B1127" t="s">
        <v>23</v>
      </c>
      <c r="C1127">
        <v>10</v>
      </c>
      <c r="D1127" s="3">
        <v>25</v>
      </c>
      <c r="E1127" s="3">
        <v>10</v>
      </c>
      <c r="F1127">
        <v>23</v>
      </c>
      <c r="G1127" s="1">
        <f>DATEVALUE(_xlfn.CONCAT(BBDD_Usiarios_Netflix[[#This Row],[Día Suscripción]],"/",BBDD_Usiarios_Netflix[[#This Row],[Mes Suscripción]],"/",BBDD_Usiarios_Netflix[[#This Row],[Año Suscripción]]))</f>
        <v>45224</v>
      </c>
      <c r="H1127" s="1">
        <v>2</v>
      </c>
      <c r="I1127" s="1">
        <v>7</v>
      </c>
      <c r="J1127" s="1">
        <v>24</v>
      </c>
      <c r="K1127" s="1" t="str">
        <f>TEXT(BBDD_Usiarios_Netflix[[#This Row],[Fecha Suscripción]],"dddd")</f>
        <v>miércoles</v>
      </c>
      <c r="L1127" s="1">
        <f>DATEVALUE(_xlfn.CONCAT(BBDD_Usiarios_Netflix[[#This Row],[Día Último Pago]],"/",BBDD_Usiarios_Netflix[[#This Row],[Mes Último Pago]],"/",BBDD_Usiarios_Netflix[[#This Row],[Año Último Pago]]))</f>
        <v>45475</v>
      </c>
      <c r="M1127" s="4">
        <f>DATEDIF(BBDD_Usiarios_Netflix[[#This Row],[Fecha Suscripción]],BBDD_Usiarios_Netflix[[#This Row],[Fecha Último Pago]],"M")+1</f>
        <v>9</v>
      </c>
      <c r="N1127" s="4">
        <f>BBDD_Usiarios_Netflix[[#This Row],[Ingresos Mensuales]]*BBDD_Usiarios_Netflix[[#This Row],[Meses contratados]]</f>
        <v>90</v>
      </c>
      <c r="O1127" t="s">
        <v>42</v>
      </c>
      <c r="P1127" t="str">
        <f>IF(BBDD_Usiarios_Netflix[[#This Row],[País]]="","Desconocido",BBDD_Usiarios_Netflix[[#This Row],[País]])</f>
        <v>Reino Unido</v>
      </c>
      <c r="Q1127">
        <v>39</v>
      </c>
      <c r="R1127" t="s">
        <v>30</v>
      </c>
      <c r="S1127" t="s">
        <v>36</v>
      </c>
      <c r="T1127" t="s">
        <v>41</v>
      </c>
      <c r="U1127">
        <f>IF(IFERROR(VLOOKUP(BBDD_Usiarios_Netflix[[#This Row],[Identificador Usuario]],A1128:$A$5870,1,FALSE),0)&lt;&gt;0,1,0)</f>
        <v>0</v>
      </c>
      <c r="V1127" s="6" t="str">
        <f>IF(BBDD_Usiarios_Netflix[[#This Row],[Duración Plan]]="12 Meses",LEFT(BBDD_Usiarios_Netflix[[#This Row],[Duración Plan]],2),LEFT(BBDD_Usiarios_Netflix[[#This Row],[Duración Plan]],1))</f>
        <v>12</v>
      </c>
      <c r="W11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28" spans="1:23" x14ac:dyDescent="0.25">
      <c r="A1128">
        <v>1127</v>
      </c>
      <c r="B1128" t="s">
        <v>28</v>
      </c>
      <c r="C1128">
        <v>14</v>
      </c>
      <c r="D1128" s="3">
        <v>26</v>
      </c>
      <c r="E1128" s="3">
        <v>10</v>
      </c>
      <c r="F1128">
        <v>23</v>
      </c>
      <c r="G1128" s="1">
        <f>DATEVALUE(_xlfn.CONCAT(BBDD_Usiarios_Netflix[[#This Row],[Día Suscripción]],"/",BBDD_Usiarios_Netflix[[#This Row],[Mes Suscripción]],"/",BBDD_Usiarios_Netflix[[#This Row],[Año Suscripción]]))</f>
        <v>45225</v>
      </c>
      <c r="H1128" s="1">
        <v>2</v>
      </c>
      <c r="I1128" s="1">
        <v>7</v>
      </c>
      <c r="J1128" s="1">
        <v>24</v>
      </c>
      <c r="K1128" s="1" t="str">
        <f>TEXT(BBDD_Usiarios_Netflix[[#This Row],[Fecha Suscripción]],"dddd")</f>
        <v>jueves</v>
      </c>
      <c r="L1128" s="1">
        <f>DATEVALUE(_xlfn.CONCAT(BBDD_Usiarios_Netflix[[#This Row],[Día Último Pago]],"/",BBDD_Usiarios_Netflix[[#This Row],[Mes Último Pago]],"/",BBDD_Usiarios_Netflix[[#This Row],[Año Último Pago]]))</f>
        <v>45475</v>
      </c>
      <c r="M1128" s="4">
        <f>DATEDIF(BBDD_Usiarios_Netflix[[#This Row],[Fecha Suscripción]],BBDD_Usiarios_Netflix[[#This Row],[Fecha Último Pago]],"M")+1</f>
        <v>9</v>
      </c>
      <c r="N1128" s="4">
        <f>BBDD_Usiarios_Netflix[[#This Row],[Ingresos Mensuales]]*BBDD_Usiarios_Netflix[[#This Row],[Meses contratados]]</f>
        <v>126</v>
      </c>
      <c r="O1128" t="s">
        <v>24</v>
      </c>
      <c r="P1128" t="str">
        <f>IF(BBDD_Usiarios_Netflix[[#This Row],[País]]="","Desconocido",BBDD_Usiarios_Netflix[[#This Row],[País]])</f>
        <v>Australia</v>
      </c>
      <c r="Q1128">
        <v>33</v>
      </c>
      <c r="R1128" t="s">
        <v>30</v>
      </c>
      <c r="S1128" t="s">
        <v>31</v>
      </c>
      <c r="T1128" t="s">
        <v>27</v>
      </c>
      <c r="U1128">
        <f>IF(IFERROR(VLOOKUP(BBDD_Usiarios_Netflix[[#This Row],[Identificador Usuario]],A1129:$A$5870,1,FALSE),0)&lt;&gt;0,1,0)</f>
        <v>0</v>
      </c>
      <c r="V1128" s="6" t="str">
        <f>IF(BBDD_Usiarios_Netflix[[#This Row],[Duración Plan]]="12 Meses",LEFT(BBDD_Usiarios_Netflix[[#This Row],[Duración Plan]],2),LEFT(BBDD_Usiarios_Netflix[[#This Row],[Duración Plan]],1))</f>
        <v>1</v>
      </c>
      <c r="W11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29" spans="1:23" x14ac:dyDescent="0.25">
      <c r="A1129">
        <v>1128</v>
      </c>
      <c r="B1129" t="s">
        <v>32</v>
      </c>
      <c r="C1129">
        <v>12</v>
      </c>
      <c r="D1129" s="3">
        <v>5</v>
      </c>
      <c r="E1129" s="3">
        <v>11</v>
      </c>
      <c r="F1129">
        <v>23</v>
      </c>
      <c r="G1129" s="1">
        <f>DATEVALUE(_xlfn.CONCAT(BBDD_Usiarios_Netflix[[#This Row],[Día Suscripción]],"/",BBDD_Usiarios_Netflix[[#This Row],[Mes Suscripción]],"/",BBDD_Usiarios_Netflix[[#This Row],[Año Suscripción]]))</f>
        <v>45235</v>
      </c>
      <c r="H1129" s="1">
        <v>3</v>
      </c>
      <c r="I1129" s="1">
        <v>7</v>
      </c>
      <c r="J1129" s="1">
        <v>24</v>
      </c>
      <c r="K1129" s="1" t="str">
        <f>TEXT(BBDD_Usiarios_Netflix[[#This Row],[Fecha Suscripción]],"dddd")</f>
        <v>domingo</v>
      </c>
      <c r="L1129" s="1">
        <f>DATEVALUE(_xlfn.CONCAT(BBDD_Usiarios_Netflix[[#This Row],[Día Último Pago]],"/",BBDD_Usiarios_Netflix[[#This Row],[Mes Último Pago]],"/",BBDD_Usiarios_Netflix[[#This Row],[Año Último Pago]]))</f>
        <v>45476</v>
      </c>
      <c r="M1129" s="4">
        <f>DATEDIF(BBDD_Usiarios_Netflix[[#This Row],[Fecha Suscripción]],BBDD_Usiarios_Netflix[[#This Row],[Fecha Último Pago]],"M")+1</f>
        <v>8</v>
      </c>
      <c r="N1129" s="4">
        <f>BBDD_Usiarios_Netflix[[#This Row],[Ingresos Mensuales]]*BBDD_Usiarios_Netflix[[#This Row],[Meses contratados]]</f>
        <v>96</v>
      </c>
      <c r="O1129" t="s">
        <v>40</v>
      </c>
      <c r="P1129" t="str">
        <f>IF(BBDD_Usiarios_Netflix[[#This Row],[País]]="","Desconocido",BBDD_Usiarios_Netflix[[#This Row],[País]])</f>
        <v>Italia</v>
      </c>
      <c r="Q1129">
        <v>42</v>
      </c>
      <c r="R1129" t="s">
        <v>25</v>
      </c>
      <c r="S1129" t="s">
        <v>31</v>
      </c>
      <c r="T1129" t="s">
        <v>27</v>
      </c>
      <c r="U1129">
        <f>IF(IFERROR(VLOOKUP(BBDD_Usiarios_Netflix[[#This Row],[Identificador Usuario]],A1130:$A$5870,1,FALSE),0)&lt;&gt;0,1,0)</f>
        <v>0</v>
      </c>
      <c r="V1129" s="6" t="str">
        <f>IF(BBDD_Usiarios_Netflix[[#This Row],[Duración Plan]]="12 Meses",LEFT(BBDD_Usiarios_Netflix[[#This Row],[Duración Plan]],2),LEFT(BBDD_Usiarios_Netflix[[#This Row],[Duración Plan]],1))</f>
        <v>1</v>
      </c>
      <c r="W11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30" spans="1:23" x14ac:dyDescent="0.25">
      <c r="A1130">
        <v>1129</v>
      </c>
      <c r="B1130" t="s">
        <v>32</v>
      </c>
      <c r="C1130">
        <v>12</v>
      </c>
      <c r="D1130" s="3">
        <v>7</v>
      </c>
      <c r="E1130" s="3">
        <v>11</v>
      </c>
      <c r="F1130">
        <v>23</v>
      </c>
      <c r="G1130" s="1">
        <f>DATEVALUE(_xlfn.CONCAT(BBDD_Usiarios_Netflix[[#This Row],[Día Suscripción]],"/",BBDD_Usiarios_Netflix[[#This Row],[Mes Suscripción]],"/",BBDD_Usiarios_Netflix[[#This Row],[Año Suscripción]]))</f>
        <v>45237</v>
      </c>
      <c r="H1130" s="1">
        <v>3</v>
      </c>
      <c r="I1130" s="1">
        <v>7</v>
      </c>
      <c r="J1130" s="1">
        <v>24</v>
      </c>
      <c r="K1130" s="1" t="str">
        <f>TEXT(BBDD_Usiarios_Netflix[[#This Row],[Fecha Suscripción]],"dddd")</f>
        <v>martes</v>
      </c>
      <c r="L1130" s="1">
        <f>DATEVALUE(_xlfn.CONCAT(BBDD_Usiarios_Netflix[[#This Row],[Día Último Pago]],"/",BBDD_Usiarios_Netflix[[#This Row],[Mes Último Pago]],"/",BBDD_Usiarios_Netflix[[#This Row],[Año Último Pago]]))</f>
        <v>45476</v>
      </c>
      <c r="M1130" s="4">
        <f>DATEDIF(BBDD_Usiarios_Netflix[[#This Row],[Fecha Suscripción]],BBDD_Usiarios_Netflix[[#This Row],[Fecha Último Pago]],"M")+1</f>
        <v>8</v>
      </c>
      <c r="N1130" s="4">
        <f>BBDD_Usiarios_Netflix[[#This Row],[Ingresos Mensuales]]*BBDD_Usiarios_Netflix[[#This Row],[Meses contratados]]</f>
        <v>96</v>
      </c>
      <c r="O1130" t="s">
        <v>42</v>
      </c>
      <c r="P1130" t="str">
        <f>IF(BBDD_Usiarios_Netflix[[#This Row],[País]]="","Desconocido",BBDD_Usiarios_Netflix[[#This Row],[País]])</f>
        <v>Reino Unido</v>
      </c>
      <c r="Q1130">
        <v>37</v>
      </c>
      <c r="R1130" t="s">
        <v>30</v>
      </c>
      <c r="S1130" t="s">
        <v>26</v>
      </c>
      <c r="T1130" t="s">
        <v>35</v>
      </c>
      <c r="U1130">
        <f>IF(IFERROR(VLOOKUP(BBDD_Usiarios_Netflix[[#This Row],[Identificador Usuario]],A1131:$A$5870,1,FALSE),0)&lt;&gt;0,1,0)</f>
        <v>0</v>
      </c>
      <c r="V1130" s="6" t="str">
        <f>IF(BBDD_Usiarios_Netflix[[#This Row],[Duración Plan]]="12 Meses",LEFT(BBDD_Usiarios_Netflix[[#This Row],[Duración Plan]],2),LEFT(BBDD_Usiarios_Netflix[[#This Row],[Duración Plan]],1))</f>
        <v>6</v>
      </c>
      <c r="W11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31" spans="1:23" x14ac:dyDescent="0.25">
      <c r="A1131">
        <v>1130</v>
      </c>
      <c r="B1131" t="s">
        <v>23</v>
      </c>
      <c r="C1131">
        <v>10</v>
      </c>
      <c r="D1131" s="3">
        <v>8</v>
      </c>
      <c r="E1131" s="3">
        <v>11</v>
      </c>
      <c r="F1131">
        <v>23</v>
      </c>
      <c r="G1131" s="1">
        <f>DATEVALUE(_xlfn.CONCAT(BBDD_Usiarios_Netflix[[#This Row],[Día Suscripción]],"/",BBDD_Usiarios_Netflix[[#This Row],[Mes Suscripción]],"/",BBDD_Usiarios_Netflix[[#This Row],[Año Suscripción]]))</f>
        <v>45238</v>
      </c>
      <c r="H1131" s="1">
        <v>3</v>
      </c>
      <c r="I1131" s="1">
        <v>7</v>
      </c>
      <c r="J1131" s="1">
        <v>24</v>
      </c>
      <c r="K1131" s="1" t="str">
        <f>TEXT(BBDD_Usiarios_Netflix[[#This Row],[Fecha Suscripción]],"dddd")</f>
        <v>miércoles</v>
      </c>
      <c r="L1131" s="1">
        <f>DATEVALUE(_xlfn.CONCAT(BBDD_Usiarios_Netflix[[#This Row],[Día Último Pago]],"/",BBDD_Usiarios_Netflix[[#This Row],[Mes Último Pago]],"/",BBDD_Usiarios_Netflix[[#This Row],[Año Último Pago]]))</f>
        <v>45476</v>
      </c>
      <c r="M1131" s="4">
        <f>DATEDIF(BBDD_Usiarios_Netflix[[#This Row],[Fecha Suscripción]],BBDD_Usiarios_Netflix[[#This Row],[Fecha Último Pago]],"M")+1</f>
        <v>8</v>
      </c>
      <c r="N1131" s="4">
        <f>BBDD_Usiarios_Netflix[[#This Row],[Ingresos Mensuales]]*BBDD_Usiarios_Netflix[[#This Row],[Meses contratados]]</f>
        <v>80</v>
      </c>
      <c r="O1131" t="s">
        <v>40</v>
      </c>
      <c r="P1131" t="str">
        <f>IF(BBDD_Usiarios_Netflix[[#This Row],[País]]="","Desconocido",BBDD_Usiarios_Netflix[[#This Row],[País]])</f>
        <v>Italia</v>
      </c>
      <c r="Q1131">
        <v>27</v>
      </c>
      <c r="R1131" t="s">
        <v>30</v>
      </c>
      <c r="S1131" t="s">
        <v>34</v>
      </c>
      <c r="T1131" t="s">
        <v>38</v>
      </c>
      <c r="U1131">
        <f>IF(IFERROR(VLOOKUP(BBDD_Usiarios_Netflix[[#This Row],[Identificador Usuario]],A1132:$A$5870,1,FALSE),0)&lt;&gt;0,1,0)</f>
        <v>0</v>
      </c>
      <c r="V1131" s="6" t="str">
        <f>IF(BBDD_Usiarios_Netflix[[#This Row],[Duración Plan]]="12 Meses",LEFT(BBDD_Usiarios_Netflix[[#This Row],[Duración Plan]],2),LEFT(BBDD_Usiarios_Netflix[[#This Row],[Duración Plan]],1))</f>
        <v>3</v>
      </c>
      <c r="W11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32" spans="1:23" x14ac:dyDescent="0.25">
      <c r="A1132">
        <v>1131</v>
      </c>
      <c r="B1132" t="s">
        <v>28</v>
      </c>
      <c r="C1132">
        <v>14</v>
      </c>
      <c r="D1132" s="3">
        <v>9</v>
      </c>
      <c r="E1132" s="3">
        <v>11</v>
      </c>
      <c r="F1132">
        <v>23</v>
      </c>
      <c r="G1132" s="1">
        <f>DATEVALUE(_xlfn.CONCAT(BBDD_Usiarios_Netflix[[#This Row],[Día Suscripción]],"/",BBDD_Usiarios_Netflix[[#This Row],[Mes Suscripción]],"/",BBDD_Usiarios_Netflix[[#This Row],[Año Suscripción]]))</f>
        <v>45239</v>
      </c>
      <c r="H1132" s="1">
        <v>2</v>
      </c>
      <c r="I1132" s="1">
        <v>7</v>
      </c>
      <c r="J1132" s="1">
        <v>24</v>
      </c>
      <c r="K1132" s="1" t="str">
        <f>TEXT(BBDD_Usiarios_Netflix[[#This Row],[Fecha Suscripción]],"dddd")</f>
        <v>jueves</v>
      </c>
      <c r="L1132" s="1">
        <f>DATEVALUE(_xlfn.CONCAT(BBDD_Usiarios_Netflix[[#This Row],[Día Último Pago]],"/",BBDD_Usiarios_Netflix[[#This Row],[Mes Último Pago]],"/",BBDD_Usiarios_Netflix[[#This Row],[Año Último Pago]]))</f>
        <v>45475</v>
      </c>
      <c r="M1132" s="4">
        <f>DATEDIF(BBDD_Usiarios_Netflix[[#This Row],[Fecha Suscripción]],BBDD_Usiarios_Netflix[[#This Row],[Fecha Último Pago]],"M")+1</f>
        <v>8</v>
      </c>
      <c r="N1132" s="4">
        <f>BBDD_Usiarios_Netflix[[#This Row],[Ingresos Mensuales]]*BBDD_Usiarios_Netflix[[#This Row],[Meses contratados]]</f>
        <v>112</v>
      </c>
      <c r="O1132" t="s">
        <v>24</v>
      </c>
      <c r="P1132" t="str">
        <f>IF(BBDD_Usiarios_Netflix[[#This Row],[País]]="","Desconocido",BBDD_Usiarios_Netflix[[#This Row],[País]])</f>
        <v>Australia</v>
      </c>
      <c r="Q1132">
        <v>34</v>
      </c>
      <c r="R1132" t="s">
        <v>30</v>
      </c>
      <c r="S1132" t="s">
        <v>36</v>
      </c>
      <c r="T1132" t="s">
        <v>41</v>
      </c>
      <c r="U1132">
        <f>IF(IFERROR(VLOOKUP(BBDD_Usiarios_Netflix[[#This Row],[Identificador Usuario]],A1133:$A$5870,1,FALSE),0)&lt;&gt;0,1,0)</f>
        <v>0</v>
      </c>
      <c r="V1132" s="6" t="str">
        <f>IF(BBDD_Usiarios_Netflix[[#This Row],[Duración Plan]]="12 Meses",LEFT(BBDD_Usiarios_Netflix[[#This Row],[Duración Plan]],2),LEFT(BBDD_Usiarios_Netflix[[#This Row],[Duración Plan]],1))</f>
        <v>12</v>
      </c>
      <c r="W11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33" spans="1:23" x14ac:dyDescent="0.25">
      <c r="A1133">
        <v>1132</v>
      </c>
      <c r="B1133" t="s">
        <v>32</v>
      </c>
      <c r="C1133">
        <v>12</v>
      </c>
      <c r="D1133" s="3">
        <v>6</v>
      </c>
      <c r="E1133" s="3">
        <v>11</v>
      </c>
      <c r="F1133">
        <v>23</v>
      </c>
      <c r="G1133" s="1">
        <f>DATEVALUE(_xlfn.CONCAT(BBDD_Usiarios_Netflix[[#This Row],[Día Suscripción]],"/",BBDD_Usiarios_Netflix[[#This Row],[Mes Suscripción]],"/",BBDD_Usiarios_Netflix[[#This Row],[Año Suscripción]]))</f>
        <v>45236</v>
      </c>
      <c r="H1133" s="1">
        <v>3</v>
      </c>
      <c r="I1133" s="1">
        <v>7</v>
      </c>
      <c r="J1133" s="1">
        <v>24</v>
      </c>
      <c r="K1133" s="1" t="str">
        <f>TEXT(BBDD_Usiarios_Netflix[[#This Row],[Fecha Suscripción]],"dddd")</f>
        <v>lunes</v>
      </c>
      <c r="L1133" s="1">
        <f>DATEVALUE(_xlfn.CONCAT(BBDD_Usiarios_Netflix[[#This Row],[Día Último Pago]],"/",BBDD_Usiarios_Netflix[[#This Row],[Mes Último Pago]],"/",BBDD_Usiarios_Netflix[[#This Row],[Año Último Pago]]))</f>
        <v>45476</v>
      </c>
      <c r="M1133" s="4">
        <f>DATEDIF(BBDD_Usiarios_Netflix[[#This Row],[Fecha Suscripción]],BBDD_Usiarios_Netflix[[#This Row],[Fecha Último Pago]],"M")+1</f>
        <v>8</v>
      </c>
      <c r="N1133" s="4">
        <f>BBDD_Usiarios_Netflix[[#This Row],[Ingresos Mensuales]]*BBDD_Usiarios_Netflix[[#This Row],[Meses contratados]]</f>
        <v>96</v>
      </c>
      <c r="O1133" t="s">
        <v>42</v>
      </c>
      <c r="P1133" t="str">
        <f>IF(BBDD_Usiarios_Netflix[[#This Row],[País]]="","Desconocido",BBDD_Usiarios_Netflix[[#This Row],[País]])</f>
        <v>Reino Unido</v>
      </c>
      <c r="Q1133">
        <v>51</v>
      </c>
      <c r="R1133" t="s">
        <v>25</v>
      </c>
      <c r="S1133" t="s">
        <v>36</v>
      </c>
      <c r="T1133" t="s">
        <v>35</v>
      </c>
      <c r="U1133">
        <f>IF(IFERROR(VLOOKUP(BBDD_Usiarios_Netflix[[#This Row],[Identificador Usuario]],A1134:$A$5870,1,FALSE),0)&lt;&gt;0,1,0)</f>
        <v>0</v>
      </c>
      <c r="V1133" s="6" t="str">
        <f>IF(BBDD_Usiarios_Netflix[[#This Row],[Duración Plan]]="12 Meses",LEFT(BBDD_Usiarios_Netflix[[#This Row],[Duración Plan]],2),LEFT(BBDD_Usiarios_Netflix[[#This Row],[Duración Plan]],1))</f>
        <v>6</v>
      </c>
      <c r="W11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34" spans="1:23" x14ac:dyDescent="0.25">
      <c r="A1134">
        <v>1133</v>
      </c>
      <c r="B1134" t="s">
        <v>23</v>
      </c>
      <c r="C1134">
        <v>10</v>
      </c>
      <c r="D1134" s="3">
        <v>4</v>
      </c>
      <c r="E1134" s="3">
        <v>11</v>
      </c>
      <c r="F1134">
        <v>23</v>
      </c>
      <c r="G1134" s="1">
        <f>DATEVALUE(_xlfn.CONCAT(BBDD_Usiarios_Netflix[[#This Row],[Día Suscripción]],"/",BBDD_Usiarios_Netflix[[#This Row],[Mes Suscripción]],"/",BBDD_Usiarios_Netflix[[#This Row],[Año Suscripción]]))</f>
        <v>45234</v>
      </c>
      <c r="H1134" s="1">
        <v>3</v>
      </c>
      <c r="I1134" s="1">
        <v>7</v>
      </c>
      <c r="J1134" s="1">
        <v>24</v>
      </c>
      <c r="K1134" s="1" t="str">
        <f>TEXT(BBDD_Usiarios_Netflix[[#This Row],[Fecha Suscripción]],"dddd")</f>
        <v>sábado</v>
      </c>
      <c r="L1134" s="1">
        <f>DATEVALUE(_xlfn.CONCAT(BBDD_Usiarios_Netflix[[#This Row],[Día Último Pago]],"/",BBDD_Usiarios_Netflix[[#This Row],[Mes Último Pago]],"/",BBDD_Usiarios_Netflix[[#This Row],[Año Último Pago]]))</f>
        <v>45476</v>
      </c>
      <c r="M1134" s="4">
        <f>DATEDIF(BBDD_Usiarios_Netflix[[#This Row],[Fecha Suscripción]],BBDD_Usiarios_Netflix[[#This Row],[Fecha Último Pago]],"M")+1</f>
        <v>8</v>
      </c>
      <c r="N1134" s="4">
        <f>BBDD_Usiarios_Netflix[[#This Row],[Ingresos Mensuales]]*BBDD_Usiarios_Netflix[[#This Row],[Meses contratados]]</f>
        <v>80</v>
      </c>
      <c r="O1134" t="s">
        <v>29</v>
      </c>
      <c r="P1134" t="str">
        <f>IF(BBDD_Usiarios_Netflix[[#This Row],[País]]="","Desconocido",BBDD_Usiarios_Netflix[[#This Row],[País]])</f>
        <v>EEUU</v>
      </c>
      <c r="Q1134">
        <v>42</v>
      </c>
      <c r="R1134" t="s">
        <v>25</v>
      </c>
      <c r="S1134" t="s">
        <v>36</v>
      </c>
      <c r="T1134" t="s">
        <v>27</v>
      </c>
      <c r="U1134">
        <f>IF(IFERROR(VLOOKUP(BBDD_Usiarios_Netflix[[#This Row],[Identificador Usuario]],A1135:$A$5870,1,FALSE),0)&lt;&gt;0,1,0)</f>
        <v>0</v>
      </c>
      <c r="V1134" s="6" t="str">
        <f>IF(BBDD_Usiarios_Netflix[[#This Row],[Duración Plan]]="12 Meses",LEFT(BBDD_Usiarios_Netflix[[#This Row],[Duración Plan]],2),LEFT(BBDD_Usiarios_Netflix[[#This Row],[Duración Plan]],1))</f>
        <v>1</v>
      </c>
      <c r="W11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35" spans="1:23" x14ac:dyDescent="0.25">
      <c r="A1135">
        <v>1134</v>
      </c>
      <c r="B1135" t="s">
        <v>32</v>
      </c>
      <c r="C1135">
        <v>12</v>
      </c>
      <c r="D1135" s="3">
        <v>3</v>
      </c>
      <c r="E1135" s="3">
        <v>11</v>
      </c>
      <c r="F1135">
        <v>23</v>
      </c>
      <c r="G1135" s="1">
        <f>DATEVALUE(_xlfn.CONCAT(BBDD_Usiarios_Netflix[[#This Row],[Día Suscripción]],"/",BBDD_Usiarios_Netflix[[#This Row],[Mes Suscripción]],"/",BBDD_Usiarios_Netflix[[#This Row],[Año Suscripción]]))</f>
        <v>45233</v>
      </c>
      <c r="H1135" s="1">
        <v>5</v>
      </c>
      <c r="I1135" s="1">
        <v>7</v>
      </c>
      <c r="J1135" s="1">
        <v>24</v>
      </c>
      <c r="K1135" s="1" t="str">
        <f>TEXT(BBDD_Usiarios_Netflix[[#This Row],[Fecha Suscripción]],"dddd")</f>
        <v>viernes</v>
      </c>
      <c r="L1135" s="1">
        <f>DATEVALUE(_xlfn.CONCAT(BBDD_Usiarios_Netflix[[#This Row],[Día Último Pago]],"/",BBDD_Usiarios_Netflix[[#This Row],[Mes Último Pago]],"/",BBDD_Usiarios_Netflix[[#This Row],[Año Último Pago]]))</f>
        <v>45478</v>
      </c>
      <c r="M1135" s="4">
        <f>DATEDIF(BBDD_Usiarios_Netflix[[#This Row],[Fecha Suscripción]],BBDD_Usiarios_Netflix[[#This Row],[Fecha Último Pago]],"M")+1</f>
        <v>9</v>
      </c>
      <c r="N1135" s="4">
        <f>BBDD_Usiarios_Netflix[[#This Row],[Ingresos Mensuales]]*BBDD_Usiarios_Netflix[[#This Row],[Meses contratados]]</f>
        <v>108</v>
      </c>
      <c r="O1135" t="s">
        <v>40</v>
      </c>
      <c r="P1135" t="str">
        <f>IF(BBDD_Usiarios_Netflix[[#This Row],[País]]="","Desconocido",BBDD_Usiarios_Netflix[[#This Row],[País]])</f>
        <v>Italia</v>
      </c>
      <c r="Q1135">
        <v>46</v>
      </c>
      <c r="R1135" t="s">
        <v>30</v>
      </c>
      <c r="S1135" t="s">
        <v>34</v>
      </c>
      <c r="T1135" t="s">
        <v>41</v>
      </c>
      <c r="U1135">
        <f>IF(IFERROR(VLOOKUP(BBDD_Usiarios_Netflix[[#This Row],[Identificador Usuario]],A1136:$A$5870,1,FALSE),0)&lt;&gt;0,1,0)</f>
        <v>0</v>
      </c>
      <c r="V1135" s="6" t="str">
        <f>IF(BBDD_Usiarios_Netflix[[#This Row],[Duración Plan]]="12 Meses",LEFT(BBDD_Usiarios_Netflix[[#This Row],[Duración Plan]],2),LEFT(BBDD_Usiarios_Netflix[[#This Row],[Duración Plan]],1))</f>
        <v>12</v>
      </c>
      <c r="W11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36" spans="1:23" x14ac:dyDescent="0.25">
      <c r="A1136">
        <v>1135</v>
      </c>
      <c r="B1136" t="s">
        <v>28</v>
      </c>
      <c r="C1136">
        <v>14</v>
      </c>
      <c r="D1136" s="3">
        <v>23</v>
      </c>
      <c r="E1136" s="3">
        <v>10</v>
      </c>
      <c r="F1136">
        <v>23</v>
      </c>
      <c r="G1136" s="1">
        <f>DATEVALUE(_xlfn.CONCAT(BBDD_Usiarios_Netflix[[#This Row],[Día Suscripción]],"/",BBDD_Usiarios_Netflix[[#This Row],[Mes Suscripción]],"/",BBDD_Usiarios_Netflix[[#This Row],[Año Suscripción]]))</f>
        <v>45222</v>
      </c>
      <c r="H1136" s="1">
        <v>2</v>
      </c>
      <c r="I1136" s="1">
        <v>7</v>
      </c>
      <c r="J1136" s="1">
        <v>24</v>
      </c>
      <c r="K1136" s="1" t="str">
        <f>TEXT(BBDD_Usiarios_Netflix[[#This Row],[Fecha Suscripción]],"dddd")</f>
        <v>lunes</v>
      </c>
      <c r="L1136" s="1">
        <f>DATEVALUE(_xlfn.CONCAT(BBDD_Usiarios_Netflix[[#This Row],[Día Último Pago]],"/",BBDD_Usiarios_Netflix[[#This Row],[Mes Último Pago]],"/",BBDD_Usiarios_Netflix[[#This Row],[Año Último Pago]]))</f>
        <v>45475</v>
      </c>
      <c r="M1136" s="4">
        <f>DATEDIF(BBDD_Usiarios_Netflix[[#This Row],[Fecha Suscripción]],BBDD_Usiarios_Netflix[[#This Row],[Fecha Último Pago]],"M")+1</f>
        <v>9</v>
      </c>
      <c r="N1136" s="4">
        <f>BBDD_Usiarios_Netflix[[#This Row],[Ingresos Mensuales]]*BBDD_Usiarios_Netflix[[#This Row],[Meses contratados]]</f>
        <v>126</v>
      </c>
      <c r="O1136" t="s">
        <v>43</v>
      </c>
      <c r="P1136" t="str">
        <f>IF(BBDD_Usiarios_Netflix[[#This Row],[País]]="","Desconocido",BBDD_Usiarios_Netflix[[#This Row],[País]])</f>
        <v>Alemania</v>
      </c>
      <c r="Q1136">
        <v>36</v>
      </c>
      <c r="R1136" t="s">
        <v>25</v>
      </c>
      <c r="S1136" t="s">
        <v>36</v>
      </c>
      <c r="T1136" t="s">
        <v>35</v>
      </c>
      <c r="U1136">
        <f>IF(IFERROR(VLOOKUP(BBDD_Usiarios_Netflix[[#This Row],[Identificador Usuario]],A1137:$A$5870,1,FALSE),0)&lt;&gt;0,1,0)</f>
        <v>0</v>
      </c>
      <c r="V1136" s="6" t="str">
        <f>IF(BBDD_Usiarios_Netflix[[#This Row],[Duración Plan]]="12 Meses",LEFT(BBDD_Usiarios_Netflix[[#This Row],[Duración Plan]],2),LEFT(BBDD_Usiarios_Netflix[[#This Row],[Duración Plan]],1))</f>
        <v>6</v>
      </c>
      <c r="W11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37" spans="1:23" x14ac:dyDescent="0.25">
      <c r="A1137">
        <v>1136</v>
      </c>
      <c r="B1137" t="s">
        <v>23</v>
      </c>
      <c r="C1137">
        <v>10</v>
      </c>
      <c r="D1137" s="3">
        <v>24</v>
      </c>
      <c r="E1137" s="3">
        <v>10</v>
      </c>
      <c r="F1137">
        <v>23</v>
      </c>
      <c r="G1137" s="1">
        <f>DATEVALUE(_xlfn.CONCAT(BBDD_Usiarios_Netflix[[#This Row],[Día Suscripción]],"/",BBDD_Usiarios_Netflix[[#This Row],[Mes Suscripción]],"/",BBDD_Usiarios_Netflix[[#This Row],[Año Suscripción]]))</f>
        <v>45223</v>
      </c>
      <c r="H1137" s="1">
        <v>4</v>
      </c>
      <c r="I1137" s="1">
        <v>7</v>
      </c>
      <c r="J1137" s="1">
        <v>24</v>
      </c>
      <c r="K1137" s="1" t="str">
        <f>TEXT(BBDD_Usiarios_Netflix[[#This Row],[Fecha Suscripción]],"dddd")</f>
        <v>martes</v>
      </c>
      <c r="L1137" s="1">
        <f>DATEVALUE(_xlfn.CONCAT(BBDD_Usiarios_Netflix[[#This Row],[Día Último Pago]],"/",BBDD_Usiarios_Netflix[[#This Row],[Mes Último Pago]],"/",BBDD_Usiarios_Netflix[[#This Row],[Año Último Pago]]))</f>
        <v>45477</v>
      </c>
      <c r="M1137" s="4">
        <f>DATEDIF(BBDD_Usiarios_Netflix[[#This Row],[Fecha Suscripción]],BBDD_Usiarios_Netflix[[#This Row],[Fecha Último Pago]],"M")+1</f>
        <v>9</v>
      </c>
      <c r="N1137" s="4">
        <f>BBDD_Usiarios_Netflix[[#This Row],[Ingresos Mensuales]]*BBDD_Usiarios_Netflix[[#This Row],[Meses contratados]]</f>
        <v>90</v>
      </c>
      <c r="O1137" t="s">
        <v>44</v>
      </c>
      <c r="P1137" t="str">
        <f>IF(BBDD_Usiarios_Netflix[[#This Row],[País]]="","Desconocido",BBDD_Usiarios_Netflix[[#This Row],[País]])</f>
        <v>Desconocido</v>
      </c>
      <c r="Q1137">
        <v>46</v>
      </c>
      <c r="R1137" t="s">
        <v>25</v>
      </c>
      <c r="S1137" t="s">
        <v>26</v>
      </c>
      <c r="T1137" t="s">
        <v>35</v>
      </c>
      <c r="U1137">
        <f>IF(IFERROR(VLOOKUP(BBDD_Usiarios_Netflix[[#This Row],[Identificador Usuario]],A1138:$A$5870,1,FALSE),0)&lt;&gt;0,1,0)</f>
        <v>0</v>
      </c>
      <c r="V1137" s="6" t="str">
        <f>IF(BBDD_Usiarios_Netflix[[#This Row],[Duración Plan]]="12 Meses",LEFT(BBDD_Usiarios_Netflix[[#This Row],[Duración Plan]],2),LEFT(BBDD_Usiarios_Netflix[[#This Row],[Duración Plan]],1))</f>
        <v>6</v>
      </c>
      <c r="W11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38" spans="1:23" x14ac:dyDescent="0.25">
      <c r="A1138">
        <v>1137</v>
      </c>
      <c r="B1138" t="s">
        <v>28</v>
      </c>
      <c r="C1138">
        <v>14</v>
      </c>
      <c r="D1138" s="3">
        <v>23</v>
      </c>
      <c r="E1138" s="3">
        <v>10</v>
      </c>
      <c r="F1138">
        <v>23</v>
      </c>
      <c r="G1138" s="1">
        <f>DATEVALUE(_xlfn.CONCAT(BBDD_Usiarios_Netflix[[#This Row],[Día Suscripción]],"/",BBDD_Usiarios_Netflix[[#This Row],[Mes Suscripción]],"/",BBDD_Usiarios_Netflix[[#This Row],[Año Suscripción]]))</f>
        <v>45222</v>
      </c>
      <c r="H1138" s="1">
        <v>4</v>
      </c>
      <c r="I1138" s="1">
        <v>7</v>
      </c>
      <c r="J1138" s="1">
        <v>24</v>
      </c>
      <c r="K1138" s="1" t="str">
        <f>TEXT(BBDD_Usiarios_Netflix[[#This Row],[Fecha Suscripción]],"dddd")</f>
        <v>lunes</v>
      </c>
      <c r="L1138" s="1">
        <f>DATEVALUE(_xlfn.CONCAT(BBDD_Usiarios_Netflix[[#This Row],[Día Último Pago]],"/",BBDD_Usiarios_Netflix[[#This Row],[Mes Último Pago]],"/",BBDD_Usiarios_Netflix[[#This Row],[Año Último Pago]]))</f>
        <v>45477</v>
      </c>
      <c r="M1138" s="4">
        <f>DATEDIF(BBDD_Usiarios_Netflix[[#This Row],[Fecha Suscripción]],BBDD_Usiarios_Netflix[[#This Row],[Fecha Último Pago]],"M")+1</f>
        <v>9</v>
      </c>
      <c r="N1138" s="4">
        <f>BBDD_Usiarios_Netflix[[#This Row],[Ingresos Mensuales]]*BBDD_Usiarios_Netflix[[#This Row],[Meses contratados]]</f>
        <v>126</v>
      </c>
      <c r="O1138" t="s">
        <v>44</v>
      </c>
      <c r="P1138" t="str">
        <f>IF(BBDD_Usiarios_Netflix[[#This Row],[País]]="","Desconocido",BBDD_Usiarios_Netflix[[#This Row],[País]])</f>
        <v>Desconocido</v>
      </c>
      <c r="Q1138">
        <v>51</v>
      </c>
      <c r="R1138" t="s">
        <v>25</v>
      </c>
      <c r="S1138" t="s">
        <v>34</v>
      </c>
      <c r="T1138" t="s">
        <v>41</v>
      </c>
      <c r="U1138">
        <f>IF(IFERROR(VLOOKUP(BBDD_Usiarios_Netflix[[#This Row],[Identificador Usuario]],A1139:$A$5870,1,FALSE),0)&lt;&gt;0,1,0)</f>
        <v>0</v>
      </c>
      <c r="V1138" s="6" t="str">
        <f>IF(BBDD_Usiarios_Netflix[[#This Row],[Duración Plan]]="12 Meses",LEFT(BBDD_Usiarios_Netflix[[#This Row],[Duración Plan]],2),LEFT(BBDD_Usiarios_Netflix[[#This Row],[Duración Plan]],1))</f>
        <v>12</v>
      </c>
      <c r="W11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39" spans="1:23" x14ac:dyDescent="0.25">
      <c r="A1139">
        <v>1138</v>
      </c>
      <c r="B1139" t="s">
        <v>32</v>
      </c>
      <c r="C1139">
        <v>12</v>
      </c>
      <c r="D1139" s="3">
        <v>21</v>
      </c>
      <c r="E1139" s="3">
        <v>10</v>
      </c>
      <c r="F1139">
        <v>23</v>
      </c>
      <c r="G1139" s="1">
        <f>DATEVALUE(_xlfn.CONCAT(BBDD_Usiarios_Netflix[[#This Row],[Día Suscripción]],"/",BBDD_Usiarios_Netflix[[#This Row],[Mes Suscripción]],"/",BBDD_Usiarios_Netflix[[#This Row],[Año Suscripción]]))</f>
        <v>45220</v>
      </c>
      <c r="H1139" s="1">
        <v>4</v>
      </c>
      <c r="I1139" s="1">
        <v>7</v>
      </c>
      <c r="J1139" s="1">
        <v>24</v>
      </c>
      <c r="K1139" s="1" t="str">
        <f>TEXT(BBDD_Usiarios_Netflix[[#This Row],[Fecha Suscripción]],"dddd")</f>
        <v>sábado</v>
      </c>
      <c r="L1139" s="1">
        <f>DATEVALUE(_xlfn.CONCAT(BBDD_Usiarios_Netflix[[#This Row],[Día Último Pago]],"/",BBDD_Usiarios_Netflix[[#This Row],[Mes Último Pago]],"/",BBDD_Usiarios_Netflix[[#This Row],[Año Último Pago]]))</f>
        <v>45477</v>
      </c>
      <c r="M1139" s="4">
        <f>DATEDIF(BBDD_Usiarios_Netflix[[#This Row],[Fecha Suscripción]],BBDD_Usiarios_Netflix[[#This Row],[Fecha Último Pago]],"M")+1</f>
        <v>9</v>
      </c>
      <c r="N1139" s="4">
        <f>BBDD_Usiarios_Netflix[[#This Row],[Ingresos Mensuales]]*BBDD_Usiarios_Netflix[[#This Row],[Meses contratados]]</f>
        <v>108</v>
      </c>
      <c r="O1139" t="s">
        <v>24</v>
      </c>
      <c r="P1139" t="str">
        <f>IF(BBDD_Usiarios_Netflix[[#This Row],[País]]="","Desconocido",BBDD_Usiarios_Netflix[[#This Row],[País]])</f>
        <v>Australia</v>
      </c>
      <c r="Q1139">
        <v>45</v>
      </c>
      <c r="R1139" t="s">
        <v>30</v>
      </c>
      <c r="S1139" t="s">
        <v>26</v>
      </c>
      <c r="T1139" t="s">
        <v>38</v>
      </c>
      <c r="U1139">
        <f>IF(IFERROR(VLOOKUP(BBDD_Usiarios_Netflix[[#This Row],[Identificador Usuario]],A1140:$A$5870,1,FALSE),0)&lt;&gt;0,1,0)</f>
        <v>0</v>
      </c>
      <c r="V1139" s="6" t="str">
        <f>IF(BBDD_Usiarios_Netflix[[#This Row],[Duración Plan]]="12 Meses",LEFT(BBDD_Usiarios_Netflix[[#This Row],[Duración Plan]],2),LEFT(BBDD_Usiarios_Netflix[[#This Row],[Duración Plan]],1))</f>
        <v>3</v>
      </c>
      <c r="W11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40" spans="1:23" x14ac:dyDescent="0.25">
      <c r="A1140">
        <v>1139</v>
      </c>
      <c r="B1140" t="s">
        <v>23</v>
      </c>
      <c r="C1140">
        <v>10</v>
      </c>
      <c r="D1140" s="3">
        <v>11</v>
      </c>
      <c r="E1140" s="3">
        <v>9</v>
      </c>
      <c r="F1140">
        <v>23</v>
      </c>
      <c r="G1140" s="1">
        <f>DATEVALUE(_xlfn.CONCAT(BBDD_Usiarios_Netflix[[#This Row],[Día Suscripción]],"/",BBDD_Usiarios_Netflix[[#This Row],[Mes Suscripción]],"/",BBDD_Usiarios_Netflix[[#This Row],[Año Suscripción]]))</f>
        <v>45180</v>
      </c>
      <c r="H1140" s="1">
        <v>2</v>
      </c>
      <c r="I1140" s="1">
        <v>7</v>
      </c>
      <c r="J1140" s="1">
        <v>24</v>
      </c>
      <c r="K1140" s="1" t="str">
        <f>TEXT(BBDD_Usiarios_Netflix[[#This Row],[Fecha Suscripción]],"dddd")</f>
        <v>lunes</v>
      </c>
      <c r="L1140" s="1">
        <f>DATEVALUE(_xlfn.CONCAT(BBDD_Usiarios_Netflix[[#This Row],[Día Último Pago]],"/",BBDD_Usiarios_Netflix[[#This Row],[Mes Último Pago]],"/",BBDD_Usiarios_Netflix[[#This Row],[Año Último Pago]]))</f>
        <v>45475</v>
      </c>
      <c r="M1140" s="4">
        <f>DATEDIF(BBDD_Usiarios_Netflix[[#This Row],[Fecha Suscripción]],BBDD_Usiarios_Netflix[[#This Row],[Fecha Último Pago]],"M")+1</f>
        <v>10</v>
      </c>
      <c r="N1140" s="4">
        <f>BBDD_Usiarios_Netflix[[#This Row],[Ingresos Mensuales]]*BBDD_Usiarios_Netflix[[#This Row],[Meses contratados]]</f>
        <v>100</v>
      </c>
      <c r="O1140" t="s">
        <v>43</v>
      </c>
      <c r="P1140" t="str">
        <f>IF(BBDD_Usiarios_Netflix[[#This Row],[País]]="","Desconocido",BBDD_Usiarios_Netflix[[#This Row],[País]])</f>
        <v>Alemania</v>
      </c>
      <c r="Q1140">
        <v>33</v>
      </c>
      <c r="R1140" t="s">
        <v>25</v>
      </c>
      <c r="S1140" t="s">
        <v>26</v>
      </c>
      <c r="T1140" t="s">
        <v>35</v>
      </c>
      <c r="U1140">
        <f>IF(IFERROR(VLOOKUP(BBDD_Usiarios_Netflix[[#This Row],[Identificador Usuario]],A1141:$A$5870,1,FALSE),0)&lt;&gt;0,1,0)</f>
        <v>0</v>
      </c>
      <c r="V1140" s="6" t="str">
        <f>IF(BBDD_Usiarios_Netflix[[#This Row],[Duración Plan]]="12 Meses",LEFT(BBDD_Usiarios_Netflix[[#This Row],[Duración Plan]],2),LEFT(BBDD_Usiarios_Netflix[[#This Row],[Duración Plan]],1))</f>
        <v>6</v>
      </c>
      <c r="W11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41" spans="1:23" x14ac:dyDescent="0.25">
      <c r="A1141">
        <v>1140</v>
      </c>
      <c r="B1141" t="s">
        <v>32</v>
      </c>
      <c r="C1141">
        <v>12</v>
      </c>
      <c r="D1141" s="3">
        <v>9</v>
      </c>
      <c r="E1141" s="3">
        <v>9</v>
      </c>
      <c r="F1141">
        <v>23</v>
      </c>
      <c r="G1141" s="1">
        <f>DATEVALUE(_xlfn.CONCAT(BBDD_Usiarios_Netflix[[#This Row],[Día Suscripción]],"/",BBDD_Usiarios_Netflix[[#This Row],[Mes Suscripción]],"/",BBDD_Usiarios_Netflix[[#This Row],[Año Suscripción]]))</f>
        <v>45178</v>
      </c>
      <c r="H1141" s="1">
        <v>3</v>
      </c>
      <c r="I1141" s="1">
        <v>7</v>
      </c>
      <c r="J1141" s="1">
        <v>24</v>
      </c>
      <c r="K1141" s="1" t="str">
        <f>TEXT(BBDD_Usiarios_Netflix[[#This Row],[Fecha Suscripción]],"dddd")</f>
        <v>sábado</v>
      </c>
      <c r="L1141" s="1">
        <f>DATEVALUE(_xlfn.CONCAT(BBDD_Usiarios_Netflix[[#This Row],[Día Último Pago]],"/",BBDD_Usiarios_Netflix[[#This Row],[Mes Último Pago]],"/",BBDD_Usiarios_Netflix[[#This Row],[Año Último Pago]]))</f>
        <v>45476</v>
      </c>
      <c r="M1141" s="4">
        <f>DATEDIF(BBDD_Usiarios_Netflix[[#This Row],[Fecha Suscripción]],BBDD_Usiarios_Netflix[[#This Row],[Fecha Último Pago]],"M")+1</f>
        <v>10</v>
      </c>
      <c r="N1141" s="4">
        <f>BBDD_Usiarios_Netflix[[#This Row],[Ingresos Mensuales]]*BBDD_Usiarios_Netflix[[#This Row],[Meses contratados]]</f>
        <v>120</v>
      </c>
      <c r="O1141" t="s">
        <v>42</v>
      </c>
      <c r="P1141" t="str">
        <f>IF(BBDD_Usiarios_Netflix[[#This Row],[País]]="","Desconocido",BBDD_Usiarios_Netflix[[#This Row],[País]])</f>
        <v>Reino Unido</v>
      </c>
      <c r="Q1141">
        <v>31</v>
      </c>
      <c r="R1141" t="s">
        <v>30</v>
      </c>
      <c r="S1141" t="s">
        <v>34</v>
      </c>
      <c r="T1141" t="s">
        <v>27</v>
      </c>
      <c r="U1141">
        <f>IF(IFERROR(VLOOKUP(BBDD_Usiarios_Netflix[[#This Row],[Identificador Usuario]],A1142:$A$5870,1,FALSE),0)&lt;&gt;0,1,0)</f>
        <v>0</v>
      </c>
      <c r="V1141" s="6" t="str">
        <f>IF(BBDD_Usiarios_Netflix[[#This Row],[Duración Plan]]="12 Meses",LEFT(BBDD_Usiarios_Netflix[[#This Row],[Duración Plan]],2),LEFT(BBDD_Usiarios_Netflix[[#This Row],[Duración Plan]],1))</f>
        <v>1</v>
      </c>
      <c r="W11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42" spans="1:23" x14ac:dyDescent="0.25">
      <c r="A1142">
        <v>1141</v>
      </c>
      <c r="B1142" t="s">
        <v>28</v>
      </c>
      <c r="C1142">
        <v>14</v>
      </c>
      <c r="D1142" s="3">
        <v>22</v>
      </c>
      <c r="E1142" s="3">
        <v>8</v>
      </c>
      <c r="F1142">
        <v>23</v>
      </c>
      <c r="G1142" s="1">
        <f>DATEVALUE(_xlfn.CONCAT(BBDD_Usiarios_Netflix[[#This Row],[Día Suscripción]],"/",BBDD_Usiarios_Netflix[[#This Row],[Mes Suscripción]],"/",BBDD_Usiarios_Netflix[[#This Row],[Año Suscripción]]))</f>
        <v>45160</v>
      </c>
      <c r="H1142" s="1">
        <v>3</v>
      </c>
      <c r="I1142" s="1">
        <v>7</v>
      </c>
      <c r="J1142" s="1">
        <v>24</v>
      </c>
      <c r="K1142" s="1" t="str">
        <f>TEXT(BBDD_Usiarios_Netflix[[#This Row],[Fecha Suscripción]],"dddd")</f>
        <v>martes</v>
      </c>
      <c r="L1142" s="1">
        <f>DATEVALUE(_xlfn.CONCAT(BBDD_Usiarios_Netflix[[#This Row],[Día Último Pago]],"/",BBDD_Usiarios_Netflix[[#This Row],[Mes Último Pago]],"/",BBDD_Usiarios_Netflix[[#This Row],[Año Último Pago]]))</f>
        <v>45476</v>
      </c>
      <c r="M1142" s="4">
        <f>DATEDIF(BBDD_Usiarios_Netflix[[#This Row],[Fecha Suscripción]],BBDD_Usiarios_Netflix[[#This Row],[Fecha Último Pago]],"M")+1</f>
        <v>11</v>
      </c>
      <c r="N1142" s="4">
        <f>BBDD_Usiarios_Netflix[[#This Row],[Ingresos Mensuales]]*BBDD_Usiarios_Netflix[[#This Row],[Meses contratados]]</f>
        <v>154</v>
      </c>
      <c r="O1142" t="s">
        <v>24</v>
      </c>
      <c r="P1142" t="str">
        <f>IF(BBDD_Usiarios_Netflix[[#This Row],[País]]="","Desconocido",BBDD_Usiarios_Netflix[[#This Row],[País]])</f>
        <v>Australia</v>
      </c>
      <c r="Q1142">
        <v>48</v>
      </c>
      <c r="R1142" t="s">
        <v>30</v>
      </c>
      <c r="S1142" t="s">
        <v>34</v>
      </c>
      <c r="T1142" t="s">
        <v>35</v>
      </c>
      <c r="U1142">
        <f>IF(IFERROR(VLOOKUP(BBDD_Usiarios_Netflix[[#This Row],[Identificador Usuario]],A1143:$A$5870,1,FALSE),0)&lt;&gt;0,1,0)</f>
        <v>0</v>
      </c>
      <c r="V1142" s="6" t="str">
        <f>IF(BBDD_Usiarios_Netflix[[#This Row],[Duración Plan]]="12 Meses",LEFT(BBDD_Usiarios_Netflix[[#This Row],[Duración Plan]],2),LEFT(BBDD_Usiarios_Netflix[[#This Row],[Duración Plan]],1))</f>
        <v>6</v>
      </c>
      <c r="W11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43" spans="1:23" x14ac:dyDescent="0.25">
      <c r="A1143">
        <v>1142</v>
      </c>
      <c r="B1143" t="s">
        <v>23</v>
      </c>
      <c r="C1143">
        <v>10</v>
      </c>
      <c r="D1143" s="3">
        <v>21</v>
      </c>
      <c r="E1143" s="3">
        <v>8</v>
      </c>
      <c r="F1143">
        <v>23</v>
      </c>
      <c r="G1143" s="1">
        <f>DATEVALUE(_xlfn.CONCAT(BBDD_Usiarios_Netflix[[#This Row],[Día Suscripción]],"/",BBDD_Usiarios_Netflix[[#This Row],[Mes Suscripción]],"/",BBDD_Usiarios_Netflix[[#This Row],[Año Suscripción]]))</f>
        <v>45159</v>
      </c>
      <c r="H1143" s="1">
        <v>4</v>
      </c>
      <c r="I1143" s="1">
        <v>7</v>
      </c>
      <c r="J1143" s="1">
        <v>24</v>
      </c>
      <c r="K1143" s="1" t="str">
        <f>TEXT(BBDD_Usiarios_Netflix[[#This Row],[Fecha Suscripción]],"dddd")</f>
        <v>lunes</v>
      </c>
      <c r="L1143" s="1">
        <f>DATEVALUE(_xlfn.CONCAT(BBDD_Usiarios_Netflix[[#This Row],[Día Último Pago]],"/",BBDD_Usiarios_Netflix[[#This Row],[Mes Último Pago]],"/",BBDD_Usiarios_Netflix[[#This Row],[Año Último Pago]]))</f>
        <v>45477</v>
      </c>
      <c r="M1143" s="4">
        <f>DATEDIF(BBDD_Usiarios_Netflix[[#This Row],[Fecha Suscripción]],BBDD_Usiarios_Netflix[[#This Row],[Fecha Último Pago]],"M")+1</f>
        <v>11</v>
      </c>
      <c r="N1143" s="4">
        <f>BBDD_Usiarios_Netflix[[#This Row],[Ingresos Mensuales]]*BBDD_Usiarios_Netflix[[#This Row],[Meses contratados]]</f>
        <v>110</v>
      </c>
      <c r="O1143" t="s">
        <v>24</v>
      </c>
      <c r="P1143" t="str">
        <f>IF(BBDD_Usiarios_Netflix[[#This Row],[País]]="","Desconocido",BBDD_Usiarios_Netflix[[#This Row],[País]])</f>
        <v>Australia</v>
      </c>
      <c r="Q1143">
        <v>47</v>
      </c>
      <c r="R1143" t="s">
        <v>30</v>
      </c>
      <c r="S1143" t="s">
        <v>36</v>
      </c>
      <c r="T1143" t="s">
        <v>38</v>
      </c>
      <c r="U1143">
        <f>IF(IFERROR(VLOOKUP(BBDD_Usiarios_Netflix[[#This Row],[Identificador Usuario]],A1144:$A$5870,1,FALSE),0)&lt;&gt;0,1,0)</f>
        <v>0</v>
      </c>
      <c r="V1143" s="6" t="str">
        <f>IF(BBDD_Usiarios_Netflix[[#This Row],[Duración Plan]]="12 Meses",LEFT(BBDD_Usiarios_Netflix[[#This Row],[Duración Plan]],2),LEFT(BBDD_Usiarios_Netflix[[#This Row],[Duración Plan]],1))</f>
        <v>3</v>
      </c>
      <c r="W11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44" spans="1:23" x14ac:dyDescent="0.25">
      <c r="A1144">
        <v>1143</v>
      </c>
      <c r="B1144" t="s">
        <v>32</v>
      </c>
      <c r="C1144">
        <v>12</v>
      </c>
      <c r="D1144" s="3">
        <v>15</v>
      </c>
      <c r="E1144" s="3">
        <v>8</v>
      </c>
      <c r="F1144">
        <v>23</v>
      </c>
      <c r="G1144" s="1">
        <f>DATEVALUE(_xlfn.CONCAT(BBDD_Usiarios_Netflix[[#This Row],[Día Suscripción]],"/",BBDD_Usiarios_Netflix[[#This Row],[Mes Suscripción]],"/",BBDD_Usiarios_Netflix[[#This Row],[Año Suscripción]]))</f>
        <v>45153</v>
      </c>
      <c r="H1144" s="1">
        <v>1</v>
      </c>
      <c r="I1144" s="1">
        <v>7</v>
      </c>
      <c r="J1144" s="1">
        <v>24</v>
      </c>
      <c r="K1144" s="1" t="str">
        <f>TEXT(BBDD_Usiarios_Netflix[[#This Row],[Fecha Suscripción]],"dddd")</f>
        <v>martes</v>
      </c>
      <c r="L1144" s="1">
        <f>DATEVALUE(_xlfn.CONCAT(BBDD_Usiarios_Netflix[[#This Row],[Día Último Pago]],"/",BBDD_Usiarios_Netflix[[#This Row],[Mes Último Pago]],"/",BBDD_Usiarios_Netflix[[#This Row],[Año Último Pago]]))</f>
        <v>45474</v>
      </c>
      <c r="M1144" s="4">
        <f>DATEDIF(BBDD_Usiarios_Netflix[[#This Row],[Fecha Suscripción]],BBDD_Usiarios_Netflix[[#This Row],[Fecha Último Pago]],"M")+1</f>
        <v>11</v>
      </c>
      <c r="N1144" s="4">
        <f>BBDD_Usiarios_Netflix[[#This Row],[Ingresos Mensuales]]*BBDD_Usiarios_Netflix[[#This Row],[Meses contratados]]</f>
        <v>132</v>
      </c>
      <c r="O1144" t="s">
        <v>45</v>
      </c>
      <c r="P1144" t="str">
        <f>IF(BBDD_Usiarios_Netflix[[#This Row],[País]]="","Desconocido",BBDD_Usiarios_Netflix[[#This Row],[País]])</f>
        <v>España</v>
      </c>
      <c r="Q1144">
        <v>43</v>
      </c>
      <c r="R1144" t="s">
        <v>25</v>
      </c>
      <c r="S1144" t="s">
        <v>34</v>
      </c>
      <c r="T1144" t="s">
        <v>38</v>
      </c>
      <c r="U1144">
        <f>IF(IFERROR(VLOOKUP(BBDD_Usiarios_Netflix[[#This Row],[Identificador Usuario]],A1145:$A$5870,1,FALSE),0)&lt;&gt;0,1,0)</f>
        <v>0</v>
      </c>
      <c r="V1144" s="6" t="str">
        <f>IF(BBDD_Usiarios_Netflix[[#This Row],[Duración Plan]]="12 Meses",LEFT(BBDD_Usiarios_Netflix[[#This Row],[Duración Plan]],2),LEFT(BBDD_Usiarios_Netflix[[#This Row],[Duración Plan]],1))</f>
        <v>3</v>
      </c>
      <c r="W11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45" spans="1:23" x14ac:dyDescent="0.25">
      <c r="A1145">
        <v>1144</v>
      </c>
      <c r="B1145" t="s">
        <v>28</v>
      </c>
      <c r="C1145">
        <v>14</v>
      </c>
      <c r="D1145" s="3">
        <v>14</v>
      </c>
      <c r="E1145" s="3">
        <v>8</v>
      </c>
      <c r="F1145">
        <v>23</v>
      </c>
      <c r="G1145" s="1">
        <f>DATEVALUE(_xlfn.CONCAT(BBDD_Usiarios_Netflix[[#This Row],[Día Suscripción]],"/",BBDD_Usiarios_Netflix[[#This Row],[Mes Suscripción]],"/",BBDD_Usiarios_Netflix[[#This Row],[Año Suscripción]]))</f>
        <v>45152</v>
      </c>
      <c r="H1145" s="1">
        <v>3</v>
      </c>
      <c r="I1145" s="1">
        <v>7</v>
      </c>
      <c r="J1145" s="1">
        <v>24</v>
      </c>
      <c r="K1145" s="1" t="str">
        <f>TEXT(BBDD_Usiarios_Netflix[[#This Row],[Fecha Suscripción]],"dddd")</f>
        <v>lunes</v>
      </c>
      <c r="L1145" s="1">
        <f>DATEVALUE(_xlfn.CONCAT(BBDD_Usiarios_Netflix[[#This Row],[Día Último Pago]],"/",BBDD_Usiarios_Netflix[[#This Row],[Mes Último Pago]],"/",BBDD_Usiarios_Netflix[[#This Row],[Año Último Pago]]))</f>
        <v>45476</v>
      </c>
      <c r="M1145" s="4">
        <f>DATEDIF(BBDD_Usiarios_Netflix[[#This Row],[Fecha Suscripción]],BBDD_Usiarios_Netflix[[#This Row],[Fecha Último Pago]],"M")+1</f>
        <v>11</v>
      </c>
      <c r="N1145" s="4">
        <f>BBDD_Usiarios_Netflix[[#This Row],[Ingresos Mensuales]]*BBDD_Usiarios_Netflix[[#This Row],[Meses contratados]]</f>
        <v>154</v>
      </c>
      <c r="O1145" t="s">
        <v>40</v>
      </c>
      <c r="P1145" t="str">
        <f>IF(BBDD_Usiarios_Netflix[[#This Row],[País]]="","Desconocido",BBDD_Usiarios_Netflix[[#This Row],[País]])</f>
        <v>Italia</v>
      </c>
      <c r="Q1145">
        <v>39</v>
      </c>
      <c r="R1145" t="s">
        <v>25</v>
      </c>
      <c r="S1145" t="s">
        <v>31</v>
      </c>
      <c r="T1145" t="s">
        <v>27</v>
      </c>
      <c r="U1145">
        <f>IF(IFERROR(VLOOKUP(BBDD_Usiarios_Netflix[[#This Row],[Identificador Usuario]],A1146:$A$5870,1,FALSE),0)&lt;&gt;0,1,0)</f>
        <v>0</v>
      </c>
      <c r="V1145" s="6" t="str">
        <f>IF(BBDD_Usiarios_Netflix[[#This Row],[Duración Plan]]="12 Meses",LEFT(BBDD_Usiarios_Netflix[[#This Row],[Duración Plan]],2),LEFT(BBDD_Usiarios_Netflix[[#This Row],[Duración Plan]],1))</f>
        <v>1</v>
      </c>
      <c r="W11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46" spans="1:23" x14ac:dyDescent="0.25">
      <c r="A1146">
        <v>1145</v>
      </c>
      <c r="B1146" t="s">
        <v>23</v>
      </c>
      <c r="C1146">
        <v>10</v>
      </c>
      <c r="D1146" s="3">
        <v>9</v>
      </c>
      <c r="E1146" s="3">
        <v>8</v>
      </c>
      <c r="F1146">
        <v>23</v>
      </c>
      <c r="G1146" s="1">
        <f>DATEVALUE(_xlfn.CONCAT(BBDD_Usiarios_Netflix[[#This Row],[Día Suscripción]],"/",BBDD_Usiarios_Netflix[[#This Row],[Mes Suscripción]],"/",BBDD_Usiarios_Netflix[[#This Row],[Año Suscripción]]))</f>
        <v>45147</v>
      </c>
      <c r="H1146" s="1">
        <v>3</v>
      </c>
      <c r="I1146" s="1">
        <v>7</v>
      </c>
      <c r="J1146" s="1">
        <v>24</v>
      </c>
      <c r="K1146" s="1" t="str">
        <f>TEXT(BBDD_Usiarios_Netflix[[#This Row],[Fecha Suscripción]],"dddd")</f>
        <v>miércoles</v>
      </c>
      <c r="L1146" s="1">
        <f>DATEVALUE(_xlfn.CONCAT(BBDD_Usiarios_Netflix[[#This Row],[Día Último Pago]],"/",BBDD_Usiarios_Netflix[[#This Row],[Mes Último Pago]],"/",BBDD_Usiarios_Netflix[[#This Row],[Año Último Pago]]))</f>
        <v>45476</v>
      </c>
      <c r="M1146" s="4">
        <f>DATEDIF(BBDD_Usiarios_Netflix[[#This Row],[Fecha Suscripción]],BBDD_Usiarios_Netflix[[#This Row],[Fecha Último Pago]],"M")+1</f>
        <v>11</v>
      </c>
      <c r="N1146" s="4">
        <f>BBDD_Usiarios_Netflix[[#This Row],[Ingresos Mensuales]]*BBDD_Usiarios_Netflix[[#This Row],[Meses contratados]]</f>
        <v>110</v>
      </c>
      <c r="O1146" t="s">
        <v>33</v>
      </c>
      <c r="P1146" t="str">
        <f>IF(BBDD_Usiarios_Netflix[[#This Row],[País]]="","Desconocido",BBDD_Usiarios_Netflix[[#This Row],[País]])</f>
        <v>Francia</v>
      </c>
      <c r="Q1146">
        <v>46</v>
      </c>
      <c r="R1146" t="s">
        <v>25</v>
      </c>
      <c r="S1146" t="s">
        <v>34</v>
      </c>
      <c r="T1146" t="s">
        <v>27</v>
      </c>
      <c r="U1146">
        <f>IF(IFERROR(VLOOKUP(BBDD_Usiarios_Netflix[[#This Row],[Identificador Usuario]],A1147:$A$5870,1,FALSE),0)&lt;&gt;0,1,0)</f>
        <v>0</v>
      </c>
      <c r="V1146" s="6" t="str">
        <f>IF(BBDD_Usiarios_Netflix[[#This Row],[Duración Plan]]="12 Meses",LEFT(BBDD_Usiarios_Netflix[[#This Row],[Duración Plan]],2),LEFT(BBDD_Usiarios_Netflix[[#This Row],[Duración Plan]],1))</f>
        <v>1</v>
      </c>
      <c r="W11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47" spans="1:23" x14ac:dyDescent="0.25">
      <c r="A1147">
        <v>1146</v>
      </c>
      <c r="B1147" t="s">
        <v>28</v>
      </c>
      <c r="C1147">
        <v>14</v>
      </c>
      <c r="D1147" s="3">
        <v>4</v>
      </c>
      <c r="E1147" s="3">
        <v>8</v>
      </c>
      <c r="F1147">
        <v>23</v>
      </c>
      <c r="G1147" s="1">
        <f>DATEVALUE(_xlfn.CONCAT(BBDD_Usiarios_Netflix[[#This Row],[Día Suscripción]],"/",BBDD_Usiarios_Netflix[[#This Row],[Mes Suscripción]],"/",BBDD_Usiarios_Netflix[[#This Row],[Año Suscripción]]))</f>
        <v>45142</v>
      </c>
      <c r="H1147" s="1">
        <v>4</v>
      </c>
      <c r="I1147" s="1">
        <v>7</v>
      </c>
      <c r="J1147" s="1">
        <v>24</v>
      </c>
      <c r="K1147" s="1" t="str">
        <f>TEXT(BBDD_Usiarios_Netflix[[#This Row],[Fecha Suscripción]],"dddd")</f>
        <v>viernes</v>
      </c>
      <c r="L1147" s="1">
        <f>DATEVALUE(_xlfn.CONCAT(BBDD_Usiarios_Netflix[[#This Row],[Día Último Pago]],"/",BBDD_Usiarios_Netflix[[#This Row],[Mes Último Pago]],"/",BBDD_Usiarios_Netflix[[#This Row],[Año Último Pago]]))</f>
        <v>45477</v>
      </c>
      <c r="M1147" s="4">
        <f>DATEDIF(BBDD_Usiarios_Netflix[[#This Row],[Fecha Suscripción]],BBDD_Usiarios_Netflix[[#This Row],[Fecha Último Pago]],"M")+1</f>
        <v>12</v>
      </c>
      <c r="N1147" s="4">
        <f>BBDD_Usiarios_Netflix[[#This Row],[Ingresos Mensuales]]*BBDD_Usiarios_Netflix[[#This Row],[Meses contratados]]</f>
        <v>168</v>
      </c>
      <c r="O1147" t="s">
        <v>43</v>
      </c>
      <c r="P1147" t="str">
        <f>IF(BBDD_Usiarios_Netflix[[#This Row],[País]]="","Desconocido",BBDD_Usiarios_Netflix[[#This Row],[País]])</f>
        <v>Alemania</v>
      </c>
      <c r="Q1147">
        <v>46</v>
      </c>
      <c r="R1147" t="s">
        <v>30</v>
      </c>
      <c r="S1147" t="s">
        <v>26</v>
      </c>
      <c r="T1147" t="s">
        <v>27</v>
      </c>
      <c r="U1147">
        <f>IF(IFERROR(VLOOKUP(BBDD_Usiarios_Netflix[[#This Row],[Identificador Usuario]],A1148:$A$5870,1,FALSE),0)&lt;&gt;0,1,0)</f>
        <v>0</v>
      </c>
      <c r="V1147" s="6" t="str">
        <f>IF(BBDD_Usiarios_Netflix[[#This Row],[Duración Plan]]="12 Meses",LEFT(BBDD_Usiarios_Netflix[[#This Row],[Duración Plan]],2),LEFT(BBDD_Usiarios_Netflix[[#This Row],[Duración Plan]],1))</f>
        <v>1</v>
      </c>
      <c r="W11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48" spans="1:23" x14ac:dyDescent="0.25">
      <c r="A1148">
        <v>1147</v>
      </c>
      <c r="B1148" t="s">
        <v>23</v>
      </c>
      <c r="C1148">
        <v>10</v>
      </c>
      <c r="D1148" s="3">
        <v>27</v>
      </c>
      <c r="E1148" s="3">
        <v>7</v>
      </c>
      <c r="F1148">
        <v>23</v>
      </c>
      <c r="G1148" s="1">
        <f>DATEVALUE(_xlfn.CONCAT(BBDD_Usiarios_Netflix[[#This Row],[Día Suscripción]],"/",BBDD_Usiarios_Netflix[[#This Row],[Mes Suscripción]],"/",BBDD_Usiarios_Netflix[[#This Row],[Año Suscripción]]))</f>
        <v>45134</v>
      </c>
      <c r="H1148" s="1">
        <v>1</v>
      </c>
      <c r="I1148" s="1">
        <v>7</v>
      </c>
      <c r="J1148" s="1">
        <v>24</v>
      </c>
      <c r="K1148" s="1" t="str">
        <f>TEXT(BBDD_Usiarios_Netflix[[#This Row],[Fecha Suscripción]],"dddd")</f>
        <v>jueves</v>
      </c>
      <c r="L1148" s="1">
        <f>DATEVALUE(_xlfn.CONCAT(BBDD_Usiarios_Netflix[[#This Row],[Día Último Pago]],"/",BBDD_Usiarios_Netflix[[#This Row],[Mes Último Pago]],"/",BBDD_Usiarios_Netflix[[#This Row],[Año Último Pago]]))</f>
        <v>45474</v>
      </c>
      <c r="M1148" s="4">
        <f>DATEDIF(BBDD_Usiarios_Netflix[[#This Row],[Fecha Suscripción]],BBDD_Usiarios_Netflix[[#This Row],[Fecha Último Pago]],"M")+1</f>
        <v>12</v>
      </c>
      <c r="N1148" s="4">
        <f>BBDD_Usiarios_Netflix[[#This Row],[Ingresos Mensuales]]*BBDD_Usiarios_Netflix[[#This Row],[Meses contratados]]</f>
        <v>120</v>
      </c>
      <c r="O1148" t="s">
        <v>45</v>
      </c>
      <c r="P1148" t="str">
        <f>IF(BBDD_Usiarios_Netflix[[#This Row],[País]]="","Desconocido",BBDD_Usiarios_Netflix[[#This Row],[País]])</f>
        <v>España</v>
      </c>
      <c r="Q1148">
        <v>40</v>
      </c>
      <c r="R1148" t="s">
        <v>30</v>
      </c>
      <c r="S1148" t="s">
        <v>31</v>
      </c>
      <c r="T1148" t="s">
        <v>41</v>
      </c>
      <c r="U1148">
        <f>IF(IFERROR(VLOOKUP(BBDD_Usiarios_Netflix[[#This Row],[Identificador Usuario]],A1149:$A$5870,1,FALSE),0)&lt;&gt;0,1,0)</f>
        <v>0</v>
      </c>
      <c r="V1148" s="6" t="str">
        <f>IF(BBDD_Usiarios_Netflix[[#This Row],[Duración Plan]]="12 Meses",LEFT(BBDD_Usiarios_Netflix[[#This Row],[Duración Plan]],2),LEFT(BBDD_Usiarios_Netflix[[#This Row],[Duración Plan]],1))</f>
        <v>12</v>
      </c>
      <c r="W11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49" spans="1:23" x14ac:dyDescent="0.25">
      <c r="A1149">
        <v>1148</v>
      </c>
      <c r="B1149" t="s">
        <v>32</v>
      </c>
      <c r="C1149">
        <v>12</v>
      </c>
      <c r="D1149" s="3">
        <v>11</v>
      </c>
      <c r="E1149" s="3">
        <v>7</v>
      </c>
      <c r="F1149">
        <v>23</v>
      </c>
      <c r="G1149" s="1">
        <f>DATEVALUE(_xlfn.CONCAT(BBDD_Usiarios_Netflix[[#This Row],[Día Suscripción]],"/",BBDD_Usiarios_Netflix[[#This Row],[Mes Suscripción]],"/",BBDD_Usiarios_Netflix[[#This Row],[Año Suscripción]]))</f>
        <v>45118</v>
      </c>
      <c r="H1149" s="1">
        <v>2</v>
      </c>
      <c r="I1149" s="1">
        <v>7</v>
      </c>
      <c r="J1149" s="1">
        <v>24</v>
      </c>
      <c r="K1149" s="1" t="str">
        <f>TEXT(BBDD_Usiarios_Netflix[[#This Row],[Fecha Suscripción]],"dddd")</f>
        <v>martes</v>
      </c>
      <c r="L1149" s="1">
        <f>DATEVALUE(_xlfn.CONCAT(BBDD_Usiarios_Netflix[[#This Row],[Día Último Pago]],"/",BBDD_Usiarios_Netflix[[#This Row],[Mes Último Pago]],"/",BBDD_Usiarios_Netflix[[#This Row],[Año Último Pago]]))</f>
        <v>45475</v>
      </c>
      <c r="M1149" s="4">
        <f>DATEDIF(BBDD_Usiarios_Netflix[[#This Row],[Fecha Suscripción]],BBDD_Usiarios_Netflix[[#This Row],[Fecha Último Pago]],"M")+1</f>
        <v>12</v>
      </c>
      <c r="N1149" s="4">
        <f>BBDD_Usiarios_Netflix[[#This Row],[Ingresos Mensuales]]*BBDD_Usiarios_Netflix[[#This Row],[Meses contratados]]</f>
        <v>144</v>
      </c>
      <c r="O1149" t="s">
        <v>43</v>
      </c>
      <c r="P1149" t="str">
        <f>IF(BBDD_Usiarios_Netflix[[#This Row],[País]]="","Desconocido",BBDD_Usiarios_Netflix[[#This Row],[País]])</f>
        <v>Alemania</v>
      </c>
      <c r="Q1149">
        <v>38</v>
      </c>
      <c r="R1149" t="s">
        <v>25</v>
      </c>
      <c r="S1149" t="s">
        <v>26</v>
      </c>
      <c r="T1149" t="s">
        <v>27</v>
      </c>
      <c r="U1149">
        <f>IF(IFERROR(VLOOKUP(BBDD_Usiarios_Netflix[[#This Row],[Identificador Usuario]],A1150:$A$5870,1,FALSE),0)&lt;&gt;0,1,0)</f>
        <v>0</v>
      </c>
      <c r="V1149" s="6" t="str">
        <f>IF(BBDD_Usiarios_Netflix[[#This Row],[Duración Plan]]="12 Meses",LEFT(BBDD_Usiarios_Netflix[[#This Row],[Duración Plan]],2),LEFT(BBDD_Usiarios_Netflix[[#This Row],[Duración Plan]],1))</f>
        <v>1</v>
      </c>
      <c r="W11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50" spans="1:23" x14ac:dyDescent="0.25">
      <c r="A1150">
        <v>1149</v>
      </c>
      <c r="B1150" t="s">
        <v>32</v>
      </c>
      <c r="C1150">
        <v>12</v>
      </c>
      <c r="D1150" s="3">
        <v>9</v>
      </c>
      <c r="E1150" s="3">
        <v>7</v>
      </c>
      <c r="F1150">
        <v>23</v>
      </c>
      <c r="G1150" s="1">
        <f>DATEVALUE(_xlfn.CONCAT(BBDD_Usiarios_Netflix[[#This Row],[Día Suscripción]],"/",BBDD_Usiarios_Netflix[[#This Row],[Mes Suscripción]],"/",BBDD_Usiarios_Netflix[[#This Row],[Año Suscripción]]))</f>
        <v>45116</v>
      </c>
      <c r="H1150" s="1">
        <v>3</v>
      </c>
      <c r="I1150" s="1">
        <v>7</v>
      </c>
      <c r="J1150" s="1">
        <v>24</v>
      </c>
      <c r="K1150" s="1" t="str">
        <f>TEXT(BBDD_Usiarios_Netflix[[#This Row],[Fecha Suscripción]],"dddd")</f>
        <v>domingo</v>
      </c>
      <c r="L1150" s="1">
        <f>DATEVALUE(_xlfn.CONCAT(BBDD_Usiarios_Netflix[[#This Row],[Día Último Pago]],"/",BBDD_Usiarios_Netflix[[#This Row],[Mes Último Pago]],"/",BBDD_Usiarios_Netflix[[#This Row],[Año Último Pago]]))</f>
        <v>45476</v>
      </c>
      <c r="M1150" s="4">
        <f>DATEDIF(BBDD_Usiarios_Netflix[[#This Row],[Fecha Suscripción]],BBDD_Usiarios_Netflix[[#This Row],[Fecha Último Pago]],"M")+1</f>
        <v>12</v>
      </c>
      <c r="N1150" s="4">
        <f>BBDD_Usiarios_Netflix[[#This Row],[Ingresos Mensuales]]*BBDD_Usiarios_Netflix[[#This Row],[Meses contratados]]</f>
        <v>144</v>
      </c>
      <c r="O1150" t="s">
        <v>24</v>
      </c>
      <c r="P1150" t="str">
        <f>IF(BBDD_Usiarios_Netflix[[#This Row],[País]]="","Desconocido",BBDD_Usiarios_Netflix[[#This Row],[País]])</f>
        <v>Australia</v>
      </c>
      <c r="Q1150">
        <v>48</v>
      </c>
      <c r="R1150" t="s">
        <v>30</v>
      </c>
      <c r="S1150" t="s">
        <v>31</v>
      </c>
      <c r="T1150" t="s">
        <v>41</v>
      </c>
      <c r="U1150">
        <f>IF(IFERROR(VLOOKUP(BBDD_Usiarios_Netflix[[#This Row],[Identificador Usuario]],A1151:$A$5870,1,FALSE),0)&lt;&gt;0,1,0)</f>
        <v>0</v>
      </c>
      <c r="V1150" s="6" t="str">
        <f>IF(BBDD_Usiarios_Netflix[[#This Row],[Duración Plan]]="12 Meses",LEFT(BBDD_Usiarios_Netflix[[#This Row],[Duración Plan]],2),LEFT(BBDD_Usiarios_Netflix[[#This Row],[Duración Plan]],1))</f>
        <v>12</v>
      </c>
      <c r="W11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51" spans="1:23" x14ac:dyDescent="0.25">
      <c r="A1151">
        <v>1150</v>
      </c>
      <c r="B1151" t="s">
        <v>23</v>
      </c>
      <c r="C1151">
        <v>10</v>
      </c>
      <c r="D1151" s="3">
        <v>1</v>
      </c>
      <c r="E1151" s="3">
        <v>7</v>
      </c>
      <c r="F1151">
        <v>23</v>
      </c>
      <c r="G1151" s="1">
        <f>DATEVALUE(_xlfn.CONCAT(BBDD_Usiarios_Netflix[[#This Row],[Día Suscripción]],"/",BBDD_Usiarios_Netflix[[#This Row],[Mes Suscripción]],"/",BBDD_Usiarios_Netflix[[#This Row],[Año Suscripción]]))</f>
        <v>45108</v>
      </c>
      <c r="H1151" s="1">
        <v>3</v>
      </c>
      <c r="I1151" s="1">
        <v>7</v>
      </c>
      <c r="J1151" s="1">
        <v>24</v>
      </c>
      <c r="K1151" s="1" t="str">
        <f>TEXT(BBDD_Usiarios_Netflix[[#This Row],[Fecha Suscripción]],"dddd")</f>
        <v>sábado</v>
      </c>
      <c r="L1151" s="1">
        <f>DATEVALUE(_xlfn.CONCAT(BBDD_Usiarios_Netflix[[#This Row],[Día Último Pago]],"/",BBDD_Usiarios_Netflix[[#This Row],[Mes Último Pago]],"/",BBDD_Usiarios_Netflix[[#This Row],[Año Último Pago]]))</f>
        <v>45476</v>
      </c>
      <c r="M1151" s="4">
        <f>DATEDIF(BBDD_Usiarios_Netflix[[#This Row],[Fecha Suscripción]],BBDD_Usiarios_Netflix[[#This Row],[Fecha Último Pago]],"M")+1</f>
        <v>13</v>
      </c>
      <c r="N1151" s="4">
        <f>BBDD_Usiarios_Netflix[[#This Row],[Ingresos Mensuales]]*BBDD_Usiarios_Netflix[[#This Row],[Meses contratados]]</f>
        <v>130</v>
      </c>
      <c r="O1151" t="s">
        <v>29</v>
      </c>
      <c r="P1151" t="str">
        <f>IF(BBDD_Usiarios_Netflix[[#This Row],[País]]="","Desconocido",BBDD_Usiarios_Netflix[[#This Row],[País]])</f>
        <v>EEUU</v>
      </c>
      <c r="Q1151">
        <v>38</v>
      </c>
      <c r="R1151" t="s">
        <v>25</v>
      </c>
      <c r="S1151" t="s">
        <v>31</v>
      </c>
      <c r="T1151" t="s">
        <v>41</v>
      </c>
      <c r="U1151">
        <f>IF(IFERROR(VLOOKUP(BBDD_Usiarios_Netflix[[#This Row],[Identificador Usuario]],A1152:$A$5870,1,FALSE),0)&lt;&gt;0,1,0)</f>
        <v>0</v>
      </c>
      <c r="V1151" s="6" t="str">
        <f>IF(BBDD_Usiarios_Netflix[[#This Row],[Duración Plan]]="12 Meses",LEFT(BBDD_Usiarios_Netflix[[#This Row],[Duración Plan]],2),LEFT(BBDD_Usiarios_Netflix[[#This Row],[Duración Plan]],1))</f>
        <v>12</v>
      </c>
      <c r="W11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52" spans="1:23" x14ac:dyDescent="0.25">
      <c r="A1152">
        <v>1151</v>
      </c>
      <c r="B1152" t="s">
        <v>28</v>
      </c>
      <c r="C1152">
        <v>14</v>
      </c>
      <c r="D1152" s="3">
        <v>30</v>
      </c>
      <c r="E1152" s="3">
        <v>6</v>
      </c>
      <c r="F1152">
        <v>23</v>
      </c>
      <c r="G1152" s="1">
        <f>DATEVALUE(_xlfn.CONCAT(BBDD_Usiarios_Netflix[[#This Row],[Día Suscripción]],"/",BBDD_Usiarios_Netflix[[#This Row],[Mes Suscripción]],"/",BBDD_Usiarios_Netflix[[#This Row],[Año Suscripción]]))</f>
        <v>45107</v>
      </c>
      <c r="H1152" s="1">
        <v>1</v>
      </c>
      <c r="I1152" s="1">
        <v>7</v>
      </c>
      <c r="J1152" s="1">
        <v>24</v>
      </c>
      <c r="K1152" s="1" t="str">
        <f>TEXT(BBDD_Usiarios_Netflix[[#This Row],[Fecha Suscripción]],"dddd")</f>
        <v>viernes</v>
      </c>
      <c r="L1152" s="1">
        <f>DATEVALUE(_xlfn.CONCAT(BBDD_Usiarios_Netflix[[#This Row],[Día Último Pago]],"/",BBDD_Usiarios_Netflix[[#This Row],[Mes Último Pago]],"/",BBDD_Usiarios_Netflix[[#This Row],[Año Último Pago]]))</f>
        <v>45474</v>
      </c>
      <c r="M1152" s="4">
        <f>DATEDIF(BBDD_Usiarios_Netflix[[#This Row],[Fecha Suscripción]],BBDD_Usiarios_Netflix[[#This Row],[Fecha Último Pago]],"M")+1</f>
        <v>13</v>
      </c>
      <c r="N1152" s="4">
        <f>BBDD_Usiarios_Netflix[[#This Row],[Ingresos Mensuales]]*BBDD_Usiarios_Netflix[[#This Row],[Meses contratados]]</f>
        <v>182</v>
      </c>
      <c r="O1152" t="s">
        <v>45</v>
      </c>
      <c r="P1152" t="str">
        <f>IF(BBDD_Usiarios_Netflix[[#This Row],[País]]="","Desconocido",BBDD_Usiarios_Netflix[[#This Row],[País]])</f>
        <v>España</v>
      </c>
      <c r="Q1152">
        <v>43</v>
      </c>
      <c r="R1152" t="s">
        <v>25</v>
      </c>
      <c r="S1152" t="s">
        <v>36</v>
      </c>
      <c r="T1152" t="s">
        <v>27</v>
      </c>
      <c r="U1152">
        <f>IF(IFERROR(VLOOKUP(BBDD_Usiarios_Netflix[[#This Row],[Identificador Usuario]],A1153:$A$5870,1,FALSE),0)&lt;&gt;0,1,0)</f>
        <v>0</v>
      </c>
      <c r="V1152" s="6" t="str">
        <f>IF(BBDD_Usiarios_Netflix[[#This Row],[Duración Plan]]="12 Meses",LEFT(BBDD_Usiarios_Netflix[[#This Row],[Duración Plan]],2),LEFT(BBDD_Usiarios_Netflix[[#This Row],[Duración Plan]],1))</f>
        <v>1</v>
      </c>
      <c r="W11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53" spans="1:23" x14ac:dyDescent="0.25">
      <c r="A1153">
        <v>1152</v>
      </c>
      <c r="B1153" t="s">
        <v>23</v>
      </c>
      <c r="C1153">
        <v>10</v>
      </c>
      <c r="D1153" s="3">
        <v>29</v>
      </c>
      <c r="E1153" s="3">
        <v>6</v>
      </c>
      <c r="F1153">
        <v>23</v>
      </c>
      <c r="G1153" s="1">
        <f>DATEVALUE(_xlfn.CONCAT(BBDD_Usiarios_Netflix[[#This Row],[Día Suscripción]],"/",BBDD_Usiarios_Netflix[[#This Row],[Mes Suscripción]],"/",BBDD_Usiarios_Netflix[[#This Row],[Año Suscripción]]))</f>
        <v>45106</v>
      </c>
      <c r="H1153" s="1">
        <v>2</v>
      </c>
      <c r="I1153" s="1">
        <v>7</v>
      </c>
      <c r="J1153" s="1">
        <v>24</v>
      </c>
      <c r="K1153" s="1" t="str">
        <f>TEXT(BBDD_Usiarios_Netflix[[#This Row],[Fecha Suscripción]],"dddd")</f>
        <v>jueves</v>
      </c>
      <c r="L1153" s="1">
        <f>DATEVALUE(_xlfn.CONCAT(BBDD_Usiarios_Netflix[[#This Row],[Día Último Pago]],"/",BBDD_Usiarios_Netflix[[#This Row],[Mes Último Pago]],"/",BBDD_Usiarios_Netflix[[#This Row],[Año Último Pago]]))</f>
        <v>45475</v>
      </c>
      <c r="M1153" s="4">
        <f>DATEDIF(BBDD_Usiarios_Netflix[[#This Row],[Fecha Suscripción]],BBDD_Usiarios_Netflix[[#This Row],[Fecha Último Pago]],"M")+1</f>
        <v>13</v>
      </c>
      <c r="N1153" s="4">
        <f>BBDD_Usiarios_Netflix[[#This Row],[Ingresos Mensuales]]*BBDD_Usiarios_Netflix[[#This Row],[Meses contratados]]</f>
        <v>130</v>
      </c>
      <c r="O1153" t="s">
        <v>29</v>
      </c>
      <c r="P1153" t="str">
        <f>IF(BBDD_Usiarios_Netflix[[#This Row],[País]]="","Desconocido",BBDD_Usiarios_Netflix[[#This Row],[País]])</f>
        <v>EEUU</v>
      </c>
      <c r="Q1153">
        <v>29</v>
      </c>
      <c r="R1153" t="s">
        <v>25</v>
      </c>
      <c r="S1153" t="s">
        <v>26</v>
      </c>
      <c r="T1153" t="s">
        <v>35</v>
      </c>
      <c r="U1153">
        <f>IF(IFERROR(VLOOKUP(BBDD_Usiarios_Netflix[[#This Row],[Identificador Usuario]],A1154:$A$5870,1,FALSE),0)&lt;&gt;0,1,0)</f>
        <v>0</v>
      </c>
      <c r="V1153" s="6" t="str">
        <f>IF(BBDD_Usiarios_Netflix[[#This Row],[Duración Plan]]="12 Meses",LEFT(BBDD_Usiarios_Netflix[[#This Row],[Duración Plan]],2),LEFT(BBDD_Usiarios_Netflix[[#This Row],[Duración Plan]],1))</f>
        <v>6</v>
      </c>
      <c r="W11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54" spans="1:23" x14ac:dyDescent="0.25">
      <c r="A1154">
        <v>1153</v>
      </c>
      <c r="B1154" t="s">
        <v>32</v>
      </c>
      <c r="C1154">
        <v>12</v>
      </c>
      <c r="D1154" s="3">
        <v>29</v>
      </c>
      <c r="E1154" s="3">
        <v>6</v>
      </c>
      <c r="F1154">
        <v>23</v>
      </c>
      <c r="G1154" s="1">
        <f>DATEVALUE(_xlfn.CONCAT(BBDD_Usiarios_Netflix[[#This Row],[Día Suscripción]],"/",BBDD_Usiarios_Netflix[[#This Row],[Mes Suscripción]],"/",BBDD_Usiarios_Netflix[[#This Row],[Año Suscripción]]))</f>
        <v>45106</v>
      </c>
      <c r="H1154" s="1">
        <v>3</v>
      </c>
      <c r="I1154" s="1">
        <v>7</v>
      </c>
      <c r="J1154" s="1">
        <v>24</v>
      </c>
      <c r="K1154" s="1" t="str">
        <f>TEXT(BBDD_Usiarios_Netflix[[#This Row],[Fecha Suscripción]],"dddd")</f>
        <v>jueves</v>
      </c>
      <c r="L1154" s="1">
        <f>DATEVALUE(_xlfn.CONCAT(BBDD_Usiarios_Netflix[[#This Row],[Día Último Pago]],"/",BBDD_Usiarios_Netflix[[#This Row],[Mes Último Pago]],"/",BBDD_Usiarios_Netflix[[#This Row],[Año Último Pago]]))</f>
        <v>45476</v>
      </c>
      <c r="M1154" s="4">
        <f>DATEDIF(BBDD_Usiarios_Netflix[[#This Row],[Fecha Suscripción]],BBDD_Usiarios_Netflix[[#This Row],[Fecha Último Pago]],"M")+1</f>
        <v>13</v>
      </c>
      <c r="N1154" s="4">
        <f>BBDD_Usiarios_Netflix[[#This Row],[Ingresos Mensuales]]*BBDD_Usiarios_Netflix[[#This Row],[Meses contratados]]</f>
        <v>156</v>
      </c>
      <c r="O1154" t="s">
        <v>42</v>
      </c>
      <c r="P1154" t="str">
        <f>IF(BBDD_Usiarios_Netflix[[#This Row],[País]]="","Desconocido",BBDD_Usiarios_Netflix[[#This Row],[País]])</f>
        <v>Reino Unido</v>
      </c>
      <c r="Q1154">
        <v>32</v>
      </c>
      <c r="R1154" t="s">
        <v>30</v>
      </c>
      <c r="S1154" t="s">
        <v>36</v>
      </c>
      <c r="T1154" t="s">
        <v>41</v>
      </c>
      <c r="U1154">
        <f>IF(IFERROR(VLOOKUP(BBDD_Usiarios_Netflix[[#This Row],[Identificador Usuario]],A1155:$A$5870,1,FALSE),0)&lt;&gt;0,1,0)</f>
        <v>0</v>
      </c>
      <c r="V1154" s="6" t="str">
        <f>IF(BBDD_Usiarios_Netflix[[#This Row],[Duración Plan]]="12 Meses",LEFT(BBDD_Usiarios_Netflix[[#This Row],[Duración Plan]],2),LEFT(BBDD_Usiarios_Netflix[[#This Row],[Duración Plan]],1))</f>
        <v>12</v>
      </c>
      <c r="W11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55" spans="1:23" x14ac:dyDescent="0.25">
      <c r="A1155">
        <v>1154</v>
      </c>
      <c r="B1155" t="s">
        <v>28</v>
      </c>
      <c r="C1155">
        <v>14</v>
      </c>
      <c r="D1155" s="3">
        <v>30</v>
      </c>
      <c r="E1155" s="3">
        <v>6</v>
      </c>
      <c r="F1155">
        <v>23</v>
      </c>
      <c r="G1155" s="1">
        <f>DATEVALUE(_xlfn.CONCAT(BBDD_Usiarios_Netflix[[#This Row],[Día Suscripción]],"/",BBDD_Usiarios_Netflix[[#This Row],[Mes Suscripción]],"/",BBDD_Usiarios_Netflix[[#This Row],[Año Suscripción]]))</f>
        <v>45107</v>
      </c>
      <c r="H1155" s="1">
        <v>3</v>
      </c>
      <c r="I1155" s="1">
        <v>7</v>
      </c>
      <c r="J1155" s="1">
        <v>24</v>
      </c>
      <c r="K1155" s="1" t="str">
        <f>TEXT(BBDD_Usiarios_Netflix[[#This Row],[Fecha Suscripción]],"dddd")</f>
        <v>viernes</v>
      </c>
      <c r="L1155" s="1">
        <f>DATEVALUE(_xlfn.CONCAT(BBDD_Usiarios_Netflix[[#This Row],[Día Último Pago]],"/",BBDD_Usiarios_Netflix[[#This Row],[Mes Último Pago]],"/",BBDD_Usiarios_Netflix[[#This Row],[Año Último Pago]]))</f>
        <v>45476</v>
      </c>
      <c r="M1155" s="4">
        <f>DATEDIF(BBDD_Usiarios_Netflix[[#This Row],[Fecha Suscripción]],BBDD_Usiarios_Netflix[[#This Row],[Fecha Último Pago]],"M")+1</f>
        <v>13</v>
      </c>
      <c r="N1155" s="4">
        <f>BBDD_Usiarios_Netflix[[#This Row],[Ingresos Mensuales]]*BBDD_Usiarios_Netflix[[#This Row],[Meses contratados]]</f>
        <v>182</v>
      </c>
      <c r="O1155" t="s">
        <v>43</v>
      </c>
      <c r="P1155" t="str">
        <f>IF(BBDD_Usiarios_Netflix[[#This Row],[País]]="","Desconocido",BBDD_Usiarios_Netflix[[#This Row],[País]])</f>
        <v>Alemania</v>
      </c>
      <c r="Q1155">
        <v>32</v>
      </c>
      <c r="R1155" t="s">
        <v>30</v>
      </c>
      <c r="S1155" t="s">
        <v>36</v>
      </c>
      <c r="T1155" t="s">
        <v>27</v>
      </c>
      <c r="U1155">
        <f>IF(IFERROR(VLOOKUP(BBDD_Usiarios_Netflix[[#This Row],[Identificador Usuario]],A1156:$A$5870,1,FALSE),0)&lt;&gt;0,1,0)</f>
        <v>0</v>
      </c>
      <c r="V1155" s="6" t="str">
        <f>IF(BBDD_Usiarios_Netflix[[#This Row],[Duración Plan]]="12 Meses",LEFT(BBDD_Usiarios_Netflix[[#This Row],[Duración Plan]],2),LEFT(BBDD_Usiarios_Netflix[[#This Row],[Duración Plan]],1))</f>
        <v>1</v>
      </c>
      <c r="W11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56" spans="1:23" x14ac:dyDescent="0.25">
      <c r="A1156">
        <v>1155</v>
      </c>
      <c r="B1156" t="s">
        <v>23</v>
      </c>
      <c r="C1156">
        <v>10</v>
      </c>
      <c r="D1156" s="3">
        <v>30</v>
      </c>
      <c r="E1156" s="3">
        <v>6</v>
      </c>
      <c r="F1156">
        <v>23</v>
      </c>
      <c r="G1156" s="1">
        <f>DATEVALUE(_xlfn.CONCAT(BBDD_Usiarios_Netflix[[#This Row],[Día Suscripción]],"/",BBDD_Usiarios_Netflix[[#This Row],[Mes Suscripción]],"/",BBDD_Usiarios_Netflix[[#This Row],[Año Suscripción]]))</f>
        <v>45107</v>
      </c>
      <c r="H1156" s="1">
        <v>30</v>
      </c>
      <c r="I1156" s="1">
        <v>6</v>
      </c>
      <c r="J1156" s="1">
        <v>24</v>
      </c>
      <c r="K1156" s="1" t="str">
        <f>TEXT(BBDD_Usiarios_Netflix[[#This Row],[Fecha Suscripción]],"dddd")</f>
        <v>viernes</v>
      </c>
      <c r="L1156" s="1">
        <f>DATEVALUE(_xlfn.CONCAT(BBDD_Usiarios_Netflix[[#This Row],[Día Último Pago]],"/",BBDD_Usiarios_Netflix[[#This Row],[Mes Último Pago]],"/",BBDD_Usiarios_Netflix[[#This Row],[Año Último Pago]]))</f>
        <v>45473</v>
      </c>
      <c r="M1156" s="4">
        <f>DATEDIF(BBDD_Usiarios_Netflix[[#This Row],[Fecha Suscripción]],BBDD_Usiarios_Netflix[[#This Row],[Fecha Último Pago]],"M")+1</f>
        <v>13</v>
      </c>
      <c r="N1156" s="4">
        <f>BBDD_Usiarios_Netflix[[#This Row],[Ingresos Mensuales]]*BBDD_Usiarios_Netflix[[#This Row],[Meses contratados]]</f>
        <v>130</v>
      </c>
      <c r="O1156" t="s">
        <v>40</v>
      </c>
      <c r="P1156" t="str">
        <f>IF(BBDD_Usiarios_Netflix[[#This Row],[País]]="","Desconocido",BBDD_Usiarios_Netflix[[#This Row],[País]])</f>
        <v>Italia</v>
      </c>
      <c r="Q1156">
        <v>49</v>
      </c>
      <c r="R1156" t="s">
        <v>30</v>
      </c>
      <c r="S1156" t="s">
        <v>36</v>
      </c>
      <c r="T1156" t="s">
        <v>27</v>
      </c>
      <c r="U1156">
        <f>IF(IFERROR(VLOOKUP(BBDD_Usiarios_Netflix[[#This Row],[Identificador Usuario]],A1157:$A$5870,1,FALSE),0)&lt;&gt;0,1,0)</f>
        <v>0</v>
      </c>
      <c r="V1156" s="6" t="str">
        <f>IF(BBDD_Usiarios_Netflix[[#This Row],[Duración Plan]]="12 Meses",LEFT(BBDD_Usiarios_Netflix[[#This Row],[Duración Plan]],2),LEFT(BBDD_Usiarios_Netflix[[#This Row],[Duración Plan]],1))</f>
        <v>1</v>
      </c>
      <c r="W11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57" spans="1:23" x14ac:dyDescent="0.25">
      <c r="A1157">
        <v>1156</v>
      </c>
      <c r="B1157" t="s">
        <v>28</v>
      </c>
      <c r="C1157">
        <v>14</v>
      </c>
      <c r="D1157" s="3">
        <v>26</v>
      </c>
      <c r="E1157" s="3">
        <v>6</v>
      </c>
      <c r="F1157">
        <v>23</v>
      </c>
      <c r="G1157" s="1">
        <f>DATEVALUE(_xlfn.CONCAT(BBDD_Usiarios_Netflix[[#This Row],[Día Suscripción]],"/",BBDD_Usiarios_Netflix[[#This Row],[Mes Suscripción]],"/",BBDD_Usiarios_Netflix[[#This Row],[Año Suscripción]]))</f>
        <v>45103</v>
      </c>
      <c r="H1157" s="1">
        <v>2</v>
      </c>
      <c r="I1157" s="1">
        <v>7</v>
      </c>
      <c r="J1157" s="1">
        <v>24</v>
      </c>
      <c r="K1157" s="1" t="str">
        <f>TEXT(BBDD_Usiarios_Netflix[[#This Row],[Fecha Suscripción]],"dddd")</f>
        <v>lunes</v>
      </c>
      <c r="L1157" s="1">
        <f>DATEVALUE(_xlfn.CONCAT(BBDD_Usiarios_Netflix[[#This Row],[Día Último Pago]],"/",BBDD_Usiarios_Netflix[[#This Row],[Mes Último Pago]],"/",BBDD_Usiarios_Netflix[[#This Row],[Año Último Pago]]))</f>
        <v>45475</v>
      </c>
      <c r="M1157" s="4">
        <f>DATEDIF(BBDD_Usiarios_Netflix[[#This Row],[Fecha Suscripción]],BBDD_Usiarios_Netflix[[#This Row],[Fecha Último Pago]],"M")+1</f>
        <v>13</v>
      </c>
      <c r="N1157" s="4">
        <f>BBDD_Usiarios_Netflix[[#This Row],[Ingresos Mensuales]]*BBDD_Usiarios_Netflix[[#This Row],[Meses contratados]]</f>
        <v>182</v>
      </c>
      <c r="O1157" t="s">
        <v>37</v>
      </c>
      <c r="P1157" t="str">
        <f>IF(BBDD_Usiarios_Netflix[[#This Row],[País]]="","Desconocido",BBDD_Usiarios_Netflix[[#This Row],[País]])</f>
        <v>Brasil</v>
      </c>
      <c r="Q1157">
        <v>51</v>
      </c>
      <c r="R1157" t="s">
        <v>30</v>
      </c>
      <c r="S1157" t="s">
        <v>36</v>
      </c>
      <c r="T1157" t="s">
        <v>41</v>
      </c>
      <c r="U1157">
        <f>IF(IFERROR(VLOOKUP(BBDD_Usiarios_Netflix[[#This Row],[Identificador Usuario]],A1158:$A$5870,1,FALSE),0)&lt;&gt;0,1,0)</f>
        <v>0</v>
      </c>
      <c r="V1157" s="6" t="str">
        <f>IF(BBDD_Usiarios_Netflix[[#This Row],[Duración Plan]]="12 Meses",LEFT(BBDD_Usiarios_Netflix[[#This Row],[Duración Plan]],2),LEFT(BBDD_Usiarios_Netflix[[#This Row],[Duración Plan]],1))</f>
        <v>12</v>
      </c>
      <c r="W11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58" spans="1:23" x14ac:dyDescent="0.25">
      <c r="A1158">
        <v>1157</v>
      </c>
      <c r="B1158" t="s">
        <v>23</v>
      </c>
      <c r="C1158">
        <v>10</v>
      </c>
      <c r="D1158" s="3">
        <v>27</v>
      </c>
      <c r="E1158" s="3">
        <v>6</v>
      </c>
      <c r="F1158">
        <v>23</v>
      </c>
      <c r="G1158" s="1">
        <f>DATEVALUE(_xlfn.CONCAT(BBDD_Usiarios_Netflix[[#This Row],[Día Suscripción]],"/",BBDD_Usiarios_Netflix[[#This Row],[Mes Suscripción]],"/",BBDD_Usiarios_Netflix[[#This Row],[Año Suscripción]]))</f>
        <v>45104</v>
      </c>
      <c r="H1158" s="1">
        <v>3</v>
      </c>
      <c r="I1158" s="1">
        <v>7</v>
      </c>
      <c r="J1158" s="1">
        <v>24</v>
      </c>
      <c r="K1158" s="1" t="str">
        <f>TEXT(BBDD_Usiarios_Netflix[[#This Row],[Fecha Suscripción]],"dddd")</f>
        <v>martes</v>
      </c>
      <c r="L1158" s="1">
        <f>DATEVALUE(_xlfn.CONCAT(BBDD_Usiarios_Netflix[[#This Row],[Día Último Pago]],"/",BBDD_Usiarios_Netflix[[#This Row],[Mes Último Pago]],"/",BBDD_Usiarios_Netflix[[#This Row],[Año Último Pago]]))</f>
        <v>45476</v>
      </c>
      <c r="M1158" s="4">
        <f>DATEDIF(BBDD_Usiarios_Netflix[[#This Row],[Fecha Suscripción]],BBDD_Usiarios_Netflix[[#This Row],[Fecha Último Pago]],"M")+1</f>
        <v>13</v>
      </c>
      <c r="N1158" s="4">
        <f>BBDD_Usiarios_Netflix[[#This Row],[Ingresos Mensuales]]*BBDD_Usiarios_Netflix[[#This Row],[Meses contratados]]</f>
        <v>130</v>
      </c>
      <c r="O1158" t="s">
        <v>33</v>
      </c>
      <c r="P1158" t="str">
        <f>IF(BBDD_Usiarios_Netflix[[#This Row],[País]]="","Desconocido",BBDD_Usiarios_Netflix[[#This Row],[País]])</f>
        <v>Francia</v>
      </c>
      <c r="Q1158">
        <v>32</v>
      </c>
      <c r="R1158" t="s">
        <v>25</v>
      </c>
      <c r="S1158" t="s">
        <v>34</v>
      </c>
      <c r="T1158" t="s">
        <v>27</v>
      </c>
      <c r="U1158">
        <f>IF(IFERROR(VLOOKUP(BBDD_Usiarios_Netflix[[#This Row],[Identificador Usuario]],A1159:$A$5870,1,FALSE),0)&lt;&gt;0,1,0)</f>
        <v>0</v>
      </c>
      <c r="V1158" s="6" t="str">
        <f>IF(BBDD_Usiarios_Netflix[[#This Row],[Duración Plan]]="12 Meses",LEFT(BBDD_Usiarios_Netflix[[#This Row],[Duración Plan]],2),LEFT(BBDD_Usiarios_Netflix[[#This Row],[Duración Plan]],1))</f>
        <v>1</v>
      </c>
      <c r="W11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59" spans="1:23" x14ac:dyDescent="0.25">
      <c r="A1159">
        <v>1158</v>
      </c>
      <c r="B1159" t="s">
        <v>32</v>
      </c>
      <c r="C1159">
        <v>12</v>
      </c>
      <c r="D1159" s="3">
        <v>25</v>
      </c>
      <c r="E1159" s="3">
        <v>6</v>
      </c>
      <c r="F1159">
        <v>23</v>
      </c>
      <c r="G1159" s="1">
        <f>DATEVALUE(_xlfn.CONCAT(BBDD_Usiarios_Netflix[[#This Row],[Día Suscripción]],"/",BBDD_Usiarios_Netflix[[#This Row],[Mes Suscripción]],"/",BBDD_Usiarios_Netflix[[#This Row],[Año Suscripción]]))</f>
        <v>45102</v>
      </c>
      <c r="H1159" s="1">
        <v>2</v>
      </c>
      <c r="I1159" s="1">
        <v>7</v>
      </c>
      <c r="J1159" s="1">
        <v>24</v>
      </c>
      <c r="K1159" s="1" t="str">
        <f>TEXT(BBDD_Usiarios_Netflix[[#This Row],[Fecha Suscripción]],"dddd")</f>
        <v>domingo</v>
      </c>
      <c r="L1159" s="1">
        <f>DATEVALUE(_xlfn.CONCAT(BBDD_Usiarios_Netflix[[#This Row],[Día Último Pago]],"/",BBDD_Usiarios_Netflix[[#This Row],[Mes Último Pago]],"/",BBDD_Usiarios_Netflix[[#This Row],[Año Último Pago]]))</f>
        <v>45475</v>
      </c>
      <c r="M1159" s="4">
        <f>DATEDIF(BBDD_Usiarios_Netflix[[#This Row],[Fecha Suscripción]],BBDD_Usiarios_Netflix[[#This Row],[Fecha Último Pago]],"M")+1</f>
        <v>13</v>
      </c>
      <c r="N1159" s="4">
        <f>BBDD_Usiarios_Netflix[[#This Row],[Ingresos Mensuales]]*BBDD_Usiarios_Netflix[[#This Row],[Meses contratados]]</f>
        <v>156</v>
      </c>
      <c r="O1159" t="s">
        <v>39</v>
      </c>
      <c r="P1159" t="str">
        <f>IF(BBDD_Usiarios_Netflix[[#This Row],[País]]="","Desconocido",BBDD_Usiarios_Netflix[[#This Row],[País]])</f>
        <v>Canadá</v>
      </c>
      <c r="Q1159">
        <v>35</v>
      </c>
      <c r="R1159" t="s">
        <v>30</v>
      </c>
      <c r="S1159" t="s">
        <v>34</v>
      </c>
      <c r="T1159" t="s">
        <v>38</v>
      </c>
      <c r="U1159">
        <f>IF(IFERROR(VLOOKUP(BBDD_Usiarios_Netflix[[#This Row],[Identificador Usuario]],A1160:$A$5870,1,FALSE),0)&lt;&gt;0,1,0)</f>
        <v>0</v>
      </c>
      <c r="V1159" s="6" t="str">
        <f>IF(BBDD_Usiarios_Netflix[[#This Row],[Duración Plan]]="12 Meses",LEFT(BBDD_Usiarios_Netflix[[#This Row],[Duración Plan]],2),LEFT(BBDD_Usiarios_Netflix[[#This Row],[Duración Plan]],1))</f>
        <v>3</v>
      </c>
      <c r="W11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60" spans="1:23" x14ac:dyDescent="0.25">
      <c r="A1160">
        <v>1159</v>
      </c>
      <c r="B1160" t="s">
        <v>32</v>
      </c>
      <c r="C1160">
        <v>12</v>
      </c>
      <c r="D1160" s="3">
        <v>25</v>
      </c>
      <c r="E1160" s="3">
        <v>6</v>
      </c>
      <c r="F1160">
        <v>23</v>
      </c>
      <c r="G1160" s="1">
        <f>DATEVALUE(_xlfn.CONCAT(BBDD_Usiarios_Netflix[[#This Row],[Día Suscripción]],"/",BBDD_Usiarios_Netflix[[#This Row],[Mes Suscripción]],"/",BBDD_Usiarios_Netflix[[#This Row],[Año Suscripción]]))</f>
        <v>45102</v>
      </c>
      <c r="H1160" s="1">
        <v>1</v>
      </c>
      <c r="I1160" s="1">
        <v>7</v>
      </c>
      <c r="J1160" s="1">
        <v>24</v>
      </c>
      <c r="K1160" s="1" t="str">
        <f>TEXT(BBDD_Usiarios_Netflix[[#This Row],[Fecha Suscripción]],"dddd")</f>
        <v>domingo</v>
      </c>
      <c r="L1160" s="1">
        <f>DATEVALUE(_xlfn.CONCAT(BBDD_Usiarios_Netflix[[#This Row],[Día Último Pago]],"/",BBDD_Usiarios_Netflix[[#This Row],[Mes Último Pago]],"/",BBDD_Usiarios_Netflix[[#This Row],[Año Último Pago]]))</f>
        <v>45474</v>
      </c>
      <c r="M1160" s="4">
        <f>DATEDIF(BBDD_Usiarios_Netflix[[#This Row],[Fecha Suscripción]],BBDD_Usiarios_Netflix[[#This Row],[Fecha Último Pago]],"M")+1</f>
        <v>13</v>
      </c>
      <c r="N1160" s="4">
        <f>BBDD_Usiarios_Netflix[[#This Row],[Ingresos Mensuales]]*BBDD_Usiarios_Netflix[[#This Row],[Meses contratados]]</f>
        <v>156</v>
      </c>
      <c r="O1160" t="s">
        <v>33</v>
      </c>
      <c r="P1160" t="str">
        <f>IF(BBDD_Usiarios_Netflix[[#This Row],[País]]="","Desconocido",BBDD_Usiarios_Netflix[[#This Row],[País]])</f>
        <v>Francia</v>
      </c>
      <c r="Q1160">
        <v>41</v>
      </c>
      <c r="R1160" t="s">
        <v>25</v>
      </c>
      <c r="S1160" t="s">
        <v>36</v>
      </c>
      <c r="T1160" t="s">
        <v>38</v>
      </c>
      <c r="U1160">
        <f>IF(IFERROR(VLOOKUP(BBDD_Usiarios_Netflix[[#This Row],[Identificador Usuario]],A1161:$A$5870,1,FALSE),0)&lt;&gt;0,1,0)</f>
        <v>0</v>
      </c>
      <c r="V1160" s="6" t="str">
        <f>IF(BBDD_Usiarios_Netflix[[#This Row],[Duración Plan]]="12 Meses",LEFT(BBDD_Usiarios_Netflix[[#This Row],[Duración Plan]],2),LEFT(BBDD_Usiarios_Netflix[[#This Row],[Duración Plan]],1))</f>
        <v>3</v>
      </c>
      <c r="W11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61" spans="1:23" x14ac:dyDescent="0.25">
      <c r="A1161">
        <v>1160</v>
      </c>
      <c r="B1161" t="s">
        <v>23</v>
      </c>
      <c r="C1161">
        <v>10</v>
      </c>
      <c r="D1161" s="3">
        <v>20</v>
      </c>
      <c r="E1161" s="3">
        <v>6</v>
      </c>
      <c r="F1161">
        <v>23</v>
      </c>
      <c r="G1161" s="1">
        <f>DATEVALUE(_xlfn.CONCAT(BBDD_Usiarios_Netflix[[#This Row],[Día Suscripción]],"/",BBDD_Usiarios_Netflix[[#This Row],[Mes Suscripción]],"/",BBDD_Usiarios_Netflix[[#This Row],[Año Suscripción]]))</f>
        <v>45097</v>
      </c>
      <c r="H1161" s="1">
        <v>3</v>
      </c>
      <c r="I1161" s="1">
        <v>7</v>
      </c>
      <c r="J1161" s="1">
        <v>24</v>
      </c>
      <c r="K1161" s="1" t="str">
        <f>TEXT(BBDD_Usiarios_Netflix[[#This Row],[Fecha Suscripción]],"dddd")</f>
        <v>martes</v>
      </c>
      <c r="L1161" s="1">
        <f>DATEVALUE(_xlfn.CONCAT(BBDD_Usiarios_Netflix[[#This Row],[Día Último Pago]],"/",BBDD_Usiarios_Netflix[[#This Row],[Mes Último Pago]],"/",BBDD_Usiarios_Netflix[[#This Row],[Año Último Pago]]))</f>
        <v>45476</v>
      </c>
      <c r="M1161" s="4">
        <f>DATEDIF(BBDD_Usiarios_Netflix[[#This Row],[Fecha Suscripción]],BBDD_Usiarios_Netflix[[#This Row],[Fecha Último Pago]],"M")+1</f>
        <v>13</v>
      </c>
      <c r="N1161" s="4">
        <f>BBDD_Usiarios_Netflix[[#This Row],[Ingresos Mensuales]]*BBDD_Usiarios_Netflix[[#This Row],[Meses contratados]]</f>
        <v>130</v>
      </c>
      <c r="O1161" t="s">
        <v>44</v>
      </c>
      <c r="P1161" t="str">
        <f>IF(BBDD_Usiarios_Netflix[[#This Row],[País]]="","Desconocido",BBDD_Usiarios_Netflix[[#This Row],[País]])</f>
        <v>Desconocido</v>
      </c>
      <c r="Q1161">
        <v>43</v>
      </c>
      <c r="R1161" t="s">
        <v>30</v>
      </c>
      <c r="S1161" t="s">
        <v>34</v>
      </c>
      <c r="T1161" t="s">
        <v>35</v>
      </c>
      <c r="U1161">
        <f>IF(IFERROR(VLOOKUP(BBDD_Usiarios_Netflix[[#This Row],[Identificador Usuario]],A1162:$A$5870,1,FALSE),0)&lt;&gt;0,1,0)</f>
        <v>0</v>
      </c>
      <c r="V1161" s="6" t="str">
        <f>IF(BBDD_Usiarios_Netflix[[#This Row],[Duración Plan]]="12 Meses",LEFT(BBDD_Usiarios_Netflix[[#This Row],[Duración Plan]],2),LEFT(BBDD_Usiarios_Netflix[[#This Row],[Duración Plan]],1))</f>
        <v>6</v>
      </c>
      <c r="W11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62" spans="1:23" x14ac:dyDescent="0.25">
      <c r="A1162">
        <v>1161</v>
      </c>
      <c r="B1162" t="s">
        <v>28</v>
      </c>
      <c r="C1162">
        <v>14</v>
      </c>
      <c r="D1162" s="3">
        <v>21</v>
      </c>
      <c r="E1162" s="3">
        <v>6</v>
      </c>
      <c r="F1162">
        <v>23</v>
      </c>
      <c r="G1162" s="1">
        <f>DATEVALUE(_xlfn.CONCAT(BBDD_Usiarios_Netflix[[#This Row],[Día Suscripción]],"/",BBDD_Usiarios_Netflix[[#This Row],[Mes Suscripción]],"/",BBDD_Usiarios_Netflix[[#This Row],[Año Suscripción]]))</f>
        <v>45098</v>
      </c>
      <c r="H1162" s="1">
        <v>3</v>
      </c>
      <c r="I1162" s="1">
        <v>7</v>
      </c>
      <c r="J1162" s="1">
        <v>24</v>
      </c>
      <c r="K1162" s="1" t="str">
        <f>TEXT(BBDD_Usiarios_Netflix[[#This Row],[Fecha Suscripción]],"dddd")</f>
        <v>miércoles</v>
      </c>
      <c r="L1162" s="1">
        <f>DATEVALUE(_xlfn.CONCAT(BBDD_Usiarios_Netflix[[#This Row],[Día Último Pago]],"/",BBDD_Usiarios_Netflix[[#This Row],[Mes Último Pago]],"/",BBDD_Usiarios_Netflix[[#This Row],[Año Último Pago]]))</f>
        <v>45476</v>
      </c>
      <c r="M1162" s="4">
        <f>DATEDIF(BBDD_Usiarios_Netflix[[#This Row],[Fecha Suscripción]],BBDD_Usiarios_Netflix[[#This Row],[Fecha Último Pago]],"M")+1</f>
        <v>13</v>
      </c>
      <c r="N1162" s="4">
        <f>BBDD_Usiarios_Netflix[[#This Row],[Ingresos Mensuales]]*BBDD_Usiarios_Netflix[[#This Row],[Meses contratados]]</f>
        <v>182</v>
      </c>
      <c r="O1162" t="s">
        <v>42</v>
      </c>
      <c r="P1162" t="str">
        <f>IF(BBDD_Usiarios_Netflix[[#This Row],[País]]="","Desconocido",BBDD_Usiarios_Netflix[[#This Row],[País]])</f>
        <v>Reino Unido</v>
      </c>
      <c r="Q1162">
        <v>41</v>
      </c>
      <c r="R1162" t="s">
        <v>25</v>
      </c>
      <c r="S1162" t="s">
        <v>26</v>
      </c>
      <c r="T1162" t="s">
        <v>27</v>
      </c>
      <c r="U1162">
        <f>IF(IFERROR(VLOOKUP(BBDD_Usiarios_Netflix[[#This Row],[Identificador Usuario]],A1163:$A$5870,1,FALSE),0)&lt;&gt;0,1,0)</f>
        <v>0</v>
      </c>
      <c r="V1162" s="6" t="str">
        <f>IF(BBDD_Usiarios_Netflix[[#This Row],[Duración Plan]]="12 Meses",LEFT(BBDD_Usiarios_Netflix[[#This Row],[Duración Plan]],2),LEFT(BBDD_Usiarios_Netflix[[#This Row],[Duración Plan]],1))</f>
        <v>1</v>
      </c>
      <c r="W11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63" spans="1:23" x14ac:dyDescent="0.25">
      <c r="A1163">
        <v>1162</v>
      </c>
      <c r="B1163" t="s">
        <v>23</v>
      </c>
      <c r="C1163">
        <v>10</v>
      </c>
      <c r="D1163" s="3">
        <v>21</v>
      </c>
      <c r="E1163" s="3">
        <v>6</v>
      </c>
      <c r="F1163">
        <v>23</v>
      </c>
      <c r="G1163" s="1">
        <f>DATEVALUE(_xlfn.CONCAT(BBDD_Usiarios_Netflix[[#This Row],[Día Suscripción]],"/",BBDD_Usiarios_Netflix[[#This Row],[Mes Suscripción]],"/",BBDD_Usiarios_Netflix[[#This Row],[Año Suscripción]]))</f>
        <v>45098</v>
      </c>
      <c r="H1163" s="1">
        <v>2</v>
      </c>
      <c r="I1163" s="1">
        <v>7</v>
      </c>
      <c r="J1163" s="1">
        <v>24</v>
      </c>
      <c r="K1163" s="1" t="str">
        <f>TEXT(BBDD_Usiarios_Netflix[[#This Row],[Fecha Suscripción]],"dddd")</f>
        <v>miércoles</v>
      </c>
      <c r="L1163" s="1">
        <f>DATEVALUE(_xlfn.CONCAT(BBDD_Usiarios_Netflix[[#This Row],[Día Último Pago]],"/",BBDD_Usiarios_Netflix[[#This Row],[Mes Último Pago]],"/",BBDD_Usiarios_Netflix[[#This Row],[Año Último Pago]]))</f>
        <v>45475</v>
      </c>
      <c r="M1163" s="4">
        <f>DATEDIF(BBDD_Usiarios_Netflix[[#This Row],[Fecha Suscripción]],BBDD_Usiarios_Netflix[[#This Row],[Fecha Último Pago]],"M")+1</f>
        <v>13</v>
      </c>
      <c r="N1163" s="4">
        <f>BBDD_Usiarios_Netflix[[#This Row],[Ingresos Mensuales]]*BBDD_Usiarios_Netflix[[#This Row],[Meses contratados]]</f>
        <v>130</v>
      </c>
      <c r="O1163" t="s">
        <v>39</v>
      </c>
      <c r="P1163" t="str">
        <f>IF(BBDD_Usiarios_Netflix[[#This Row],[País]]="","Desconocido",BBDD_Usiarios_Netflix[[#This Row],[País]])</f>
        <v>Canadá</v>
      </c>
      <c r="Q1163">
        <v>51</v>
      </c>
      <c r="R1163" t="s">
        <v>25</v>
      </c>
      <c r="S1163" t="s">
        <v>34</v>
      </c>
      <c r="T1163" t="s">
        <v>41</v>
      </c>
      <c r="U1163">
        <f>IF(IFERROR(VLOOKUP(BBDD_Usiarios_Netflix[[#This Row],[Identificador Usuario]],A1164:$A$5870,1,FALSE),0)&lt;&gt;0,1,0)</f>
        <v>0</v>
      </c>
      <c r="V1163" s="6" t="str">
        <f>IF(BBDD_Usiarios_Netflix[[#This Row],[Duración Plan]]="12 Meses",LEFT(BBDD_Usiarios_Netflix[[#This Row],[Duración Plan]],2),LEFT(BBDD_Usiarios_Netflix[[#This Row],[Duración Plan]],1))</f>
        <v>12</v>
      </c>
      <c r="W11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64" spans="1:23" x14ac:dyDescent="0.25">
      <c r="A1164">
        <v>1163</v>
      </c>
      <c r="B1164" t="s">
        <v>32</v>
      </c>
      <c r="C1164">
        <v>12</v>
      </c>
      <c r="D1164" s="3">
        <v>22</v>
      </c>
      <c r="E1164" s="3">
        <v>6</v>
      </c>
      <c r="F1164">
        <v>23</v>
      </c>
      <c r="G1164" s="1">
        <f>DATEVALUE(_xlfn.CONCAT(BBDD_Usiarios_Netflix[[#This Row],[Día Suscripción]],"/",BBDD_Usiarios_Netflix[[#This Row],[Mes Suscripción]],"/",BBDD_Usiarios_Netflix[[#This Row],[Año Suscripción]]))</f>
        <v>45099</v>
      </c>
      <c r="H1164" s="1">
        <v>3</v>
      </c>
      <c r="I1164" s="1">
        <v>7</v>
      </c>
      <c r="J1164" s="1">
        <v>24</v>
      </c>
      <c r="K1164" s="1" t="str">
        <f>TEXT(BBDD_Usiarios_Netflix[[#This Row],[Fecha Suscripción]],"dddd")</f>
        <v>jueves</v>
      </c>
      <c r="L1164" s="1">
        <f>DATEVALUE(_xlfn.CONCAT(BBDD_Usiarios_Netflix[[#This Row],[Día Último Pago]],"/",BBDD_Usiarios_Netflix[[#This Row],[Mes Último Pago]],"/",BBDD_Usiarios_Netflix[[#This Row],[Año Último Pago]]))</f>
        <v>45476</v>
      </c>
      <c r="M1164" s="4">
        <f>DATEDIF(BBDD_Usiarios_Netflix[[#This Row],[Fecha Suscripción]],BBDD_Usiarios_Netflix[[#This Row],[Fecha Último Pago]],"M")+1</f>
        <v>13</v>
      </c>
      <c r="N1164" s="4">
        <f>BBDD_Usiarios_Netflix[[#This Row],[Ingresos Mensuales]]*BBDD_Usiarios_Netflix[[#This Row],[Meses contratados]]</f>
        <v>156</v>
      </c>
      <c r="O1164" t="s">
        <v>33</v>
      </c>
      <c r="P1164" t="str">
        <f>IF(BBDD_Usiarios_Netflix[[#This Row],[País]]="","Desconocido",BBDD_Usiarios_Netflix[[#This Row],[País]])</f>
        <v>Francia</v>
      </c>
      <c r="Q1164">
        <v>47</v>
      </c>
      <c r="R1164" t="s">
        <v>30</v>
      </c>
      <c r="S1164" t="s">
        <v>34</v>
      </c>
      <c r="T1164" t="s">
        <v>27</v>
      </c>
      <c r="U1164">
        <f>IF(IFERROR(VLOOKUP(BBDD_Usiarios_Netflix[[#This Row],[Identificador Usuario]],A1165:$A$5870,1,FALSE),0)&lt;&gt;0,1,0)</f>
        <v>0</v>
      </c>
      <c r="V1164" s="6" t="str">
        <f>IF(BBDD_Usiarios_Netflix[[#This Row],[Duración Plan]]="12 Meses",LEFT(BBDD_Usiarios_Netflix[[#This Row],[Duración Plan]],2),LEFT(BBDD_Usiarios_Netflix[[#This Row],[Duración Plan]],1))</f>
        <v>1</v>
      </c>
      <c r="W11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65" spans="1:23" x14ac:dyDescent="0.25">
      <c r="A1165">
        <v>1164</v>
      </c>
      <c r="B1165" t="s">
        <v>28</v>
      </c>
      <c r="C1165">
        <v>14</v>
      </c>
      <c r="D1165" s="3">
        <v>23</v>
      </c>
      <c r="E1165" s="3">
        <v>6</v>
      </c>
      <c r="F1165">
        <v>23</v>
      </c>
      <c r="G1165" s="1">
        <f>DATEVALUE(_xlfn.CONCAT(BBDD_Usiarios_Netflix[[#This Row],[Día Suscripción]],"/",BBDD_Usiarios_Netflix[[#This Row],[Mes Suscripción]],"/",BBDD_Usiarios_Netflix[[#This Row],[Año Suscripción]]))</f>
        <v>45100</v>
      </c>
      <c r="H1165" s="1">
        <v>2</v>
      </c>
      <c r="I1165" s="1">
        <v>7</v>
      </c>
      <c r="J1165" s="1">
        <v>24</v>
      </c>
      <c r="K1165" s="1" t="str">
        <f>TEXT(BBDD_Usiarios_Netflix[[#This Row],[Fecha Suscripción]],"dddd")</f>
        <v>viernes</v>
      </c>
      <c r="L1165" s="1">
        <f>DATEVALUE(_xlfn.CONCAT(BBDD_Usiarios_Netflix[[#This Row],[Día Último Pago]],"/",BBDD_Usiarios_Netflix[[#This Row],[Mes Último Pago]],"/",BBDD_Usiarios_Netflix[[#This Row],[Año Último Pago]]))</f>
        <v>45475</v>
      </c>
      <c r="M1165" s="4">
        <f>DATEDIF(BBDD_Usiarios_Netflix[[#This Row],[Fecha Suscripción]],BBDD_Usiarios_Netflix[[#This Row],[Fecha Último Pago]],"M")+1</f>
        <v>13</v>
      </c>
      <c r="N1165" s="4">
        <f>BBDD_Usiarios_Netflix[[#This Row],[Ingresos Mensuales]]*BBDD_Usiarios_Netflix[[#This Row],[Meses contratados]]</f>
        <v>182</v>
      </c>
      <c r="O1165" t="s">
        <v>29</v>
      </c>
      <c r="P1165" t="str">
        <f>IF(BBDD_Usiarios_Netflix[[#This Row],[País]]="","Desconocido",BBDD_Usiarios_Netflix[[#This Row],[País]])</f>
        <v>EEUU</v>
      </c>
      <c r="Q1165">
        <v>39</v>
      </c>
      <c r="R1165" t="s">
        <v>25</v>
      </c>
      <c r="S1165" t="s">
        <v>34</v>
      </c>
      <c r="T1165" t="s">
        <v>27</v>
      </c>
      <c r="U1165">
        <f>IF(IFERROR(VLOOKUP(BBDD_Usiarios_Netflix[[#This Row],[Identificador Usuario]],A1166:$A$5870,1,FALSE),0)&lt;&gt;0,1,0)</f>
        <v>0</v>
      </c>
      <c r="V1165" s="6" t="str">
        <f>IF(BBDD_Usiarios_Netflix[[#This Row],[Duración Plan]]="12 Meses",LEFT(BBDD_Usiarios_Netflix[[#This Row],[Duración Plan]],2),LEFT(BBDD_Usiarios_Netflix[[#This Row],[Duración Plan]],1))</f>
        <v>1</v>
      </c>
      <c r="W11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66" spans="1:23" x14ac:dyDescent="0.25">
      <c r="A1166">
        <v>1165</v>
      </c>
      <c r="B1166" t="s">
        <v>23</v>
      </c>
      <c r="C1166">
        <v>10</v>
      </c>
      <c r="D1166" s="3">
        <v>27</v>
      </c>
      <c r="E1166" s="3">
        <v>6</v>
      </c>
      <c r="F1166">
        <v>23</v>
      </c>
      <c r="G1166" s="1">
        <f>DATEVALUE(_xlfn.CONCAT(BBDD_Usiarios_Netflix[[#This Row],[Día Suscripción]],"/",BBDD_Usiarios_Netflix[[#This Row],[Mes Suscripción]],"/",BBDD_Usiarios_Netflix[[#This Row],[Año Suscripción]]))</f>
        <v>45104</v>
      </c>
      <c r="H1166" s="1">
        <v>3</v>
      </c>
      <c r="I1166" s="1">
        <v>7</v>
      </c>
      <c r="J1166" s="1">
        <v>24</v>
      </c>
      <c r="K1166" s="1" t="str">
        <f>TEXT(BBDD_Usiarios_Netflix[[#This Row],[Fecha Suscripción]],"dddd")</f>
        <v>martes</v>
      </c>
      <c r="L1166" s="1">
        <f>DATEVALUE(_xlfn.CONCAT(BBDD_Usiarios_Netflix[[#This Row],[Día Último Pago]],"/",BBDD_Usiarios_Netflix[[#This Row],[Mes Último Pago]],"/",BBDD_Usiarios_Netflix[[#This Row],[Año Último Pago]]))</f>
        <v>45476</v>
      </c>
      <c r="M1166" s="4">
        <f>DATEDIF(BBDD_Usiarios_Netflix[[#This Row],[Fecha Suscripción]],BBDD_Usiarios_Netflix[[#This Row],[Fecha Último Pago]],"M")+1</f>
        <v>13</v>
      </c>
      <c r="N1166" s="4">
        <f>BBDD_Usiarios_Netflix[[#This Row],[Ingresos Mensuales]]*BBDD_Usiarios_Netflix[[#This Row],[Meses contratados]]</f>
        <v>130</v>
      </c>
      <c r="O1166" t="s">
        <v>45</v>
      </c>
      <c r="P1166" t="str">
        <f>IF(BBDD_Usiarios_Netflix[[#This Row],[País]]="","Desconocido",BBDD_Usiarios_Netflix[[#This Row],[País]])</f>
        <v>España</v>
      </c>
      <c r="Q1166">
        <v>51</v>
      </c>
      <c r="R1166" t="s">
        <v>25</v>
      </c>
      <c r="S1166" t="s">
        <v>26</v>
      </c>
      <c r="T1166" t="s">
        <v>38</v>
      </c>
      <c r="U1166">
        <f>IF(IFERROR(VLOOKUP(BBDD_Usiarios_Netflix[[#This Row],[Identificador Usuario]],A1167:$A$5870,1,FALSE),0)&lt;&gt;0,1,0)</f>
        <v>0</v>
      </c>
      <c r="V1166" s="6" t="str">
        <f>IF(BBDD_Usiarios_Netflix[[#This Row],[Duración Plan]]="12 Meses",LEFT(BBDD_Usiarios_Netflix[[#This Row],[Duración Plan]],2),LEFT(BBDD_Usiarios_Netflix[[#This Row],[Duración Plan]],1))</f>
        <v>3</v>
      </c>
      <c r="W11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67" spans="1:23" x14ac:dyDescent="0.25">
      <c r="A1167">
        <v>1166</v>
      </c>
      <c r="B1167" t="s">
        <v>28</v>
      </c>
      <c r="C1167">
        <v>14</v>
      </c>
      <c r="D1167" s="3">
        <v>2</v>
      </c>
      <c r="E1167" s="3">
        <v>7</v>
      </c>
      <c r="F1167">
        <v>23</v>
      </c>
      <c r="G1167" s="1">
        <f>DATEVALUE(_xlfn.CONCAT(BBDD_Usiarios_Netflix[[#This Row],[Día Suscripción]],"/",BBDD_Usiarios_Netflix[[#This Row],[Mes Suscripción]],"/",BBDD_Usiarios_Netflix[[#This Row],[Año Suscripción]]))</f>
        <v>45109</v>
      </c>
      <c r="H1167" s="1">
        <v>2</v>
      </c>
      <c r="I1167" s="1">
        <v>7</v>
      </c>
      <c r="J1167" s="1">
        <v>24</v>
      </c>
      <c r="K1167" s="1" t="str">
        <f>TEXT(BBDD_Usiarios_Netflix[[#This Row],[Fecha Suscripción]],"dddd")</f>
        <v>domingo</v>
      </c>
      <c r="L1167" s="1">
        <f>DATEVALUE(_xlfn.CONCAT(BBDD_Usiarios_Netflix[[#This Row],[Día Último Pago]],"/",BBDD_Usiarios_Netflix[[#This Row],[Mes Último Pago]],"/",BBDD_Usiarios_Netflix[[#This Row],[Año Último Pago]]))</f>
        <v>45475</v>
      </c>
      <c r="M1167" s="4">
        <f>DATEDIF(BBDD_Usiarios_Netflix[[#This Row],[Fecha Suscripción]],BBDD_Usiarios_Netflix[[#This Row],[Fecha Último Pago]],"M")+1</f>
        <v>13</v>
      </c>
      <c r="N1167" s="4">
        <f>BBDD_Usiarios_Netflix[[#This Row],[Ingresos Mensuales]]*BBDD_Usiarios_Netflix[[#This Row],[Meses contratados]]</f>
        <v>182</v>
      </c>
      <c r="O1167" t="s">
        <v>45</v>
      </c>
      <c r="P1167" t="str">
        <f>IF(BBDD_Usiarios_Netflix[[#This Row],[País]]="","Desconocido",BBDD_Usiarios_Netflix[[#This Row],[País]])</f>
        <v>España</v>
      </c>
      <c r="Q1167">
        <v>39</v>
      </c>
      <c r="R1167" t="s">
        <v>30</v>
      </c>
      <c r="S1167" t="s">
        <v>31</v>
      </c>
      <c r="T1167" t="s">
        <v>27</v>
      </c>
      <c r="U1167">
        <f>IF(IFERROR(VLOOKUP(BBDD_Usiarios_Netflix[[#This Row],[Identificador Usuario]],A1168:$A$5870,1,FALSE),0)&lt;&gt;0,1,0)</f>
        <v>0</v>
      </c>
      <c r="V1167" s="6" t="str">
        <f>IF(BBDD_Usiarios_Netflix[[#This Row],[Duración Plan]]="12 Meses",LEFT(BBDD_Usiarios_Netflix[[#This Row],[Duración Plan]],2),LEFT(BBDD_Usiarios_Netflix[[#This Row],[Duración Plan]],1))</f>
        <v>1</v>
      </c>
      <c r="W11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68" spans="1:23" x14ac:dyDescent="0.25">
      <c r="A1168">
        <v>1167</v>
      </c>
      <c r="B1168" t="s">
        <v>23</v>
      </c>
      <c r="C1168">
        <v>10</v>
      </c>
      <c r="D1168" s="3">
        <v>3</v>
      </c>
      <c r="E1168" s="3">
        <v>7</v>
      </c>
      <c r="F1168">
        <v>23</v>
      </c>
      <c r="G1168" s="1">
        <f>DATEVALUE(_xlfn.CONCAT(BBDD_Usiarios_Netflix[[#This Row],[Día Suscripción]],"/",BBDD_Usiarios_Netflix[[#This Row],[Mes Suscripción]],"/",BBDD_Usiarios_Netflix[[#This Row],[Año Suscripción]]))</f>
        <v>45110</v>
      </c>
      <c r="H1168" s="1">
        <v>2</v>
      </c>
      <c r="I1168" s="1">
        <v>7</v>
      </c>
      <c r="J1168" s="1">
        <v>24</v>
      </c>
      <c r="K1168" s="1" t="str">
        <f>TEXT(BBDD_Usiarios_Netflix[[#This Row],[Fecha Suscripción]],"dddd")</f>
        <v>lunes</v>
      </c>
      <c r="L1168" s="1">
        <f>DATEVALUE(_xlfn.CONCAT(BBDD_Usiarios_Netflix[[#This Row],[Día Último Pago]],"/",BBDD_Usiarios_Netflix[[#This Row],[Mes Último Pago]],"/",BBDD_Usiarios_Netflix[[#This Row],[Año Último Pago]]))</f>
        <v>45475</v>
      </c>
      <c r="M1168" s="4">
        <f>DATEDIF(BBDD_Usiarios_Netflix[[#This Row],[Fecha Suscripción]],BBDD_Usiarios_Netflix[[#This Row],[Fecha Último Pago]],"M")+1</f>
        <v>12</v>
      </c>
      <c r="N1168" s="4">
        <f>BBDD_Usiarios_Netflix[[#This Row],[Ingresos Mensuales]]*BBDD_Usiarios_Netflix[[#This Row],[Meses contratados]]</f>
        <v>120</v>
      </c>
      <c r="O1168" t="s">
        <v>43</v>
      </c>
      <c r="P1168" t="str">
        <f>IF(BBDD_Usiarios_Netflix[[#This Row],[País]]="","Desconocido",BBDD_Usiarios_Netflix[[#This Row],[País]])</f>
        <v>Alemania</v>
      </c>
      <c r="Q1168">
        <v>45</v>
      </c>
      <c r="R1168" t="s">
        <v>25</v>
      </c>
      <c r="S1168" t="s">
        <v>31</v>
      </c>
      <c r="T1168" t="s">
        <v>41</v>
      </c>
      <c r="U1168">
        <f>IF(IFERROR(VLOOKUP(BBDD_Usiarios_Netflix[[#This Row],[Identificador Usuario]],A1169:$A$5870,1,FALSE),0)&lt;&gt;0,1,0)</f>
        <v>0</v>
      </c>
      <c r="V1168" s="6" t="str">
        <f>IF(BBDD_Usiarios_Netflix[[#This Row],[Duración Plan]]="12 Meses",LEFT(BBDD_Usiarios_Netflix[[#This Row],[Duración Plan]],2),LEFT(BBDD_Usiarios_Netflix[[#This Row],[Duración Plan]],1))</f>
        <v>12</v>
      </c>
      <c r="W11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69" spans="1:23" x14ac:dyDescent="0.25">
      <c r="A1169">
        <v>1168</v>
      </c>
      <c r="B1169" t="s">
        <v>32</v>
      </c>
      <c r="C1169">
        <v>12</v>
      </c>
      <c r="D1169" s="3">
        <v>5</v>
      </c>
      <c r="E1169" s="3">
        <v>7</v>
      </c>
      <c r="F1169">
        <v>23</v>
      </c>
      <c r="G1169" s="1">
        <f>DATEVALUE(_xlfn.CONCAT(BBDD_Usiarios_Netflix[[#This Row],[Día Suscripción]],"/",BBDD_Usiarios_Netflix[[#This Row],[Mes Suscripción]],"/",BBDD_Usiarios_Netflix[[#This Row],[Año Suscripción]]))</f>
        <v>45112</v>
      </c>
      <c r="H1169" s="1">
        <v>2</v>
      </c>
      <c r="I1169" s="1">
        <v>7</v>
      </c>
      <c r="J1169" s="1">
        <v>24</v>
      </c>
      <c r="K1169" s="1" t="str">
        <f>TEXT(BBDD_Usiarios_Netflix[[#This Row],[Fecha Suscripción]],"dddd")</f>
        <v>miércoles</v>
      </c>
      <c r="L1169" s="1">
        <f>DATEVALUE(_xlfn.CONCAT(BBDD_Usiarios_Netflix[[#This Row],[Día Último Pago]],"/",BBDD_Usiarios_Netflix[[#This Row],[Mes Último Pago]],"/",BBDD_Usiarios_Netflix[[#This Row],[Año Último Pago]]))</f>
        <v>45475</v>
      </c>
      <c r="M1169" s="4">
        <f>DATEDIF(BBDD_Usiarios_Netflix[[#This Row],[Fecha Suscripción]],BBDD_Usiarios_Netflix[[#This Row],[Fecha Último Pago]],"M")+1</f>
        <v>12</v>
      </c>
      <c r="N1169" s="4">
        <f>BBDD_Usiarios_Netflix[[#This Row],[Ingresos Mensuales]]*BBDD_Usiarios_Netflix[[#This Row],[Meses contratados]]</f>
        <v>144</v>
      </c>
      <c r="O1169" t="s">
        <v>43</v>
      </c>
      <c r="P1169" t="str">
        <f>IF(BBDD_Usiarios_Netflix[[#This Row],[País]]="","Desconocido",BBDD_Usiarios_Netflix[[#This Row],[País]])</f>
        <v>Alemania</v>
      </c>
      <c r="Q1169">
        <v>42</v>
      </c>
      <c r="R1169" t="s">
        <v>25</v>
      </c>
      <c r="S1169" t="s">
        <v>36</v>
      </c>
      <c r="T1169" t="s">
        <v>27</v>
      </c>
      <c r="U1169">
        <f>IF(IFERROR(VLOOKUP(BBDD_Usiarios_Netflix[[#This Row],[Identificador Usuario]],A1170:$A$5870,1,FALSE),0)&lt;&gt;0,1,0)</f>
        <v>0</v>
      </c>
      <c r="V1169" s="6" t="str">
        <f>IF(BBDD_Usiarios_Netflix[[#This Row],[Duración Plan]]="12 Meses",LEFT(BBDD_Usiarios_Netflix[[#This Row],[Duración Plan]],2),LEFT(BBDD_Usiarios_Netflix[[#This Row],[Duración Plan]],1))</f>
        <v>1</v>
      </c>
      <c r="W11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70" spans="1:23" x14ac:dyDescent="0.25">
      <c r="A1170">
        <v>1169</v>
      </c>
      <c r="B1170" t="s">
        <v>32</v>
      </c>
      <c r="C1170">
        <v>12</v>
      </c>
      <c r="D1170" s="3">
        <v>15</v>
      </c>
      <c r="E1170" s="3">
        <v>7</v>
      </c>
      <c r="F1170">
        <v>23</v>
      </c>
      <c r="G1170" s="1">
        <f>DATEVALUE(_xlfn.CONCAT(BBDD_Usiarios_Netflix[[#This Row],[Día Suscripción]],"/",BBDD_Usiarios_Netflix[[#This Row],[Mes Suscripción]],"/",BBDD_Usiarios_Netflix[[#This Row],[Año Suscripción]]))</f>
        <v>45122</v>
      </c>
      <c r="H1170" s="1">
        <v>2</v>
      </c>
      <c r="I1170" s="1">
        <v>7</v>
      </c>
      <c r="J1170" s="1">
        <v>24</v>
      </c>
      <c r="K1170" s="1" t="str">
        <f>TEXT(BBDD_Usiarios_Netflix[[#This Row],[Fecha Suscripción]],"dddd")</f>
        <v>sábado</v>
      </c>
      <c r="L1170" s="1">
        <f>DATEVALUE(_xlfn.CONCAT(BBDD_Usiarios_Netflix[[#This Row],[Día Último Pago]],"/",BBDD_Usiarios_Netflix[[#This Row],[Mes Último Pago]],"/",BBDD_Usiarios_Netflix[[#This Row],[Año Último Pago]]))</f>
        <v>45475</v>
      </c>
      <c r="M1170" s="4">
        <f>DATEDIF(BBDD_Usiarios_Netflix[[#This Row],[Fecha Suscripción]],BBDD_Usiarios_Netflix[[#This Row],[Fecha Último Pago]],"M")+1</f>
        <v>12</v>
      </c>
      <c r="N1170" s="4">
        <f>BBDD_Usiarios_Netflix[[#This Row],[Ingresos Mensuales]]*BBDD_Usiarios_Netflix[[#This Row],[Meses contratados]]</f>
        <v>144</v>
      </c>
      <c r="O1170" t="s">
        <v>42</v>
      </c>
      <c r="P1170" t="str">
        <f>IF(BBDD_Usiarios_Netflix[[#This Row],[País]]="","Desconocido",BBDD_Usiarios_Netflix[[#This Row],[País]])</f>
        <v>Reino Unido</v>
      </c>
      <c r="Q1170">
        <v>48</v>
      </c>
      <c r="R1170" t="s">
        <v>25</v>
      </c>
      <c r="S1170" t="s">
        <v>26</v>
      </c>
      <c r="T1170" t="s">
        <v>35</v>
      </c>
      <c r="U1170">
        <f>IF(IFERROR(VLOOKUP(BBDD_Usiarios_Netflix[[#This Row],[Identificador Usuario]],A1171:$A$5870,1,FALSE),0)&lt;&gt;0,1,0)</f>
        <v>0</v>
      </c>
      <c r="V1170" s="6" t="str">
        <f>IF(BBDD_Usiarios_Netflix[[#This Row],[Duración Plan]]="12 Meses",LEFT(BBDD_Usiarios_Netflix[[#This Row],[Duración Plan]],2),LEFT(BBDD_Usiarios_Netflix[[#This Row],[Duración Plan]],1))</f>
        <v>6</v>
      </c>
      <c r="W11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71" spans="1:23" x14ac:dyDescent="0.25">
      <c r="A1171">
        <v>1170</v>
      </c>
      <c r="B1171" t="s">
        <v>23</v>
      </c>
      <c r="C1171">
        <v>10</v>
      </c>
      <c r="D1171" s="3">
        <v>20</v>
      </c>
      <c r="E1171" s="3">
        <v>7</v>
      </c>
      <c r="F1171">
        <v>23</v>
      </c>
      <c r="G1171" s="1">
        <f>DATEVALUE(_xlfn.CONCAT(BBDD_Usiarios_Netflix[[#This Row],[Día Suscripción]],"/",BBDD_Usiarios_Netflix[[#This Row],[Mes Suscripción]],"/",BBDD_Usiarios_Netflix[[#This Row],[Año Suscripción]]))</f>
        <v>45127</v>
      </c>
      <c r="H1171" s="1">
        <v>2</v>
      </c>
      <c r="I1171" s="1">
        <v>7</v>
      </c>
      <c r="J1171" s="1">
        <v>24</v>
      </c>
      <c r="K1171" s="1" t="str">
        <f>TEXT(BBDD_Usiarios_Netflix[[#This Row],[Fecha Suscripción]],"dddd")</f>
        <v>jueves</v>
      </c>
      <c r="L1171" s="1">
        <f>DATEVALUE(_xlfn.CONCAT(BBDD_Usiarios_Netflix[[#This Row],[Día Último Pago]],"/",BBDD_Usiarios_Netflix[[#This Row],[Mes Último Pago]],"/",BBDD_Usiarios_Netflix[[#This Row],[Año Último Pago]]))</f>
        <v>45475</v>
      </c>
      <c r="M1171" s="4">
        <f>DATEDIF(BBDD_Usiarios_Netflix[[#This Row],[Fecha Suscripción]],BBDD_Usiarios_Netflix[[#This Row],[Fecha Último Pago]],"M")+1</f>
        <v>12</v>
      </c>
      <c r="N1171" s="4">
        <f>BBDD_Usiarios_Netflix[[#This Row],[Ingresos Mensuales]]*BBDD_Usiarios_Netflix[[#This Row],[Meses contratados]]</f>
        <v>120</v>
      </c>
      <c r="O1171" t="s">
        <v>39</v>
      </c>
      <c r="P1171" t="str">
        <f>IF(BBDD_Usiarios_Netflix[[#This Row],[País]]="","Desconocido",BBDD_Usiarios_Netflix[[#This Row],[País]])</f>
        <v>Canadá</v>
      </c>
      <c r="Q1171">
        <v>33</v>
      </c>
      <c r="R1171" t="s">
        <v>25</v>
      </c>
      <c r="S1171" t="s">
        <v>34</v>
      </c>
      <c r="T1171" t="s">
        <v>27</v>
      </c>
      <c r="U1171">
        <f>IF(IFERROR(VLOOKUP(BBDD_Usiarios_Netflix[[#This Row],[Identificador Usuario]],A1172:$A$5870,1,FALSE),0)&lt;&gt;0,1,0)</f>
        <v>0</v>
      </c>
      <c r="V1171" s="6" t="str">
        <f>IF(BBDD_Usiarios_Netflix[[#This Row],[Duración Plan]]="12 Meses",LEFT(BBDD_Usiarios_Netflix[[#This Row],[Duración Plan]],2),LEFT(BBDD_Usiarios_Netflix[[#This Row],[Duración Plan]],1))</f>
        <v>1</v>
      </c>
      <c r="W11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72" spans="1:23" x14ac:dyDescent="0.25">
      <c r="A1172">
        <v>1171</v>
      </c>
      <c r="B1172" t="s">
        <v>28</v>
      </c>
      <c r="C1172">
        <v>14</v>
      </c>
      <c r="D1172" s="3">
        <v>27</v>
      </c>
      <c r="E1172" s="3">
        <v>7</v>
      </c>
      <c r="F1172">
        <v>23</v>
      </c>
      <c r="G1172" s="1">
        <f>DATEVALUE(_xlfn.CONCAT(BBDD_Usiarios_Netflix[[#This Row],[Día Suscripción]],"/",BBDD_Usiarios_Netflix[[#This Row],[Mes Suscripción]],"/",BBDD_Usiarios_Netflix[[#This Row],[Año Suscripción]]))</f>
        <v>45134</v>
      </c>
      <c r="H1172" s="1">
        <v>2</v>
      </c>
      <c r="I1172" s="1">
        <v>7</v>
      </c>
      <c r="J1172" s="1">
        <v>24</v>
      </c>
      <c r="K1172" s="1" t="str">
        <f>TEXT(BBDD_Usiarios_Netflix[[#This Row],[Fecha Suscripción]],"dddd")</f>
        <v>jueves</v>
      </c>
      <c r="L1172" s="1">
        <f>DATEVALUE(_xlfn.CONCAT(BBDD_Usiarios_Netflix[[#This Row],[Día Último Pago]],"/",BBDD_Usiarios_Netflix[[#This Row],[Mes Último Pago]],"/",BBDD_Usiarios_Netflix[[#This Row],[Año Último Pago]]))</f>
        <v>45475</v>
      </c>
      <c r="M1172" s="4">
        <f>DATEDIF(BBDD_Usiarios_Netflix[[#This Row],[Fecha Suscripción]],BBDD_Usiarios_Netflix[[#This Row],[Fecha Último Pago]],"M")+1</f>
        <v>12</v>
      </c>
      <c r="N1172" s="4">
        <f>BBDD_Usiarios_Netflix[[#This Row],[Ingresos Mensuales]]*BBDD_Usiarios_Netflix[[#This Row],[Meses contratados]]</f>
        <v>168</v>
      </c>
      <c r="O1172" t="s">
        <v>46</v>
      </c>
      <c r="P1172" t="str">
        <f>IF(BBDD_Usiarios_Netflix[[#This Row],[País]]="","Desconocido",BBDD_Usiarios_Netflix[[#This Row],[País]])</f>
        <v>Méjico</v>
      </c>
      <c r="Q1172">
        <v>47</v>
      </c>
      <c r="R1172" t="s">
        <v>30</v>
      </c>
      <c r="S1172" t="s">
        <v>26</v>
      </c>
      <c r="T1172" t="s">
        <v>27</v>
      </c>
      <c r="U1172">
        <f>IF(IFERROR(VLOOKUP(BBDD_Usiarios_Netflix[[#This Row],[Identificador Usuario]],A1173:$A$5870,1,FALSE),0)&lt;&gt;0,1,0)</f>
        <v>0</v>
      </c>
      <c r="V1172" s="6" t="str">
        <f>IF(BBDD_Usiarios_Netflix[[#This Row],[Duración Plan]]="12 Meses",LEFT(BBDD_Usiarios_Netflix[[#This Row],[Duración Plan]],2),LEFT(BBDD_Usiarios_Netflix[[#This Row],[Duración Plan]],1))</f>
        <v>1</v>
      </c>
      <c r="W11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73" spans="1:23" x14ac:dyDescent="0.25">
      <c r="A1173">
        <v>1172</v>
      </c>
      <c r="B1173" t="s">
        <v>23</v>
      </c>
      <c r="C1173">
        <v>10</v>
      </c>
      <c r="D1173" s="3">
        <v>29</v>
      </c>
      <c r="E1173" s="3">
        <v>7</v>
      </c>
      <c r="F1173">
        <v>23</v>
      </c>
      <c r="G1173" s="1">
        <f>DATEVALUE(_xlfn.CONCAT(BBDD_Usiarios_Netflix[[#This Row],[Día Suscripción]],"/",BBDD_Usiarios_Netflix[[#This Row],[Mes Suscripción]],"/",BBDD_Usiarios_Netflix[[#This Row],[Año Suscripción]]))</f>
        <v>45136</v>
      </c>
      <c r="H1173" s="1">
        <v>4</v>
      </c>
      <c r="I1173" s="1">
        <v>7</v>
      </c>
      <c r="J1173" s="1">
        <v>24</v>
      </c>
      <c r="K1173" s="1" t="str">
        <f>TEXT(BBDD_Usiarios_Netflix[[#This Row],[Fecha Suscripción]],"dddd")</f>
        <v>sábado</v>
      </c>
      <c r="L1173" s="1">
        <f>DATEVALUE(_xlfn.CONCAT(BBDD_Usiarios_Netflix[[#This Row],[Día Último Pago]],"/",BBDD_Usiarios_Netflix[[#This Row],[Mes Último Pago]],"/",BBDD_Usiarios_Netflix[[#This Row],[Año Último Pago]]))</f>
        <v>45477</v>
      </c>
      <c r="M1173" s="4">
        <f>DATEDIF(BBDD_Usiarios_Netflix[[#This Row],[Fecha Suscripción]],BBDD_Usiarios_Netflix[[#This Row],[Fecha Último Pago]],"M")+1</f>
        <v>12</v>
      </c>
      <c r="N1173" s="4">
        <f>BBDD_Usiarios_Netflix[[#This Row],[Ingresos Mensuales]]*BBDD_Usiarios_Netflix[[#This Row],[Meses contratados]]</f>
        <v>120</v>
      </c>
      <c r="O1173" t="s">
        <v>40</v>
      </c>
      <c r="P1173" t="str">
        <f>IF(BBDD_Usiarios_Netflix[[#This Row],[País]]="","Desconocido",BBDD_Usiarios_Netflix[[#This Row],[País]])</f>
        <v>Italia</v>
      </c>
      <c r="Q1173">
        <v>51</v>
      </c>
      <c r="R1173" t="s">
        <v>30</v>
      </c>
      <c r="S1173" t="s">
        <v>34</v>
      </c>
      <c r="T1173" t="s">
        <v>38</v>
      </c>
      <c r="U1173">
        <f>IF(IFERROR(VLOOKUP(BBDD_Usiarios_Netflix[[#This Row],[Identificador Usuario]],A1174:$A$5870,1,FALSE),0)&lt;&gt;0,1,0)</f>
        <v>0</v>
      </c>
      <c r="V1173" s="6" t="str">
        <f>IF(BBDD_Usiarios_Netflix[[#This Row],[Duración Plan]]="12 Meses",LEFT(BBDD_Usiarios_Netflix[[#This Row],[Duración Plan]],2),LEFT(BBDD_Usiarios_Netflix[[#This Row],[Duración Plan]],1))</f>
        <v>3</v>
      </c>
      <c r="W11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74" spans="1:23" x14ac:dyDescent="0.25">
      <c r="A1174">
        <v>1173</v>
      </c>
      <c r="B1174" t="s">
        <v>32</v>
      </c>
      <c r="C1174">
        <v>12</v>
      </c>
      <c r="D1174" s="3">
        <v>3</v>
      </c>
      <c r="E1174" s="3">
        <v>8</v>
      </c>
      <c r="F1174">
        <v>23</v>
      </c>
      <c r="G1174" s="1">
        <f>DATEVALUE(_xlfn.CONCAT(BBDD_Usiarios_Netflix[[#This Row],[Día Suscripción]],"/",BBDD_Usiarios_Netflix[[#This Row],[Mes Suscripción]],"/",BBDD_Usiarios_Netflix[[#This Row],[Año Suscripción]]))</f>
        <v>45141</v>
      </c>
      <c r="H1174" s="1">
        <v>1</v>
      </c>
      <c r="I1174" s="1">
        <v>7</v>
      </c>
      <c r="J1174" s="1">
        <v>24</v>
      </c>
      <c r="K1174" s="1" t="str">
        <f>TEXT(BBDD_Usiarios_Netflix[[#This Row],[Fecha Suscripción]],"dddd")</f>
        <v>jueves</v>
      </c>
      <c r="L1174" s="1">
        <f>DATEVALUE(_xlfn.CONCAT(BBDD_Usiarios_Netflix[[#This Row],[Día Último Pago]],"/",BBDD_Usiarios_Netflix[[#This Row],[Mes Último Pago]],"/",BBDD_Usiarios_Netflix[[#This Row],[Año Último Pago]]))</f>
        <v>45474</v>
      </c>
      <c r="M1174" s="4">
        <f>DATEDIF(BBDD_Usiarios_Netflix[[#This Row],[Fecha Suscripción]],BBDD_Usiarios_Netflix[[#This Row],[Fecha Último Pago]],"M")+1</f>
        <v>11</v>
      </c>
      <c r="N1174" s="4">
        <f>BBDD_Usiarios_Netflix[[#This Row],[Ingresos Mensuales]]*BBDD_Usiarios_Netflix[[#This Row],[Meses contratados]]</f>
        <v>132</v>
      </c>
      <c r="O1174" t="s">
        <v>39</v>
      </c>
      <c r="P1174" t="str">
        <f>IF(BBDD_Usiarios_Netflix[[#This Row],[País]]="","Desconocido",BBDD_Usiarios_Netflix[[#This Row],[País]])</f>
        <v>Canadá</v>
      </c>
      <c r="Q1174">
        <v>27</v>
      </c>
      <c r="R1174" t="s">
        <v>25</v>
      </c>
      <c r="S1174" t="s">
        <v>26</v>
      </c>
      <c r="T1174" t="s">
        <v>41</v>
      </c>
      <c r="U1174">
        <f>IF(IFERROR(VLOOKUP(BBDD_Usiarios_Netflix[[#This Row],[Identificador Usuario]],A1175:$A$5870,1,FALSE),0)&lt;&gt;0,1,0)</f>
        <v>0</v>
      </c>
      <c r="V1174" s="6" t="str">
        <f>IF(BBDD_Usiarios_Netflix[[#This Row],[Duración Plan]]="12 Meses",LEFT(BBDD_Usiarios_Netflix[[#This Row],[Duración Plan]],2),LEFT(BBDD_Usiarios_Netflix[[#This Row],[Duración Plan]],1))</f>
        <v>12</v>
      </c>
      <c r="W11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75" spans="1:23" x14ac:dyDescent="0.25">
      <c r="A1175">
        <v>1174</v>
      </c>
      <c r="B1175" t="s">
        <v>28</v>
      </c>
      <c r="C1175">
        <v>14</v>
      </c>
      <c r="D1175" s="3">
        <v>18</v>
      </c>
      <c r="E1175" s="3">
        <v>8</v>
      </c>
      <c r="F1175">
        <v>23</v>
      </c>
      <c r="G1175" s="1">
        <f>DATEVALUE(_xlfn.CONCAT(BBDD_Usiarios_Netflix[[#This Row],[Día Suscripción]],"/",BBDD_Usiarios_Netflix[[#This Row],[Mes Suscripción]],"/",BBDD_Usiarios_Netflix[[#This Row],[Año Suscripción]]))</f>
        <v>45156</v>
      </c>
      <c r="H1175" s="1">
        <v>4</v>
      </c>
      <c r="I1175" s="1">
        <v>7</v>
      </c>
      <c r="J1175" s="1">
        <v>24</v>
      </c>
      <c r="K1175" s="1" t="str">
        <f>TEXT(BBDD_Usiarios_Netflix[[#This Row],[Fecha Suscripción]],"dddd")</f>
        <v>viernes</v>
      </c>
      <c r="L1175" s="1">
        <f>DATEVALUE(_xlfn.CONCAT(BBDD_Usiarios_Netflix[[#This Row],[Día Último Pago]],"/",BBDD_Usiarios_Netflix[[#This Row],[Mes Último Pago]],"/",BBDD_Usiarios_Netflix[[#This Row],[Año Último Pago]]))</f>
        <v>45477</v>
      </c>
      <c r="M1175" s="4">
        <f>DATEDIF(BBDD_Usiarios_Netflix[[#This Row],[Fecha Suscripción]],BBDD_Usiarios_Netflix[[#This Row],[Fecha Último Pago]],"M")+1</f>
        <v>11</v>
      </c>
      <c r="N1175" s="4">
        <f>BBDD_Usiarios_Netflix[[#This Row],[Ingresos Mensuales]]*BBDD_Usiarios_Netflix[[#This Row],[Meses contratados]]</f>
        <v>154</v>
      </c>
      <c r="O1175" t="s">
        <v>45</v>
      </c>
      <c r="P1175" t="str">
        <f>IF(BBDD_Usiarios_Netflix[[#This Row],[País]]="","Desconocido",BBDD_Usiarios_Netflix[[#This Row],[País]])</f>
        <v>España</v>
      </c>
      <c r="Q1175">
        <v>44</v>
      </c>
      <c r="R1175" t="s">
        <v>30</v>
      </c>
      <c r="S1175" t="s">
        <v>36</v>
      </c>
      <c r="T1175" t="s">
        <v>41</v>
      </c>
      <c r="U1175">
        <f>IF(IFERROR(VLOOKUP(BBDD_Usiarios_Netflix[[#This Row],[Identificador Usuario]],A1176:$A$5870,1,FALSE),0)&lt;&gt;0,1,0)</f>
        <v>0</v>
      </c>
      <c r="V1175" s="6" t="str">
        <f>IF(BBDD_Usiarios_Netflix[[#This Row],[Duración Plan]]="12 Meses",LEFT(BBDD_Usiarios_Netflix[[#This Row],[Duración Plan]],2),LEFT(BBDD_Usiarios_Netflix[[#This Row],[Duración Plan]],1))</f>
        <v>12</v>
      </c>
      <c r="W11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76" spans="1:23" x14ac:dyDescent="0.25">
      <c r="A1176">
        <v>1175</v>
      </c>
      <c r="B1176" t="s">
        <v>23</v>
      </c>
      <c r="C1176">
        <v>10</v>
      </c>
      <c r="D1176" s="3">
        <v>23</v>
      </c>
      <c r="E1176" s="3">
        <v>8</v>
      </c>
      <c r="F1176">
        <v>23</v>
      </c>
      <c r="G1176" s="1">
        <f>DATEVALUE(_xlfn.CONCAT(BBDD_Usiarios_Netflix[[#This Row],[Día Suscripción]],"/",BBDD_Usiarios_Netflix[[#This Row],[Mes Suscripción]],"/",BBDD_Usiarios_Netflix[[#This Row],[Año Suscripción]]))</f>
        <v>45161</v>
      </c>
      <c r="H1176" s="1">
        <v>2</v>
      </c>
      <c r="I1176" s="1">
        <v>7</v>
      </c>
      <c r="J1176" s="1">
        <v>24</v>
      </c>
      <c r="K1176" s="1" t="str">
        <f>TEXT(BBDD_Usiarios_Netflix[[#This Row],[Fecha Suscripción]],"dddd")</f>
        <v>miércoles</v>
      </c>
      <c r="L1176" s="1">
        <f>DATEVALUE(_xlfn.CONCAT(BBDD_Usiarios_Netflix[[#This Row],[Día Último Pago]],"/",BBDD_Usiarios_Netflix[[#This Row],[Mes Último Pago]],"/",BBDD_Usiarios_Netflix[[#This Row],[Año Último Pago]]))</f>
        <v>45475</v>
      </c>
      <c r="M1176" s="4">
        <f>DATEDIF(BBDD_Usiarios_Netflix[[#This Row],[Fecha Suscripción]],BBDD_Usiarios_Netflix[[#This Row],[Fecha Último Pago]],"M")+1</f>
        <v>11</v>
      </c>
      <c r="N1176" s="4">
        <f>BBDD_Usiarios_Netflix[[#This Row],[Ingresos Mensuales]]*BBDD_Usiarios_Netflix[[#This Row],[Meses contratados]]</f>
        <v>110</v>
      </c>
      <c r="O1176" t="s">
        <v>33</v>
      </c>
      <c r="P1176" t="str">
        <f>IF(BBDD_Usiarios_Netflix[[#This Row],[País]]="","Desconocido",BBDD_Usiarios_Netflix[[#This Row],[País]])</f>
        <v>Francia</v>
      </c>
      <c r="Q1176">
        <v>41</v>
      </c>
      <c r="R1176" t="s">
        <v>25</v>
      </c>
      <c r="S1176" t="s">
        <v>36</v>
      </c>
      <c r="T1176" t="s">
        <v>27</v>
      </c>
      <c r="U1176">
        <f>IF(IFERROR(VLOOKUP(BBDD_Usiarios_Netflix[[#This Row],[Identificador Usuario]],A1177:$A$5870,1,FALSE),0)&lt;&gt;0,1,0)</f>
        <v>0</v>
      </c>
      <c r="V1176" s="6" t="str">
        <f>IF(BBDD_Usiarios_Netflix[[#This Row],[Duración Plan]]="12 Meses",LEFT(BBDD_Usiarios_Netflix[[#This Row],[Duración Plan]],2),LEFT(BBDD_Usiarios_Netflix[[#This Row],[Duración Plan]],1))</f>
        <v>1</v>
      </c>
      <c r="W11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77" spans="1:23" x14ac:dyDescent="0.25">
      <c r="A1177">
        <v>1176</v>
      </c>
      <c r="B1177" t="s">
        <v>28</v>
      </c>
      <c r="C1177">
        <v>14</v>
      </c>
      <c r="D1177" s="3">
        <v>27</v>
      </c>
      <c r="E1177" s="3">
        <v>8</v>
      </c>
      <c r="F1177">
        <v>23</v>
      </c>
      <c r="G1177" s="1">
        <f>DATEVALUE(_xlfn.CONCAT(BBDD_Usiarios_Netflix[[#This Row],[Día Suscripción]],"/",BBDD_Usiarios_Netflix[[#This Row],[Mes Suscripción]],"/",BBDD_Usiarios_Netflix[[#This Row],[Año Suscripción]]))</f>
        <v>45165</v>
      </c>
      <c r="H1177" s="1">
        <v>5</v>
      </c>
      <c r="I1177" s="1">
        <v>7</v>
      </c>
      <c r="J1177" s="1">
        <v>24</v>
      </c>
      <c r="K1177" s="1" t="str">
        <f>TEXT(BBDD_Usiarios_Netflix[[#This Row],[Fecha Suscripción]],"dddd")</f>
        <v>domingo</v>
      </c>
      <c r="L1177" s="1">
        <f>DATEVALUE(_xlfn.CONCAT(BBDD_Usiarios_Netflix[[#This Row],[Día Último Pago]],"/",BBDD_Usiarios_Netflix[[#This Row],[Mes Último Pago]],"/",BBDD_Usiarios_Netflix[[#This Row],[Año Último Pago]]))</f>
        <v>45478</v>
      </c>
      <c r="M1177" s="4">
        <f>DATEDIF(BBDD_Usiarios_Netflix[[#This Row],[Fecha Suscripción]],BBDD_Usiarios_Netflix[[#This Row],[Fecha Último Pago]],"M")+1</f>
        <v>11</v>
      </c>
      <c r="N1177" s="4">
        <f>BBDD_Usiarios_Netflix[[#This Row],[Ingresos Mensuales]]*BBDD_Usiarios_Netflix[[#This Row],[Meses contratados]]</f>
        <v>154</v>
      </c>
      <c r="O1177" t="s">
        <v>24</v>
      </c>
      <c r="P1177" t="str">
        <f>IF(BBDD_Usiarios_Netflix[[#This Row],[País]]="","Desconocido",BBDD_Usiarios_Netflix[[#This Row],[País]])</f>
        <v>Australia</v>
      </c>
      <c r="Q1177">
        <v>37</v>
      </c>
      <c r="R1177" t="s">
        <v>25</v>
      </c>
      <c r="S1177" t="s">
        <v>34</v>
      </c>
      <c r="T1177" t="s">
        <v>27</v>
      </c>
      <c r="U1177">
        <f>IF(IFERROR(VLOOKUP(BBDD_Usiarios_Netflix[[#This Row],[Identificador Usuario]],A1178:$A$5870,1,FALSE),0)&lt;&gt;0,1,0)</f>
        <v>0</v>
      </c>
      <c r="V1177" s="6" t="str">
        <f>IF(BBDD_Usiarios_Netflix[[#This Row],[Duración Plan]]="12 Meses",LEFT(BBDD_Usiarios_Netflix[[#This Row],[Duración Plan]],2),LEFT(BBDD_Usiarios_Netflix[[#This Row],[Duración Plan]],1))</f>
        <v>1</v>
      </c>
      <c r="W11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78" spans="1:23" x14ac:dyDescent="0.25">
      <c r="A1178">
        <v>1177</v>
      </c>
      <c r="B1178" t="s">
        <v>23</v>
      </c>
      <c r="C1178">
        <v>10</v>
      </c>
      <c r="D1178" s="3">
        <v>1</v>
      </c>
      <c r="E1178" s="3">
        <v>9</v>
      </c>
      <c r="F1178">
        <v>23</v>
      </c>
      <c r="G1178" s="1">
        <f>DATEVALUE(_xlfn.CONCAT(BBDD_Usiarios_Netflix[[#This Row],[Día Suscripción]],"/",BBDD_Usiarios_Netflix[[#This Row],[Mes Suscripción]],"/",BBDD_Usiarios_Netflix[[#This Row],[Año Suscripción]]))</f>
        <v>45170</v>
      </c>
      <c r="H1178" s="1">
        <v>2</v>
      </c>
      <c r="I1178" s="1">
        <v>7</v>
      </c>
      <c r="J1178" s="1">
        <v>24</v>
      </c>
      <c r="K1178" s="1" t="str">
        <f>TEXT(BBDD_Usiarios_Netflix[[#This Row],[Fecha Suscripción]],"dddd")</f>
        <v>viernes</v>
      </c>
      <c r="L1178" s="1">
        <f>DATEVALUE(_xlfn.CONCAT(BBDD_Usiarios_Netflix[[#This Row],[Día Último Pago]],"/",BBDD_Usiarios_Netflix[[#This Row],[Mes Último Pago]],"/",BBDD_Usiarios_Netflix[[#This Row],[Año Último Pago]]))</f>
        <v>45475</v>
      </c>
      <c r="M1178" s="4">
        <f>DATEDIF(BBDD_Usiarios_Netflix[[#This Row],[Fecha Suscripción]],BBDD_Usiarios_Netflix[[#This Row],[Fecha Último Pago]],"M")+1</f>
        <v>11</v>
      </c>
      <c r="N1178" s="4">
        <f>BBDD_Usiarios_Netflix[[#This Row],[Ingresos Mensuales]]*BBDD_Usiarios_Netflix[[#This Row],[Meses contratados]]</f>
        <v>110</v>
      </c>
      <c r="O1178" t="s">
        <v>33</v>
      </c>
      <c r="P1178" t="str">
        <f>IF(BBDD_Usiarios_Netflix[[#This Row],[País]]="","Desconocido",BBDD_Usiarios_Netflix[[#This Row],[País]])</f>
        <v>Francia</v>
      </c>
      <c r="Q1178">
        <v>48</v>
      </c>
      <c r="R1178" t="s">
        <v>25</v>
      </c>
      <c r="S1178" t="s">
        <v>31</v>
      </c>
      <c r="T1178" t="s">
        <v>27</v>
      </c>
      <c r="U1178">
        <f>IF(IFERROR(VLOOKUP(BBDD_Usiarios_Netflix[[#This Row],[Identificador Usuario]],A1179:$A$5870,1,FALSE),0)&lt;&gt;0,1,0)</f>
        <v>0</v>
      </c>
      <c r="V1178" s="6" t="str">
        <f>IF(BBDD_Usiarios_Netflix[[#This Row],[Duración Plan]]="12 Meses",LEFT(BBDD_Usiarios_Netflix[[#This Row],[Duración Plan]],2),LEFT(BBDD_Usiarios_Netflix[[#This Row],[Duración Plan]],1))</f>
        <v>1</v>
      </c>
      <c r="W11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79" spans="1:23" x14ac:dyDescent="0.25">
      <c r="A1179">
        <v>1178</v>
      </c>
      <c r="B1179" t="s">
        <v>32</v>
      </c>
      <c r="C1179">
        <v>12</v>
      </c>
      <c r="D1179" s="3">
        <v>3</v>
      </c>
      <c r="E1179" s="3">
        <v>9</v>
      </c>
      <c r="F1179">
        <v>23</v>
      </c>
      <c r="G1179" s="1">
        <f>DATEVALUE(_xlfn.CONCAT(BBDD_Usiarios_Netflix[[#This Row],[Día Suscripción]],"/",BBDD_Usiarios_Netflix[[#This Row],[Mes Suscripción]],"/",BBDD_Usiarios_Netflix[[#This Row],[Año Suscripción]]))</f>
        <v>45172</v>
      </c>
      <c r="H1179" s="1">
        <v>4</v>
      </c>
      <c r="I1179" s="1">
        <v>7</v>
      </c>
      <c r="J1179" s="1">
        <v>24</v>
      </c>
      <c r="K1179" s="1" t="str">
        <f>TEXT(BBDD_Usiarios_Netflix[[#This Row],[Fecha Suscripción]],"dddd")</f>
        <v>domingo</v>
      </c>
      <c r="L1179" s="1">
        <f>DATEVALUE(_xlfn.CONCAT(BBDD_Usiarios_Netflix[[#This Row],[Día Último Pago]],"/",BBDD_Usiarios_Netflix[[#This Row],[Mes Último Pago]],"/",BBDD_Usiarios_Netflix[[#This Row],[Año Último Pago]]))</f>
        <v>45477</v>
      </c>
      <c r="M1179" s="4">
        <f>DATEDIF(BBDD_Usiarios_Netflix[[#This Row],[Fecha Suscripción]],BBDD_Usiarios_Netflix[[#This Row],[Fecha Último Pago]],"M")+1</f>
        <v>11</v>
      </c>
      <c r="N1179" s="4">
        <f>BBDD_Usiarios_Netflix[[#This Row],[Ingresos Mensuales]]*BBDD_Usiarios_Netflix[[#This Row],[Meses contratados]]</f>
        <v>132</v>
      </c>
      <c r="O1179" t="s">
        <v>24</v>
      </c>
      <c r="P1179" t="str">
        <f>IF(BBDD_Usiarios_Netflix[[#This Row],[País]]="","Desconocido",BBDD_Usiarios_Netflix[[#This Row],[País]])</f>
        <v>Australia</v>
      </c>
      <c r="Q1179">
        <v>30</v>
      </c>
      <c r="R1179" t="s">
        <v>25</v>
      </c>
      <c r="S1179" t="s">
        <v>34</v>
      </c>
      <c r="T1179" t="s">
        <v>38</v>
      </c>
      <c r="U1179">
        <f>IF(IFERROR(VLOOKUP(BBDD_Usiarios_Netflix[[#This Row],[Identificador Usuario]],A1180:$A$5870,1,FALSE),0)&lt;&gt;0,1,0)</f>
        <v>0</v>
      </c>
      <c r="V1179" s="6" t="str">
        <f>IF(BBDD_Usiarios_Netflix[[#This Row],[Duración Plan]]="12 Meses",LEFT(BBDD_Usiarios_Netflix[[#This Row],[Duración Plan]],2),LEFT(BBDD_Usiarios_Netflix[[#This Row],[Duración Plan]],1))</f>
        <v>3</v>
      </c>
      <c r="W11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80" spans="1:23" x14ac:dyDescent="0.25">
      <c r="A1180">
        <v>1179</v>
      </c>
      <c r="B1180" t="s">
        <v>32</v>
      </c>
      <c r="C1180">
        <v>12</v>
      </c>
      <c r="D1180" s="3">
        <v>5</v>
      </c>
      <c r="E1180" s="3">
        <v>9</v>
      </c>
      <c r="F1180">
        <v>23</v>
      </c>
      <c r="G1180" s="1">
        <f>DATEVALUE(_xlfn.CONCAT(BBDD_Usiarios_Netflix[[#This Row],[Día Suscripción]],"/",BBDD_Usiarios_Netflix[[#This Row],[Mes Suscripción]],"/",BBDD_Usiarios_Netflix[[#This Row],[Año Suscripción]]))</f>
        <v>45174</v>
      </c>
      <c r="H1180" s="1">
        <v>2</v>
      </c>
      <c r="I1180" s="1">
        <v>7</v>
      </c>
      <c r="J1180" s="1">
        <v>24</v>
      </c>
      <c r="K1180" s="1" t="str">
        <f>TEXT(BBDD_Usiarios_Netflix[[#This Row],[Fecha Suscripción]],"dddd")</f>
        <v>martes</v>
      </c>
      <c r="L1180" s="1">
        <f>DATEVALUE(_xlfn.CONCAT(BBDD_Usiarios_Netflix[[#This Row],[Día Último Pago]],"/",BBDD_Usiarios_Netflix[[#This Row],[Mes Último Pago]],"/",BBDD_Usiarios_Netflix[[#This Row],[Año Último Pago]]))</f>
        <v>45475</v>
      </c>
      <c r="M1180" s="4">
        <f>DATEDIF(BBDD_Usiarios_Netflix[[#This Row],[Fecha Suscripción]],BBDD_Usiarios_Netflix[[#This Row],[Fecha Último Pago]],"M")+1</f>
        <v>10</v>
      </c>
      <c r="N1180" s="4">
        <f>BBDD_Usiarios_Netflix[[#This Row],[Ingresos Mensuales]]*BBDD_Usiarios_Netflix[[#This Row],[Meses contratados]]</f>
        <v>120</v>
      </c>
      <c r="O1180" t="s">
        <v>29</v>
      </c>
      <c r="P1180" t="str">
        <f>IF(BBDD_Usiarios_Netflix[[#This Row],[País]]="","Desconocido",BBDD_Usiarios_Netflix[[#This Row],[País]])</f>
        <v>EEUU</v>
      </c>
      <c r="Q1180">
        <v>44</v>
      </c>
      <c r="R1180" t="s">
        <v>30</v>
      </c>
      <c r="S1180" t="s">
        <v>26</v>
      </c>
      <c r="T1180" t="s">
        <v>35</v>
      </c>
      <c r="U1180">
        <f>IF(IFERROR(VLOOKUP(BBDD_Usiarios_Netflix[[#This Row],[Identificador Usuario]],A1181:$A$5870,1,FALSE),0)&lt;&gt;0,1,0)</f>
        <v>0</v>
      </c>
      <c r="V1180" s="6" t="str">
        <f>IF(BBDD_Usiarios_Netflix[[#This Row],[Duración Plan]]="12 Meses",LEFT(BBDD_Usiarios_Netflix[[#This Row],[Duración Plan]],2),LEFT(BBDD_Usiarios_Netflix[[#This Row],[Duración Plan]],1))</f>
        <v>6</v>
      </c>
      <c r="W11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81" spans="1:23" x14ac:dyDescent="0.25">
      <c r="A1181">
        <v>1180</v>
      </c>
      <c r="B1181" t="s">
        <v>23</v>
      </c>
      <c r="C1181">
        <v>10</v>
      </c>
      <c r="D1181" s="3">
        <v>9</v>
      </c>
      <c r="E1181" s="3">
        <v>9</v>
      </c>
      <c r="F1181">
        <v>23</v>
      </c>
      <c r="G1181" s="1">
        <f>DATEVALUE(_xlfn.CONCAT(BBDD_Usiarios_Netflix[[#This Row],[Día Suscripción]],"/",BBDD_Usiarios_Netflix[[#This Row],[Mes Suscripción]],"/",BBDD_Usiarios_Netflix[[#This Row],[Año Suscripción]]))</f>
        <v>45178</v>
      </c>
      <c r="H1181" s="1">
        <v>4</v>
      </c>
      <c r="I1181" s="1">
        <v>7</v>
      </c>
      <c r="J1181" s="1">
        <v>24</v>
      </c>
      <c r="K1181" s="1" t="str">
        <f>TEXT(BBDD_Usiarios_Netflix[[#This Row],[Fecha Suscripción]],"dddd")</f>
        <v>sábado</v>
      </c>
      <c r="L1181" s="1">
        <f>DATEVALUE(_xlfn.CONCAT(BBDD_Usiarios_Netflix[[#This Row],[Día Último Pago]],"/",BBDD_Usiarios_Netflix[[#This Row],[Mes Último Pago]],"/",BBDD_Usiarios_Netflix[[#This Row],[Año Último Pago]]))</f>
        <v>45477</v>
      </c>
      <c r="M1181" s="4">
        <f>DATEDIF(BBDD_Usiarios_Netflix[[#This Row],[Fecha Suscripción]],BBDD_Usiarios_Netflix[[#This Row],[Fecha Último Pago]],"M")+1</f>
        <v>10</v>
      </c>
      <c r="N1181" s="4">
        <f>BBDD_Usiarios_Netflix[[#This Row],[Ingresos Mensuales]]*BBDD_Usiarios_Netflix[[#This Row],[Meses contratados]]</f>
        <v>100</v>
      </c>
      <c r="O1181" t="s">
        <v>29</v>
      </c>
      <c r="P1181" t="str">
        <f>IF(BBDD_Usiarios_Netflix[[#This Row],[País]]="","Desconocido",BBDD_Usiarios_Netflix[[#This Row],[País]])</f>
        <v>EEUU</v>
      </c>
      <c r="Q1181">
        <v>34</v>
      </c>
      <c r="R1181" t="s">
        <v>30</v>
      </c>
      <c r="S1181" t="s">
        <v>34</v>
      </c>
      <c r="T1181" t="s">
        <v>41</v>
      </c>
      <c r="U1181">
        <f>IF(IFERROR(VLOOKUP(BBDD_Usiarios_Netflix[[#This Row],[Identificador Usuario]],A1182:$A$5870,1,FALSE),0)&lt;&gt;0,1,0)</f>
        <v>0</v>
      </c>
      <c r="V1181" s="6" t="str">
        <f>IF(BBDD_Usiarios_Netflix[[#This Row],[Duración Plan]]="12 Meses",LEFT(BBDD_Usiarios_Netflix[[#This Row],[Duración Plan]],2),LEFT(BBDD_Usiarios_Netflix[[#This Row],[Duración Plan]],1))</f>
        <v>12</v>
      </c>
      <c r="W11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82" spans="1:23" x14ac:dyDescent="0.25">
      <c r="A1182">
        <v>1181</v>
      </c>
      <c r="B1182" t="s">
        <v>28</v>
      </c>
      <c r="C1182">
        <v>14</v>
      </c>
      <c r="D1182" s="3">
        <v>11</v>
      </c>
      <c r="E1182" s="3">
        <v>9</v>
      </c>
      <c r="F1182">
        <v>23</v>
      </c>
      <c r="G1182" s="1">
        <f>DATEVALUE(_xlfn.CONCAT(BBDD_Usiarios_Netflix[[#This Row],[Día Suscripción]],"/",BBDD_Usiarios_Netflix[[#This Row],[Mes Suscripción]],"/",BBDD_Usiarios_Netflix[[#This Row],[Año Suscripción]]))</f>
        <v>45180</v>
      </c>
      <c r="H1182" s="1">
        <v>1</v>
      </c>
      <c r="I1182" s="1">
        <v>7</v>
      </c>
      <c r="J1182" s="1">
        <v>24</v>
      </c>
      <c r="K1182" s="1" t="str">
        <f>TEXT(BBDD_Usiarios_Netflix[[#This Row],[Fecha Suscripción]],"dddd")</f>
        <v>lunes</v>
      </c>
      <c r="L1182" s="1">
        <f>DATEVALUE(_xlfn.CONCAT(BBDD_Usiarios_Netflix[[#This Row],[Día Último Pago]],"/",BBDD_Usiarios_Netflix[[#This Row],[Mes Último Pago]],"/",BBDD_Usiarios_Netflix[[#This Row],[Año Último Pago]]))</f>
        <v>45474</v>
      </c>
      <c r="M1182" s="4">
        <f>DATEDIF(BBDD_Usiarios_Netflix[[#This Row],[Fecha Suscripción]],BBDD_Usiarios_Netflix[[#This Row],[Fecha Último Pago]],"M")+1</f>
        <v>10</v>
      </c>
      <c r="N1182" s="4">
        <f>BBDD_Usiarios_Netflix[[#This Row],[Ingresos Mensuales]]*BBDD_Usiarios_Netflix[[#This Row],[Meses contratados]]</f>
        <v>140</v>
      </c>
      <c r="O1182" t="s">
        <v>24</v>
      </c>
      <c r="P1182" t="str">
        <f>IF(BBDD_Usiarios_Netflix[[#This Row],[País]]="","Desconocido",BBDD_Usiarios_Netflix[[#This Row],[País]])</f>
        <v>Australia</v>
      </c>
      <c r="Q1182">
        <v>40</v>
      </c>
      <c r="R1182" t="s">
        <v>30</v>
      </c>
      <c r="S1182" t="s">
        <v>36</v>
      </c>
      <c r="T1182" t="s">
        <v>38</v>
      </c>
      <c r="U1182">
        <f>IF(IFERROR(VLOOKUP(BBDD_Usiarios_Netflix[[#This Row],[Identificador Usuario]],A1183:$A$5870,1,FALSE),0)&lt;&gt;0,1,0)</f>
        <v>0</v>
      </c>
      <c r="V1182" s="6" t="str">
        <f>IF(BBDD_Usiarios_Netflix[[#This Row],[Duración Plan]]="12 Meses",LEFT(BBDD_Usiarios_Netflix[[#This Row],[Duración Plan]],2),LEFT(BBDD_Usiarios_Netflix[[#This Row],[Duración Plan]],1))</f>
        <v>3</v>
      </c>
      <c r="W11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83" spans="1:23" x14ac:dyDescent="0.25">
      <c r="A1183">
        <v>1182</v>
      </c>
      <c r="B1183" t="s">
        <v>23</v>
      </c>
      <c r="C1183">
        <v>10</v>
      </c>
      <c r="D1183" s="3">
        <v>17</v>
      </c>
      <c r="E1183" s="3">
        <v>9</v>
      </c>
      <c r="F1183">
        <v>23</v>
      </c>
      <c r="G1183" s="1">
        <f>DATEVALUE(_xlfn.CONCAT(BBDD_Usiarios_Netflix[[#This Row],[Día Suscripción]],"/",BBDD_Usiarios_Netflix[[#This Row],[Mes Suscripción]],"/",BBDD_Usiarios_Netflix[[#This Row],[Año Suscripción]]))</f>
        <v>45186</v>
      </c>
      <c r="H1183" s="1">
        <v>4</v>
      </c>
      <c r="I1183" s="1">
        <v>7</v>
      </c>
      <c r="J1183" s="1">
        <v>24</v>
      </c>
      <c r="K1183" s="1" t="str">
        <f>TEXT(BBDD_Usiarios_Netflix[[#This Row],[Fecha Suscripción]],"dddd")</f>
        <v>domingo</v>
      </c>
      <c r="L1183" s="1">
        <f>DATEVALUE(_xlfn.CONCAT(BBDD_Usiarios_Netflix[[#This Row],[Día Último Pago]],"/",BBDD_Usiarios_Netflix[[#This Row],[Mes Último Pago]],"/",BBDD_Usiarios_Netflix[[#This Row],[Año Último Pago]]))</f>
        <v>45477</v>
      </c>
      <c r="M1183" s="4">
        <f>DATEDIF(BBDD_Usiarios_Netflix[[#This Row],[Fecha Suscripción]],BBDD_Usiarios_Netflix[[#This Row],[Fecha Último Pago]],"M")+1</f>
        <v>10</v>
      </c>
      <c r="N1183" s="4">
        <f>BBDD_Usiarios_Netflix[[#This Row],[Ingresos Mensuales]]*BBDD_Usiarios_Netflix[[#This Row],[Meses contratados]]</f>
        <v>100</v>
      </c>
      <c r="O1183" t="s">
        <v>44</v>
      </c>
      <c r="P1183" t="str">
        <f>IF(BBDD_Usiarios_Netflix[[#This Row],[País]]="","Desconocido",BBDD_Usiarios_Netflix[[#This Row],[País]])</f>
        <v>Desconocido</v>
      </c>
      <c r="Q1183">
        <v>28</v>
      </c>
      <c r="R1183" t="s">
        <v>30</v>
      </c>
      <c r="S1183" t="s">
        <v>26</v>
      </c>
      <c r="T1183" t="s">
        <v>41</v>
      </c>
      <c r="U1183">
        <f>IF(IFERROR(VLOOKUP(BBDD_Usiarios_Netflix[[#This Row],[Identificador Usuario]],A1184:$A$5870,1,FALSE),0)&lt;&gt;0,1,0)</f>
        <v>0</v>
      </c>
      <c r="V1183" s="6" t="str">
        <f>IF(BBDD_Usiarios_Netflix[[#This Row],[Duración Plan]]="12 Meses",LEFT(BBDD_Usiarios_Netflix[[#This Row],[Duración Plan]],2),LEFT(BBDD_Usiarios_Netflix[[#This Row],[Duración Plan]],1))</f>
        <v>12</v>
      </c>
      <c r="W11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84" spans="1:23" x14ac:dyDescent="0.25">
      <c r="A1184">
        <v>1183</v>
      </c>
      <c r="B1184" t="s">
        <v>32</v>
      </c>
      <c r="C1184">
        <v>12</v>
      </c>
      <c r="D1184" s="3">
        <v>19</v>
      </c>
      <c r="E1184" s="3">
        <v>9</v>
      </c>
      <c r="F1184">
        <v>23</v>
      </c>
      <c r="G1184" s="1">
        <f>DATEVALUE(_xlfn.CONCAT(BBDD_Usiarios_Netflix[[#This Row],[Día Suscripción]],"/",BBDD_Usiarios_Netflix[[#This Row],[Mes Suscripción]],"/",BBDD_Usiarios_Netflix[[#This Row],[Año Suscripción]]))</f>
        <v>45188</v>
      </c>
      <c r="H1184" s="1">
        <v>2</v>
      </c>
      <c r="I1184" s="1">
        <v>7</v>
      </c>
      <c r="J1184" s="1">
        <v>24</v>
      </c>
      <c r="K1184" s="1" t="str">
        <f>TEXT(BBDD_Usiarios_Netflix[[#This Row],[Fecha Suscripción]],"dddd")</f>
        <v>martes</v>
      </c>
      <c r="L1184" s="1">
        <f>DATEVALUE(_xlfn.CONCAT(BBDD_Usiarios_Netflix[[#This Row],[Día Último Pago]],"/",BBDD_Usiarios_Netflix[[#This Row],[Mes Último Pago]],"/",BBDD_Usiarios_Netflix[[#This Row],[Año Último Pago]]))</f>
        <v>45475</v>
      </c>
      <c r="M1184" s="4">
        <f>DATEDIF(BBDD_Usiarios_Netflix[[#This Row],[Fecha Suscripción]],BBDD_Usiarios_Netflix[[#This Row],[Fecha Último Pago]],"M")+1</f>
        <v>10</v>
      </c>
      <c r="N1184" s="4">
        <f>BBDD_Usiarios_Netflix[[#This Row],[Ingresos Mensuales]]*BBDD_Usiarios_Netflix[[#This Row],[Meses contratados]]</f>
        <v>120</v>
      </c>
      <c r="O1184" t="s">
        <v>40</v>
      </c>
      <c r="P1184" t="str">
        <f>IF(BBDD_Usiarios_Netflix[[#This Row],[País]]="","Desconocido",BBDD_Usiarios_Netflix[[#This Row],[País]])</f>
        <v>Italia</v>
      </c>
      <c r="Q1184">
        <v>44</v>
      </c>
      <c r="R1184" t="s">
        <v>30</v>
      </c>
      <c r="S1184" t="s">
        <v>31</v>
      </c>
      <c r="T1184" t="s">
        <v>38</v>
      </c>
      <c r="U1184">
        <f>IF(IFERROR(VLOOKUP(BBDD_Usiarios_Netflix[[#This Row],[Identificador Usuario]],A1185:$A$5870,1,FALSE),0)&lt;&gt;0,1,0)</f>
        <v>0</v>
      </c>
      <c r="V1184" s="6" t="str">
        <f>IF(BBDD_Usiarios_Netflix[[#This Row],[Duración Plan]]="12 Meses",LEFT(BBDD_Usiarios_Netflix[[#This Row],[Duración Plan]],2),LEFT(BBDD_Usiarios_Netflix[[#This Row],[Duración Plan]],1))</f>
        <v>3</v>
      </c>
      <c r="W11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85" spans="1:23" x14ac:dyDescent="0.25">
      <c r="A1185">
        <v>1184</v>
      </c>
      <c r="B1185" t="s">
        <v>28</v>
      </c>
      <c r="C1185">
        <v>14</v>
      </c>
      <c r="D1185" s="3">
        <v>28</v>
      </c>
      <c r="E1185" s="3">
        <v>9</v>
      </c>
      <c r="F1185">
        <v>23</v>
      </c>
      <c r="G1185" s="1">
        <f>DATEVALUE(_xlfn.CONCAT(BBDD_Usiarios_Netflix[[#This Row],[Día Suscripción]],"/",BBDD_Usiarios_Netflix[[#This Row],[Mes Suscripción]],"/",BBDD_Usiarios_Netflix[[#This Row],[Año Suscripción]]))</f>
        <v>45197</v>
      </c>
      <c r="H1185" s="1">
        <v>3</v>
      </c>
      <c r="I1185" s="1">
        <v>7</v>
      </c>
      <c r="J1185" s="1">
        <v>24</v>
      </c>
      <c r="K1185" s="1" t="str">
        <f>TEXT(BBDD_Usiarios_Netflix[[#This Row],[Fecha Suscripción]],"dddd")</f>
        <v>jueves</v>
      </c>
      <c r="L1185" s="1">
        <f>DATEVALUE(_xlfn.CONCAT(BBDD_Usiarios_Netflix[[#This Row],[Día Último Pago]],"/",BBDD_Usiarios_Netflix[[#This Row],[Mes Último Pago]],"/",BBDD_Usiarios_Netflix[[#This Row],[Año Último Pago]]))</f>
        <v>45476</v>
      </c>
      <c r="M1185" s="4">
        <f>DATEDIF(BBDD_Usiarios_Netflix[[#This Row],[Fecha Suscripción]],BBDD_Usiarios_Netflix[[#This Row],[Fecha Último Pago]],"M")+1</f>
        <v>10</v>
      </c>
      <c r="N1185" s="4">
        <f>BBDD_Usiarios_Netflix[[#This Row],[Ingresos Mensuales]]*BBDD_Usiarios_Netflix[[#This Row],[Meses contratados]]</f>
        <v>140</v>
      </c>
      <c r="O1185" t="s">
        <v>29</v>
      </c>
      <c r="P1185" t="str">
        <f>IF(BBDD_Usiarios_Netflix[[#This Row],[País]]="","Desconocido",BBDD_Usiarios_Netflix[[#This Row],[País]])</f>
        <v>EEUU</v>
      </c>
      <c r="Q1185">
        <v>38</v>
      </c>
      <c r="R1185" t="s">
        <v>30</v>
      </c>
      <c r="S1185" t="s">
        <v>36</v>
      </c>
      <c r="T1185" t="s">
        <v>38</v>
      </c>
      <c r="U1185">
        <f>IF(IFERROR(VLOOKUP(BBDD_Usiarios_Netflix[[#This Row],[Identificador Usuario]],A1186:$A$5870,1,FALSE),0)&lt;&gt;0,1,0)</f>
        <v>0</v>
      </c>
      <c r="V1185" s="6" t="str">
        <f>IF(BBDD_Usiarios_Netflix[[#This Row],[Duración Plan]]="12 Meses",LEFT(BBDD_Usiarios_Netflix[[#This Row],[Duración Plan]],2),LEFT(BBDD_Usiarios_Netflix[[#This Row],[Duración Plan]],1))</f>
        <v>3</v>
      </c>
      <c r="W11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86" spans="1:23" x14ac:dyDescent="0.25">
      <c r="A1186">
        <v>1185</v>
      </c>
      <c r="B1186" t="s">
        <v>23</v>
      </c>
      <c r="C1186">
        <v>10</v>
      </c>
      <c r="D1186" s="3">
        <v>6</v>
      </c>
      <c r="E1186" s="3">
        <v>10</v>
      </c>
      <c r="F1186">
        <v>23</v>
      </c>
      <c r="G1186" s="1">
        <f>DATEVALUE(_xlfn.CONCAT(BBDD_Usiarios_Netflix[[#This Row],[Día Suscripción]],"/",BBDD_Usiarios_Netflix[[#This Row],[Mes Suscripción]],"/",BBDD_Usiarios_Netflix[[#This Row],[Año Suscripción]]))</f>
        <v>45205</v>
      </c>
      <c r="H1186" s="1">
        <v>2</v>
      </c>
      <c r="I1186" s="1">
        <v>7</v>
      </c>
      <c r="J1186" s="1">
        <v>24</v>
      </c>
      <c r="K1186" s="1" t="str">
        <f>TEXT(BBDD_Usiarios_Netflix[[#This Row],[Fecha Suscripción]],"dddd")</f>
        <v>viernes</v>
      </c>
      <c r="L1186" s="1">
        <f>DATEVALUE(_xlfn.CONCAT(BBDD_Usiarios_Netflix[[#This Row],[Día Último Pago]],"/",BBDD_Usiarios_Netflix[[#This Row],[Mes Último Pago]],"/",BBDD_Usiarios_Netflix[[#This Row],[Año Último Pago]]))</f>
        <v>45475</v>
      </c>
      <c r="M1186" s="4">
        <f>DATEDIF(BBDD_Usiarios_Netflix[[#This Row],[Fecha Suscripción]],BBDD_Usiarios_Netflix[[#This Row],[Fecha Último Pago]],"M")+1</f>
        <v>9</v>
      </c>
      <c r="N1186" s="4">
        <f>BBDD_Usiarios_Netflix[[#This Row],[Ingresos Mensuales]]*BBDD_Usiarios_Netflix[[#This Row],[Meses contratados]]</f>
        <v>90</v>
      </c>
      <c r="O1186" t="s">
        <v>33</v>
      </c>
      <c r="P1186" t="str">
        <f>IF(BBDD_Usiarios_Netflix[[#This Row],[País]]="","Desconocido",BBDD_Usiarios_Netflix[[#This Row],[País]])</f>
        <v>Francia</v>
      </c>
      <c r="Q1186">
        <v>49</v>
      </c>
      <c r="R1186" t="s">
        <v>25</v>
      </c>
      <c r="S1186" t="s">
        <v>34</v>
      </c>
      <c r="T1186" t="s">
        <v>27</v>
      </c>
      <c r="U1186">
        <f>IF(IFERROR(VLOOKUP(BBDD_Usiarios_Netflix[[#This Row],[Identificador Usuario]],A1187:$A$5870,1,FALSE),0)&lt;&gt;0,1,0)</f>
        <v>0</v>
      </c>
      <c r="V1186" s="6" t="str">
        <f>IF(BBDD_Usiarios_Netflix[[#This Row],[Duración Plan]]="12 Meses",LEFT(BBDD_Usiarios_Netflix[[#This Row],[Duración Plan]],2),LEFT(BBDD_Usiarios_Netflix[[#This Row],[Duración Plan]],1))</f>
        <v>1</v>
      </c>
      <c r="W11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87" spans="1:23" x14ac:dyDescent="0.25">
      <c r="A1187">
        <v>1186</v>
      </c>
      <c r="B1187" t="s">
        <v>28</v>
      </c>
      <c r="C1187">
        <v>14</v>
      </c>
      <c r="D1187" s="3">
        <v>7</v>
      </c>
      <c r="E1187" s="3">
        <v>10</v>
      </c>
      <c r="F1187">
        <v>23</v>
      </c>
      <c r="G1187" s="1">
        <f>DATEVALUE(_xlfn.CONCAT(BBDD_Usiarios_Netflix[[#This Row],[Día Suscripción]],"/",BBDD_Usiarios_Netflix[[#This Row],[Mes Suscripción]],"/",BBDD_Usiarios_Netflix[[#This Row],[Año Suscripción]]))</f>
        <v>45206</v>
      </c>
      <c r="H1187" s="1">
        <v>5</v>
      </c>
      <c r="I1187" s="1">
        <v>7</v>
      </c>
      <c r="J1187" s="1">
        <v>24</v>
      </c>
      <c r="K1187" s="1" t="str">
        <f>TEXT(BBDD_Usiarios_Netflix[[#This Row],[Fecha Suscripción]],"dddd")</f>
        <v>sábado</v>
      </c>
      <c r="L1187" s="1">
        <f>DATEVALUE(_xlfn.CONCAT(BBDD_Usiarios_Netflix[[#This Row],[Día Último Pago]],"/",BBDD_Usiarios_Netflix[[#This Row],[Mes Último Pago]],"/",BBDD_Usiarios_Netflix[[#This Row],[Año Último Pago]]))</f>
        <v>45478</v>
      </c>
      <c r="M1187" s="4">
        <f>DATEDIF(BBDD_Usiarios_Netflix[[#This Row],[Fecha Suscripción]],BBDD_Usiarios_Netflix[[#This Row],[Fecha Último Pago]],"M")+1</f>
        <v>9</v>
      </c>
      <c r="N1187" s="4">
        <f>BBDD_Usiarios_Netflix[[#This Row],[Ingresos Mensuales]]*BBDD_Usiarios_Netflix[[#This Row],[Meses contratados]]</f>
        <v>126</v>
      </c>
      <c r="O1187" t="s">
        <v>42</v>
      </c>
      <c r="P1187" t="str">
        <f>IF(BBDD_Usiarios_Netflix[[#This Row],[País]]="","Desconocido",BBDD_Usiarios_Netflix[[#This Row],[País]])</f>
        <v>Reino Unido</v>
      </c>
      <c r="Q1187">
        <v>32</v>
      </c>
      <c r="R1187" t="s">
        <v>30</v>
      </c>
      <c r="S1187" t="s">
        <v>34</v>
      </c>
      <c r="T1187" t="s">
        <v>35</v>
      </c>
      <c r="U1187">
        <f>IF(IFERROR(VLOOKUP(BBDD_Usiarios_Netflix[[#This Row],[Identificador Usuario]],A1188:$A$5870,1,FALSE),0)&lt;&gt;0,1,0)</f>
        <v>0</v>
      </c>
      <c r="V1187" s="6" t="str">
        <f>IF(BBDD_Usiarios_Netflix[[#This Row],[Duración Plan]]="12 Meses",LEFT(BBDD_Usiarios_Netflix[[#This Row],[Duración Plan]],2),LEFT(BBDD_Usiarios_Netflix[[#This Row],[Duración Plan]],1))</f>
        <v>6</v>
      </c>
      <c r="W11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88" spans="1:23" x14ac:dyDescent="0.25">
      <c r="A1188">
        <v>1187</v>
      </c>
      <c r="B1188" t="s">
        <v>23</v>
      </c>
      <c r="C1188">
        <v>10</v>
      </c>
      <c r="D1188" s="3">
        <v>9</v>
      </c>
      <c r="E1188" s="3">
        <v>10</v>
      </c>
      <c r="F1188">
        <v>23</v>
      </c>
      <c r="G1188" s="1">
        <f>DATEVALUE(_xlfn.CONCAT(BBDD_Usiarios_Netflix[[#This Row],[Día Suscripción]],"/",BBDD_Usiarios_Netflix[[#This Row],[Mes Suscripción]],"/",BBDD_Usiarios_Netflix[[#This Row],[Año Suscripción]]))</f>
        <v>45208</v>
      </c>
      <c r="H1188" s="1">
        <v>1</v>
      </c>
      <c r="I1188" s="1">
        <v>7</v>
      </c>
      <c r="J1188" s="1">
        <v>24</v>
      </c>
      <c r="K1188" s="1" t="str">
        <f>TEXT(BBDD_Usiarios_Netflix[[#This Row],[Fecha Suscripción]],"dddd")</f>
        <v>lunes</v>
      </c>
      <c r="L1188" s="1">
        <f>DATEVALUE(_xlfn.CONCAT(BBDD_Usiarios_Netflix[[#This Row],[Día Último Pago]],"/",BBDD_Usiarios_Netflix[[#This Row],[Mes Último Pago]],"/",BBDD_Usiarios_Netflix[[#This Row],[Año Último Pago]]))</f>
        <v>45474</v>
      </c>
      <c r="M1188" s="4">
        <f>DATEDIF(BBDD_Usiarios_Netflix[[#This Row],[Fecha Suscripción]],BBDD_Usiarios_Netflix[[#This Row],[Fecha Último Pago]],"M")+1</f>
        <v>9</v>
      </c>
      <c r="N1188" s="4">
        <f>BBDD_Usiarios_Netflix[[#This Row],[Ingresos Mensuales]]*BBDD_Usiarios_Netflix[[#This Row],[Meses contratados]]</f>
        <v>90</v>
      </c>
      <c r="O1188" t="s">
        <v>43</v>
      </c>
      <c r="P1188" t="str">
        <f>IF(BBDD_Usiarios_Netflix[[#This Row],[País]]="","Desconocido",BBDD_Usiarios_Netflix[[#This Row],[País]])</f>
        <v>Alemania</v>
      </c>
      <c r="Q1188">
        <v>47</v>
      </c>
      <c r="R1188" t="s">
        <v>30</v>
      </c>
      <c r="S1188" t="s">
        <v>34</v>
      </c>
      <c r="T1188" t="s">
        <v>35</v>
      </c>
      <c r="U1188">
        <f>IF(IFERROR(VLOOKUP(BBDD_Usiarios_Netflix[[#This Row],[Identificador Usuario]],A1189:$A$5870,1,FALSE),0)&lt;&gt;0,1,0)</f>
        <v>0</v>
      </c>
      <c r="V1188" s="6" t="str">
        <f>IF(BBDD_Usiarios_Netflix[[#This Row],[Duración Plan]]="12 Meses",LEFT(BBDD_Usiarios_Netflix[[#This Row],[Duración Plan]],2),LEFT(BBDD_Usiarios_Netflix[[#This Row],[Duración Plan]],1))</f>
        <v>6</v>
      </c>
      <c r="W11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89" spans="1:23" x14ac:dyDescent="0.25">
      <c r="A1189">
        <v>1188</v>
      </c>
      <c r="B1189" t="s">
        <v>32</v>
      </c>
      <c r="C1189">
        <v>12</v>
      </c>
      <c r="D1189" s="3">
        <v>10</v>
      </c>
      <c r="E1189" s="3">
        <v>10</v>
      </c>
      <c r="F1189">
        <v>23</v>
      </c>
      <c r="G1189" s="1">
        <f>DATEVALUE(_xlfn.CONCAT(BBDD_Usiarios_Netflix[[#This Row],[Día Suscripción]],"/",BBDD_Usiarios_Netflix[[#This Row],[Mes Suscripción]],"/",BBDD_Usiarios_Netflix[[#This Row],[Año Suscripción]]))</f>
        <v>45209</v>
      </c>
      <c r="H1189" s="1">
        <v>3</v>
      </c>
      <c r="I1189" s="1">
        <v>7</v>
      </c>
      <c r="J1189" s="1">
        <v>24</v>
      </c>
      <c r="K1189" s="1" t="str">
        <f>TEXT(BBDD_Usiarios_Netflix[[#This Row],[Fecha Suscripción]],"dddd")</f>
        <v>martes</v>
      </c>
      <c r="L1189" s="1">
        <f>DATEVALUE(_xlfn.CONCAT(BBDD_Usiarios_Netflix[[#This Row],[Día Último Pago]],"/",BBDD_Usiarios_Netflix[[#This Row],[Mes Último Pago]],"/",BBDD_Usiarios_Netflix[[#This Row],[Año Último Pago]]))</f>
        <v>45476</v>
      </c>
      <c r="M1189" s="4">
        <f>DATEDIF(BBDD_Usiarios_Netflix[[#This Row],[Fecha Suscripción]],BBDD_Usiarios_Netflix[[#This Row],[Fecha Último Pago]],"M")+1</f>
        <v>9</v>
      </c>
      <c r="N1189" s="4">
        <f>BBDD_Usiarios_Netflix[[#This Row],[Ingresos Mensuales]]*BBDD_Usiarios_Netflix[[#This Row],[Meses contratados]]</f>
        <v>108</v>
      </c>
      <c r="O1189" t="s">
        <v>24</v>
      </c>
      <c r="P1189" t="str">
        <f>IF(BBDD_Usiarios_Netflix[[#This Row],[País]]="","Desconocido",BBDD_Usiarios_Netflix[[#This Row],[País]])</f>
        <v>Australia</v>
      </c>
      <c r="Q1189">
        <v>44</v>
      </c>
      <c r="R1189" t="s">
        <v>25</v>
      </c>
      <c r="S1189" t="s">
        <v>31</v>
      </c>
      <c r="T1189" t="s">
        <v>35</v>
      </c>
      <c r="U1189">
        <f>IF(IFERROR(VLOOKUP(BBDD_Usiarios_Netflix[[#This Row],[Identificador Usuario]],A1190:$A$5870,1,FALSE),0)&lt;&gt;0,1,0)</f>
        <v>0</v>
      </c>
      <c r="V1189" s="6" t="str">
        <f>IF(BBDD_Usiarios_Netflix[[#This Row],[Duración Plan]]="12 Meses",LEFT(BBDD_Usiarios_Netflix[[#This Row],[Duración Plan]],2),LEFT(BBDD_Usiarios_Netflix[[#This Row],[Duración Plan]],1))</f>
        <v>6</v>
      </c>
      <c r="W11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90" spans="1:23" x14ac:dyDescent="0.25">
      <c r="A1190">
        <v>1189</v>
      </c>
      <c r="B1190" t="s">
        <v>32</v>
      </c>
      <c r="C1190">
        <v>12</v>
      </c>
      <c r="D1190" s="3">
        <v>11</v>
      </c>
      <c r="E1190" s="3">
        <v>10</v>
      </c>
      <c r="F1190">
        <v>23</v>
      </c>
      <c r="G1190" s="1">
        <f>DATEVALUE(_xlfn.CONCAT(BBDD_Usiarios_Netflix[[#This Row],[Día Suscripción]],"/",BBDD_Usiarios_Netflix[[#This Row],[Mes Suscripción]],"/",BBDD_Usiarios_Netflix[[#This Row],[Año Suscripción]]))</f>
        <v>45210</v>
      </c>
      <c r="H1190" s="1">
        <v>3</v>
      </c>
      <c r="I1190" s="1">
        <v>7</v>
      </c>
      <c r="J1190" s="1">
        <v>24</v>
      </c>
      <c r="K1190" s="1" t="str">
        <f>TEXT(BBDD_Usiarios_Netflix[[#This Row],[Fecha Suscripción]],"dddd")</f>
        <v>miércoles</v>
      </c>
      <c r="L1190" s="1">
        <f>DATEVALUE(_xlfn.CONCAT(BBDD_Usiarios_Netflix[[#This Row],[Día Último Pago]],"/",BBDD_Usiarios_Netflix[[#This Row],[Mes Último Pago]],"/",BBDD_Usiarios_Netflix[[#This Row],[Año Último Pago]]))</f>
        <v>45476</v>
      </c>
      <c r="M1190" s="4">
        <f>DATEDIF(BBDD_Usiarios_Netflix[[#This Row],[Fecha Suscripción]],BBDD_Usiarios_Netflix[[#This Row],[Fecha Último Pago]],"M")+1</f>
        <v>9</v>
      </c>
      <c r="N1190" s="4">
        <f>BBDD_Usiarios_Netflix[[#This Row],[Ingresos Mensuales]]*BBDD_Usiarios_Netflix[[#This Row],[Meses contratados]]</f>
        <v>108</v>
      </c>
      <c r="O1190" t="s">
        <v>33</v>
      </c>
      <c r="P1190" t="str">
        <f>IF(BBDD_Usiarios_Netflix[[#This Row],[País]]="","Desconocido",BBDD_Usiarios_Netflix[[#This Row],[País]])</f>
        <v>Francia</v>
      </c>
      <c r="Q1190">
        <v>33</v>
      </c>
      <c r="R1190" t="s">
        <v>25</v>
      </c>
      <c r="S1190" t="s">
        <v>26</v>
      </c>
      <c r="T1190" t="s">
        <v>27</v>
      </c>
      <c r="U1190">
        <f>IF(IFERROR(VLOOKUP(BBDD_Usiarios_Netflix[[#This Row],[Identificador Usuario]],A1191:$A$5870,1,FALSE),0)&lt;&gt;0,1,0)</f>
        <v>0</v>
      </c>
      <c r="V1190" s="6" t="str">
        <f>IF(BBDD_Usiarios_Netflix[[#This Row],[Duración Plan]]="12 Meses",LEFT(BBDD_Usiarios_Netflix[[#This Row],[Duración Plan]],2),LEFT(BBDD_Usiarios_Netflix[[#This Row],[Duración Plan]],1))</f>
        <v>1</v>
      </c>
      <c r="W11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91" spans="1:23" x14ac:dyDescent="0.25">
      <c r="A1191">
        <v>1190</v>
      </c>
      <c r="B1191" t="s">
        <v>23</v>
      </c>
      <c r="C1191">
        <v>10</v>
      </c>
      <c r="D1191" s="3">
        <v>12</v>
      </c>
      <c r="E1191" s="3">
        <v>10</v>
      </c>
      <c r="F1191">
        <v>23</v>
      </c>
      <c r="G1191" s="1">
        <f>DATEVALUE(_xlfn.CONCAT(BBDD_Usiarios_Netflix[[#This Row],[Día Suscripción]],"/",BBDD_Usiarios_Netflix[[#This Row],[Mes Suscripción]],"/",BBDD_Usiarios_Netflix[[#This Row],[Año Suscripción]]))</f>
        <v>45211</v>
      </c>
      <c r="H1191" s="1">
        <v>4</v>
      </c>
      <c r="I1191" s="1">
        <v>7</v>
      </c>
      <c r="J1191" s="1">
        <v>24</v>
      </c>
      <c r="K1191" s="1" t="str">
        <f>TEXT(BBDD_Usiarios_Netflix[[#This Row],[Fecha Suscripción]],"dddd")</f>
        <v>jueves</v>
      </c>
      <c r="L1191" s="1">
        <f>DATEVALUE(_xlfn.CONCAT(BBDD_Usiarios_Netflix[[#This Row],[Día Último Pago]],"/",BBDD_Usiarios_Netflix[[#This Row],[Mes Último Pago]],"/",BBDD_Usiarios_Netflix[[#This Row],[Año Último Pago]]))</f>
        <v>45477</v>
      </c>
      <c r="M1191" s="4">
        <f>DATEDIF(BBDD_Usiarios_Netflix[[#This Row],[Fecha Suscripción]],BBDD_Usiarios_Netflix[[#This Row],[Fecha Último Pago]],"M")+1</f>
        <v>9</v>
      </c>
      <c r="N1191" s="4">
        <f>BBDD_Usiarios_Netflix[[#This Row],[Ingresos Mensuales]]*BBDD_Usiarios_Netflix[[#This Row],[Meses contratados]]</f>
        <v>90</v>
      </c>
      <c r="O1191" t="s">
        <v>40</v>
      </c>
      <c r="P1191" t="str">
        <f>IF(BBDD_Usiarios_Netflix[[#This Row],[País]]="","Desconocido",BBDD_Usiarios_Netflix[[#This Row],[País]])</f>
        <v>Italia</v>
      </c>
      <c r="Q1191">
        <v>32</v>
      </c>
      <c r="R1191" t="s">
        <v>25</v>
      </c>
      <c r="S1191" t="s">
        <v>36</v>
      </c>
      <c r="T1191" t="s">
        <v>27</v>
      </c>
      <c r="U1191">
        <f>IF(IFERROR(VLOOKUP(BBDD_Usiarios_Netflix[[#This Row],[Identificador Usuario]],A1192:$A$5870,1,FALSE),0)&lt;&gt;0,1,0)</f>
        <v>0</v>
      </c>
      <c r="V1191" s="6" t="str">
        <f>IF(BBDD_Usiarios_Netflix[[#This Row],[Duración Plan]]="12 Meses",LEFT(BBDD_Usiarios_Netflix[[#This Row],[Duración Plan]],2),LEFT(BBDD_Usiarios_Netflix[[#This Row],[Duración Plan]],1))</f>
        <v>1</v>
      </c>
      <c r="W11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92" spans="1:23" x14ac:dyDescent="0.25">
      <c r="A1192">
        <v>1191</v>
      </c>
      <c r="B1192" t="s">
        <v>28</v>
      </c>
      <c r="C1192">
        <v>14</v>
      </c>
      <c r="D1192" s="3">
        <v>13</v>
      </c>
      <c r="E1192" s="3">
        <v>10</v>
      </c>
      <c r="F1192">
        <v>23</v>
      </c>
      <c r="G1192" s="1">
        <f>DATEVALUE(_xlfn.CONCAT(BBDD_Usiarios_Netflix[[#This Row],[Día Suscripción]],"/",BBDD_Usiarios_Netflix[[#This Row],[Mes Suscripción]],"/",BBDD_Usiarios_Netflix[[#This Row],[Año Suscripción]]))</f>
        <v>45212</v>
      </c>
      <c r="H1192" s="1">
        <v>1</v>
      </c>
      <c r="I1192" s="1">
        <v>7</v>
      </c>
      <c r="J1192" s="1">
        <v>24</v>
      </c>
      <c r="K1192" s="1" t="str">
        <f>TEXT(BBDD_Usiarios_Netflix[[#This Row],[Fecha Suscripción]],"dddd")</f>
        <v>viernes</v>
      </c>
      <c r="L1192" s="1">
        <f>DATEVALUE(_xlfn.CONCAT(BBDD_Usiarios_Netflix[[#This Row],[Día Último Pago]],"/",BBDD_Usiarios_Netflix[[#This Row],[Mes Último Pago]],"/",BBDD_Usiarios_Netflix[[#This Row],[Año Último Pago]]))</f>
        <v>45474</v>
      </c>
      <c r="M1192" s="4">
        <f>DATEDIF(BBDD_Usiarios_Netflix[[#This Row],[Fecha Suscripción]],BBDD_Usiarios_Netflix[[#This Row],[Fecha Último Pago]],"M")+1</f>
        <v>9</v>
      </c>
      <c r="N1192" s="4">
        <f>BBDD_Usiarios_Netflix[[#This Row],[Ingresos Mensuales]]*BBDD_Usiarios_Netflix[[#This Row],[Meses contratados]]</f>
        <v>126</v>
      </c>
      <c r="O1192" t="s">
        <v>43</v>
      </c>
      <c r="P1192" t="str">
        <f>IF(BBDD_Usiarios_Netflix[[#This Row],[País]]="","Desconocido",BBDD_Usiarios_Netflix[[#This Row],[País]])</f>
        <v>Alemania</v>
      </c>
      <c r="Q1192">
        <v>27</v>
      </c>
      <c r="R1192" t="s">
        <v>30</v>
      </c>
      <c r="S1192" t="s">
        <v>26</v>
      </c>
      <c r="T1192" t="s">
        <v>38</v>
      </c>
      <c r="U1192">
        <f>IF(IFERROR(VLOOKUP(BBDD_Usiarios_Netflix[[#This Row],[Identificador Usuario]],A1193:$A$5870,1,FALSE),0)&lt;&gt;0,1,0)</f>
        <v>0</v>
      </c>
      <c r="V1192" s="6" t="str">
        <f>IF(BBDD_Usiarios_Netflix[[#This Row],[Duración Plan]]="12 Meses",LEFT(BBDD_Usiarios_Netflix[[#This Row],[Duración Plan]],2),LEFT(BBDD_Usiarios_Netflix[[#This Row],[Duración Plan]],1))</f>
        <v>3</v>
      </c>
      <c r="W11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93" spans="1:23" x14ac:dyDescent="0.25">
      <c r="A1193">
        <v>1192</v>
      </c>
      <c r="B1193" t="s">
        <v>23</v>
      </c>
      <c r="C1193">
        <v>10</v>
      </c>
      <c r="D1193" s="3">
        <v>14</v>
      </c>
      <c r="E1193" s="3">
        <v>10</v>
      </c>
      <c r="F1193">
        <v>23</v>
      </c>
      <c r="G1193" s="1">
        <f>DATEVALUE(_xlfn.CONCAT(BBDD_Usiarios_Netflix[[#This Row],[Día Suscripción]],"/",BBDD_Usiarios_Netflix[[#This Row],[Mes Suscripción]],"/",BBDD_Usiarios_Netflix[[#This Row],[Año Suscripción]]))</f>
        <v>45213</v>
      </c>
      <c r="H1193" s="1">
        <v>3</v>
      </c>
      <c r="I1193" s="1">
        <v>7</v>
      </c>
      <c r="J1193" s="1">
        <v>24</v>
      </c>
      <c r="K1193" s="1" t="str">
        <f>TEXT(BBDD_Usiarios_Netflix[[#This Row],[Fecha Suscripción]],"dddd")</f>
        <v>sábado</v>
      </c>
      <c r="L1193" s="1">
        <f>DATEVALUE(_xlfn.CONCAT(BBDD_Usiarios_Netflix[[#This Row],[Día Último Pago]],"/",BBDD_Usiarios_Netflix[[#This Row],[Mes Último Pago]],"/",BBDD_Usiarios_Netflix[[#This Row],[Año Último Pago]]))</f>
        <v>45476</v>
      </c>
      <c r="M1193" s="4">
        <f>DATEDIF(BBDD_Usiarios_Netflix[[#This Row],[Fecha Suscripción]],BBDD_Usiarios_Netflix[[#This Row],[Fecha Último Pago]],"M")+1</f>
        <v>9</v>
      </c>
      <c r="N1193" s="4">
        <f>BBDD_Usiarios_Netflix[[#This Row],[Ingresos Mensuales]]*BBDD_Usiarios_Netflix[[#This Row],[Meses contratados]]</f>
        <v>90</v>
      </c>
      <c r="O1193" t="s">
        <v>40</v>
      </c>
      <c r="P1193" t="str">
        <f>IF(BBDD_Usiarios_Netflix[[#This Row],[País]]="","Desconocido",BBDD_Usiarios_Netflix[[#This Row],[País]])</f>
        <v>Italia</v>
      </c>
      <c r="Q1193">
        <v>37</v>
      </c>
      <c r="R1193" t="s">
        <v>25</v>
      </c>
      <c r="S1193" t="s">
        <v>36</v>
      </c>
      <c r="T1193" t="s">
        <v>41</v>
      </c>
      <c r="U1193">
        <f>IF(IFERROR(VLOOKUP(BBDD_Usiarios_Netflix[[#This Row],[Identificador Usuario]],A1194:$A$5870,1,FALSE),0)&lt;&gt;0,1,0)</f>
        <v>0</v>
      </c>
      <c r="V1193" s="6" t="str">
        <f>IF(BBDD_Usiarios_Netflix[[#This Row],[Duración Plan]]="12 Meses",LEFT(BBDD_Usiarios_Netflix[[#This Row],[Duración Plan]],2),LEFT(BBDD_Usiarios_Netflix[[#This Row],[Duración Plan]],1))</f>
        <v>12</v>
      </c>
      <c r="W11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194" spans="1:23" x14ac:dyDescent="0.25">
      <c r="A1194">
        <v>1193</v>
      </c>
      <c r="B1194" t="s">
        <v>32</v>
      </c>
      <c r="C1194">
        <v>12</v>
      </c>
      <c r="D1194" s="3">
        <v>16</v>
      </c>
      <c r="E1194" s="3">
        <v>10</v>
      </c>
      <c r="F1194">
        <v>23</v>
      </c>
      <c r="G1194" s="1">
        <f>DATEVALUE(_xlfn.CONCAT(BBDD_Usiarios_Netflix[[#This Row],[Día Suscripción]],"/",BBDD_Usiarios_Netflix[[#This Row],[Mes Suscripción]],"/",BBDD_Usiarios_Netflix[[#This Row],[Año Suscripción]]))</f>
        <v>45215</v>
      </c>
      <c r="H1194" s="1">
        <v>3</v>
      </c>
      <c r="I1194" s="1">
        <v>7</v>
      </c>
      <c r="J1194" s="1">
        <v>24</v>
      </c>
      <c r="K1194" s="1" t="str">
        <f>TEXT(BBDD_Usiarios_Netflix[[#This Row],[Fecha Suscripción]],"dddd")</f>
        <v>lunes</v>
      </c>
      <c r="L1194" s="1">
        <f>DATEVALUE(_xlfn.CONCAT(BBDD_Usiarios_Netflix[[#This Row],[Día Último Pago]],"/",BBDD_Usiarios_Netflix[[#This Row],[Mes Último Pago]],"/",BBDD_Usiarios_Netflix[[#This Row],[Año Último Pago]]))</f>
        <v>45476</v>
      </c>
      <c r="M1194" s="4">
        <f>DATEDIF(BBDD_Usiarios_Netflix[[#This Row],[Fecha Suscripción]],BBDD_Usiarios_Netflix[[#This Row],[Fecha Último Pago]],"M")+1</f>
        <v>9</v>
      </c>
      <c r="N1194" s="4">
        <f>BBDD_Usiarios_Netflix[[#This Row],[Ingresos Mensuales]]*BBDD_Usiarios_Netflix[[#This Row],[Meses contratados]]</f>
        <v>108</v>
      </c>
      <c r="O1194" t="s">
        <v>42</v>
      </c>
      <c r="P1194" t="str">
        <f>IF(BBDD_Usiarios_Netflix[[#This Row],[País]]="","Desconocido",BBDD_Usiarios_Netflix[[#This Row],[País]])</f>
        <v>Reino Unido</v>
      </c>
      <c r="Q1194">
        <v>34</v>
      </c>
      <c r="R1194" t="s">
        <v>25</v>
      </c>
      <c r="S1194" t="s">
        <v>31</v>
      </c>
      <c r="T1194" t="s">
        <v>27</v>
      </c>
      <c r="U1194">
        <f>IF(IFERROR(VLOOKUP(BBDD_Usiarios_Netflix[[#This Row],[Identificador Usuario]],A1195:$A$5870,1,FALSE),0)&lt;&gt;0,1,0)</f>
        <v>0</v>
      </c>
      <c r="V1194" s="6" t="str">
        <f>IF(BBDD_Usiarios_Netflix[[#This Row],[Duración Plan]]="12 Meses",LEFT(BBDD_Usiarios_Netflix[[#This Row],[Duración Plan]],2),LEFT(BBDD_Usiarios_Netflix[[#This Row],[Duración Plan]],1))</f>
        <v>1</v>
      </c>
      <c r="W11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95" spans="1:23" x14ac:dyDescent="0.25">
      <c r="A1195">
        <v>1194</v>
      </c>
      <c r="B1195" t="s">
        <v>28</v>
      </c>
      <c r="C1195">
        <v>14</v>
      </c>
      <c r="D1195" s="3">
        <v>19</v>
      </c>
      <c r="E1195" s="3">
        <v>10</v>
      </c>
      <c r="F1195">
        <v>23</v>
      </c>
      <c r="G1195" s="1">
        <f>DATEVALUE(_xlfn.CONCAT(BBDD_Usiarios_Netflix[[#This Row],[Día Suscripción]],"/",BBDD_Usiarios_Netflix[[#This Row],[Mes Suscripción]],"/",BBDD_Usiarios_Netflix[[#This Row],[Año Suscripción]]))</f>
        <v>45218</v>
      </c>
      <c r="H1195" s="1">
        <v>4</v>
      </c>
      <c r="I1195" s="1">
        <v>7</v>
      </c>
      <c r="J1195" s="1">
        <v>24</v>
      </c>
      <c r="K1195" s="1" t="str">
        <f>TEXT(BBDD_Usiarios_Netflix[[#This Row],[Fecha Suscripción]],"dddd")</f>
        <v>jueves</v>
      </c>
      <c r="L1195" s="1">
        <f>DATEVALUE(_xlfn.CONCAT(BBDD_Usiarios_Netflix[[#This Row],[Día Último Pago]],"/",BBDD_Usiarios_Netflix[[#This Row],[Mes Último Pago]],"/",BBDD_Usiarios_Netflix[[#This Row],[Año Último Pago]]))</f>
        <v>45477</v>
      </c>
      <c r="M1195" s="4">
        <f>DATEDIF(BBDD_Usiarios_Netflix[[#This Row],[Fecha Suscripción]],BBDD_Usiarios_Netflix[[#This Row],[Fecha Último Pago]],"M")+1</f>
        <v>9</v>
      </c>
      <c r="N1195" s="4">
        <f>BBDD_Usiarios_Netflix[[#This Row],[Ingresos Mensuales]]*BBDD_Usiarios_Netflix[[#This Row],[Meses contratados]]</f>
        <v>126</v>
      </c>
      <c r="O1195" t="s">
        <v>29</v>
      </c>
      <c r="P1195" t="str">
        <f>IF(BBDD_Usiarios_Netflix[[#This Row],[País]]="","Desconocido",BBDD_Usiarios_Netflix[[#This Row],[País]])</f>
        <v>EEUU</v>
      </c>
      <c r="Q1195">
        <v>40</v>
      </c>
      <c r="R1195" t="s">
        <v>25</v>
      </c>
      <c r="S1195" t="s">
        <v>34</v>
      </c>
      <c r="T1195" t="s">
        <v>38</v>
      </c>
      <c r="U1195">
        <f>IF(IFERROR(VLOOKUP(BBDD_Usiarios_Netflix[[#This Row],[Identificador Usuario]],A1196:$A$5870,1,FALSE),0)&lt;&gt;0,1,0)</f>
        <v>0</v>
      </c>
      <c r="V1195" s="6" t="str">
        <f>IF(BBDD_Usiarios_Netflix[[#This Row],[Duración Plan]]="12 Meses",LEFT(BBDD_Usiarios_Netflix[[#This Row],[Duración Plan]],2),LEFT(BBDD_Usiarios_Netflix[[#This Row],[Duración Plan]],1))</f>
        <v>3</v>
      </c>
      <c r="W11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96" spans="1:23" x14ac:dyDescent="0.25">
      <c r="A1196">
        <v>1195</v>
      </c>
      <c r="B1196" t="s">
        <v>23</v>
      </c>
      <c r="C1196">
        <v>10</v>
      </c>
      <c r="D1196" s="3">
        <v>23</v>
      </c>
      <c r="E1196" s="3">
        <v>10</v>
      </c>
      <c r="F1196">
        <v>23</v>
      </c>
      <c r="G1196" s="1">
        <f>DATEVALUE(_xlfn.CONCAT(BBDD_Usiarios_Netflix[[#This Row],[Día Suscripción]],"/",BBDD_Usiarios_Netflix[[#This Row],[Mes Suscripción]],"/",BBDD_Usiarios_Netflix[[#This Row],[Año Suscripción]]))</f>
        <v>45222</v>
      </c>
      <c r="H1196" s="1">
        <v>2</v>
      </c>
      <c r="I1196" s="1">
        <v>7</v>
      </c>
      <c r="J1196" s="1">
        <v>24</v>
      </c>
      <c r="K1196" s="1" t="str">
        <f>TEXT(BBDD_Usiarios_Netflix[[#This Row],[Fecha Suscripción]],"dddd")</f>
        <v>lunes</v>
      </c>
      <c r="L1196" s="1">
        <f>DATEVALUE(_xlfn.CONCAT(BBDD_Usiarios_Netflix[[#This Row],[Día Último Pago]],"/",BBDD_Usiarios_Netflix[[#This Row],[Mes Último Pago]],"/",BBDD_Usiarios_Netflix[[#This Row],[Año Último Pago]]))</f>
        <v>45475</v>
      </c>
      <c r="M1196" s="4">
        <f>DATEDIF(BBDD_Usiarios_Netflix[[#This Row],[Fecha Suscripción]],BBDD_Usiarios_Netflix[[#This Row],[Fecha Último Pago]],"M")+1</f>
        <v>9</v>
      </c>
      <c r="N1196" s="4">
        <f>BBDD_Usiarios_Netflix[[#This Row],[Ingresos Mensuales]]*BBDD_Usiarios_Netflix[[#This Row],[Meses contratados]]</f>
        <v>90</v>
      </c>
      <c r="O1196" t="s">
        <v>24</v>
      </c>
      <c r="P1196" t="str">
        <f>IF(BBDD_Usiarios_Netflix[[#This Row],[País]]="","Desconocido",BBDD_Usiarios_Netflix[[#This Row],[País]])</f>
        <v>Australia</v>
      </c>
      <c r="Q1196">
        <v>45</v>
      </c>
      <c r="R1196" t="s">
        <v>30</v>
      </c>
      <c r="S1196" t="s">
        <v>34</v>
      </c>
      <c r="T1196" t="s">
        <v>38</v>
      </c>
      <c r="U1196">
        <f>IF(IFERROR(VLOOKUP(BBDD_Usiarios_Netflix[[#This Row],[Identificador Usuario]],A1197:$A$5870,1,FALSE),0)&lt;&gt;0,1,0)</f>
        <v>0</v>
      </c>
      <c r="V1196" s="6" t="str">
        <f>IF(BBDD_Usiarios_Netflix[[#This Row],[Duración Plan]]="12 Meses",LEFT(BBDD_Usiarios_Netflix[[#This Row],[Duración Plan]],2),LEFT(BBDD_Usiarios_Netflix[[#This Row],[Duración Plan]],1))</f>
        <v>3</v>
      </c>
      <c r="W11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197" spans="1:23" x14ac:dyDescent="0.25">
      <c r="A1197">
        <v>1196</v>
      </c>
      <c r="B1197" t="s">
        <v>23</v>
      </c>
      <c r="C1197">
        <v>10</v>
      </c>
      <c r="D1197" s="3">
        <v>24</v>
      </c>
      <c r="E1197" s="3">
        <v>10</v>
      </c>
      <c r="F1197">
        <v>23</v>
      </c>
      <c r="G1197" s="1">
        <f>DATEVALUE(_xlfn.CONCAT(BBDD_Usiarios_Netflix[[#This Row],[Día Suscripción]],"/",BBDD_Usiarios_Netflix[[#This Row],[Mes Suscripción]],"/",BBDD_Usiarios_Netflix[[#This Row],[Año Suscripción]]))</f>
        <v>45223</v>
      </c>
      <c r="H1197" s="1">
        <v>3</v>
      </c>
      <c r="I1197" s="1">
        <v>7</v>
      </c>
      <c r="J1197" s="1">
        <v>24</v>
      </c>
      <c r="K1197" s="1" t="str">
        <f>TEXT(BBDD_Usiarios_Netflix[[#This Row],[Fecha Suscripción]],"dddd")</f>
        <v>martes</v>
      </c>
      <c r="L1197" s="1">
        <f>DATEVALUE(_xlfn.CONCAT(BBDD_Usiarios_Netflix[[#This Row],[Día Último Pago]],"/",BBDD_Usiarios_Netflix[[#This Row],[Mes Último Pago]],"/",BBDD_Usiarios_Netflix[[#This Row],[Año Último Pago]]))</f>
        <v>45476</v>
      </c>
      <c r="M1197" s="4">
        <f>DATEDIF(BBDD_Usiarios_Netflix[[#This Row],[Fecha Suscripción]],BBDD_Usiarios_Netflix[[#This Row],[Fecha Último Pago]],"M")+1</f>
        <v>9</v>
      </c>
      <c r="N1197" s="4">
        <f>BBDD_Usiarios_Netflix[[#This Row],[Ingresos Mensuales]]*BBDD_Usiarios_Netflix[[#This Row],[Meses contratados]]</f>
        <v>90</v>
      </c>
      <c r="O1197" t="s">
        <v>33</v>
      </c>
      <c r="P1197" t="str">
        <f>IF(BBDD_Usiarios_Netflix[[#This Row],[País]]="","Desconocido",BBDD_Usiarios_Netflix[[#This Row],[País]])</f>
        <v>Francia</v>
      </c>
      <c r="Q1197">
        <v>29</v>
      </c>
      <c r="R1197" t="s">
        <v>30</v>
      </c>
      <c r="S1197" t="s">
        <v>31</v>
      </c>
      <c r="T1197" t="s">
        <v>35</v>
      </c>
      <c r="U1197">
        <f>IF(IFERROR(VLOOKUP(BBDD_Usiarios_Netflix[[#This Row],[Identificador Usuario]],A1198:$A$5870,1,FALSE),0)&lt;&gt;0,1,0)</f>
        <v>0</v>
      </c>
      <c r="V1197" s="6" t="str">
        <f>IF(BBDD_Usiarios_Netflix[[#This Row],[Duración Plan]]="12 Meses",LEFT(BBDD_Usiarios_Netflix[[#This Row],[Duración Plan]],2),LEFT(BBDD_Usiarios_Netflix[[#This Row],[Duración Plan]],1))</f>
        <v>6</v>
      </c>
      <c r="W11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198" spans="1:23" x14ac:dyDescent="0.25">
      <c r="A1198">
        <v>1197</v>
      </c>
      <c r="B1198" t="s">
        <v>23</v>
      </c>
      <c r="C1198">
        <v>10</v>
      </c>
      <c r="D1198" s="3">
        <v>25</v>
      </c>
      <c r="E1198" s="3">
        <v>10</v>
      </c>
      <c r="F1198">
        <v>23</v>
      </c>
      <c r="G1198" s="1">
        <f>DATEVALUE(_xlfn.CONCAT(BBDD_Usiarios_Netflix[[#This Row],[Día Suscripción]],"/",BBDD_Usiarios_Netflix[[#This Row],[Mes Suscripción]],"/",BBDD_Usiarios_Netflix[[#This Row],[Año Suscripción]]))</f>
        <v>45224</v>
      </c>
      <c r="H1198" s="1">
        <v>3</v>
      </c>
      <c r="I1198" s="1">
        <v>7</v>
      </c>
      <c r="J1198" s="1">
        <v>24</v>
      </c>
      <c r="K1198" s="1" t="str">
        <f>TEXT(BBDD_Usiarios_Netflix[[#This Row],[Fecha Suscripción]],"dddd")</f>
        <v>miércoles</v>
      </c>
      <c r="L1198" s="1">
        <f>DATEVALUE(_xlfn.CONCAT(BBDD_Usiarios_Netflix[[#This Row],[Día Último Pago]],"/",BBDD_Usiarios_Netflix[[#This Row],[Mes Último Pago]],"/",BBDD_Usiarios_Netflix[[#This Row],[Año Último Pago]]))</f>
        <v>45476</v>
      </c>
      <c r="M1198" s="4">
        <f>DATEDIF(BBDD_Usiarios_Netflix[[#This Row],[Fecha Suscripción]],BBDD_Usiarios_Netflix[[#This Row],[Fecha Último Pago]],"M")+1</f>
        <v>9</v>
      </c>
      <c r="N1198" s="4">
        <f>BBDD_Usiarios_Netflix[[#This Row],[Ingresos Mensuales]]*BBDD_Usiarios_Netflix[[#This Row],[Meses contratados]]</f>
        <v>90</v>
      </c>
      <c r="O1198" t="s">
        <v>39</v>
      </c>
      <c r="P1198" t="str">
        <f>IF(BBDD_Usiarios_Netflix[[#This Row],[País]]="","Desconocido",BBDD_Usiarios_Netflix[[#This Row],[País]])</f>
        <v>Canadá</v>
      </c>
      <c r="Q1198">
        <v>35</v>
      </c>
      <c r="R1198" t="s">
        <v>25</v>
      </c>
      <c r="S1198" t="s">
        <v>34</v>
      </c>
      <c r="T1198" t="s">
        <v>27</v>
      </c>
      <c r="U1198">
        <f>IF(IFERROR(VLOOKUP(BBDD_Usiarios_Netflix[[#This Row],[Identificador Usuario]],A1199:$A$5870,1,FALSE),0)&lt;&gt;0,1,0)</f>
        <v>0</v>
      </c>
      <c r="V1198" s="6" t="str">
        <f>IF(BBDD_Usiarios_Netflix[[#This Row],[Duración Plan]]="12 Meses",LEFT(BBDD_Usiarios_Netflix[[#This Row],[Duración Plan]],2),LEFT(BBDD_Usiarios_Netflix[[#This Row],[Duración Plan]],1))</f>
        <v>1</v>
      </c>
      <c r="W11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199" spans="1:23" x14ac:dyDescent="0.25">
      <c r="A1199">
        <v>1198</v>
      </c>
      <c r="B1199" t="s">
        <v>32</v>
      </c>
      <c r="C1199">
        <v>12</v>
      </c>
      <c r="D1199" s="3">
        <v>1</v>
      </c>
      <c r="E1199" s="3">
        <v>11</v>
      </c>
      <c r="F1199">
        <v>23</v>
      </c>
      <c r="G1199" s="1">
        <f>DATEVALUE(_xlfn.CONCAT(BBDD_Usiarios_Netflix[[#This Row],[Día Suscripción]],"/",BBDD_Usiarios_Netflix[[#This Row],[Mes Suscripción]],"/",BBDD_Usiarios_Netflix[[#This Row],[Año Suscripción]]))</f>
        <v>45231</v>
      </c>
      <c r="H1199" s="1">
        <v>4</v>
      </c>
      <c r="I1199" s="1">
        <v>7</v>
      </c>
      <c r="J1199" s="1">
        <v>24</v>
      </c>
      <c r="K1199" s="1" t="str">
        <f>TEXT(BBDD_Usiarios_Netflix[[#This Row],[Fecha Suscripción]],"dddd")</f>
        <v>miércoles</v>
      </c>
      <c r="L1199" s="1">
        <f>DATEVALUE(_xlfn.CONCAT(BBDD_Usiarios_Netflix[[#This Row],[Día Último Pago]],"/",BBDD_Usiarios_Netflix[[#This Row],[Mes Último Pago]],"/",BBDD_Usiarios_Netflix[[#This Row],[Año Último Pago]]))</f>
        <v>45477</v>
      </c>
      <c r="M1199" s="4">
        <f>DATEDIF(BBDD_Usiarios_Netflix[[#This Row],[Fecha Suscripción]],BBDD_Usiarios_Netflix[[#This Row],[Fecha Último Pago]],"M")+1</f>
        <v>9</v>
      </c>
      <c r="N1199" s="4">
        <f>BBDD_Usiarios_Netflix[[#This Row],[Ingresos Mensuales]]*BBDD_Usiarios_Netflix[[#This Row],[Meses contratados]]</f>
        <v>108</v>
      </c>
      <c r="O1199" t="s">
        <v>42</v>
      </c>
      <c r="P1199" t="str">
        <f>IF(BBDD_Usiarios_Netflix[[#This Row],[País]]="","Desconocido",BBDD_Usiarios_Netflix[[#This Row],[País]])</f>
        <v>Reino Unido</v>
      </c>
      <c r="Q1199">
        <v>38</v>
      </c>
      <c r="R1199" t="s">
        <v>30</v>
      </c>
      <c r="S1199" t="s">
        <v>36</v>
      </c>
      <c r="T1199" t="s">
        <v>27</v>
      </c>
      <c r="U1199">
        <f>IF(IFERROR(VLOOKUP(BBDD_Usiarios_Netflix[[#This Row],[Identificador Usuario]],A1200:$A$5870,1,FALSE),0)&lt;&gt;0,1,0)</f>
        <v>0</v>
      </c>
      <c r="V1199" s="6" t="str">
        <f>IF(BBDD_Usiarios_Netflix[[#This Row],[Duración Plan]]="12 Meses",LEFT(BBDD_Usiarios_Netflix[[#This Row],[Duración Plan]],2),LEFT(BBDD_Usiarios_Netflix[[#This Row],[Duración Plan]],1))</f>
        <v>1</v>
      </c>
      <c r="W11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0" spans="1:23" x14ac:dyDescent="0.25">
      <c r="A1200">
        <v>1199</v>
      </c>
      <c r="B1200" t="s">
        <v>28</v>
      </c>
      <c r="C1200">
        <v>14</v>
      </c>
      <c r="D1200" s="3">
        <v>2</v>
      </c>
      <c r="E1200" s="3">
        <v>11</v>
      </c>
      <c r="F1200">
        <v>23</v>
      </c>
      <c r="G1200" s="1">
        <f>DATEVALUE(_xlfn.CONCAT(BBDD_Usiarios_Netflix[[#This Row],[Día Suscripción]],"/",BBDD_Usiarios_Netflix[[#This Row],[Mes Suscripción]],"/",BBDD_Usiarios_Netflix[[#This Row],[Año Suscripción]]))</f>
        <v>45232</v>
      </c>
      <c r="H1200" s="1">
        <v>4</v>
      </c>
      <c r="I1200" s="1">
        <v>7</v>
      </c>
      <c r="J1200" s="1">
        <v>24</v>
      </c>
      <c r="K1200" s="1" t="str">
        <f>TEXT(BBDD_Usiarios_Netflix[[#This Row],[Fecha Suscripción]],"dddd")</f>
        <v>jueves</v>
      </c>
      <c r="L1200" s="1">
        <f>DATEVALUE(_xlfn.CONCAT(BBDD_Usiarios_Netflix[[#This Row],[Día Último Pago]],"/",BBDD_Usiarios_Netflix[[#This Row],[Mes Último Pago]],"/",BBDD_Usiarios_Netflix[[#This Row],[Año Último Pago]]))</f>
        <v>45477</v>
      </c>
      <c r="M1200" s="4">
        <f>DATEDIF(BBDD_Usiarios_Netflix[[#This Row],[Fecha Suscripción]],BBDD_Usiarios_Netflix[[#This Row],[Fecha Último Pago]],"M")+1</f>
        <v>9</v>
      </c>
      <c r="N1200" s="4">
        <f>BBDD_Usiarios_Netflix[[#This Row],[Ingresos Mensuales]]*BBDD_Usiarios_Netflix[[#This Row],[Meses contratados]]</f>
        <v>126</v>
      </c>
      <c r="O1200" t="s">
        <v>43</v>
      </c>
      <c r="P1200" t="str">
        <f>IF(BBDD_Usiarios_Netflix[[#This Row],[País]]="","Desconocido",BBDD_Usiarios_Netflix[[#This Row],[País]])</f>
        <v>Alemania</v>
      </c>
      <c r="Q1200">
        <v>48</v>
      </c>
      <c r="R1200" t="s">
        <v>30</v>
      </c>
      <c r="S1200" t="s">
        <v>34</v>
      </c>
      <c r="T1200" t="s">
        <v>27</v>
      </c>
      <c r="U1200">
        <f>IF(IFERROR(VLOOKUP(BBDD_Usiarios_Netflix[[#This Row],[Identificador Usuario]],A1201:$A$5870,1,FALSE),0)&lt;&gt;0,1,0)</f>
        <v>0</v>
      </c>
      <c r="V1200" s="6" t="str">
        <f>IF(BBDD_Usiarios_Netflix[[#This Row],[Duración Plan]]="12 Meses",LEFT(BBDD_Usiarios_Netflix[[#This Row],[Duración Plan]],2),LEFT(BBDD_Usiarios_Netflix[[#This Row],[Duración Plan]],1))</f>
        <v>1</v>
      </c>
      <c r="W12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1" spans="1:23" x14ac:dyDescent="0.25">
      <c r="A1201">
        <v>1200</v>
      </c>
      <c r="B1201" t="s">
        <v>23</v>
      </c>
      <c r="C1201">
        <v>10</v>
      </c>
      <c r="D1201" s="3">
        <v>4</v>
      </c>
      <c r="E1201" s="3">
        <v>11</v>
      </c>
      <c r="F1201">
        <v>23</v>
      </c>
      <c r="G1201" s="1">
        <f>DATEVALUE(_xlfn.CONCAT(BBDD_Usiarios_Netflix[[#This Row],[Día Suscripción]],"/",BBDD_Usiarios_Netflix[[#This Row],[Mes Suscripción]],"/",BBDD_Usiarios_Netflix[[#This Row],[Año Suscripción]]))</f>
        <v>45234</v>
      </c>
      <c r="H1201" s="1">
        <v>6</v>
      </c>
      <c r="I1201" s="1">
        <v>7</v>
      </c>
      <c r="J1201" s="1">
        <v>24</v>
      </c>
      <c r="K1201" s="1" t="str">
        <f>TEXT(BBDD_Usiarios_Netflix[[#This Row],[Fecha Suscripción]],"dddd")</f>
        <v>sábado</v>
      </c>
      <c r="L1201" s="1">
        <f>DATEVALUE(_xlfn.CONCAT(BBDD_Usiarios_Netflix[[#This Row],[Día Último Pago]],"/",BBDD_Usiarios_Netflix[[#This Row],[Mes Último Pago]],"/",BBDD_Usiarios_Netflix[[#This Row],[Año Último Pago]]))</f>
        <v>45479</v>
      </c>
      <c r="M1201" s="4">
        <f>DATEDIF(BBDD_Usiarios_Netflix[[#This Row],[Fecha Suscripción]],BBDD_Usiarios_Netflix[[#This Row],[Fecha Último Pago]],"M")+1</f>
        <v>9</v>
      </c>
      <c r="N1201" s="4">
        <f>BBDD_Usiarios_Netflix[[#This Row],[Ingresos Mensuales]]*BBDD_Usiarios_Netflix[[#This Row],[Meses contratados]]</f>
        <v>90</v>
      </c>
      <c r="O1201" t="s">
        <v>46</v>
      </c>
      <c r="P1201" t="str">
        <f>IF(BBDD_Usiarios_Netflix[[#This Row],[País]]="","Desconocido",BBDD_Usiarios_Netflix[[#This Row],[País]])</f>
        <v>Méjico</v>
      </c>
      <c r="Q1201">
        <v>36</v>
      </c>
      <c r="R1201" t="s">
        <v>25</v>
      </c>
      <c r="S1201" t="s">
        <v>26</v>
      </c>
      <c r="T1201" t="s">
        <v>27</v>
      </c>
      <c r="U1201">
        <f>IF(IFERROR(VLOOKUP(BBDD_Usiarios_Netflix[[#This Row],[Identificador Usuario]],A1202:$A$5870,1,FALSE),0)&lt;&gt;0,1,0)</f>
        <v>0</v>
      </c>
      <c r="V1201" s="6" t="str">
        <f>IF(BBDD_Usiarios_Netflix[[#This Row],[Duración Plan]]="12 Meses",LEFT(BBDD_Usiarios_Netflix[[#This Row],[Duración Plan]],2),LEFT(BBDD_Usiarios_Netflix[[#This Row],[Duración Plan]],1))</f>
        <v>1</v>
      </c>
      <c r="W12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2" spans="1:23" x14ac:dyDescent="0.25">
      <c r="A1202">
        <v>1201</v>
      </c>
      <c r="B1202" t="s">
        <v>23</v>
      </c>
      <c r="C1202">
        <v>10</v>
      </c>
      <c r="D1202" s="3">
        <v>6</v>
      </c>
      <c r="E1202" s="3">
        <v>11</v>
      </c>
      <c r="F1202">
        <v>23</v>
      </c>
      <c r="G1202" s="1">
        <f>DATEVALUE(_xlfn.CONCAT(BBDD_Usiarios_Netflix[[#This Row],[Día Suscripción]],"/",BBDD_Usiarios_Netflix[[#This Row],[Mes Suscripción]],"/",BBDD_Usiarios_Netflix[[#This Row],[Año Suscripción]]))</f>
        <v>45236</v>
      </c>
      <c r="H1202" s="1">
        <v>3</v>
      </c>
      <c r="I1202" s="1">
        <v>7</v>
      </c>
      <c r="J1202" s="1">
        <v>24</v>
      </c>
      <c r="K1202" s="1" t="str">
        <f>TEXT(BBDD_Usiarios_Netflix[[#This Row],[Fecha Suscripción]],"dddd")</f>
        <v>lunes</v>
      </c>
      <c r="L1202" s="1">
        <f>DATEVALUE(_xlfn.CONCAT(BBDD_Usiarios_Netflix[[#This Row],[Día Último Pago]],"/",BBDD_Usiarios_Netflix[[#This Row],[Mes Último Pago]],"/",BBDD_Usiarios_Netflix[[#This Row],[Año Último Pago]]))</f>
        <v>45476</v>
      </c>
      <c r="M1202" s="4">
        <f>DATEDIF(BBDD_Usiarios_Netflix[[#This Row],[Fecha Suscripción]],BBDD_Usiarios_Netflix[[#This Row],[Fecha Último Pago]],"M")+1</f>
        <v>8</v>
      </c>
      <c r="N1202" s="4">
        <f>BBDD_Usiarios_Netflix[[#This Row],[Ingresos Mensuales]]*BBDD_Usiarios_Netflix[[#This Row],[Meses contratados]]</f>
        <v>80</v>
      </c>
      <c r="O1202" t="s">
        <v>33</v>
      </c>
      <c r="P1202" t="str">
        <f>IF(BBDD_Usiarios_Netflix[[#This Row],[País]]="","Desconocido",BBDD_Usiarios_Netflix[[#This Row],[País]])</f>
        <v>Francia</v>
      </c>
      <c r="Q1202">
        <v>41</v>
      </c>
      <c r="R1202" t="s">
        <v>25</v>
      </c>
      <c r="S1202" t="s">
        <v>34</v>
      </c>
      <c r="T1202" t="s">
        <v>27</v>
      </c>
      <c r="U1202">
        <f>IF(IFERROR(VLOOKUP(BBDD_Usiarios_Netflix[[#This Row],[Identificador Usuario]],A1203:$A$5870,1,FALSE),0)&lt;&gt;0,1,0)</f>
        <v>0</v>
      </c>
      <c r="V1202" s="6" t="str">
        <f>IF(BBDD_Usiarios_Netflix[[#This Row],[Duración Plan]]="12 Meses",LEFT(BBDD_Usiarios_Netflix[[#This Row],[Duración Plan]],2),LEFT(BBDD_Usiarios_Netflix[[#This Row],[Duración Plan]],1))</f>
        <v>1</v>
      </c>
      <c r="W12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3" spans="1:23" x14ac:dyDescent="0.25">
      <c r="A1203">
        <v>1202</v>
      </c>
      <c r="B1203" t="s">
        <v>28</v>
      </c>
      <c r="C1203">
        <v>14</v>
      </c>
      <c r="D1203" s="3">
        <v>6</v>
      </c>
      <c r="E1203" s="3">
        <v>11</v>
      </c>
      <c r="F1203">
        <v>23</v>
      </c>
      <c r="G1203" s="1">
        <f>DATEVALUE(_xlfn.CONCAT(BBDD_Usiarios_Netflix[[#This Row],[Día Suscripción]],"/",BBDD_Usiarios_Netflix[[#This Row],[Mes Suscripción]],"/",BBDD_Usiarios_Netflix[[#This Row],[Año Suscripción]]))</f>
        <v>45236</v>
      </c>
      <c r="H1203" s="1">
        <v>3</v>
      </c>
      <c r="I1203" s="1">
        <v>7</v>
      </c>
      <c r="J1203" s="1">
        <v>24</v>
      </c>
      <c r="K1203" s="1" t="str">
        <f>TEXT(BBDD_Usiarios_Netflix[[#This Row],[Fecha Suscripción]],"dddd")</f>
        <v>lunes</v>
      </c>
      <c r="L1203" s="1">
        <f>DATEVALUE(_xlfn.CONCAT(BBDD_Usiarios_Netflix[[#This Row],[Día Último Pago]],"/",BBDD_Usiarios_Netflix[[#This Row],[Mes Último Pago]],"/",BBDD_Usiarios_Netflix[[#This Row],[Año Último Pago]]))</f>
        <v>45476</v>
      </c>
      <c r="M1203" s="4">
        <f>DATEDIF(BBDD_Usiarios_Netflix[[#This Row],[Fecha Suscripción]],BBDD_Usiarios_Netflix[[#This Row],[Fecha Último Pago]],"M")+1</f>
        <v>8</v>
      </c>
      <c r="N1203" s="4">
        <f>BBDD_Usiarios_Netflix[[#This Row],[Ingresos Mensuales]]*BBDD_Usiarios_Netflix[[#This Row],[Meses contratados]]</f>
        <v>112</v>
      </c>
      <c r="O1203" t="s">
        <v>44</v>
      </c>
      <c r="P1203" t="str">
        <f>IF(BBDD_Usiarios_Netflix[[#This Row],[País]]="","Desconocido",BBDD_Usiarios_Netflix[[#This Row],[País]])</f>
        <v>Desconocido</v>
      </c>
      <c r="Q1203">
        <v>27</v>
      </c>
      <c r="R1203" t="s">
        <v>25</v>
      </c>
      <c r="S1203" t="s">
        <v>34</v>
      </c>
      <c r="T1203" t="s">
        <v>27</v>
      </c>
      <c r="U1203">
        <f>IF(IFERROR(VLOOKUP(BBDD_Usiarios_Netflix[[#This Row],[Identificador Usuario]],A1204:$A$5870,1,FALSE),0)&lt;&gt;0,1,0)</f>
        <v>0</v>
      </c>
      <c r="V1203" s="6" t="str">
        <f>IF(BBDD_Usiarios_Netflix[[#This Row],[Duración Plan]]="12 Meses",LEFT(BBDD_Usiarios_Netflix[[#This Row],[Duración Plan]],2),LEFT(BBDD_Usiarios_Netflix[[#This Row],[Duración Plan]],1))</f>
        <v>1</v>
      </c>
      <c r="W12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4" spans="1:23" x14ac:dyDescent="0.25">
      <c r="A1204">
        <v>1203</v>
      </c>
      <c r="B1204" t="s">
        <v>32</v>
      </c>
      <c r="C1204">
        <v>12</v>
      </c>
      <c r="D1204" s="3">
        <v>4</v>
      </c>
      <c r="E1204" s="3">
        <v>11</v>
      </c>
      <c r="F1204">
        <v>23</v>
      </c>
      <c r="G1204" s="1">
        <f>DATEVALUE(_xlfn.CONCAT(BBDD_Usiarios_Netflix[[#This Row],[Día Suscripción]],"/",BBDD_Usiarios_Netflix[[#This Row],[Mes Suscripción]],"/",BBDD_Usiarios_Netflix[[#This Row],[Año Suscripción]]))</f>
        <v>45234</v>
      </c>
      <c r="H1204" s="1">
        <v>4</v>
      </c>
      <c r="I1204" s="1">
        <v>7</v>
      </c>
      <c r="J1204" s="1">
        <v>24</v>
      </c>
      <c r="K1204" s="1" t="str">
        <f>TEXT(BBDD_Usiarios_Netflix[[#This Row],[Fecha Suscripción]],"dddd")</f>
        <v>sábado</v>
      </c>
      <c r="L1204" s="1">
        <f>DATEVALUE(_xlfn.CONCAT(BBDD_Usiarios_Netflix[[#This Row],[Día Último Pago]],"/",BBDD_Usiarios_Netflix[[#This Row],[Mes Último Pago]],"/",BBDD_Usiarios_Netflix[[#This Row],[Año Último Pago]]))</f>
        <v>45477</v>
      </c>
      <c r="M1204" s="4">
        <f>DATEDIF(BBDD_Usiarios_Netflix[[#This Row],[Fecha Suscripción]],BBDD_Usiarios_Netflix[[#This Row],[Fecha Último Pago]],"M")+1</f>
        <v>9</v>
      </c>
      <c r="N1204" s="4">
        <f>BBDD_Usiarios_Netflix[[#This Row],[Ingresos Mensuales]]*BBDD_Usiarios_Netflix[[#This Row],[Meses contratados]]</f>
        <v>108</v>
      </c>
      <c r="O1204" t="s">
        <v>42</v>
      </c>
      <c r="P1204" t="str">
        <f>IF(BBDD_Usiarios_Netflix[[#This Row],[País]]="","Desconocido",BBDD_Usiarios_Netflix[[#This Row],[País]])</f>
        <v>Reino Unido</v>
      </c>
      <c r="Q1204">
        <v>41</v>
      </c>
      <c r="R1204" t="s">
        <v>25</v>
      </c>
      <c r="S1204" t="s">
        <v>34</v>
      </c>
      <c r="T1204" t="s">
        <v>27</v>
      </c>
      <c r="U1204">
        <f>IF(IFERROR(VLOOKUP(BBDD_Usiarios_Netflix[[#This Row],[Identificador Usuario]],A1205:$A$5870,1,FALSE),0)&lt;&gt;0,1,0)</f>
        <v>0</v>
      </c>
      <c r="V1204" s="6" t="str">
        <f>IF(BBDD_Usiarios_Netflix[[#This Row],[Duración Plan]]="12 Meses",LEFT(BBDD_Usiarios_Netflix[[#This Row],[Duración Plan]],2),LEFT(BBDD_Usiarios_Netflix[[#This Row],[Duración Plan]],1))</f>
        <v>1</v>
      </c>
      <c r="W12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5" spans="1:23" x14ac:dyDescent="0.25">
      <c r="A1205">
        <v>1204</v>
      </c>
      <c r="B1205" t="s">
        <v>32</v>
      </c>
      <c r="C1205">
        <v>12</v>
      </c>
      <c r="D1205" s="3">
        <v>30</v>
      </c>
      <c r="E1205" s="3">
        <v>10</v>
      </c>
      <c r="F1205">
        <v>23</v>
      </c>
      <c r="G1205" s="1">
        <f>DATEVALUE(_xlfn.CONCAT(BBDD_Usiarios_Netflix[[#This Row],[Día Suscripción]],"/",BBDD_Usiarios_Netflix[[#This Row],[Mes Suscripción]],"/",BBDD_Usiarios_Netflix[[#This Row],[Año Suscripción]]))</f>
        <v>45229</v>
      </c>
      <c r="H1205" s="1">
        <v>5</v>
      </c>
      <c r="I1205" s="1">
        <v>7</v>
      </c>
      <c r="J1205" s="1">
        <v>24</v>
      </c>
      <c r="K1205" s="1" t="str">
        <f>TEXT(BBDD_Usiarios_Netflix[[#This Row],[Fecha Suscripción]],"dddd")</f>
        <v>lunes</v>
      </c>
      <c r="L1205" s="1">
        <f>DATEVALUE(_xlfn.CONCAT(BBDD_Usiarios_Netflix[[#This Row],[Día Último Pago]],"/",BBDD_Usiarios_Netflix[[#This Row],[Mes Último Pago]],"/",BBDD_Usiarios_Netflix[[#This Row],[Año Último Pago]]))</f>
        <v>45478</v>
      </c>
      <c r="M1205" s="4">
        <f>DATEDIF(BBDD_Usiarios_Netflix[[#This Row],[Fecha Suscripción]],BBDD_Usiarios_Netflix[[#This Row],[Fecha Último Pago]],"M")+1</f>
        <v>9</v>
      </c>
      <c r="N1205" s="4">
        <f>BBDD_Usiarios_Netflix[[#This Row],[Ingresos Mensuales]]*BBDD_Usiarios_Netflix[[#This Row],[Meses contratados]]</f>
        <v>108</v>
      </c>
      <c r="O1205" t="s">
        <v>42</v>
      </c>
      <c r="P1205" t="str">
        <f>IF(BBDD_Usiarios_Netflix[[#This Row],[País]]="","Desconocido",BBDD_Usiarios_Netflix[[#This Row],[País]])</f>
        <v>Reino Unido</v>
      </c>
      <c r="Q1205">
        <v>42</v>
      </c>
      <c r="R1205" t="s">
        <v>25</v>
      </c>
      <c r="S1205" t="s">
        <v>36</v>
      </c>
      <c r="T1205" t="s">
        <v>38</v>
      </c>
      <c r="U1205">
        <f>IF(IFERROR(VLOOKUP(BBDD_Usiarios_Netflix[[#This Row],[Identificador Usuario]],A1206:$A$5870,1,FALSE),0)&lt;&gt;0,1,0)</f>
        <v>0</v>
      </c>
      <c r="V1205" s="6" t="str">
        <f>IF(BBDD_Usiarios_Netflix[[#This Row],[Duración Plan]]="12 Meses",LEFT(BBDD_Usiarios_Netflix[[#This Row],[Duración Plan]],2),LEFT(BBDD_Usiarios_Netflix[[#This Row],[Duración Plan]],1))</f>
        <v>3</v>
      </c>
      <c r="W12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06" spans="1:23" x14ac:dyDescent="0.25">
      <c r="A1206">
        <v>1205</v>
      </c>
      <c r="B1206" t="s">
        <v>23</v>
      </c>
      <c r="C1206">
        <v>10</v>
      </c>
      <c r="D1206" s="3">
        <v>27</v>
      </c>
      <c r="E1206" s="3">
        <v>10</v>
      </c>
      <c r="F1206">
        <v>23</v>
      </c>
      <c r="G1206" s="1">
        <f>DATEVALUE(_xlfn.CONCAT(BBDD_Usiarios_Netflix[[#This Row],[Día Suscripción]],"/",BBDD_Usiarios_Netflix[[#This Row],[Mes Suscripción]],"/",BBDD_Usiarios_Netflix[[#This Row],[Año Suscripción]]))</f>
        <v>45226</v>
      </c>
      <c r="H1206" s="1">
        <v>3</v>
      </c>
      <c r="I1206" s="1">
        <v>7</v>
      </c>
      <c r="J1206" s="1">
        <v>24</v>
      </c>
      <c r="K1206" s="1" t="str">
        <f>TEXT(BBDD_Usiarios_Netflix[[#This Row],[Fecha Suscripción]],"dddd")</f>
        <v>viernes</v>
      </c>
      <c r="L1206" s="1">
        <f>DATEVALUE(_xlfn.CONCAT(BBDD_Usiarios_Netflix[[#This Row],[Día Último Pago]],"/",BBDD_Usiarios_Netflix[[#This Row],[Mes Último Pago]],"/",BBDD_Usiarios_Netflix[[#This Row],[Año Último Pago]]))</f>
        <v>45476</v>
      </c>
      <c r="M1206" s="4">
        <f>DATEDIF(BBDD_Usiarios_Netflix[[#This Row],[Fecha Suscripción]],BBDD_Usiarios_Netflix[[#This Row],[Fecha Último Pago]],"M")+1</f>
        <v>9</v>
      </c>
      <c r="N1206" s="4">
        <f>BBDD_Usiarios_Netflix[[#This Row],[Ingresos Mensuales]]*BBDD_Usiarios_Netflix[[#This Row],[Meses contratados]]</f>
        <v>90</v>
      </c>
      <c r="O1206" t="s">
        <v>44</v>
      </c>
      <c r="P1206" t="str">
        <f>IF(BBDD_Usiarios_Netflix[[#This Row],[País]]="","Desconocido",BBDD_Usiarios_Netflix[[#This Row],[País]])</f>
        <v>Desconocido</v>
      </c>
      <c r="Q1206">
        <v>40</v>
      </c>
      <c r="R1206" t="s">
        <v>30</v>
      </c>
      <c r="S1206" t="s">
        <v>36</v>
      </c>
      <c r="T1206" t="s">
        <v>35</v>
      </c>
      <c r="U1206">
        <f>IF(IFERROR(VLOOKUP(BBDD_Usiarios_Netflix[[#This Row],[Identificador Usuario]],A1207:$A$5870,1,FALSE),0)&lt;&gt;0,1,0)</f>
        <v>0</v>
      </c>
      <c r="V1206" s="6" t="str">
        <f>IF(BBDD_Usiarios_Netflix[[#This Row],[Duración Plan]]="12 Meses",LEFT(BBDD_Usiarios_Netflix[[#This Row],[Duración Plan]],2),LEFT(BBDD_Usiarios_Netflix[[#This Row],[Duración Plan]],1))</f>
        <v>6</v>
      </c>
      <c r="W12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07" spans="1:23" x14ac:dyDescent="0.25">
      <c r="A1207">
        <v>1206</v>
      </c>
      <c r="B1207" t="s">
        <v>28</v>
      </c>
      <c r="C1207">
        <v>14</v>
      </c>
      <c r="D1207" s="3">
        <v>23</v>
      </c>
      <c r="E1207" s="3">
        <v>10</v>
      </c>
      <c r="F1207">
        <v>23</v>
      </c>
      <c r="G1207" s="1">
        <f>DATEVALUE(_xlfn.CONCAT(BBDD_Usiarios_Netflix[[#This Row],[Día Suscripción]],"/",BBDD_Usiarios_Netflix[[#This Row],[Mes Suscripción]],"/",BBDD_Usiarios_Netflix[[#This Row],[Año Suscripción]]))</f>
        <v>45222</v>
      </c>
      <c r="H1207" s="1">
        <v>4</v>
      </c>
      <c r="I1207" s="1">
        <v>7</v>
      </c>
      <c r="J1207" s="1">
        <v>24</v>
      </c>
      <c r="K1207" s="1" t="str">
        <f>TEXT(BBDD_Usiarios_Netflix[[#This Row],[Fecha Suscripción]],"dddd")</f>
        <v>lunes</v>
      </c>
      <c r="L1207" s="1">
        <f>DATEVALUE(_xlfn.CONCAT(BBDD_Usiarios_Netflix[[#This Row],[Día Último Pago]],"/",BBDD_Usiarios_Netflix[[#This Row],[Mes Último Pago]],"/",BBDD_Usiarios_Netflix[[#This Row],[Año Último Pago]]))</f>
        <v>45477</v>
      </c>
      <c r="M1207" s="4">
        <f>DATEDIF(BBDD_Usiarios_Netflix[[#This Row],[Fecha Suscripción]],BBDD_Usiarios_Netflix[[#This Row],[Fecha Último Pago]],"M")+1</f>
        <v>9</v>
      </c>
      <c r="N1207" s="4">
        <f>BBDD_Usiarios_Netflix[[#This Row],[Ingresos Mensuales]]*BBDD_Usiarios_Netflix[[#This Row],[Meses contratados]]</f>
        <v>126</v>
      </c>
      <c r="O1207" t="s">
        <v>44</v>
      </c>
      <c r="P1207" t="str">
        <f>IF(BBDD_Usiarios_Netflix[[#This Row],[País]]="","Desconocido",BBDD_Usiarios_Netflix[[#This Row],[País]])</f>
        <v>Desconocido</v>
      </c>
      <c r="Q1207">
        <v>32</v>
      </c>
      <c r="R1207" t="s">
        <v>25</v>
      </c>
      <c r="S1207" t="s">
        <v>34</v>
      </c>
      <c r="T1207" t="s">
        <v>27</v>
      </c>
      <c r="U1207">
        <f>IF(IFERROR(VLOOKUP(BBDD_Usiarios_Netflix[[#This Row],[Identificador Usuario]],A1208:$A$5870,1,FALSE),0)&lt;&gt;0,1,0)</f>
        <v>0</v>
      </c>
      <c r="V1207" s="6" t="str">
        <f>IF(BBDD_Usiarios_Netflix[[#This Row],[Duración Plan]]="12 Meses",LEFT(BBDD_Usiarios_Netflix[[#This Row],[Duración Plan]],2),LEFT(BBDD_Usiarios_Netflix[[#This Row],[Duración Plan]],1))</f>
        <v>1</v>
      </c>
      <c r="W12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8" spans="1:23" x14ac:dyDescent="0.25">
      <c r="A1208">
        <v>1207</v>
      </c>
      <c r="B1208" t="s">
        <v>32</v>
      </c>
      <c r="C1208">
        <v>12</v>
      </c>
      <c r="D1208" s="3">
        <v>23</v>
      </c>
      <c r="E1208" s="3">
        <v>10</v>
      </c>
      <c r="F1208">
        <v>23</v>
      </c>
      <c r="G1208" s="1">
        <f>DATEVALUE(_xlfn.CONCAT(BBDD_Usiarios_Netflix[[#This Row],[Día Suscripción]],"/",BBDD_Usiarios_Netflix[[#This Row],[Mes Suscripción]],"/",BBDD_Usiarios_Netflix[[#This Row],[Año Suscripción]]))</f>
        <v>45222</v>
      </c>
      <c r="H1208" s="1">
        <v>4</v>
      </c>
      <c r="I1208" s="1">
        <v>7</v>
      </c>
      <c r="J1208" s="1">
        <v>24</v>
      </c>
      <c r="K1208" s="1" t="str">
        <f>TEXT(BBDD_Usiarios_Netflix[[#This Row],[Fecha Suscripción]],"dddd")</f>
        <v>lunes</v>
      </c>
      <c r="L1208" s="1">
        <f>DATEVALUE(_xlfn.CONCAT(BBDD_Usiarios_Netflix[[#This Row],[Día Último Pago]],"/",BBDD_Usiarios_Netflix[[#This Row],[Mes Último Pago]],"/",BBDD_Usiarios_Netflix[[#This Row],[Año Último Pago]]))</f>
        <v>45477</v>
      </c>
      <c r="M1208" s="4">
        <f>DATEDIF(BBDD_Usiarios_Netflix[[#This Row],[Fecha Suscripción]],BBDD_Usiarios_Netflix[[#This Row],[Fecha Último Pago]],"M")+1</f>
        <v>9</v>
      </c>
      <c r="N1208" s="4">
        <f>BBDD_Usiarios_Netflix[[#This Row],[Ingresos Mensuales]]*BBDD_Usiarios_Netflix[[#This Row],[Meses contratados]]</f>
        <v>108</v>
      </c>
      <c r="O1208" t="s">
        <v>29</v>
      </c>
      <c r="P1208" t="str">
        <f>IF(BBDD_Usiarios_Netflix[[#This Row],[País]]="","Desconocido",BBDD_Usiarios_Netflix[[#This Row],[País]])</f>
        <v>EEUU</v>
      </c>
      <c r="Q1208">
        <v>33</v>
      </c>
      <c r="R1208" t="s">
        <v>25</v>
      </c>
      <c r="S1208" t="s">
        <v>34</v>
      </c>
      <c r="T1208" t="s">
        <v>27</v>
      </c>
      <c r="U1208">
        <f>IF(IFERROR(VLOOKUP(BBDD_Usiarios_Netflix[[#This Row],[Identificador Usuario]],A1209:$A$5870,1,FALSE),0)&lt;&gt;0,1,0)</f>
        <v>0</v>
      </c>
      <c r="V1208" s="6" t="str">
        <f>IF(BBDD_Usiarios_Netflix[[#This Row],[Duración Plan]]="12 Meses",LEFT(BBDD_Usiarios_Netflix[[#This Row],[Duración Plan]],2),LEFT(BBDD_Usiarios_Netflix[[#This Row],[Duración Plan]],1))</f>
        <v>1</v>
      </c>
      <c r="W12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09" spans="1:23" x14ac:dyDescent="0.25">
      <c r="A1209">
        <v>1208</v>
      </c>
      <c r="B1209" t="s">
        <v>23</v>
      </c>
      <c r="C1209">
        <v>10</v>
      </c>
      <c r="D1209" s="3">
        <v>24</v>
      </c>
      <c r="E1209" s="3">
        <v>9</v>
      </c>
      <c r="F1209">
        <v>23</v>
      </c>
      <c r="G1209" s="1">
        <f>DATEVALUE(_xlfn.CONCAT(BBDD_Usiarios_Netflix[[#This Row],[Día Suscripción]],"/",BBDD_Usiarios_Netflix[[#This Row],[Mes Suscripción]],"/",BBDD_Usiarios_Netflix[[#This Row],[Año Suscripción]]))</f>
        <v>45193</v>
      </c>
      <c r="H1209" s="1">
        <v>4</v>
      </c>
      <c r="I1209" s="1">
        <v>7</v>
      </c>
      <c r="J1209" s="1">
        <v>24</v>
      </c>
      <c r="K1209" s="1" t="str">
        <f>TEXT(BBDD_Usiarios_Netflix[[#This Row],[Fecha Suscripción]],"dddd")</f>
        <v>domingo</v>
      </c>
      <c r="L1209" s="1">
        <f>DATEVALUE(_xlfn.CONCAT(BBDD_Usiarios_Netflix[[#This Row],[Día Último Pago]],"/",BBDD_Usiarios_Netflix[[#This Row],[Mes Último Pago]],"/",BBDD_Usiarios_Netflix[[#This Row],[Año Último Pago]]))</f>
        <v>45477</v>
      </c>
      <c r="M1209" s="4">
        <f>DATEDIF(BBDD_Usiarios_Netflix[[#This Row],[Fecha Suscripción]],BBDD_Usiarios_Netflix[[#This Row],[Fecha Último Pago]],"M")+1</f>
        <v>10</v>
      </c>
      <c r="N1209" s="4">
        <f>BBDD_Usiarios_Netflix[[#This Row],[Ingresos Mensuales]]*BBDD_Usiarios_Netflix[[#This Row],[Meses contratados]]</f>
        <v>100</v>
      </c>
      <c r="O1209" t="s">
        <v>24</v>
      </c>
      <c r="P1209" t="str">
        <f>IF(BBDD_Usiarios_Netflix[[#This Row],[País]]="","Desconocido",BBDD_Usiarios_Netflix[[#This Row],[País]])</f>
        <v>Australia</v>
      </c>
      <c r="Q1209">
        <v>34</v>
      </c>
      <c r="R1209" t="s">
        <v>25</v>
      </c>
      <c r="S1209" t="s">
        <v>26</v>
      </c>
      <c r="T1209" t="s">
        <v>35</v>
      </c>
      <c r="U1209">
        <f>IF(IFERROR(VLOOKUP(BBDD_Usiarios_Netflix[[#This Row],[Identificador Usuario]],A1210:$A$5870,1,FALSE),0)&lt;&gt;0,1,0)</f>
        <v>0</v>
      </c>
      <c r="V1209" s="6" t="str">
        <f>IF(BBDD_Usiarios_Netflix[[#This Row],[Duración Plan]]="12 Meses",LEFT(BBDD_Usiarios_Netflix[[#This Row],[Duración Plan]],2),LEFT(BBDD_Usiarios_Netflix[[#This Row],[Duración Plan]],1))</f>
        <v>6</v>
      </c>
      <c r="W12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10" spans="1:23" x14ac:dyDescent="0.25">
      <c r="A1210">
        <v>1209</v>
      </c>
      <c r="B1210" t="s">
        <v>32</v>
      </c>
      <c r="C1210">
        <v>12</v>
      </c>
      <c r="D1210" s="3">
        <v>22</v>
      </c>
      <c r="E1210" s="3">
        <v>9</v>
      </c>
      <c r="F1210">
        <v>23</v>
      </c>
      <c r="G1210" s="1">
        <f>DATEVALUE(_xlfn.CONCAT(BBDD_Usiarios_Netflix[[#This Row],[Día Suscripción]],"/",BBDD_Usiarios_Netflix[[#This Row],[Mes Suscripción]],"/",BBDD_Usiarios_Netflix[[#This Row],[Año Suscripción]]))</f>
        <v>45191</v>
      </c>
      <c r="H1210" s="1">
        <v>2</v>
      </c>
      <c r="I1210" s="1">
        <v>7</v>
      </c>
      <c r="J1210" s="1">
        <v>24</v>
      </c>
      <c r="K1210" s="1" t="str">
        <f>TEXT(BBDD_Usiarios_Netflix[[#This Row],[Fecha Suscripción]],"dddd")</f>
        <v>viernes</v>
      </c>
      <c r="L1210" s="1">
        <f>DATEVALUE(_xlfn.CONCAT(BBDD_Usiarios_Netflix[[#This Row],[Día Último Pago]],"/",BBDD_Usiarios_Netflix[[#This Row],[Mes Último Pago]],"/",BBDD_Usiarios_Netflix[[#This Row],[Año Último Pago]]))</f>
        <v>45475</v>
      </c>
      <c r="M1210" s="4">
        <f>DATEDIF(BBDD_Usiarios_Netflix[[#This Row],[Fecha Suscripción]],BBDD_Usiarios_Netflix[[#This Row],[Fecha Último Pago]],"M")+1</f>
        <v>10</v>
      </c>
      <c r="N1210" s="4">
        <f>BBDD_Usiarios_Netflix[[#This Row],[Ingresos Mensuales]]*BBDD_Usiarios_Netflix[[#This Row],[Meses contratados]]</f>
        <v>120</v>
      </c>
      <c r="O1210" t="s">
        <v>24</v>
      </c>
      <c r="P1210" t="str">
        <f>IF(BBDD_Usiarios_Netflix[[#This Row],[País]]="","Desconocido",BBDD_Usiarios_Netflix[[#This Row],[País]])</f>
        <v>Australia</v>
      </c>
      <c r="Q1210">
        <v>29</v>
      </c>
      <c r="R1210" t="s">
        <v>25</v>
      </c>
      <c r="S1210" t="s">
        <v>31</v>
      </c>
      <c r="T1210" t="s">
        <v>27</v>
      </c>
      <c r="U1210">
        <f>IF(IFERROR(VLOOKUP(BBDD_Usiarios_Netflix[[#This Row],[Identificador Usuario]],A1211:$A$5870,1,FALSE),0)&lt;&gt;0,1,0)</f>
        <v>0</v>
      </c>
      <c r="V1210" s="6" t="str">
        <f>IF(BBDD_Usiarios_Netflix[[#This Row],[Duración Plan]]="12 Meses",LEFT(BBDD_Usiarios_Netflix[[#This Row],[Duración Plan]],2),LEFT(BBDD_Usiarios_Netflix[[#This Row],[Duración Plan]],1))</f>
        <v>1</v>
      </c>
      <c r="W12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11" spans="1:23" x14ac:dyDescent="0.25">
      <c r="A1211">
        <v>1210</v>
      </c>
      <c r="B1211" t="s">
        <v>28</v>
      </c>
      <c r="C1211">
        <v>14</v>
      </c>
      <c r="D1211" s="3">
        <v>6</v>
      </c>
      <c r="E1211" s="3">
        <v>9</v>
      </c>
      <c r="F1211">
        <v>23</v>
      </c>
      <c r="G1211" s="1">
        <f>DATEVALUE(_xlfn.CONCAT(BBDD_Usiarios_Netflix[[#This Row],[Día Suscripción]],"/",BBDD_Usiarios_Netflix[[#This Row],[Mes Suscripción]],"/",BBDD_Usiarios_Netflix[[#This Row],[Año Suscripción]]))</f>
        <v>45175</v>
      </c>
      <c r="H1211" s="1">
        <v>3</v>
      </c>
      <c r="I1211" s="1">
        <v>7</v>
      </c>
      <c r="J1211" s="1">
        <v>24</v>
      </c>
      <c r="K1211" s="1" t="str">
        <f>TEXT(BBDD_Usiarios_Netflix[[#This Row],[Fecha Suscripción]],"dddd")</f>
        <v>miércoles</v>
      </c>
      <c r="L1211" s="1">
        <f>DATEVALUE(_xlfn.CONCAT(BBDD_Usiarios_Netflix[[#This Row],[Día Último Pago]],"/",BBDD_Usiarios_Netflix[[#This Row],[Mes Último Pago]],"/",BBDD_Usiarios_Netflix[[#This Row],[Año Último Pago]]))</f>
        <v>45476</v>
      </c>
      <c r="M1211" s="4">
        <f>DATEDIF(BBDD_Usiarios_Netflix[[#This Row],[Fecha Suscripción]],BBDD_Usiarios_Netflix[[#This Row],[Fecha Último Pago]],"M")+1</f>
        <v>10</v>
      </c>
      <c r="N1211" s="4">
        <f>BBDD_Usiarios_Netflix[[#This Row],[Ingresos Mensuales]]*BBDD_Usiarios_Netflix[[#This Row],[Meses contratados]]</f>
        <v>140</v>
      </c>
      <c r="O1211" t="s">
        <v>24</v>
      </c>
      <c r="P1211" t="str">
        <f>IF(BBDD_Usiarios_Netflix[[#This Row],[País]]="","Desconocido",BBDD_Usiarios_Netflix[[#This Row],[País]])</f>
        <v>Australia</v>
      </c>
      <c r="Q1211">
        <v>50</v>
      </c>
      <c r="R1211" t="s">
        <v>25</v>
      </c>
      <c r="S1211" t="s">
        <v>34</v>
      </c>
      <c r="T1211" t="s">
        <v>35</v>
      </c>
      <c r="U1211">
        <f>IF(IFERROR(VLOOKUP(BBDD_Usiarios_Netflix[[#This Row],[Identificador Usuario]],A1212:$A$5870,1,FALSE),0)&lt;&gt;0,1,0)</f>
        <v>0</v>
      </c>
      <c r="V1211" s="6" t="str">
        <f>IF(BBDD_Usiarios_Netflix[[#This Row],[Duración Plan]]="12 Meses",LEFT(BBDD_Usiarios_Netflix[[#This Row],[Duración Plan]],2),LEFT(BBDD_Usiarios_Netflix[[#This Row],[Duración Plan]],1))</f>
        <v>6</v>
      </c>
      <c r="W12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12" spans="1:23" x14ac:dyDescent="0.25">
      <c r="A1212">
        <v>1211</v>
      </c>
      <c r="B1212" t="s">
        <v>23</v>
      </c>
      <c r="C1212">
        <v>10</v>
      </c>
      <c r="D1212" s="3">
        <v>23</v>
      </c>
      <c r="E1212" s="3">
        <v>8</v>
      </c>
      <c r="F1212">
        <v>23</v>
      </c>
      <c r="G1212" s="1">
        <f>DATEVALUE(_xlfn.CONCAT(BBDD_Usiarios_Netflix[[#This Row],[Día Suscripción]],"/",BBDD_Usiarios_Netflix[[#This Row],[Mes Suscripción]],"/",BBDD_Usiarios_Netflix[[#This Row],[Año Suscripción]]))</f>
        <v>45161</v>
      </c>
      <c r="H1212" s="1">
        <v>4</v>
      </c>
      <c r="I1212" s="1">
        <v>7</v>
      </c>
      <c r="J1212" s="1">
        <v>24</v>
      </c>
      <c r="K1212" s="1" t="str">
        <f>TEXT(BBDD_Usiarios_Netflix[[#This Row],[Fecha Suscripción]],"dddd")</f>
        <v>miércoles</v>
      </c>
      <c r="L1212" s="1">
        <f>DATEVALUE(_xlfn.CONCAT(BBDD_Usiarios_Netflix[[#This Row],[Día Último Pago]],"/",BBDD_Usiarios_Netflix[[#This Row],[Mes Último Pago]],"/",BBDD_Usiarios_Netflix[[#This Row],[Año Último Pago]]))</f>
        <v>45477</v>
      </c>
      <c r="M1212" s="4">
        <f>DATEDIF(BBDD_Usiarios_Netflix[[#This Row],[Fecha Suscripción]],BBDD_Usiarios_Netflix[[#This Row],[Fecha Último Pago]],"M")+1</f>
        <v>11</v>
      </c>
      <c r="N1212" s="4">
        <f>BBDD_Usiarios_Netflix[[#This Row],[Ingresos Mensuales]]*BBDD_Usiarios_Netflix[[#This Row],[Meses contratados]]</f>
        <v>110</v>
      </c>
      <c r="O1212" t="s">
        <v>44</v>
      </c>
      <c r="P1212" t="str">
        <f>IF(BBDD_Usiarios_Netflix[[#This Row],[País]]="","Desconocido",BBDD_Usiarios_Netflix[[#This Row],[País]])</f>
        <v>Desconocido</v>
      </c>
      <c r="Q1212">
        <v>29</v>
      </c>
      <c r="R1212" t="s">
        <v>30</v>
      </c>
      <c r="S1212" t="s">
        <v>36</v>
      </c>
      <c r="T1212" t="s">
        <v>27</v>
      </c>
      <c r="U1212">
        <f>IF(IFERROR(VLOOKUP(BBDD_Usiarios_Netflix[[#This Row],[Identificador Usuario]],A1213:$A$5870,1,FALSE),0)&lt;&gt;0,1,0)</f>
        <v>0</v>
      </c>
      <c r="V1212" s="6" t="str">
        <f>IF(BBDD_Usiarios_Netflix[[#This Row],[Duración Plan]]="12 Meses",LEFT(BBDD_Usiarios_Netflix[[#This Row],[Duración Plan]],2),LEFT(BBDD_Usiarios_Netflix[[#This Row],[Duración Plan]],1))</f>
        <v>1</v>
      </c>
      <c r="W12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13" spans="1:23" x14ac:dyDescent="0.25">
      <c r="A1213">
        <v>1212</v>
      </c>
      <c r="B1213" t="s">
        <v>28</v>
      </c>
      <c r="C1213">
        <v>14</v>
      </c>
      <c r="D1213" s="3">
        <v>21</v>
      </c>
      <c r="E1213" s="3">
        <v>8</v>
      </c>
      <c r="F1213">
        <v>23</v>
      </c>
      <c r="G1213" s="1">
        <f>DATEVALUE(_xlfn.CONCAT(BBDD_Usiarios_Netflix[[#This Row],[Día Suscripción]],"/",BBDD_Usiarios_Netflix[[#This Row],[Mes Suscripción]],"/",BBDD_Usiarios_Netflix[[#This Row],[Año Suscripción]]))</f>
        <v>45159</v>
      </c>
      <c r="H1213" s="1">
        <v>4</v>
      </c>
      <c r="I1213" s="1">
        <v>7</v>
      </c>
      <c r="J1213" s="1">
        <v>24</v>
      </c>
      <c r="K1213" s="1" t="str">
        <f>TEXT(BBDD_Usiarios_Netflix[[#This Row],[Fecha Suscripción]],"dddd")</f>
        <v>lunes</v>
      </c>
      <c r="L1213" s="1">
        <f>DATEVALUE(_xlfn.CONCAT(BBDD_Usiarios_Netflix[[#This Row],[Día Último Pago]],"/",BBDD_Usiarios_Netflix[[#This Row],[Mes Último Pago]],"/",BBDD_Usiarios_Netflix[[#This Row],[Año Último Pago]]))</f>
        <v>45477</v>
      </c>
      <c r="M1213" s="4">
        <f>DATEDIF(BBDD_Usiarios_Netflix[[#This Row],[Fecha Suscripción]],BBDD_Usiarios_Netflix[[#This Row],[Fecha Último Pago]],"M")+1</f>
        <v>11</v>
      </c>
      <c r="N1213" s="4">
        <f>BBDD_Usiarios_Netflix[[#This Row],[Ingresos Mensuales]]*BBDD_Usiarios_Netflix[[#This Row],[Meses contratados]]</f>
        <v>154</v>
      </c>
      <c r="O1213" t="s">
        <v>42</v>
      </c>
      <c r="P1213" t="str">
        <f>IF(BBDD_Usiarios_Netflix[[#This Row],[País]]="","Desconocido",BBDD_Usiarios_Netflix[[#This Row],[País]])</f>
        <v>Reino Unido</v>
      </c>
      <c r="Q1213">
        <v>40</v>
      </c>
      <c r="R1213" t="s">
        <v>30</v>
      </c>
      <c r="S1213" t="s">
        <v>31</v>
      </c>
      <c r="T1213" t="s">
        <v>38</v>
      </c>
      <c r="U1213">
        <f>IF(IFERROR(VLOOKUP(BBDD_Usiarios_Netflix[[#This Row],[Identificador Usuario]],A1214:$A$5870,1,FALSE),0)&lt;&gt;0,1,0)</f>
        <v>0</v>
      </c>
      <c r="V1213" s="6" t="str">
        <f>IF(BBDD_Usiarios_Netflix[[#This Row],[Duración Plan]]="12 Meses",LEFT(BBDD_Usiarios_Netflix[[#This Row],[Duración Plan]],2),LEFT(BBDD_Usiarios_Netflix[[#This Row],[Duración Plan]],1))</f>
        <v>3</v>
      </c>
      <c r="W12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14" spans="1:23" x14ac:dyDescent="0.25">
      <c r="A1214">
        <v>1213</v>
      </c>
      <c r="B1214" t="s">
        <v>32</v>
      </c>
      <c r="C1214">
        <v>12</v>
      </c>
      <c r="D1214" s="3">
        <v>16</v>
      </c>
      <c r="E1214" s="3">
        <v>8</v>
      </c>
      <c r="F1214">
        <v>23</v>
      </c>
      <c r="G1214" s="1">
        <f>DATEVALUE(_xlfn.CONCAT(BBDD_Usiarios_Netflix[[#This Row],[Día Suscripción]],"/",BBDD_Usiarios_Netflix[[#This Row],[Mes Suscripción]],"/",BBDD_Usiarios_Netflix[[#This Row],[Año Suscripción]]))</f>
        <v>45154</v>
      </c>
      <c r="H1214" s="1">
        <v>2</v>
      </c>
      <c r="I1214" s="1">
        <v>7</v>
      </c>
      <c r="J1214" s="1">
        <v>24</v>
      </c>
      <c r="K1214" s="1" t="str">
        <f>TEXT(BBDD_Usiarios_Netflix[[#This Row],[Fecha Suscripción]],"dddd")</f>
        <v>miércoles</v>
      </c>
      <c r="L1214" s="1">
        <f>DATEVALUE(_xlfn.CONCAT(BBDD_Usiarios_Netflix[[#This Row],[Día Último Pago]],"/",BBDD_Usiarios_Netflix[[#This Row],[Mes Último Pago]],"/",BBDD_Usiarios_Netflix[[#This Row],[Año Último Pago]]))</f>
        <v>45475</v>
      </c>
      <c r="M1214" s="4">
        <f>DATEDIF(BBDD_Usiarios_Netflix[[#This Row],[Fecha Suscripción]],BBDD_Usiarios_Netflix[[#This Row],[Fecha Último Pago]],"M")+1</f>
        <v>11</v>
      </c>
      <c r="N1214" s="4">
        <f>BBDD_Usiarios_Netflix[[#This Row],[Ingresos Mensuales]]*BBDD_Usiarios_Netflix[[#This Row],[Meses contratados]]</f>
        <v>132</v>
      </c>
      <c r="O1214" t="s">
        <v>42</v>
      </c>
      <c r="P1214" t="str">
        <f>IF(BBDD_Usiarios_Netflix[[#This Row],[País]]="","Desconocido",BBDD_Usiarios_Netflix[[#This Row],[País]])</f>
        <v>Reino Unido</v>
      </c>
      <c r="Q1214">
        <v>27</v>
      </c>
      <c r="R1214" t="s">
        <v>25</v>
      </c>
      <c r="S1214" t="s">
        <v>34</v>
      </c>
      <c r="T1214" t="s">
        <v>38</v>
      </c>
      <c r="U1214">
        <f>IF(IFERROR(VLOOKUP(BBDD_Usiarios_Netflix[[#This Row],[Identificador Usuario]],A1215:$A$5870,1,FALSE),0)&lt;&gt;0,1,0)</f>
        <v>0</v>
      </c>
      <c r="V1214" s="6" t="str">
        <f>IF(BBDD_Usiarios_Netflix[[#This Row],[Duración Plan]]="12 Meses",LEFT(BBDD_Usiarios_Netflix[[#This Row],[Duración Plan]],2),LEFT(BBDD_Usiarios_Netflix[[#This Row],[Duración Plan]],1))</f>
        <v>3</v>
      </c>
      <c r="W12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15" spans="1:23" x14ac:dyDescent="0.25">
      <c r="A1215">
        <v>1214</v>
      </c>
      <c r="B1215" t="s">
        <v>23</v>
      </c>
      <c r="C1215">
        <v>10</v>
      </c>
      <c r="D1215" s="3">
        <v>9</v>
      </c>
      <c r="E1215" s="3">
        <v>8</v>
      </c>
      <c r="F1215">
        <v>23</v>
      </c>
      <c r="G1215" s="1">
        <f>DATEVALUE(_xlfn.CONCAT(BBDD_Usiarios_Netflix[[#This Row],[Día Suscripción]],"/",BBDD_Usiarios_Netflix[[#This Row],[Mes Suscripción]],"/",BBDD_Usiarios_Netflix[[#This Row],[Año Suscripción]]))</f>
        <v>45147</v>
      </c>
      <c r="H1215" s="1">
        <v>3</v>
      </c>
      <c r="I1215" s="1">
        <v>7</v>
      </c>
      <c r="J1215" s="1">
        <v>24</v>
      </c>
      <c r="K1215" s="1" t="str">
        <f>TEXT(BBDD_Usiarios_Netflix[[#This Row],[Fecha Suscripción]],"dddd")</f>
        <v>miércoles</v>
      </c>
      <c r="L1215" s="1">
        <f>DATEVALUE(_xlfn.CONCAT(BBDD_Usiarios_Netflix[[#This Row],[Día Último Pago]],"/",BBDD_Usiarios_Netflix[[#This Row],[Mes Último Pago]],"/",BBDD_Usiarios_Netflix[[#This Row],[Año Último Pago]]))</f>
        <v>45476</v>
      </c>
      <c r="M1215" s="4">
        <f>DATEDIF(BBDD_Usiarios_Netflix[[#This Row],[Fecha Suscripción]],BBDD_Usiarios_Netflix[[#This Row],[Fecha Último Pago]],"M")+1</f>
        <v>11</v>
      </c>
      <c r="N1215" s="4">
        <f>BBDD_Usiarios_Netflix[[#This Row],[Ingresos Mensuales]]*BBDD_Usiarios_Netflix[[#This Row],[Meses contratados]]</f>
        <v>110</v>
      </c>
      <c r="O1215" t="s">
        <v>33</v>
      </c>
      <c r="P1215" t="str">
        <f>IF(BBDD_Usiarios_Netflix[[#This Row],[País]]="","Desconocido",BBDD_Usiarios_Netflix[[#This Row],[País]])</f>
        <v>Francia</v>
      </c>
      <c r="Q1215">
        <v>51</v>
      </c>
      <c r="R1215" t="s">
        <v>30</v>
      </c>
      <c r="S1215" t="s">
        <v>26</v>
      </c>
      <c r="T1215" t="s">
        <v>41</v>
      </c>
      <c r="U1215">
        <f>IF(IFERROR(VLOOKUP(BBDD_Usiarios_Netflix[[#This Row],[Identificador Usuario]],A1216:$A$5870,1,FALSE),0)&lt;&gt;0,1,0)</f>
        <v>0</v>
      </c>
      <c r="V1215" s="6" t="str">
        <f>IF(BBDD_Usiarios_Netflix[[#This Row],[Duración Plan]]="12 Meses",LEFT(BBDD_Usiarios_Netflix[[#This Row],[Duración Plan]],2),LEFT(BBDD_Usiarios_Netflix[[#This Row],[Duración Plan]],1))</f>
        <v>12</v>
      </c>
      <c r="W12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16" spans="1:23" x14ac:dyDescent="0.25">
      <c r="A1216">
        <v>1215</v>
      </c>
      <c r="B1216" t="s">
        <v>32</v>
      </c>
      <c r="C1216">
        <v>12</v>
      </c>
      <c r="D1216" s="3">
        <v>4</v>
      </c>
      <c r="E1216" s="3">
        <v>8</v>
      </c>
      <c r="F1216">
        <v>23</v>
      </c>
      <c r="G1216" s="1">
        <f>DATEVALUE(_xlfn.CONCAT(BBDD_Usiarios_Netflix[[#This Row],[Día Suscripción]],"/",BBDD_Usiarios_Netflix[[#This Row],[Mes Suscripción]],"/",BBDD_Usiarios_Netflix[[#This Row],[Año Suscripción]]))</f>
        <v>45142</v>
      </c>
      <c r="H1216" s="1">
        <v>3</v>
      </c>
      <c r="I1216" s="1">
        <v>7</v>
      </c>
      <c r="J1216" s="1">
        <v>24</v>
      </c>
      <c r="K1216" s="1" t="str">
        <f>TEXT(BBDD_Usiarios_Netflix[[#This Row],[Fecha Suscripción]],"dddd")</f>
        <v>viernes</v>
      </c>
      <c r="L1216" s="1">
        <f>DATEVALUE(_xlfn.CONCAT(BBDD_Usiarios_Netflix[[#This Row],[Día Último Pago]],"/",BBDD_Usiarios_Netflix[[#This Row],[Mes Último Pago]],"/",BBDD_Usiarios_Netflix[[#This Row],[Año Último Pago]]))</f>
        <v>45476</v>
      </c>
      <c r="M1216" s="4">
        <f>DATEDIF(BBDD_Usiarios_Netflix[[#This Row],[Fecha Suscripción]],BBDD_Usiarios_Netflix[[#This Row],[Fecha Último Pago]],"M")+1</f>
        <v>11</v>
      </c>
      <c r="N1216" s="4">
        <f>BBDD_Usiarios_Netflix[[#This Row],[Ingresos Mensuales]]*BBDD_Usiarios_Netflix[[#This Row],[Meses contratados]]</f>
        <v>132</v>
      </c>
      <c r="O1216" t="s">
        <v>29</v>
      </c>
      <c r="P1216" t="str">
        <f>IF(BBDD_Usiarios_Netflix[[#This Row],[País]]="","Desconocido",BBDD_Usiarios_Netflix[[#This Row],[País]])</f>
        <v>EEUU</v>
      </c>
      <c r="Q1216">
        <v>41</v>
      </c>
      <c r="R1216" t="s">
        <v>30</v>
      </c>
      <c r="S1216" t="s">
        <v>36</v>
      </c>
      <c r="T1216" t="s">
        <v>35</v>
      </c>
      <c r="U1216">
        <f>IF(IFERROR(VLOOKUP(BBDD_Usiarios_Netflix[[#This Row],[Identificador Usuario]],A1217:$A$5870,1,FALSE),0)&lt;&gt;0,1,0)</f>
        <v>0</v>
      </c>
      <c r="V1216" s="6" t="str">
        <f>IF(BBDD_Usiarios_Netflix[[#This Row],[Duración Plan]]="12 Meses",LEFT(BBDD_Usiarios_Netflix[[#This Row],[Duración Plan]],2),LEFT(BBDD_Usiarios_Netflix[[#This Row],[Duración Plan]],1))</f>
        <v>6</v>
      </c>
      <c r="W12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17" spans="1:23" x14ac:dyDescent="0.25">
      <c r="A1217">
        <v>1216</v>
      </c>
      <c r="B1217" t="s">
        <v>28</v>
      </c>
      <c r="C1217">
        <v>14</v>
      </c>
      <c r="D1217" s="3">
        <v>28</v>
      </c>
      <c r="E1217" s="3">
        <v>7</v>
      </c>
      <c r="F1217">
        <v>23</v>
      </c>
      <c r="G1217" s="1">
        <f>DATEVALUE(_xlfn.CONCAT(BBDD_Usiarios_Netflix[[#This Row],[Día Suscripción]],"/",BBDD_Usiarios_Netflix[[#This Row],[Mes Suscripción]],"/",BBDD_Usiarios_Netflix[[#This Row],[Año Suscripción]]))</f>
        <v>45135</v>
      </c>
      <c r="H1217" s="1">
        <v>4</v>
      </c>
      <c r="I1217" s="1">
        <v>7</v>
      </c>
      <c r="J1217" s="1">
        <v>24</v>
      </c>
      <c r="K1217" s="1" t="str">
        <f>TEXT(BBDD_Usiarios_Netflix[[#This Row],[Fecha Suscripción]],"dddd")</f>
        <v>viernes</v>
      </c>
      <c r="L1217" s="1">
        <f>DATEVALUE(_xlfn.CONCAT(BBDD_Usiarios_Netflix[[#This Row],[Día Último Pago]],"/",BBDD_Usiarios_Netflix[[#This Row],[Mes Último Pago]],"/",BBDD_Usiarios_Netflix[[#This Row],[Año Último Pago]]))</f>
        <v>45477</v>
      </c>
      <c r="M1217" s="4">
        <f>DATEDIF(BBDD_Usiarios_Netflix[[#This Row],[Fecha Suscripción]],BBDD_Usiarios_Netflix[[#This Row],[Fecha Último Pago]],"M")+1</f>
        <v>12</v>
      </c>
      <c r="N1217" s="4">
        <f>BBDD_Usiarios_Netflix[[#This Row],[Ingresos Mensuales]]*BBDD_Usiarios_Netflix[[#This Row],[Meses contratados]]</f>
        <v>168</v>
      </c>
      <c r="O1217" t="s">
        <v>43</v>
      </c>
      <c r="P1217" t="str">
        <f>IF(BBDD_Usiarios_Netflix[[#This Row],[País]]="","Desconocido",BBDD_Usiarios_Netflix[[#This Row],[País]])</f>
        <v>Alemania</v>
      </c>
      <c r="Q1217">
        <v>28</v>
      </c>
      <c r="R1217" t="s">
        <v>30</v>
      </c>
      <c r="S1217" t="s">
        <v>31</v>
      </c>
      <c r="T1217" t="s">
        <v>27</v>
      </c>
      <c r="U1217">
        <f>IF(IFERROR(VLOOKUP(BBDD_Usiarios_Netflix[[#This Row],[Identificador Usuario]],A1218:$A$5870,1,FALSE),0)&lt;&gt;0,1,0)</f>
        <v>0</v>
      </c>
      <c r="V1217" s="6" t="str">
        <f>IF(BBDD_Usiarios_Netflix[[#This Row],[Duración Plan]]="12 Meses",LEFT(BBDD_Usiarios_Netflix[[#This Row],[Duración Plan]],2),LEFT(BBDD_Usiarios_Netflix[[#This Row],[Duración Plan]],1))</f>
        <v>1</v>
      </c>
      <c r="W12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18" spans="1:23" x14ac:dyDescent="0.25">
      <c r="A1218">
        <v>1217</v>
      </c>
      <c r="B1218" t="s">
        <v>23</v>
      </c>
      <c r="C1218">
        <v>10</v>
      </c>
      <c r="D1218" s="3">
        <v>12</v>
      </c>
      <c r="E1218" s="3">
        <v>7</v>
      </c>
      <c r="F1218">
        <v>23</v>
      </c>
      <c r="G1218" s="1">
        <f>DATEVALUE(_xlfn.CONCAT(BBDD_Usiarios_Netflix[[#This Row],[Día Suscripción]],"/",BBDD_Usiarios_Netflix[[#This Row],[Mes Suscripción]],"/",BBDD_Usiarios_Netflix[[#This Row],[Año Suscripción]]))</f>
        <v>45119</v>
      </c>
      <c r="H1218" s="1">
        <v>1</v>
      </c>
      <c r="I1218" s="1">
        <v>7</v>
      </c>
      <c r="J1218" s="1">
        <v>24</v>
      </c>
      <c r="K1218" s="1" t="str">
        <f>TEXT(BBDD_Usiarios_Netflix[[#This Row],[Fecha Suscripción]],"dddd")</f>
        <v>miércoles</v>
      </c>
      <c r="L1218" s="1">
        <f>DATEVALUE(_xlfn.CONCAT(BBDD_Usiarios_Netflix[[#This Row],[Día Último Pago]],"/",BBDD_Usiarios_Netflix[[#This Row],[Mes Último Pago]],"/",BBDD_Usiarios_Netflix[[#This Row],[Año Último Pago]]))</f>
        <v>45474</v>
      </c>
      <c r="M1218" s="4">
        <f>DATEDIF(BBDD_Usiarios_Netflix[[#This Row],[Fecha Suscripción]],BBDD_Usiarios_Netflix[[#This Row],[Fecha Último Pago]],"M")+1</f>
        <v>12</v>
      </c>
      <c r="N1218" s="4">
        <f>BBDD_Usiarios_Netflix[[#This Row],[Ingresos Mensuales]]*BBDD_Usiarios_Netflix[[#This Row],[Meses contratados]]</f>
        <v>120</v>
      </c>
      <c r="O1218" t="s">
        <v>45</v>
      </c>
      <c r="P1218" t="str">
        <f>IF(BBDD_Usiarios_Netflix[[#This Row],[País]]="","Desconocido",BBDD_Usiarios_Netflix[[#This Row],[País]])</f>
        <v>España</v>
      </c>
      <c r="Q1218">
        <v>42</v>
      </c>
      <c r="R1218" t="s">
        <v>25</v>
      </c>
      <c r="S1218" t="s">
        <v>36</v>
      </c>
      <c r="T1218" t="s">
        <v>27</v>
      </c>
      <c r="U1218">
        <f>IF(IFERROR(VLOOKUP(BBDD_Usiarios_Netflix[[#This Row],[Identificador Usuario]],A1219:$A$5870,1,FALSE),0)&lt;&gt;0,1,0)</f>
        <v>0</v>
      </c>
      <c r="V1218" s="6" t="str">
        <f>IF(BBDD_Usiarios_Netflix[[#This Row],[Duración Plan]]="12 Meses",LEFT(BBDD_Usiarios_Netflix[[#This Row],[Duración Plan]],2),LEFT(BBDD_Usiarios_Netflix[[#This Row],[Duración Plan]],1))</f>
        <v>1</v>
      </c>
      <c r="W12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19" spans="1:23" x14ac:dyDescent="0.25">
      <c r="A1219">
        <v>1218</v>
      </c>
      <c r="B1219" t="s">
        <v>32</v>
      </c>
      <c r="C1219">
        <v>12</v>
      </c>
      <c r="D1219" s="3">
        <v>11</v>
      </c>
      <c r="E1219" s="3">
        <v>7</v>
      </c>
      <c r="F1219">
        <v>23</v>
      </c>
      <c r="G1219" s="1">
        <f>DATEVALUE(_xlfn.CONCAT(BBDD_Usiarios_Netflix[[#This Row],[Día Suscripción]],"/",BBDD_Usiarios_Netflix[[#This Row],[Mes Suscripción]],"/",BBDD_Usiarios_Netflix[[#This Row],[Año Suscripción]]))</f>
        <v>45118</v>
      </c>
      <c r="H1219" s="1">
        <v>3</v>
      </c>
      <c r="I1219" s="1">
        <v>7</v>
      </c>
      <c r="J1219" s="1">
        <v>24</v>
      </c>
      <c r="K1219" s="1" t="str">
        <f>TEXT(BBDD_Usiarios_Netflix[[#This Row],[Fecha Suscripción]],"dddd")</f>
        <v>martes</v>
      </c>
      <c r="L1219" s="1">
        <f>DATEVALUE(_xlfn.CONCAT(BBDD_Usiarios_Netflix[[#This Row],[Día Último Pago]],"/",BBDD_Usiarios_Netflix[[#This Row],[Mes Último Pago]],"/",BBDD_Usiarios_Netflix[[#This Row],[Año Último Pago]]))</f>
        <v>45476</v>
      </c>
      <c r="M1219" s="4">
        <f>DATEDIF(BBDD_Usiarios_Netflix[[#This Row],[Fecha Suscripción]],BBDD_Usiarios_Netflix[[#This Row],[Fecha Último Pago]],"M")+1</f>
        <v>12</v>
      </c>
      <c r="N1219" s="4">
        <f>BBDD_Usiarios_Netflix[[#This Row],[Ingresos Mensuales]]*BBDD_Usiarios_Netflix[[#This Row],[Meses contratados]]</f>
        <v>144</v>
      </c>
      <c r="O1219" t="s">
        <v>29</v>
      </c>
      <c r="P1219" t="str">
        <f>IF(BBDD_Usiarios_Netflix[[#This Row],[País]]="","Desconocido",BBDD_Usiarios_Netflix[[#This Row],[País]])</f>
        <v>EEUU</v>
      </c>
      <c r="Q1219">
        <v>40</v>
      </c>
      <c r="R1219" t="s">
        <v>25</v>
      </c>
      <c r="S1219" t="s">
        <v>36</v>
      </c>
      <c r="T1219" t="s">
        <v>35</v>
      </c>
      <c r="U1219">
        <f>IF(IFERROR(VLOOKUP(BBDD_Usiarios_Netflix[[#This Row],[Identificador Usuario]],A1220:$A$5870,1,FALSE),0)&lt;&gt;0,1,0)</f>
        <v>0</v>
      </c>
      <c r="V1219" s="6" t="str">
        <f>IF(BBDD_Usiarios_Netflix[[#This Row],[Duración Plan]]="12 Meses",LEFT(BBDD_Usiarios_Netflix[[#This Row],[Duración Plan]],2),LEFT(BBDD_Usiarios_Netflix[[#This Row],[Duración Plan]],1))</f>
        <v>6</v>
      </c>
      <c r="W12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20" spans="1:23" x14ac:dyDescent="0.25">
      <c r="A1220">
        <v>1219</v>
      </c>
      <c r="B1220" t="s">
        <v>28</v>
      </c>
      <c r="C1220">
        <v>14</v>
      </c>
      <c r="D1220" s="3">
        <v>6</v>
      </c>
      <c r="E1220" s="3">
        <v>7</v>
      </c>
      <c r="F1220">
        <v>23</v>
      </c>
      <c r="G1220" s="1">
        <f>DATEVALUE(_xlfn.CONCAT(BBDD_Usiarios_Netflix[[#This Row],[Día Suscripción]],"/",BBDD_Usiarios_Netflix[[#This Row],[Mes Suscripción]],"/",BBDD_Usiarios_Netflix[[#This Row],[Año Suscripción]]))</f>
        <v>45113</v>
      </c>
      <c r="H1220" s="1">
        <v>4</v>
      </c>
      <c r="I1220" s="1">
        <v>7</v>
      </c>
      <c r="J1220" s="1">
        <v>24</v>
      </c>
      <c r="K1220" s="1" t="str">
        <f>TEXT(BBDD_Usiarios_Netflix[[#This Row],[Fecha Suscripción]],"dddd")</f>
        <v>jueves</v>
      </c>
      <c r="L1220" s="1">
        <f>DATEVALUE(_xlfn.CONCAT(BBDD_Usiarios_Netflix[[#This Row],[Día Último Pago]],"/",BBDD_Usiarios_Netflix[[#This Row],[Mes Último Pago]],"/",BBDD_Usiarios_Netflix[[#This Row],[Año Último Pago]]))</f>
        <v>45477</v>
      </c>
      <c r="M1220" s="4">
        <f>DATEDIF(BBDD_Usiarios_Netflix[[#This Row],[Fecha Suscripción]],BBDD_Usiarios_Netflix[[#This Row],[Fecha Último Pago]],"M")+1</f>
        <v>12</v>
      </c>
      <c r="N1220" s="4">
        <f>BBDD_Usiarios_Netflix[[#This Row],[Ingresos Mensuales]]*BBDD_Usiarios_Netflix[[#This Row],[Meses contratados]]</f>
        <v>168</v>
      </c>
      <c r="O1220" t="s">
        <v>42</v>
      </c>
      <c r="P1220" t="str">
        <f>IF(BBDD_Usiarios_Netflix[[#This Row],[País]]="","Desconocido",BBDD_Usiarios_Netflix[[#This Row],[País]])</f>
        <v>Reino Unido</v>
      </c>
      <c r="Q1220">
        <v>48</v>
      </c>
      <c r="R1220" t="s">
        <v>30</v>
      </c>
      <c r="S1220" t="s">
        <v>26</v>
      </c>
      <c r="T1220" t="s">
        <v>35</v>
      </c>
      <c r="U1220">
        <f>IF(IFERROR(VLOOKUP(BBDD_Usiarios_Netflix[[#This Row],[Identificador Usuario]],A1221:$A$5870,1,FALSE),0)&lt;&gt;0,1,0)</f>
        <v>0</v>
      </c>
      <c r="V1220" s="6" t="str">
        <f>IF(BBDD_Usiarios_Netflix[[#This Row],[Duración Plan]]="12 Meses",LEFT(BBDD_Usiarios_Netflix[[#This Row],[Duración Plan]],2),LEFT(BBDD_Usiarios_Netflix[[#This Row],[Duración Plan]],1))</f>
        <v>6</v>
      </c>
      <c r="W12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21" spans="1:23" x14ac:dyDescent="0.25">
      <c r="A1221">
        <v>1220</v>
      </c>
      <c r="B1221" t="s">
        <v>23</v>
      </c>
      <c r="C1221">
        <v>10</v>
      </c>
      <c r="D1221" s="3">
        <v>1</v>
      </c>
      <c r="E1221" s="3">
        <v>7</v>
      </c>
      <c r="F1221">
        <v>23</v>
      </c>
      <c r="G1221" s="1">
        <f>DATEVALUE(_xlfn.CONCAT(BBDD_Usiarios_Netflix[[#This Row],[Día Suscripción]],"/",BBDD_Usiarios_Netflix[[#This Row],[Mes Suscripción]],"/",BBDD_Usiarios_Netflix[[#This Row],[Año Suscripción]]))</f>
        <v>45108</v>
      </c>
      <c r="H1221" s="1">
        <v>3</v>
      </c>
      <c r="I1221" s="1">
        <v>7</v>
      </c>
      <c r="J1221" s="1">
        <v>24</v>
      </c>
      <c r="K1221" s="1" t="str">
        <f>TEXT(BBDD_Usiarios_Netflix[[#This Row],[Fecha Suscripción]],"dddd")</f>
        <v>sábado</v>
      </c>
      <c r="L1221" s="1">
        <f>DATEVALUE(_xlfn.CONCAT(BBDD_Usiarios_Netflix[[#This Row],[Día Último Pago]],"/",BBDD_Usiarios_Netflix[[#This Row],[Mes Último Pago]],"/",BBDD_Usiarios_Netflix[[#This Row],[Año Último Pago]]))</f>
        <v>45476</v>
      </c>
      <c r="M1221" s="4">
        <f>DATEDIF(BBDD_Usiarios_Netflix[[#This Row],[Fecha Suscripción]],BBDD_Usiarios_Netflix[[#This Row],[Fecha Último Pago]],"M")+1</f>
        <v>13</v>
      </c>
      <c r="N1221" s="4">
        <f>BBDD_Usiarios_Netflix[[#This Row],[Ingresos Mensuales]]*BBDD_Usiarios_Netflix[[#This Row],[Meses contratados]]</f>
        <v>130</v>
      </c>
      <c r="O1221" t="s">
        <v>45</v>
      </c>
      <c r="P1221" t="str">
        <f>IF(BBDD_Usiarios_Netflix[[#This Row],[País]]="","Desconocido",BBDD_Usiarios_Netflix[[#This Row],[País]])</f>
        <v>España</v>
      </c>
      <c r="Q1221">
        <v>28</v>
      </c>
      <c r="R1221" t="s">
        <v>25</v>
      </c>
      <c r="S1221" t="s">
        <v>34</v>
      </c>
      <c r="T1221" t="s">
        <v>38</v>
      </c>
      <c r="U1221">
        <f>IF(IFERROR(VLOOKUP(BBDD_Usiarios_Netflix[[#This Row],[Identificador Usuario]],A1222:$A$5870,1,FALSE),0)&lt;&gt;0,1,0)</f>
        <v>0</v>
      </c>
      <c r="V1221" s="6" t="str">
        <f>IF(BBDD_Usiarios_Netflix[[#This Row],[Duración Plan]]="12 Meses",LEFT(BBDD_Usiarios_Netflix[[#This Row],[Duración Plan]],2),LEFT(BBDD_Usiarios_Netflix[[#This Row],[Duración Plan]],1))</f>
        <v>3</v>
      </c>
      <c r="W12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22" spans="1:23" x14ac:dyDescent="0.25">
      <c r="A1222">
        <v>1221</v>
      </c>
      <c r="B1222" t="s">
        <v>28</v>
      </c>
      <c r="C1222">
        <v>14</v>
      </c>
      <c r="D1222" s="3">
        <v>2</v>
      </c>
      <c r="E1222" s="3">
        <v>7</v>
      </c>
      <c r="F1222">
        <v>23</v>
      </c>
      <c r="G1222" s="1">
        <f>DATEVALUE(_xlfn.CONCAT(BBDD_Usiarios_Netflix[[#This Row],[Día Suscripción]],"/",BBDD_Usiarios_Netflix[[#This Row],[Mes Suscripción]],"/",BBDD_Usiarios_Netflix[[#This Row],[Año Suscripción]]))</f>
        <v>45109</v>
      </c>
      <c r="H1222" s="1">
        <v>1</v>
      </c>
      <c r="I1222" s="1">
        <v>7</v>
      </c>
      <c r="J1222" s="1">
        <v>24</v>
      </c>
      <c r="K1222" s="1" t="str">
        <f>TEXT(BBDD_Usiarios_Netflix[[#This Row],[Fecha Suscripción]],"dddd")</f>
        <v>domingo</v>
      </c>
      <c r="L1222" s="1">
        <f>DATEVALUE(_xlfn.CONCAT(BBDD_Usiarios_Netflix[[#This Row],[Día Último Pago]],"/",BBDD_Usiarios_Netflix[[#This Row],[Mes Último Pago]],"/",BBDD_Usiarios_Netflix[[#This Row],[Año Último Pago]]))</f>
        <v>45474</v>
      </c>
      <c r="M1222" s="4">
        <f>DATEDIF(BBDD_Usiarios_Netflix[[#This Row],[Fecha Suscripción]],BBDD_Usiarios_Netflix[[#This Row],[Fecha Último Pago]],"M")+1</f>
        <v>12</v>
      </c>
      <c r="N1222" s="4">
        <f>BBDD_Usiarios_Netflix[[#This Row],[Ingresos Mensuales]]*BBDD_Usiarios_Netflix[[#This Row],[Meses contratados]]</f>
        <v>168</v>
      </c>
      <c r="O1222" t="s">
        <v>42</v>
      </c>
      <c r="P1222" t="str">
        <f>IF(BBDD_Usiarios_Netflix[[#This Row],[País]]="","Desconocido",BBDD_Usiarios_Netflix[[#This Row],[País]])</f>
        <v>Reino Unido</v>
      </c>
      <c r="Q1222">
        <v>40</v>
      </c>
      <c r="R1222" t="s">
        <v>25</v>
      </c>
      <c r="S1222" t="s">
        <v>34</v>
      </c>
      <c r="T1222" t="s">
        <v>38</v>
      </c>
      <c r="U1222">
        <f>IF(IFERROR(VLOOKUP(BBDD_Usiarios_Netflix[[#This Row],[Identificador Usuario]],A1223:$A$5870,1,FALSE),0)&lt;&gt;0,1,0)</f>
        <v>0</v>
      </c>
      <c r="V1222" s="6" t="str">
        <f>IF(BBDD_Usiarios_Netflix[[#This Row],[Duración Plan]]="12 Meses",LEFT(BBDD_Usiarios_Netflix[[#This Row],[Duración Plan]],2),LEFT(BBDD_Usiarios_Netflix[[#This Row],[Duración Plan]],1))</f>
        <v>3</v>
      </c>
      <c r="W12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23" spans="1:23" x14ac:dyDescent="0.25">
      <c r="A1223">
        <v>1222</v>
      </c>
      <c r="B1223" t="s">
        <v>23</v>
      </c>
      <c r="C1223">
        <v>10</v>
      </c>
      <c r="D1223" s="3">
        <v>30</v>
      </c>
      <c r="E1223" s="3">
        <v>6</v>
      </c>
      <c r="F1223">
        <v>23</v>
      </c>
      <c r="G1223" s="1">
        <f>DATEVALUE(_xlfn.CONCAT(BBDD_Usiarios_Netflix[[#This Row],[Día Suscripción]],"/",BBDD_Usiarios_Netflix[[#This Row],[Mes Suscripción]],"/",BBDD_Usiarios_Netflix[[#This Row],[Año Suscripción]]))</f>
        <v>45107</v>
      </c>
      <c r="H1223" s="1">
        <v>3</v>
      </c>
      <c r="I1223" s="1">
        <v>7</v>
      </c>
      <c r="J1223" s="1">
        <v>24</v>
      </c>
      <c r="K1223" s="1" t="str">
        <f>TEXT(BBDD_Usiarios_Netflix[[#This Row],[Fecha Suscripción]],"dddd")</f>
        <v>viernes</v>
      </c>
      <c r="L1223" s="1">
        <f>DATEVALUE(_xlfn.CONCAT(BBDD_Usiarios_Netflix[[#This Row],[Día Último Pago]],"/",BBDD_Usiarios_Netflix[[#This Row],[Mes Último Pago]],"/",BBDD_Usiarios_Netflix[[#This Row],[Año Último Pago]]))</f>
        <v>45476</v>
      </c>
      <c r="M1223" s="4">
        <f>DATEDIF(BBDD_Usiarios_Netflix[[#This Row],[Fecha Suscripción]],BBDD_Usiarios_Netflix[[#This Row],[Fecha Último Pago]],"M")+1</f>
        <v>13</v>
      </c>
      <c r="N1223" s="4">
        <f>BBDD_Usiarios_Netflix[[#This Row],[Ingresos Mensuales]]*BBDD_Usiarios_Netflix[[#This Row],[Meses contratados]]</f>
        <v>130</v>
      </c>
      <c r="O1223" t="s">
        <v>40</v>
      </c>
      <c r="P1223" t="str">
        <f>IF(BBDD_Usiarios_Netflix[[#This Row],[País]]="","Desconocido",BBDD_Usiarios_Netflix[[#This Row],[País]])</f>
        <v>Italia</v>
      </c>
      <c r="Q1223">
        <v>33</v>
      </c>
      <c r="R1223" t="s">
        <v>30</v>
      </c>
      <c r="S1223" t="s">
        <v>31</v>
      </c>
      <c r="T1223" t="s">
        <v>27</v>
      </c>
      <c r="U1223">
        <f>IF(IFERROR(VLOOKUP(BBDD_Usiarios_Netflix[[#This Row],[Identificador Usuario]],A1224:$A$5870,1,FALSE),0)&lt;&gt;0,1,0)</f>
        <v>0</v>
      </c>
      <c r="V1223" s="6" t="str">
        <f>IF(BBDD_Usiarios_Netflix[[#This Row],[Duración Plan]]="12 Meses",LEFT(BBDD_Usiarios_Netflix[[#This Row],[Duración Plan]],2),LEFT(BBDD_Usiarios_Netflix[[#This Row],[Duración Plan]],1))</f>
        <v>1</v>
      </c>
      <c r="W12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24" spans="1:23" x14ac:dyDescent="0.25">
      <c r="A1224">
        <v>1223</v>
      </c>
      <c r="B1224" t="s">
        <v>32</v>
      </c>
      <c r="C1224">
        <v>12</v>
      </c>
      <c r="D1224" s="3">
        <v>30</v>
      </c>
      <c r="E1224" s="3">
        <v>6</v>
      </c>
      <c r="F1224">
        <v>23</v>
      </c>
      <c r="G1224" s="1">
        <f>DATEVALUE(_xlfn.CONCAT(BBDD_Usiarios_Netflix[[#This Row],[Día Suscripción]],"/",BBDD_Usiarios_Netflix[[#This Row],[Mes Suscripción]],"/",BBDD_Usiarios_Netflix[[#This Row],[Año Suscripción]]))</f>
        <v>45107</v>
      </c>
      <c r="H1224" s="1">
        <v>3</v>
      </c>
      <c r="I1224" s="1">
        <v>7</v>
      </c>
      <c r="J1224" s="1">
        <v>24</v>
      </c>
      <c r="K1224" s="1" t="str">
        <f>TEXT(BBDD_Usiarios_Netflix[[#This Row],[Fecha Suscripción]],"dddd")</f>
        <v>viernes</v>
      </c>
      <c r="L1224" s="1">
        <f>DATEVALUE(_xlfn.CONCAT(BBDD_Usiarios_Netflix[[#This Row],[Día Último Pago]],"/",BBDD_Usiarios_Netflix[[#This Row],[Mes Último Pago]],"/",BBDD_Usiarios_Netflix[[#This Row],[Año Último Pago]]))</f>
        <v>45476</v>
      </c>
      <c r="M1224" s="4">
        <f>DATEDIF(BBDD_Usiarios_Netflix[[#This Row],[Fecha Suscripción]],BBDD_Usiarios_Netflix[[#This Row],[Fecha Último Pago]],"M")+1</f>
        <v>13</v>
      </c>
      <c r="N1224" s="4">
        <f>BBDD_Usiarios_Netflix[[#This Row],[Ingresos Mensuales]]*BBDD_Usiarios_Netflix[[#This Row],[Meses contratados]]</f>
        <v>156</v>
      </c>
      <c r="O1224" t="s">
        <v>40</v>
      </c>
      <c r="P1224" t="str">
        <f>IF(BBDD_Usiarios_Netflix[[#This Row],[País]]="","Desconocido",BBDD_Usiarios_Netflix[[#This Row],[País]])</f>
        <v>Italia</v>
      </c>
      <c r="Q1224">
        <v>33</v>
      </c>
      <c r="R1224" t="s">
        <v>25</v>
      </c>
      <c r="S1224" t="s">
        <v>26</v>
      </c>
      <c r="T1224" t="s">
        <v>38</v>
      </c>
      <c r="U1224">
        <f>IF(IFERROR(VLOOKUP(BBDD_Usiarios_Netflix[[#This Row],[Identificador Usuario]],A1225:$A$5870,1,FALSE),0)&lt;&gt;0,1,0)</f>
        <v>0</v>
      </c>
      <c r="V1224" s="6" t="str">
        <f>IF(BBDD_Usiarios_Netflix[[#This Row],[Duración Plan]]="12 Meses",LEFT(BBDD_Usiarios_Netflix[[#This Row],[Duración Plan]],2),LEFT(BBDD_Usiarios_Netflix[[#This Row],[Duración Plan]],1))</f>
        <v>3</v>
      </c>
      <c r="W12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25" spans="1:23" x14ac:dyDescent="0.25">
      <c r="A1225">
        <v>1224</v>
      </c>
      <c r="B1225" t="s">
        <v>32</v>
      </c>
      <c r="C1225">
        <v>12</v>
      </c>
      <c r="D1225" s="3">
        <v>30</v>
      </c>
      <c r="E1225" s="3">
        <v>6</v>
      </c>
      <c r="F1225">
        <v>23</v>
      </c>
      <c r="G1225" s="1">
        <f>DATEVALUE(_xlfn.CONCAT(BBDD_Usiarios_Netflix[[#This Row],[Día Suscripción]],"/",BBDD_Usiarios_Netflix[[#This Row],[Mes Suscripción]],"/",BBDD_Usiarios_Netflix[[#This Row],[Año Suscripción]]))</f>
        <v>45107</v>
      </c>
      <c r="H1225" s="1">
        <v>3</v>
      </c>
      <c r="I1225" s="1">
        <v>7</v>
      </c>
      <c r="J1225" s="1">
        <v>24</v>
      </c>
      <c r="K1225" s="1" t="str">
        <f>TEXT(BBDD_Usiarios_Netflix[[#This Row],[Fecha Suscripción]],"dddd")</f>
        <v>viernes</v>
      </c>
      <c r="L1225" s="1">
        <f>DATEVALUE(_xlfn.CONCAT(BBDD_Usiarios_Netflix[[#This Row],[Día Último Pago]],"/",BBDD_Usiarios_Netflix[[#This Row],[Mes Último Pago]],"/",BBDD_Usiarios_Netflix[[#This Row],[Año Último Pago]]))</f>
        <v>45476</v>
      </c>
      <c r="M1225" s="4">
        <f>DATEDIF(BBDD_Usiarios_Netflix[[#This Row],[Fecha Suscripción]],BBDD_Usiarios_Netflix[[#This Row],[Fecha Último Pago]],"M")+1</f>
        <v>13</v>
      </c>
      <c r="N1225" s="4">
        <f>BBDD_Usiarios_Netflix[[#This Row],[Ingresos Mensuales]]*BBDD_Usiarios_Netflix[[#This Row],[Meses contratados]]</f>
        <v>156</v>
      </c>
      <c r="O1225" t="s">
        <v>39</v>
      </c>
      <c r="P1225" t="str">
        <f>IF(BBDD_Usiarios_Netflix[[#This Row],[País]]="","Desconocido",BBDD_Usiarios_Netflix[[#This Row],[País]])</f>
        <v>Canadá</v>
      </c>
      <c r="Q1225">
        <v>47</v>
      </c>
      <c r="R1225" t="s">
        <v>30</v>
      </c>
      <c r="S1225" t="s">
        <v>26</v>
      </c>
      <c r="T1225" t="s">
        <v>27</v>
      </c>
      <c r="U1225">
        <f>IF(IFERROR(VLOOKUP(BBDD_Usiarios_Netflix[[#This Row],[Identificador Usuario]],A1226:$A$5870,1,FALSE),0)&lt;&gt;0,1,0)</f>
        <v>0</v>
      </c>
      <c r="V1225" s="6" t="str">
        <f>IF(BBDD_Usiarios_Netflix[[#This Row],[Duración Plan]]="12 Meses",LEFT(BBDD_Usiarios_Netflix[[#This Row],[Duración Plan]],2),LEFT(BBDD_Usiarios_Netflix[[#This Row],[Duración Plan]],1))</f>
        <v>1</v>
      </c>
      <c r="W12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26" spans="1:23" x14ac:dyDescent="0.25">
      <c r="A1226">
        <v>1225</v>
      </c>
      <c r="B1226" t="s">
        <v>23</v>
      </c>
      <c r="C1226">
        <v>10</v>
      </c>
      <c r="D1226" s="3">
        <v>30</v>
      </c>
      <c r="E1226" s="3">
        <v>6</v>
      </c>
      <c r="F1226">
        <v>23</v>
      </c>
      <c r="G1226" s="1">
        <f>DATEVALUE(_xlfn.CONCAT(BBDD_Usiarios_Netflix[[#This Row],[Día Suscripción]],"/",BBDD_Usiarios_Netflix[[#This Row],[Mes Suscripción]],"/",BBDD_Usiarios_Netflix[[#This Row],[Año Suscripción]]))</f>
        <v>45107</v>
      </c>
      <c r="H1226" s="1">
        <v>1</v>
      </c>
      <c r="I1226" s="1">
        <v>7</v>
      </c>
      <c r="J1226" s="1">
        <v>24</v>
      </c>
      <c r="K1226" s="1" t="str">
        <f>TEXT(BBDD_Usiarios_Netflix[[#This Row],[Fecha Suscripción]],"dddd")</f>
        <v>viernes</v>
      </c>
      <c r="L1226" s="1">
        <f>DATEVALUE(_xlfn.CONCAT(BBDD_Usiarios_Netflix[[#This Row],[Día Último Pago]],"/",BBDD_Usiarios_Netflix[[#This Row],[Mes Último Pago]],"/",BBDD_Usiarios_Netflix[[#This Row],[Año Último Pago]]))</f>
        <v>45474</v>
      </c>
      <c r="M1226" s="4">
        <f>DATEDIF(BBDD_Usiarios_Netflix[[#This Row],[Fecha Suscripción]],BBDD_Usiarios_Netflix[[#This Row],[Fecha Último Pago]],"M")+1</f>
        <v>13</v>
      </c>
      <c r="N1226" s="4">
        <f>BBDD_Usiarios_Netflix[[#This Row],[Ingresos Mensuales]]*BBDD_Usiarios_Netflix[[#This Row],[Meses contratados]]</f>
        <v>130</v>
      </c>
      <c r="O1226" t="s">
        <v>33</v>
      </c>
      <c r="P1226" t="str">
        <f>IF(BBDD_Usiarios_Netflix[[#This Row],[País]]="","Desconocido",BBDD_Usiarios_Netflix[[#This Row],[País]])</f>
        <v>Francia</v>
      </c>
      <c r="Q1226">
        <v>50</v>
      </c>
      <c r="R1226" t="s">
        <v>30</v>
      </c>
      <c r="S1226" t="s">
        <v>34</v>
      </c>
      <c r="T1226" t="s">
        <v>35</v>
      </c>
      <c r="U1226">
        <f>IF(IFERROR(VLOOKUP(BBDD_Usiarios_Netflix[[#This Row],[Identificador Usuario]],A1227:$A$5870,1,FALSE),0)&lt;&gt;0,1,0)</f>
        <v>0</v>
      </c>
      <c r="V1226" s="6" t="str">
        <f>IF(BBDD_Usiarios_Netflix[[#This Row],[Duración Plan]]="12 Meses",LEFT(BBDD_Usiarios_Netflix[[#This Row],[Duración Plan]],2),LEFT(BBDD_Usiarios_Netflix[[#This Row],[Duración Plan]],1))</f>
        <v>6</v>
      </c>
      <c r="W12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27" spans="1:23" x14ac:dyDescent="0.25">
      <c r="A1227">
        <v>1226</v>
      </c>
      <c r="B1227" t="s">
        <v>28</v>
      </c>
      <c r="C1227">
        <v>14</v>
      </c>
      <c r="D1227" s="3">
        <v>29</v>
      </c>
      <c r="E1227" s="3">
        <v>6</v>
      </c>
      <c r="F1227">
        <v>23</v>
      </c>
      <c r="G1227" s="1">
        <f>DATEVALUE(_xlfn.CONCAT(BBDD_Usiarios_Netflix[[#This Row],[Día Suscripción]],"/",BBDD_Usiarios_Netflix[[#This Row],[Mes Suscripción]],"/",BBDD_Usiarios_Netflix[[#This Row],[Año Suscripción]]))</f>
        <v>45106</v>
      </c>
      <c r="H1227" s="1">
        <v>3</v>
      </c>
      <c r="I1227" s="1">
        <v>7</v>
      </c>
      <c r="J1227" s="1">
        <v>24</v>
      </c>
      <c r="K1227" s="1" t="str">
        <f>TEXT(BBDD_Usiarios_Netflix[[#This Row],[Fecha Suscripción]],"dddd")</f>
        <v>jueves</v>
      </c>
      <c r="L1227" s="1">
        <f>DATEVALUE(_xlfn.CONCAT(BBDD_Usiarios_Netflix[[#This Row],[Día Último Pago]],"/",BBDD_Usiarios_Netflix[[#This Row],[Mes Último Pago]],"/",BBDD_Usiarios_Netflix[[#This Row],[Año Último Pago]]))</f>
        <v>45476</v>
      </c>
      <c r="M1227" s="4">
        <f>DATEDIF(BBDD_Usiarios_Netflix[[#This Row],[Fecha Suscripción]],BBDD_Usiarios_Netflix[[#This Row],[Fecha Último Pago]],"M")+1</f>
        <v>13</v>
      </c>
      <c r="N1227" s="4">
        <f>BBDD_Usiarios_Netflix[[#This Row],[Ingresos Mensuales]]*BBDD_Usiarios_Netflix[[#This Row],[Meses contratados]]</f>
        <v>182</v>
      </c>
      <c r="O1227" t="s">
        <v>44</v>
      </c>
      <c r="P1227" t="str">
        <f>IF(BBDD_Usiarios_Netflix[[#This Row],[País]]="","Desconocido",BBDD_Usiarios_Netflix[[#This Row],[País]])</f>
        <v>Desconocido</v>
      </c>
      <c r="Q1227">
        <v>38</v>
      </c>
      <c r="R1227" t="s">
        <v>25</v>
      </c>
      <c r="S1227" t="s">
        <v>26</v>
      </c>
      <c r="T1227" t="s">
        <v>27</v>
      </c>
      <c r="U1227">
        <f>IF(IFERROR(VLOOKUP(BBDD_Usiarios_Netflix[[#This Row],[Identificador Usuario]],A1228:$A$5870,1,FALSE),0)&lt;&gt;0,1,0)</f>
        <v>0</v>
      </c>
      <c r="V1227" s="6" t="str">
        <f>IF(BBDD_Usiarios_Netflix[[#This Row],[Duración Plan]]="12 Meses",LEFT(BBDD_Usiarios_Netflix[[#This Row],[Duración Plan]],2),LEFT(BBDD_Usiarios_Netflix[[#This Row],[Duración Plan]],1))</f>
        <v>1</v>
      </c>
      <c r="W12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28" spans="1:23" x14ac:dyDescent="0.25">
      <c r="A1228">
        <v>1227</v>
      </c>
      <c r="B1228" t="s">
        <v>23</v>
      </c>
      <c r="C1228">
        <v>10</v>
      </c>
      <c r="D1228" s="3">
        <v>27</v>
      </c>
      <c r="E1228" s="3">
        <v>6</v>
      </c>
      <c r="F1228">
        <v>23</v>
      </c>
      <c r="G1228" s="1">
        <f>DATEVALUE(_xlfn.CONCAT(BBDD_Usiarios_Netflix[[#This Row],[Día Suscripción]],"/",BBDD_Usiarios_Netflix[[#This Row],[Mes Suscripción]],"/",BBDD_Usiarios_Netflix[[#This Row],[Año Suscripción]]))</f>
        <v>45104</v>
      </c>
      <c r="H1228" s="1">
        <v>4</v>
      </c>
      <c r="I1228" s="1">
        <v>7</v>
      </c>
      <c r="J1228" s="1">
        <v>24</v>
      </c>
      <c r="K1228" s="1" t="str">
        <f>TEXT(BBDD_Usiarios_Netflix[[#This Row],[Fecha Suscripción]],"dddd")</f>
        <v>martes</v>
      </c>
      <c r="L1228" s="1">
        <f>DATEVALUE(_xlfn.CONCAT(BBDD_Usiarios_Netflix[[#This Row],[Día Último Pago]],"/",BBDD_Usiarios_Netflix[[#This Row],[Mes Último Pago]],"/",BBDD_Usiarios_Netflix[[#This Row],[Año Último Pago]]))</f>
        <v>45477</v>
      </c>
      <c r="M1228" s="4">
        <f>DATEDIF(BBDD_Usiarios_Netflix[[#This Row],[Fecha Suscripción]],BBDD_Usiarios_Netflix[[#This Row],[Fecha Último Pago]],"M")+1</f>
        <v>13</v>
      </c>
      <c r="N1228" s="4">
        <f>BBDD_Usiarios_Netflix[[#This Row],[Ingresos Mensuales]]*BBDD_Usiarios_Netflix[[#This Row],[Meses contratados]]</f>
        <v>130</v>
      </c>
      <c r="O1228" t="s">
        <v>29</v>
      </c>
      <c r="P1228" t="str">
        <f>IF(BBDD_Usiarios_Netflix[[#This Row],[País]]="","Desconocido",BBDD_Usiarios_Netflix[[#This Row],[País]])</f>
        <v>EEUU</v>
      </c>
      <c r="Q1228">
        <v>36</v>
      </c>
      <c r="R1228" t="s">
        <v>30</v>
      </c>
      <c r="S1228" t="s">
        <v>31</v>
      </c>
      <c r="T1228" t="s">
        <v>38</v>
      </c>
      <c r="U1228">
        <f>IF(IFERROR(VLOOKUP(BBDD_Usiarios_Netflix[[#This Row],[Identificador Usuario]],A1229:$A$5870,1,FALSE),0)&lt;&gt;0,1,0)</f>
        <v>0</v>
      </c>
      <c r="V1228" s="6" t="str">
        <f>IF(BBDD_Usiarios_Netflix[[#This Row],[Duración Plan]]="12 Meses",LEFT(BBDD_Usiarios_Netflix[[#This Row],[Duración Plan]],2),LEFT(BBDD_Usiarios_Netflix[[#This Row],[Duración Plan]],1))</f>
        <v>3</v>
      </c>
      <c r="W12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29" spans="1:23" x14ac:dyDescent="0.25">
      <c r="A1229">
        <v>1228</v>
      </c>
      <c r="B1229" t="s">
        <v>32</v>
      </c>
      <c r="C1229">
        <v>12</v>
      </c>
      <c r="D1229" s="3">
        <v>26</v>
      </c>
      <c r="E1229" s="3">
        <v>6</v>
      </c>
      <c r="F1229">
        <v>23</v>
      </c>
      <c r="G1229" s="1">
        <f>DATEVALUE(_xlfn.CONCAT(BBDD_Usiarios_Netflix[[#This Row],[Día Suscripción]],"/",BBDD_Usiarios_Netflix[[#This Row],[Mes Suscripción]],"/",BBDD_Usiarios_Netflix[[#This Row],[Año Suscripción]]))</f>
        <v>45103</v>
      </c>
      <c r="H1229" s="1">
        <v>3</v>
      </c>
      <c r="I1229" s="1">
        <v>7</v>
      </c>
      <c r="J1229" s="1">
        <v>24</v>
      </c>
      <c r="K1229" s="1" t="str">
        <f>TEXT(BBDD_Usiarios_Netflix[[#This Row],[Fecha Suscripción]],"dddd")</f>
        <v>lunes</v>
      </c>
      <c r="L1229" s="1">
        <f>DATEVALUE(_xlfn.CONCAT(BBDD_Usiarios_Netflix[[#This Row],[Día Último Pago]],"/",BBDD_Usiarios_Netflix[[#This Row],[Mes Último Pago]],"/",BBDD_Usiarios_Netflix[[#This Row],[Año Último Pago]]))</f>
        <v>45476</v>
      </c>
      <c r="M1229" s="4">
        <f>DATEDIF(BBDD_Usiarios_Netflix[[#This Row],[Fecha Suscripción]],BBDD_Usiarios_Netflix[[#This Row],[Fecha Último Pago]],"M")+1</f>
        <v>13</v>
      </c>
      <c r="N1229" s="4">
        <f>BBDD_Usiarios_Netflix[[#This Row],[Ingresos Mensuales]]*BBDD_Usiarios_Netflix[[#This Row],[Meses contratados]]</f>
        <v>156</v>
      </c>
      <c r="O1229" t="s">
        <v>24</v>
      </c>
      <c r="P1229" t="str">
        <f>IF(BBDD_Usiarios_Netflix[[#This Row],[País]]="","Desconocido",BBDD_Usiarios_Netflix[[#This Row],[País]])</f>
        <v>Australia</v>
      </c>
      <c r="Q1229">
        <v>38</v>
      </c>
      <c r="R1229" t="s">
        <v>30</v>
      </c>
      <c r="S1229" t="s">
        <v>31</v>
      </c>
      <c r="T1229" t="s">
        <v>41</v>
      </c>
      <c r="U1229">
        <f>IF(IFERROR(VLOOKUP(BBDD_Usiarios_Netflix[[#This Row],[Identificador Usuario]],A1230:$A$5870,1,FALSE),0)&lt;&gt;0,1,0)</f>
        <v>0</v>
      </c>
      <c r="V1229" s="6" t="str">
        <f>IF(BBDD_Usiarios_Netflix[[#This Row],[Duración Plan]]="12 Meses",LEFT(BBDD_Usiarios_Netflix[[#This Row],[Duración Plan]],2),LEFT(BBDD_Usiarios_Netflix[[#This Row],[Duración Plan]],1))</f>
        <v>12</v>
      </c>
      <c r="W12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30" spans="1:23" x14ac:dyDescent="0.25">
      <c r="A1230">
        <v>1229</v>
      </c>
      <c r="B1230" t="s">
        <v>28</v>
      </c>
      <c r="C1230">
        <v>14</v>
      </c>
      <c r="D1230" s="3">
        <v>24</v>
      </c>
      <c r="E1230" s="3">
        <v>6</v>
      </c>
      <c r="F1230">
        <v>23</v>
      </c>
      <c r="G1230" s="1">
        <f>DATEVALUE(_xlfn.CONCAT(BBDD_Usiarios_Netflix[[#This Row],[Día Suscripción]],"/",BBDD_Usiarios_Netflix[[#This Row],[Mes Suscripción]],"/",BBDD_Usiarios_Netflix[[#This Row],[Año Suscripción]]))</f>
        <v>45101</v>
      </c>
      <c r="H1230" s="1">
        <v>1</v>
      </c>
      <c r="I1230" s="1">
        <v>7</v>
      </c>
      <c r="J1230" s="1">
        <v>24</v>
      </c>
      <c r="K1230" s="1" t="str">
        <f>TEXT(BBDD_Usiarios_Netflix[[#This Row],[Fecha Suscripción]],"dddd")</f>
        <v>sábado</v>
      </c>
      <c r="L1230" s="1">
        <f>DATEVALUE(_xlfn.CONCAT(BBDD_Usiarios_Netflix[[#This Row],[Día Último Pago]],"/",BBDD_Usiarios_Netflix[[#This Row],[Mes Último Pago]],"/",BBDD_Usiarios_Netflix[[#This Row],[Año Último Pago]]))</f>
        <v>45474</v>
      </c>
      <c r="M1230" s="4">
        <f>DATEDIF(BBDD_Usiarios_Netflix[[#This Row],[Fecha Suscripción]],BBDD_Usiarios_Netflix[[#This Row],[Fecha Último Pago]],"M")+1</f>
        <v>13</v>
      </c>
      <c r="N1230" s="4">
        <f>BBDD_Usiarios_Netflix[[#This Row],[Ingresos Mensuales]]*BBDD_Usiarios_Netflix[[#This Row],[Meses contratados]]</f>
        <v>182</v>
      </c>
      <c r="O1230" t="s">
        <v>40</v>
      </c>
      <c r="P1230" t="str">
        <f>IF(BBDD_Usiarios_Netflix[[#This Row],[País]]="","Desconocido",BBDD_Usiarios_Netflix[[#This Row],[País]])</f>
        <v>Italia</v>
      </c>
      <c r="Q1230">
        <v>49</v>
      </c>
      <c r="R1230" t="s">
        <v>25</v>
      </c>
      <c r="S1230" t="s">
        <v>26</v>
      </c>
      <c r="T1230" t="s">
        <v>27</v>
      </c>
      <c r="U1230">
        <f>IF(IFERROR(VLOOKUP(BBDD_Usiarios_Netflix[[#This Row],[Identificador Usuario]],A1231:$A$5870,1,FALSE),0)&lt;&gt;0,1,0)</f>
        <v>0</v>
      </c>
      <c r="V1230" s="6" t="str">
        <f>IF(BBDD_Usiarios_Netflix[[#This Row],[Duración Plan]]="12 Meses",LEFT(BBDD_Usiarios_Netflix[[#This Row],[Duración Plan]],2),LEFT(BBDD_Usiarios_Netflix[[#This Row],[Duración Plan]],1))</f>
        <v>1</v>
      </c>
      <c r="W12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31" spans="1:23" x14ac:dyDescent="0.25">
      <c r="A1231">
        <v>1230</v>
      </c>
      <c r="B1231" t="s">
        <v>23</v>
      </c>
      <c r="C1231">
        <v>10</v>
      </c>
      <c r="D1231" s="3">
        <v>25</v>
      </c>
      <c r="E1231" s="3">
        <v>6</v>
      </c>
      <c r="F1231">
        <v>23</v>
      </c>
      <c r="G1231" s="1">
        <f>DATEVALUE(_xlfn.CONCAT(BBDD_Usiarios_Netflix[[#This Row],[Día Suscripción]],"/",BBDD_Usiarios_Netflix[[#This Row],[Mes Suscripción]],"/",BBDD_Usiarios_Netflix[[#This Row],[Año Suscripción]]))</f>
        <v>45102</v>
      </c>
      <c r="H1231" s="1">
        <v>3</v>
      </c>
      <c r="I1231" s="1">
        <v>7</v>
      </c>
      <c r="J1231" s="1">
        <v>24</v>
      </c>
      <c r="K1231" s="1" t="str">
        <f>TEXT(BBDD_Usiarios_Netflix[[#This Row],[Fecha Suscripción]],"dddd")</f>
        <v>domingo</v>
      </c>
      <c r="L1231" s="1">
        <f>DATEVALUE(_xlfn.CONCAT(BBDD_Usiarios_Netflix[[#This Row],[Día Último Pago]],"/",BBDD_Usiarios_Netflix[[#This Row],[Mes Último Pago]],"/",BBDD_Usiarios_Netflix[[#This Row],[Año Último Pago]]))</f>
        <v>45476</v>
      </c>
      <c r="M1231" s="4">
        <f>DATEDIF(BBDD_Usiarios_Netflix[[#This Row],[Fecha Suscripción]],BBDD_Usiarios_Netflix[[#This Row],[Fecha Último Pago]],"M")+1</f>
        <v>13</v>
      </c>
      <c r="N1231" s="4">
        <f>BBDD_Usiarios_Netflix[[#This Row],[Ingresos Mensuales]]*BBDD_Usiarios_Netflix[[#This Row],[Meses contratados]]</f>
        <v>130</v>
      </c>
      <c r="O1231" t="s">
        <v>45</v>
      </c>
      <c r="P1231" t="str">
        <f>IF(BBDD_Usiarios_Netflix[[#This Row],[País]]="","Desconocido",BBDD_Usiarios_Netflix[[#This Row],[País]])</f>
        <v>España</v>
      </c>
      <c r="Q1231">
        <v>40</v>
      </c>
      <c r="R1231" t="s">
        <v>30</v>
      </c>
      <c r="S1231" t="s">
        <v>34</v>
      </c>
      <c r="T1231" t="s">
        <v>27</v>
      </c>
      <c r="U1231">
        <f>IF(IFERROR(VLOOKUP(BBDD_Usiarios_Netflix[[#This Row],[Identificador Usuario]],A1232:$A$5870,1,FALSE),0)&lt;&gt;0,1,0)</f>
        <v>0</v>
      </c>
      <c r="V1231" s="6" t="str">
        <f>IF(BBDD_Usiarios_Netflix[[#This Row],[Duración Plan]]="12 Meses",LEFT(BBDD_Usiarios_Netflix[[#This Row],[Duración Plan]],2),LEFT(BBDD_Usiarios_Netflix[[#This Row],[Duración Plan]],1))</f>
        <v>1</v>
      </c>
      <c r="W12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32" spans="1:23" x14ac:dyDescent="0.25">
      <c r="A1232">
        <v>1231</v>
      </c>
      <c r="B1232" t="s">
        <v>28</v>
      </c>
      <c r="C1232">
        <v>14</v>
      </c>
      <c r="D1232" s="3">
        <v>24</v>
      </c>
      <c r="E1232" s="3">
        <v>6</v>
      </c>
      <c r="F1232">
        <v>23</v>
      </c>
      <c r="G1232" s="1">
        <f>DATEVALUE(_xlfn.CONCAT(BBDD_Usiarios_Netflix[[#This Row],[Día Suscripción]],"/",BBDD_Usiarios_Netflix[[#This Row],[Mes Suscripción]],"/",BBDD_Usiarios_Netflix[[#This Row],[Año Suscripción]]))</f>
        <v>45101</v>
      </c>
      <c r="H1232" s="1">
        <v>3</v>
      </c>
      <c r="I1232" s="1">
        <v>7</v>
      </c>
      <c r="J1232" s="1">
        <v>24</v>
      </c>
      <c r="K1232" s="1" t="str">
        <f>TEXT(BBDD_Usiarios_Netflix[[#This Row],[Fecha Suscripción]],"dddd")</f>
        <v>sábado</v>
      </c>
      <c r="L1232" s="1">
        <f>DATEVALUE(_xlfn.CONCAT(BBDD_Usiarios_Netflix[[#This Row],[Día Último Pago]],"/",BBDD_Usiarios_Netflix[[#This Row],[Mes Último Pago]],"/",BBDD_Usiarios_Netflix[[#This Row],[Año Último Pago]]))</f>
        <v>45476</v>
      </c>
      <c r="M1232" s="4">
        <f>DATEDIF(BBDD_Usiarios_Netflix[[#This Row],[Fecha Suscripción]],BBDD_Usiarios_Netflix[[#This Row],[Fecha Último Pago]],"M")+1</f>
        <v>13</v>
      </c>
      <c r="N1232" s="4">
        <f>BBDD_Usiarios_Netflix[[#This Row],[Ingresos Mensuales]]*BBDD_Usiarios_Netflix[[#This Row],[Meses contratados]]</f>
        <v>182</v>
      </c>
      <c r="O1232" t="s">
        <v>43</v>
      </c>
      <c r="P1232" t="str">
        <f>IF(BBDD_Usiarios_Netflix[[#This Row],[País]]="","Desconocido",BBDD_Usiarios_Netflix[[#This Row],[País]])</f>
        <v>Alemania</v>
      </c>
      <c r="Q1232">
        <v>51</v>
      </c>
      <c r="R1232" t="s">
        <v>25</v>
      </c>
      <c r="S1232" t="s">
        <v>31</v>
      </c>
      <c r="T1232" t="s">
        <v>27</v>
      </c>
      <c r="U1232">
        <f>IF(IFERROR(VLOOKUP(BBDD_Usiarios_Netflix[[#This Row],[Identificador Usuario]],A1233:$A$5870,1,FALSE),0)&lt;&gt;0,1,0)</f>
        <v>0</v>
      </c>
      <c r="V1232" s="6" t="str">
        <f>IF(BBDD_Usiarios_Netflix[[#This Row],[Duración Plan]]="12 Meses",LEFT(BBDD_Usiarios_Netflix[[#This Row],[Duración Plan]],2),LEFT(BBDD_Usiarios_Netflix[[#This Row],[Duración Plan]],1))</f>
        <v>1</v>
      </c>
      <c r="W12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33" spans="1:23" x14ac:dyDescent="0.25">
      <c r="A1233">
        <v>1232</v>
      </c>
      <c r="B1233" t="s">
        <v>23</v>
      </c>
      <c r="C1233">
        <v>10</v>
      </c>
      <c r="D1233" s="3">
        <v>22</v>
      </c>
      <c r="E1233" s="3">
        <v>6</v>
      </c>
      <c r="F1233">
        <v>23</v>
      </c>
      <c r="G1233" s="1">
        <f>DATEVALUE(_xlfn.CONCAT(BBDD_Usiarios_Netflix[[#This Row],[Día Suscripción]],"/",BBDD_Usiarios_Netflix[[#This Row],[Mes Suscripción]],"/",BBDD_Usiarios_Netflix[[#This Row],[Año Suscripción]]))</f>
        <v>45099</v>
      </c>
      <c r="H1233" s="1">
        <v>3</v>
      </c>
      <c r="I1233" s="1">
        <v>7</v>
      </c>
      <c r="J1233" s="1">
        <v>24</v>
      </c>
      <c r="K1233" s="1" t="str">
        <f>TEXT(BBDD_Usiarios_Netflix[[#This Row],[Fecha Suscripción]],"dddd")</f>
        <v>jueves</v>
      </c>
      <c r="L1233" s="1">
        <f>DATEVALUE(_xlfn.CONCAT(BBDD_Usiarios_Netflix[[#This Row],[Día Último Pago]],"/",BBDD_Usiarios_Netflix[[#This Row],[Mes Último Pago]],"/",BBDD_Usiarios_Netflix[[#This Row],[Año Último Pago]]))</f>
        <v>45476</v>
      </c>
      <c r="M1233" s="4">
        <f>DATEDIF(BBDD_Usiarios_Netflix[[#This Row],[Fecha Suscripción]],BBDD_Usiarios_Netflix[[#This Row],[Fecha Último Pago]],"M")+1</f>
        <v>13</v>
      </c>
      <c r="N1233" s="4">
        <f>BBDD_Usiarios_Netflix[[#This Row],[Ingresos Mensuales]]*BBDD_Usiarios_Netflix[[#This Row],[Meses contratados]]</f>
        <v>130</v>
      </c>
      <c r="O1233" t="s">
        <v>43</v>
      </c>
      <c r="P1233" t="str">
        <f>IF(BBDD_Usiarios_Netflix[[#This Row],[País]]="","Desconocido",BBDD_Usiarios_Netflix[[#This Row],[País]])</f>
        <v>Alemania</v>
      </c>
      <c r="Q1233">
        <v>42</v>
      </c>
      <c r="R1233" t="s">
        <v>30</v>
      </c>
      <c r="S1233" t="s">
        <v>26</v>
      </c>
      <c r="T1233" t="s">
        <v>38</v>
      </c>
      <c r="U1233">
        <f>IF(IFERROR(VLOOKUP(BBDD_Usiarios_Netflix[[#This Row],[Identificador Usuario]],A1234:$A$5870,1,FALSE),0)&lt;&gt;0,1,0)</f>
        <v>0</v>
      </c>
      <c r="V1233" s="6" t="str">
        <f>IF(BBDD_Usiarios_Netflix[[#This Row],[Duración Plan]]="12 Meses",LEFT(BBDD_Usiarios_Netflix[[#This Row],[Duración Plan]],2),LEFT(BBDD_Usiarios_Netflix[[#This Row],[Duración Plan]],1))</f>
        <v>3</v>
      </c>
      <c r="W12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34" spans="1:23" x14ac:dyDescent="0.25">
      <c r="A1234">
        <v>1233</v>
      </c>
      <c r="B1234" t="s">
        <v>32</v>
      </c>
      <c r="C1234">
        <v>12</v>
      </c>
      <c r="D1234" s="3">
        <v>23</v>
      </c>
      <c r="E1234" s="3">
        <v>6</v>
      </c>
      <c r="F1234">
        <v>23</v>
      </c>
      <c r="G1234" s="1">
        <f>DATEVALUE(_xlfn.CONCAT(BBDD_Usiarios_Netflix[[#This Row],[Día Suscripción]],"/",BBDD_Usiarios_Netflix[[#This Row],[Mes Suscripción]],"/",BBDD_Usiarios_Netflix[[#This Row],[Año Suscripción]]))</f>
        <v>45100</v>
      </c>
      <c r="H1234" s="1">
        <v>3</v>
      </c>
      <c r="I1234" s="1">
        <v>7</v>
      </c>
      <c r="J1234" s="1">
        <v>24</v>
      </c>
      <c r="K1234" s="1" t="str">
        <f>TEXT(BBDD_Usiarios_Netflix[[#This Row],[Fecha Suscripción]],"dddd")</f>
        <v>viernes</v>
      </c>
      <c r="L1234" s="1">
        <f>DATEVALUE(_xlfn.CONCAT(BBDD_Usiarios_Netflix[[#This Row],[Día Último Pago]],"/",BBDD_Usiarios_Netflix[[#This Row],[Mes Último Pago]],"/",BBDD_Usiarios_Netflix[[#This Row],[Año Último Pago]]))</f>
        <v>45476</v>
      </c>
      <c r="M1234" s="4">
        <f>DATEDIF(BBDD_Usiarios_Netflix[[#This Row],[Fecha Suscripción]],BBDD_Usiarios_Netflix[[#This Row],[Fecha Último Pago]],"M")+1</f>
        <v>13</v>
      </c>
      <c r="N1234" s="4">
        <f>BBDD_Usiarios_Netflix[[#This Row],[Ingresos Mensuales]]*BBDD_Usiarios_Netflix[[#This Row],[Meses contratados]]</f>
        <v>156</v>
      </c>
      <c r="O1234" t="s">
        <v>29</v>
      </c>
      <c r="P1234" t="str">
        <f>IF(BBDD_Usiarios_Netflix[[#This Row],[País]]="","Desconocido",BBDD_Usiarios_Netflix[[#This Row],[País]])</f>
        <v>EEUU</v>
      </c>
      <c r="Q1234">
        <v>41</v>
      </c>
      <c r="R1234" t="s">
        <v>30</v>
      </c>
      <c r="S1234" t="s">
        <v>26</v>
      </c>
      <c r="T1234" t="s">
        <v>38</v>
      </c>
      <c r="U1234">
        <f>IF(IFERROR(VLOOKUP(BBDD_Usiarios_Netflix[[#This Row],[Identificador Usuario]],A1235:$A$5870,1,FALSE),0)&lt;&gt;0,1,0)</f>
        <v>0</v>
      </c>
      <c r="V1234" s="6" t="str">
        <f>IF(BBDD_Usiarios_Netflix[[#This Row],[Duración Plan]]="12 Meses",LEFT(BBDD_Usiarios_Netflix[[#This Row],[Duración Plan]],2),LEFT(BBDD_Usiarios_Netflix[[#This Row],[Duración Plan]],1))</f>
        <v>3</v>
      </c>
      <c r="W12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35" spans="1:23" x14ac:dyDescent="0.25">
      <c r="A1235">
        <v>1234</v>
      </c>
      <c r="B1235" t="s">
        <v>32</v>
      </c>
      <c r="C1235">
        <v>12</v>
      </c>
      <c r="D1235" s="3">
        <v>25</v>
      </c>
      <c r="E1235" s="3">
        <v>6</v>
      </c>
      <c r="F1235">
        <v>23</v>
      </c>
      <c r="G1235" s="1">
        <f>DATEVALUE(_xlfn.CONCAT(BBDD_Usiarios_Netflix[[#This Row],[Día Suscripción]],"/",BBDD_Usiarios_Netflix[[#This Row],[Mes Suscripción]],"/",BBDD_Usiarios_Netflix[[#This Row],[Año Suscripción]]))</f>
        <v>45102</v>
      </c>
      <c r="H1235" s="1">
        <v>3</v>
      </c>
      <c r="I1235" s="1">
        <v>7</v>
      </c>
      <c r="J1235" s="1">
        <v>24</v>
      </c>
      <c r="K1235" s="1" t="str">
        <f>TEXT(BBDD_Usiarios_Netflix[[#This Row],[Fecha Suscripción]],"dddd")</f>
        <v>domingo</v>
      </c>
      <c r="L1235" s="1">
        <f>DATEVALUE(_xlfn.CONCAT(BBDD_Usiarios_Netflix[[#This Row],[Día Último Pago]],"/",BBDD_Usiarios_Netflix[[#This Row],[Mes Último Pago]],"/",BBDD_Usiarios_Netflix[[#This Row],[Año Último Pago]]))</f>
        <v>45476</v>
      </c>
      <c r="M1235" s="4">
        <f>DATEDIF(BBDD_Usiarios_Netflix[[#This Row],[Fecha Suscripción]],BBDD_Usiarios_Netflix[[#This Row],[Fecha Último Pago]],"M")+1</f>
        <v>13</v>
      </c>
      <c r="N1235" s="4">
        <f>BBDD_Usiarios_Netflix[[#This Row],[Ingresos Mensuales]]*BBDD_Usiarios_Netflix[[#This Row],[Meses contratados]]</f>
        <v>156</v>
      </c>
      <c r="O1235" t="s">
        <v>40</v>
      </c>
      <c r="P1235" t="str">
        <f>IF(BBDD_Usiarios_Netflix[[#This Row],[País]]="","Desconocido",BBDD_Usiarios_Netflix[[#This Row],[País]])</f>
        <v>Italia</v>
      </c>
      <c r="Q1235">
        <v>48</v>
      </c>
      <c r="R1235" t="s">
        <v>30</v>
      </c>
      <c r="S1235" t="s">
        <v>26</v>
      </c>
      <c r="T1235" t="s">
        <v>38</v>
      </c>
      <c r="U1235">
        <f>IF(IFERROR(VLOOKUP(BBDD_Usiarios_Netflix[[#This Row],[Identificador Usuario]],A1236:$A$5870,1,FALSE),0)&lt;&gt;0,1,0)</f>
        <v>0</v>
      </c>
      <c r="V1235" s="6" t="str">
        <f>IF(BBDD_Usiarios_Netflix[[#This Row],[Duración Plan]]="12 Meses",LEFT(BBDD_Usiarios_Netflix[[#This Row],[Duración Plan]],2),LEFT(BBDD_Usiarios_Netflix[[#This Row],[Duración Plan]],1))</f>
        <v>3</v>
      </c>
      <c r="W12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36" spans="1:23" x14ac:dyDescent="0.25">
      <c r="A1236">
        <v>1235</v>
      </c>
      <c r="B1236" t="s">
        <v>23</v>
      </c>
      <c r="C1236">
        <v>10</v>
      </c>
      <c r="D1236" s="3">
        <v>29</v>
      </c>
      <c r="E1236" s="3">
        <v>6</v>
      </c>
      <c r="F1236">
        <v>23</v>
      </c>
      <c r="G1236" s="1">
        <f>DATEVALUE(_xlfn.CONCAT(BBDD_Usiarios_Netflix[[#This Row],[Día Suscripción]],"/",BBDD_Usiarios_Netflix[[#This Row],[Mes Suscripción]],"/",BBDD_Usiarios_Netflix[[#This Row],[Año Suscripción]]))</f>
        <v>45106</v>
      </c>
      <c r="H1236" s="1">
        <v>3</v>
      </c>
      <c r="I1236" s="1">
        <v>7</v>
      </c>
      <c r="J1236" s="1">
        <v>24</v>
      </c>
      <c r="K1236" s="1" t="str">
        <f>TEXT(BBDD_Usiarios_Netflix[[#This Row],[Fecha Suscripción]],"dddd")</f>
        <v>jueves</v>
      </c>
      <c r="L1236" s="1">
        <f>DATEVALUE(_xlfn.CONCAT(BBDD_Usiarios_Netflix[[#This Row],[Día Último Pago]],"/",BBDD_Usiarios_Netflix[[#This Row],[Mes Último Pago]],"/",BBDD_Usiarios_Netflix[[#This Row],[Año Último Pago]]))</f>
        <v>45476</v>
      </c>
      <c r="M1236" s="4">
        <f>DATEDIF(BBDD_Usiarios_Netflix[[#This Row],[Fecha Suscripción]],BBDD_Usiarios_Netflix[[#This Row],[Fecha Último Pago]],"M")+1</f>
        <v>13</v>
      </c>
      <c r="N1236" s="4">
        <f>BBDD_Usiarios_Netflix[[#This Row],[Ingresos Mensuales]]*BBDD_Usiarios_Netflix[[#This Row],[Meses contratados]]</f>
        <v>130</v>
      </c>
      <c r="O1236" t="s">
        <v>24</v>
      </c>
      <c r="P1236" t="str">
        <f>IF(BBDD_Usiarios_Netflix[[#This Row],[País]]="","Desconocido",BBDD_Usiarios_Netflix[[#This Row],[País]])</f>
        <v>Australia</v>
      </c>
      <c r="Q1236">
        <v>39</v>
      </c>
      <c r="R1236" t="s">
        <v>30</v>
      </c>
      <c r="S1236" t="s">
        <v>31</v>
      </c>
      <c r="T1236" t="s">
        <v>35</v>
      </c>
      <c r="U1236">
        <f>IF(IFERROR(VLOOKUP(BBDD_Usiarios_Netflix[[#This Row],[Identificador Usuario]],A1237:$A$5870,1,FALSE),0)&lt;&gt;0,1,0)</f>
        <v>0</v>
      </c>
      <c r="V1236" s="6" t="str">
        <f>IF(BBDD_Usiarios_Netflix[[#This Row],[Duración Plan]]="12 Meses",LEFT(BBDD_Usiarios_Netflix[[#This Row],[Duración Plan]],2),LEFT(BBDD_Usiarios_Netflix[[#This Row],[Duración Plan]],1))</f>
        <v>6</v>
      </c>
      <c r="W12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37" spans="1:23" x14ac:dyDescent="0.25">
      <c r="A1237">
        <v>1236</v>
      </c>
      <c r="B1237" t="s">
        <v>28</v>
      </c>
      <c r="C1237">
        <v>14</v>
      </c>
      <c r="D1237" s="3">
        <v>1</v>
      </c>
      <c r="E1237" s="3">
        <v>7</v>
      </c>
      <c r="F1237">
        <v>23</v>
      </c>
      <c r="G1237" s="1">
        <f>DATEVALUE(_xlfn.CONCAT(BBDD_Usiarios_Netflix[[#This Row],[Día Suscripción]],"/",BBDD_Usiarios_Netflix[[#This Row],[Mes Suscripción]],"/",BBDD_Usiarios_Netflix[[#This Row],[Año Suscripción]]))</f>
        <v>45108</v>
      </c>
      <c r="H1237" s="1">
        <v>2</v>
      </c>
      <c r="I1237" s="1">
        <v>7</v>
      </c>
      <c r="J1237" s="1">
        <v>24</v>
      </c>
      <c r="K1237" s="1" t="str">
        <f>TEXT(BBDD_Usiarios_Netflix[[#This Row],[Fecha Suscripción]],"dddd")</f>
        <v>sábado</v>
      </c>
      <c r="L1237" s="1">
        <f>DATEVALUE(_xlfn.CONCAT(BBDD_Usiarios_Netflix[[#This Row],[Día Último Pago]],"/",BBDD_Usiarios_Netflix[[#This Row],[Mes Último Pago]],"/",BBDD_Usiarios_Netflix[[#This Row],[Año Último Pago]]))</f>
        <v>45475</v>
      </c>
      <c r="M1237" s="4">
        <f>DATEDIF(BBDD_Usiarios_Netflix[[#This Row],[Fecha Suscripción]],BBDD_Usiarios_Netflix[[#This Row],[Fecha Último Pago]],"M")+1</f>
        <v>13</v>
      </c>
      <c r="N1237" s="4">
        <f>BBDD_Usiarios_Netflix[[#This Row],[Ingresos Mensuales]]*BBDD_Usiarios_Netflix[[#This Row],[Meses contratados]]</f>
        <v>182</v>
      </c>
      <c r="O1237" t="s">
        <v>44</v>
      </c>
      <c r="P1237" t="str">
        <f>IF(BBDD_Usiarios_Netflix[[#This Row],[País]]="","Desconocido",BBDD_Usiarios_Netflix[[#This Row],[País]])</f>
        <v>Desconocido</v>
      </c>
      <c r="Q1237">
        <v>35</v>
      </c>
      <c r="R1237" t="s">
        <v>30</v>
      </c>
      <c r="S1237" t="s">
        <v>31</v>
      </c>
      <c r="T1237" t="s">
        <v>27</v>
      </c>
      <c r="U1237">
        <f>IF(IFERROR(VLOOKUP(BBDD_Usiarios_Netflix[[#This Row],[Identificador Usuario]],A1238:$A$5870,1,FALSE),0)&lt;&gt;0,1,0)</f>
        <v>0</v>
      </c>
      <c r="V1237" s="6" t="str">
        <f>IF(BBDD_Usiarios_Netflix[[#This Row],[Duración Plan]]="12 Meses",LEFT(BBDD_Usiarios_Netflix[[#This Row],[Duración Plan]],2),LEFT(BBDD_Usiarios_Netflix[[#This Row],[Duración Plan]],1))</f>
        <v>1</v>
      </c>
      <c r="W12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38" spans="1:23" x14ac:dyDescent="0.25">
      <c r="A1238">
        <v>1237</v>
      </c>
      <c r="B1238" t="s">
        <v>23</v>
      </c>
      <c r="C1238">
        <v>10</v>
      </c>
      <c r="D1238" s="3">
        <v>5</v>
      </c>
      <c r="E1238" s="3">
        <v>7</v>
      </c>
      <c r="F1238">
        <v>23</v>
      </c>
      <c r="G1238" s="1">
        <f>DATEVALUE(_xlfn.CONCAT(BBDD_Usiarios_Netflix[[#This Row],[Día Suscripción]],"/",BBDD_Usiarios_Netflix[[#This Row],[Mes Suscripción]],"/",BBDD_Usiarios_Netflix[[#This Row],[Año Suscripción]]))</f>
        <v>45112</v>
      </c>
      <c r="H1238" s="1">
        <v>2</v>
      </c>
      <c r="I1238" s="1">
        <v>7</v>
      </c>
      <c r="J1238" s="1">
        <v>24</v>
      </c>
      <c r="K1238" s="1" t="str">
        <f>TEXT(BBDD_Usiarios_Netflix[[#This Row],[Fecha Suscripción]],"dddd")</f>
        <v>miércoles</v>
      </c>
      <c r="L1238" s="1">
        <f>DATEVALUE(_xlfn.CONCAT(BBDD_Usiarios_Netflix[[#This Row],[Día Último Pago]],"/",BBDD_Usiarios_Netflix[[#This Row],[Mes Último Pago]],"/",BBDD_Usiarios_Netflix[[#This Row],[Año Último Pago]]))</f>
        <v>45475</v>
      </c>
      <c r="M1238" s="4">
        <f>DATEDIF(BBDD_Usiarios_Netflix[[#This Row],[Fecha Suscripción]],BBDD_Usiarios_Netflix[[#This Row],[Fecha Último Pago]],"M")+1</f>
        <v>12</v>
      </c>
      <c r="N1238" s="4">
        <f>BBDD_Usiarios_Netflix[[#This Row],[Ingresos Mensuales]]*BBDD_Usiarios_Netflix[[#This Row],[Meses contratados]]</f>
        <v>120</v>
      </c>
      <c r="O1238" t="s">
        <v>42</v>
      </c>
      <c r="P1238" t="str">
        <f>IF(BBDD_Usiarios_Netflix[[#This Row],[País]]="","Desconocido",BBDD_Usiarios_Netflix[[#This Row],[País]])</f>
        <v>Reino Unido</v>
      </c>
      <c r="Q1238">
        <v>32</v>
      </c>
      <c r="R1238" t="s">
        <v>30</v>
      </c>
      <c r="S1238" t="s">
        <v>31</v>
      </c>
      <c r="T1238" t="s">
        <v>41</v>
      </c>
      <c r="U1238">
        <f>IF(IFERROR(VLOOKUP(BBDD_Usiarios_Netflix[[#This Row],[Identificador Usuario]],A1239:$A$5870,1,FALSE),0)&lt;&gt;0,1,0)</f>
        <v>0</v>
      </c>
      <c r="V1238" s="6" t="str">
        <f>IF(BBDD_Usiarios_Netflix[[#This Row],[Duración Plan]]="12 Meses",LEFT(BBDD_Usiarios_Netflix[[#This Row],[Duración Plan]],2),LEFT(BBDD_Usiarios_Netflix[[#This Row],[Duración Plan]],1))</f>
        <v>12</v>
      </c>
      <c r="W12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39" spans="1:23" x14ac:dyDescent="0.25">
      <c r="A1239">
        <v>1238</v>
      </c>
      <c r="B1239" t="s">
        <v>32</v>
      </c>
      <c r="C1239">
        <v>12</v>
      </c>
      <c r="D1239" s="3">
        <v>12</v>
      </c>
      <c r="E1239" s="3">
        <v>7</v>
      </c>
      <c r="F1239">
        <v>23</v>
      </c>
      <c r="G1239" s="1">
        <f>DATEVALUE(_xlfn.CONCAT(BBDD_Usiarios_Netflix[[#This Row],[Día Suscripción]],"/",BBDD_Usiarios_Netflix[[#This Row],[Mes Suscripción]],"/",BBDD_Usiarios_Netflix[[#This Row],[Año Suscripción]]))</f>
        <v>45119</v>
      </c>
      <c r="H1239" s="1">
        <v>4</v>
      </c>
      <c r="I1239" s="1">
        <v>7</v>
      </c>
      <c r="J1239" s="1">
        <v>24</v>
      </c>
      <c r="K1239" s="1" t="str">
        <f>TEXT(BBDD_Usiarios_Netflix[[#This Row],[Fecha Suscripción]],"dddd")</f>
        <v>miércoles</v>
      </c>
      <c r="L1239" s="1">
        <f>DATEVALUE(_xlfn.CONCAT(BBDD_Usiarios_Netflix[[#This Row],[Día Último Pago]],"/",BBDD_Usiarios_Netflix[[#This Row],[Mes Último Pago]],"/",BBDD_Usiarios_Netflix[[#This Row],[Año Último Pago]]))</f>
        <v>45477</v>
      </c>
      <c r="M1239" s="4">
        <f>DATEDIF(BBDD_Usiarios_Netflix[[#This Row],[Fecha Suscripción]],BBDD_Usiarios_Netflix[[#This Row],[Fecha Último Pago]],"M")+1</f>
        <v>12</v>
      </c>
      <c r="N1239" s="4">
        <f>BBDD_Usiarios_Netflix[[#This Row],[Ingresos Mensuales]]*BBDD_Usiarios_Netflix[[#This Row],[Meses contratados]]</f>
        <v>144</v>
      </c>
      <c r="O1239" t="s">
        <v>33</v>
      </c>
      <c r="P1239" t="str">
        <f>IF(BBDD_Usiarios_Netflix[[#This Row],[País]]="","Desconocido",BBDD_Usiarios_Netflix[[#This Row],[País]])</f>
        <v>Francia</v>
      </c>
      <c r="Q1239">
        <v>28</v>
      </c>
      <c r="R1239" t="s">
        <v>30</v>
      </c>
      <c r="S1239" t="s">
        <v>26</v>
      </c>
      <c r="T1239" t="s">
        <v>38</v>
      </c>
      <c r="U1239">
        <f>IF(IFERROR(VLOOKUP(BBDD_Usiarios_Netflix[[#This Row],[Identificador Usuario]],A1240:$A$5870,1,FALSE),0)&lt;&gt;0,1,0)</f>
        <v>0</v>
      </c>
      <c r="V1239" s="6" t="str">
        <f>IF(BBDD_Usiarios_Netflix[[#This Row],[Duración Plan]]="12 Meses",LEFT(BBDD_Usiarios_Netflix[[#This Row],[Duración Plan]],2),LEFT(BBDD_Usiarios_Netflix[[#This Row],[Duración Plan]],1))</f>
        <v>3</v>
      </c>
      <c r="W12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40" spans="1:23" x14ac:dyDescent="0.25">
      <c r="A1240">
        <v>1239</v>
      </c>
      <c r="B1240" t="s">
        <v>28</v>
      </c>
      <c r="C1240">
        <v>14</v>
      </c>
      <c r="D1240" s="3">
        <v>16</v>
      </c>
      <c r="E1240" s="3">
        <v>7</v>
      </c>
      <c r="F1240">
        <v>23</v>
      </c>
      <c r="G1240" s="1">
        <f>DATEVALUE(_xlfn.CONCAT(BBDD_Usiarios_Netflix[[#This Row],[Día Suscripción]],"/",BBDD_Usiarios_Netflix[[#This Row],[Mes Suscripción]],"/",BBDD_Usiarios_Netflix[[#This Row],[Año Suscripción]]))</f>
        <v>45123</v>
      </c>
      <c r="H1240" s="1">
        <v>2</v>
      </c>
      <c r="I1240" s="1">
        <v>7</v>
      </c>
      <c r="J1240" s="1">
        <v>24</v>
      </c>
      <c r="K1240" s="1" t="str">
        <f>TEXT(BBDD_Usiarios_Netflix[[#This Row],[Fecha Suscripción]],"dddd")</f>
        <v>domingo</v>
      </c>
      <c r="L1240" s="1">
        <f>DATEVALUE(_xlfn.CONCAT(BBDD_Usiarios_Netflix[[#This Row],[Día Último Pago]],"/",BBDD_Usiarios_Netflix[[#This Row],[Mes Último Pago]],"/",BBDD_Usiarios_Netflix[[#This Row],[Año Último Pago]]))</f>
        <v>45475</v>
      </c>
      <c r="M1240" s="4">
        <f>DATEDIF(BBDD_Usiarios_Netflix[[#This Row],[Fecha Suscripción]],BBDD_Usiarios_Netflix[[#This Row],[Fecha Último Pago]],"M")+1</f>
        <v>12</v>
      </c>
      <c r="N1240" s="4">
        <f>BBDD_Usiarios_Netflix[[#This Row],[Ingresos Mensuales]]*BBDD_Usiarios_Netflix[[#This Row],[Meses contratados]]</f>
        <v>168</v>
      </c>
      <c r="O1240" t="s">
        <v>33</v>
      </c>
      <c r="P1240" t="str">
        <f>IF(BBDD_Usiarios_Netflix[[#This Row],[País]]="","Desconocido",BBDD_Usiarios_Netflix[[#This Row],[País]])</f>
        <v>Francia</v>
      </c>
      <c r="Q1240">
        <v>27</v>
      </c>
      <c r="R1240" t="s">
        <v>25</v>
      </c>
      <c r="S1240" t="s">
        <v>36</v>
      </c>
      <c r="T1240" t="s">
        <v>41</v>
      </c>
      <c r="U1240">
        <f>IF(IFERROR(VLOOKUP(BBDD_Usiarios_Netflix[[#This Row],[Identificador Usuario]],A1241:$A$5870,1,FALSE),0)&lt;&gt;0,1,0)</f>
        <v>0</v>
      </c>
      <c r="V1240" s="6" t="str">
        <f>IF(BBDD_Usiarios_Netflix[[#This Row],[Duración Plan]]="12 Meses",LEFT(BBDD_Usiarios_Netflix[[#This Row],[Duración Plan]],2),LEFT(BBDD_Usiarios_Netflix[[#This Row],[Duración Plan]],1))</f>
        <v>12</v>
      </c>
      <c r="W12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41" spans="1:23" x14ac:dyDescent="0.25">
      <c r="A1241">
        <v>1240</v>
      </c>
      <c r="B1241" t="s">
        <v>23</v>
      </c>
      <c r="C1241">
        <v>10</v>
      </c>
      <c r="D1241" s="3">
        <v>20</v>
      </c>
      <c r="E1241" s="3">
        <v>7</v>
      </c>
      <c r="F1241">
        <v>23</v>
      </c>
      <c r="G1241" s="1">
        <f>DATEVALUE(_xlfn.CONCAT(BBDD_Usiarios_Netflix[[#This Row],[Día Suscripción]],"/",BBDD_Usiarios_Netflix[[#This Row],[Mes Suscripción]],"/",BBDD_Usiarios_Netflix[[#This Row],[Año Suscripción]]))</f>
        <v>45127</v>
      </c>
      <c r="H1241" s="1">
        <v>4</v>
      </c>
      <c r="I1241" s="1">
        <v>7</v>
      </c>
      <c r="J1241" s="1">
        <v>24</v>
      </c>
      <c r="K1241" s="1" t="str">
        <f>TEXT(BBDD_Usiarios_Netflix[[#This Row],[Fecha Suscripción]],"dddd")</f>
        <v>jueves</v>
      </c>
      <c r="L1241" s="1">
        <f>DATEVALUE(_xlfn.CONCAT(BBDD_Usiarios_Netflix[[#This Row],[Día Último Pago]],"/",BBDD_Usiarios_Netflix[[#This Row],[Mes Último Pago]],"/",BBDD_Usiarios_Netflix[[#This Row],[Año Último Pago]]))</f>
        <v>45477</v>
      </c>
      <c r="M1241" s="4">
        <f>DATEDIF(BBDD_Usiarios_Netflix[[#This Row],[Fecha Suscripción]],BBDD_Usiarios_Netflix[[#This Row],[Fecha Último Pago]],"M")+1</f>
        <v>12</v>
      </c>
      <c r="N1241" s="4">
        <f>BBDD_Usiarios_Netflix[[#This Row],[Ingresos Mensuales]]*BBDD_Usiarios_Netflix[[#This Row],[Meses contratados]]</f>
        <v>120</v>
      </c>
      <c r="O1241" t="s">
        <v>37</v>
      </c>
      <c r="P1241" t="str">
        <f>IF(BBDD_Usiarios_Netflix[[#This Row],[País]]="","Desconocido",BBDD_Usiarios_Netflix[[#This Row],[País]])</f>
        <v>Brasil</v>
      </c>
      <c r="Q1241">
        <v>30</v>
      </c>
      <c r="R1241" t="s">
        <v>30</v>
      </c>
      <c r="S1241" t="s">
        <v>36</v>
      </c>
      <c r="T1241" t="s">
        <v>38</v>
      </c>
      <c r="U1241">
        <f>IF(IFERROR(VLOOKUP(BBDD_Usiarios_Netflix[[#This Row],[Identificador Usuario]],A1242:$A$5870,1,FALSE),0)&lt;&gt;0,1,0)</f>
        <v>0</v>
      </c>
      <c r="V1241" s="6" t="str">
        <f>IF(BBDD_Usiarios_Netflix[[#This Row],[Duración Plan]]="12 Meses",LEFT(BBDD_Usiarios_Netflix[[#This Row],[Duración Plan]],2),LEFT(BBDD_Usiarios_Netflix[[#This Row],[Duración Plan]],1))</f>
        <v>3</v>
      </c>
      <c r="W12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42" spans="1:23" x14ac:dyDescent="0.25">
      <c r="A1242">
        <v>1241</v>
      </c>
      <c r="B1242" t="s">
        <v>28</v>
      </c>
      <c r="C1242">
        <v>14</v>
      </c>
      <c r="D1242" s="3">
        <v>28</v>
      </c>
      <c r="E1242" s="3">
        <v>7</v>
      </c>
      <c r="F1242">
        <v>23</v>
      </c>
      <c r="G1242" s="1">
        <f>DATEVALUE(_xlfn.CONCAT(BBDD_Usiarios_Netflix[[#This Row],[Día Suscripción]],"/",BBDD_Usiarios_Netflix[[#This Row],[Mes Suscripción]],"/",BBDD_Usiarios_Netflix[[#This Row],[Año Suscripción]]))</f>
        <v>45135</v>
      </c>
      <c r="H1242" s="1">
        <v>2</v>
      </c>
      <c r="I1242" s="1">
        <v>7</v>
      </c>
      <c r="J1242" s="1">
        <v>24</v>
      </c>
      <c r="K1242" s="1" t="str">
        <f>TEXT(BBDD_Usiarios_Netflix[[#This Row],[Fecha Suscripción]],"dddd")</f>
        <v>viernes</v>
      </c>
      <c r="L1242" s="1">
        <f>DATEVALUE(_xlfn.CONCAT(BBDD_Usiarios_Netflix[[#This Row],[Día Último Pago]],"/",BBDD_Usiarios_Netflix[[#This Row],[Mes Último Pago]],"/",BBDD_Usiarios_Netflix[[#This Row],[Año Último Pago]]))</f>
        <v>45475</v>
      </c>
      <c r="M1242" s="4">
        <f>DATEDIF(BBDD_Usiarios_Netflix[[#This Row],[Fecha Suscripción]],BBDD_Usiarios_Netflix[[#This Row],[Fecha Último Pago]],"M")+1</f>
        <v>12</v>
      </c>
      <c r="N1242" s="4">
        <f>BBDD_Usiarios_Netflix[[#This Row],[Ingresos Mensuales]]*BBDD_Usiarios_Netflix[[#This Row],[Meses contratados]]</f>
        <v>168</v>
      </c>
      <c r="O1242" t="s">
        <v>42</v>
      </c>
      <c r="P1242" t="str">
        <f>IF(BBDD_Usiarios_Netflix[[#This Row],[País]]="","Desconocido",BBDD_Usiarios_Netflix[[#This Row],[País]])</f>
        <v>Reino Unido</v>
      </c>
      <c r="Q1242">
        <v>47</v>
      </c>
      <c r="R1242" t="s">
        <v>30</v>
      </c>
      <c r="S1242" t="s">
        <v>36</v>
      </c>
      <c r="T1242" t="s">
        <v>41</v>
      </c>
      <c r="U1242">
        <f>IF(IFERROR(VLOOKUP(BBDD_Usiarios_Netflix[[#This Row],[Identificador Usuario]],A1243:$A$5870,1,FALSE),0)&lt;&gt;0,1,0)</f>
        <v>0</v>
      </c>
      <c r="V1242" s="6" t="str">
        <f>IF(BBDD_Usiarios_Netflix[[#This Row],[Duración Plan]]="12 Meses",LEFT(BBDD_Usiarios_Netflix[[#This Row],[Duración Plan]],2),LEFT(BBDD_Usiarios_Netflix[[#This Row],[Duración Plan]],1))</f>
        <v>12</v>
      </c>
      <c r="W12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43" spans="1:23" x14ac:dyDescent="0.25">
      <c r="A1243">
        <v>1242</v>
      </c>
      <c r="B1243" t="s">
        <v>23</v>
      </c>
      <c r="C1243">
        <v>10</v>
      </c>
      <c r="D1243" s="3">
        <v>31</v>
      </c>
      <c r="E1243" s="3">
        <v>7</v>
      </c>
      <c r="F1243">
        <v>23</v>
      </c>
      <c r="G1243" s="1">
        <f>DATEVALUE(_xlfn.CONCAT(BBDD_Usiarios_Netflix[[#This Row],[Día Suscripción]],"/",BBDD_Usiarios_Netflix[[#This Row],[Mes Suscripción]],"/",BBDD_Usiarios_Netflix[[#This Row],[Año Suscripción]]))</f>
        <v>45138</v>
      </c>
      <c r="H1243" s="1">
        <v>5</v>
      </c>
      <c r="I1243" s="1">
        <v>7</v>
      </c>
      <c r="J1243" s="1">
        <v>24</v>
      </c>
      <c r="K1243" s="1" t="str">
        <f>TEXT(BBDD_Usiarios_Netflix[[#This Row],[Fecha Suscripción]],"dddd")</f>
        <v>lunes</v>
      </c>
      <c r="L1243" s="1">
        <f>DATEVALUE(_xlfn.CONCAT(BBDD_Usiarios_Netflix[[#This Row],[Día Último Pago]],"/",BBDD_Usiarios_Netflix[[#This Row],[Mes Último Pago]],"/",BBDD_Usiarios_Netflix[[#This Row],[Año Último Pago]]))</f>
        <v>45478</v>
      </c>
      <c r="M1243" s="4">
        <f>DATEDIF(BBDD_Usiarios_Netflix[[#This Row],[Fecha Suscripción]],BBDD_Usiarios_Netflix[[#This Row],[Fecha Último Pago]],"M")+1</f>
        <v>12</v>
      </c>
      <c r="N1243" s="4">
        <f>BBDD_Usiarios_Netflix[[#This Row],[Ingresos Mensuales]]*BBDD_Usiarios_Netflix[[#This Row],[Meses contratados]]</f>
        <v>120</v>
      </c>
      <c r="O1243" t="s">
        <v>42</v>
      </c>
      <c r="P1243" t="str">
        <f>IF(BBDD_Usiarios_Netflix[[#This Row],[País]]="","Desconocido",BBDD_Usiarios_Netflix[[#This Row],[País]])</f>
        <v>Reino Unido</v>
      </c>
      <c r="Q1243">
        <v>49</v>
      </c>
      <c r="R1243" t="s">
        <v>30</v>
      </c>
      <c r="S1243" t="s">
        <v>31</v>
      </c>
      <c r="T1243" t="s">
        <v>41</v>
      </c>
      <c r="U1243">
        <f>IF(IFERROR(VLOOKUP(BBDD_Usiarios_Netflix[[#This Row],[Identificador Usuario]],A1244:$A$5870,1,FALSE),0)&lt;&gt;0,1,0)</f>
        <v>0</v>
      </c>
      <c r="V1243" s="6" t="str">
        <f>IF(BBDD_Usiarios_Netflix[[#This Row],[Duración Plan]]="12 Meses",LEFT(BBDD_Usiarios_Netflix[[#This Row],[Duración Plan]],2),LEFT(BBDD_Usiarios_Netflix[[#This Row],[Duración Plan]],1))</f>
        <v>12</v>
      </c>
      <c r="W12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44" spans="1:23" x14ac:dyDescent="0.25">
      <c r="A1244">
        <v>1243</v>
      </c>
      <c r="B1244" t="s">
        <v>32</v>
      </c>
      <c r="C1244">
        <v>12</v>
      </c>
      <c r="D1244" s="3">
        <v>14</v>
      </c>
      <c r="E1244" s="3">
        <v>8</v>
      </c>
      <c r="F1244">
        <v>23</v>
      </c>
      <c r="G1244" s="1">
        <f>DATEVALUE(_xlfn.CONCAT(BBDD_Usiarios_Netflix[[#This Row],[Día Suscripción]],"/",BBDD_Usiarios_Netflix[[#This Row],[Mes Suscripción]],"/",BBDD_Usiarios_Netflix[[#This Row],[Año Suscripción]]))</f>
        <v>45152</v>
      </c>
      <c r="H1244" s="1">
        <v>2</v>
      </c>
      <c r="I1244" s="1">
        <v>7</v>
      </c>
      <c r="J1244" s="1">
        <v>24</v>
      </c>
      <c r="K1244" s="1" t="str">
        <f>TEXT(BBDD_Usiarios_Netflix[[#This Row],[Fecha Suscripción]],"dddd")</f>
        <v>lunes</v>
      </c>
      <c r="L1244" s="1">
        <f>DATEVALUE(_xlfn.CONCAT(BBDD_Usiarios_Netflix[[#This Row],[Día Último Pago]],"/",BBDD_Usiarios_Netflix[[#This Row],[Mes Último Pago]],"/",BBDD_Usiarios_Netflix[[#This Row],[Año Último Pago]]))</f>
        <v>45475</v>
      </c>
      <c r="M1244" s="4">
        <f>DATEDIF(BBDD_Usiarios_Netflix[[#This Row],[Fecha Suscripción]],BBDD_Usiarios_Netflix[[#This Row],[Fecha Último Pago]],"M")+1</f>
        <v>11</v>
      </c>
      <c r="N1244" s="4">
        <f>BBDD_Usiarios_Netflix[[#This Row],[Ingresos Mensuales]]*BBDD_Usiarios_Netflix[[#This Row],[Meses contratados]]</f>
        <v>132</v>
      </c>
      <c r="O1244" t="s">
        <v>24</v>
      </c>
      <c r="P1244" t="str">
        <f>IF(BBDD_Usiarios_Netflix[[#This Row],[País]]="","Desconocido",BBDD_Usiarios_Netflix[[#This Row],[País]])</f>
        <v>Australia</v>
      </c>
      <c r="Q1244">
        <v>43</v>
      </c>
      <c r="R1244" t="s">
        <v>30</v>
      </c>
      <c r="S1244" t="s">
        <v>26</v>
      </c>
      <c r="T1244" t="s">
        <v>38</v>
      </c>
      <c r="U1244">
        <f>IF(IFERROR(VLOOKUP(BBDD_Usiarios_Netflix[[#This Row],[Identificador Usuario]],A1245:$A$5870,1,FALSE),0)&lt;&gt;0,1,0)</f>
        <v>0</v>
      </c>
      <c r="V1244" s="6" t="str">
        <f>IF(BBDD_Usiarios_Netflix[[#This Row],[Duración Plan]]="12 Meses",LEFT(BBDD_Usiarios_Netflix[[#This Row],[Duración Plan]],2),LEFT(BBDD_Usiarios_Netflix[[#This Row],[Duración Plan]],1))</f>
        <v>3</v>
      </c>
      <c r="W12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45" spans="1:23" x14ac:dyDescent="0.25">
      <c r="A1245">
        <v>1244</v>
      </c>
      <c r="B1245" t="s">
        <v>32</v>
      </c>
      <c r="C1245">
        <v>12</v>
      </c>
      <c r="D1245" s="3">
        <v>16</v>
      </c>
      <c r="E1245" s="3">
        <v>8</v>
      </c>
      <c r="F1245">
        <v>23</v>
      </c>
      <c r="G1245" s="1">
        <f>DATEVALUE(_xlfn.CONCAT(BBDD_Usiarios_Netflix[[#This Row],[Día Suscripción]],"/",BBDD_Usiarios_Netflix[[#This Row],[Mes Suscripción]],"/",BBDD_Usiarios_Netflix[[#This Row],[Año Suscripción]]))</f>
        <v>45154</v>
      </c>
      <c r="H1245" s="1">
        <v>4</v>
      </c>
      <c r="I1245" s="1">
        <v>7</v>
      </c>
      <c r="J1245" s="1">
        <v>24</v>
      </c>
      <c r="K1245" s="1" t="str">
        <f>TEXT(BBDD_Usiarios_Netflix[[#This Row],[Fecha Suscripción]],"dddd")</f>
        <v>miércoles</v>
      </c>
      <c r="L1245" s="1">
        <f>DATEVALUE(_xlfn.CONCAT(BBDD_Usiarios_Netflix[[#This Row],[Día Último Pago]],"/",BBDD_Usiarios_Netflix[[#This Row],[Mes Último Pago]],"/",BBDD_Usiarios_Netflix[[#This Row],[Año Último Pago]]))</f>
        <v>45477</v>
      </c>
      <c r="M1245" s="4">
        <f>DATEDIF(BBDD_Usiarios_Netflix[[#This Row],[Fecha Suscripción]],BBDD_Usiarios_Netflix[[#This Row],[Fecha Último Pago]],"M")+1</f>
        <v>11</v>
      </c>
      <c r="N1245" s="4">
        <f>BBDD_Usiarios_Netflix[[#This Row],[Ingresos Mensuales]]*BBDD_Usiarios_Netflix[[#This Row],[Meses contratados]]</f>
        <v>132</v>
      </c>
      <c r="O1245" t="s">
        <v>33</v>
      </c>
      <c r="P1245" t="str">
        <f>IF(BBDD_Usiarios_Netflix[[#This Row],[País]]="","Desconocido",BBDD_Usiarios_Netflix[[#This Row],[País]])</f>
        <v>Francia</v>
      </c>
      <c r="Q1245">
        <v>42</v>
      </c>
      <c r="R1245" t="s">
        <v>25</v>
      </c>
      <c r="S1245" t="s">
        <v>31</v>
      </c>
      <c r="T1245" t="s">
        <v>27</v>
      </c>
      <c r="U1245">
        <f>IF(IFERROR(VLOOKUP(BBDD_Usiarios_Netflix[[#This Row],[Identificador Usuario]],A1246:$A$5870,1,FALSE),0)&lt;&gt;0,1,0)</f>
        <v>0</v>
      </c>
      <c r="V1245" s="6" t="str">
        <f>IF(BBDD_Usiarios_Netflix[[#This Row],[Duración Plan]]="12 Meses",LEFT(BBDD_Usiarios_Netflix[[#This Row],[Duración Plan]],2),LEFT(BBDD_Usiarios_Netflix[[#This Row],[Duración Plan]],1))</f>
        <v>1</v>
      </c>
      <c r="W12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46" spans="1:23" x14ac:dyDescent="0.25">
      <c r="A1246">
        <v>1245</v>
      </c>
      <c r="B1246" t="s">
        <v>23</v>
      </c>
      <c r="C1246">
        <v>10</v>
      </c>
      <c r="D1246" s="3">
        <v>18</v>
      </c>
      <c r="E1246" s="3">
        <v>8</v>
      </c>
      <c r="F1246">
        <v>23</v>
      </c>
      <c r="G1246" s="1">
        <f>DATEVALUE(_xlfn.CONCAT(BBDD_Usiarios_Netflix[[#This Row],[Día Suscripción]],"/",BBDD_Usiarios_Netflix[[#This Row],[Mes Suscripción]],"/",BBDD_Usiarios_Netflix[[#This Row],[Año Suscripción]]))</f>
        <v>45156</v>
      </c>
      <c r="H1246" s="1">
        <v>3</v>
      </c>
      <c r="I1246" s="1">
        <v>7</v>
      </c>
      <c r="J1246" s="1">
        <v>24</v>
      </c>
      <c r="K1246" s="1" t="str">
        <f>TEXT(BBDD_Usiarios_Netflix[[#This Row],[Fecha Suscripción]],"dddd")</f>
        <v>viernes</v>
      </c>
      <c r="L1246" s="1">
        <f>DATEVALUE(_xlfn.CONCAT(BBDD_Usiarios_Netflix[[#This Row],[Día Último Pago]],"/",BBDD_Usiarios_Netflix[[#This Row],[Mes Último Pago]],"/",BBDD_Usiarios_Netflix[[#This Row],[Año Último Pago]]))</f>
        <v>45476</v>
      </c>
      <c r="M1246" s="4">
        <f>DATEDIF(BBDD_Usiarios_Netflix[[#This Row],[Fecha Suscripción]],BBDD_Usiarios_Netflix[[#This Row],[Fecha Último Pago]],"M")+1</f>
        <v>11</v>
      </c>
      <c r="N1246" s="4">
        <f>BBDD_Usiarios_Netflix[[#This Row],[Ingresos Mensuales]]*BBDD_Usiarios_Netflix[[#This Row],[Meses contratados]]</f>
        <v>110</v>
      </c>
      <c r="O1246" t="s">
        <v>33</v>
      </c>
      <c r="P1246" t="str">
        <f>IF(BBDD_Usiarios_Netflix[[#This Row],[País]]="","Desconocido",BBDD_Usiarios_Netflix[[#This Row],[País]])</f>
        <v>Francia</v>
      </c>
      <c r="Q1246">
        <v>29</v>
      </c>
      <c r="R1246" t="s">
        <v>30</v>
      </c>
      <c r="S1246" t="s">
        <v>26</v>
      </c>
      <c r="T1246" t="s">
        <v>35</v>
      </c>
      <c r="U1246">
        <f>IF(IFERROR(VLOOKUP(BBDD_Usiarios_Netflix[[#This Row],[Identificador Usuario]],A1247:$A$5870,1,FALSE),0)&lt;&gt;0,1,0)</f>
        <v>0</v>
      </c>
      <c r="V1246" s="6" t="str">
        <f>IF(BBDD_Usiarios_Netflix[[#This Row],[Duración Plan]]="12 Meses",LEFT(BBDD_Usiarios_Netflix[[#This Row],[Duración Plan]],2),LEFT(BBDD_Usiarios_Netflix[[#This Row],[Duración Plan]],1))</f>
        <v>6</v>
      </c>
      <c r="W12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47" spans="1:23" x14ac:dyDescent="0.25">
      <c r="A1247">
        <v>1246</v>
      </c>
      <c r="B1247" t="s">
        <v>28</v>
      </c>
      <c r="C1247">
        <v>14</v>
      </c>
      <c r="D1247" s="3">
        <v>27</v>
      </c>
      <c r="E1247" s="3">
        <v>8</v>
      </c>
      <c r="F1247">
        <v>23</v>
      </c>
      <c r="G1247" s="1">
        <f>DATEVALUE(_xlfn.CONCAT(BBDD_Usiarios_Netflix[[#This Row],[Día Suscripción]],"/",BBDD_Usiarios_Netflix[[#This Row],[Mes Suscripción]],"/",BBDD_Usiarios_Netflix[[#This Row],[Año Suscripción]]))</f>
        <v>45165</v>
      </c>
      <c r="H1247" s="1">
        <v>5</v>
      </c>
      <c r="I1247" s="1">
        <v>7</v>
      </c>
      <c r="J1247" s="1">
        <v>24</v>
      </c>
      <c r="K1247" s="1" t="str">
        <f>TEXT(BBDD_Usiarios_Netflix[[#This Row],[Fecha Suscripción]],"dddd")</f>
        <v>domingo</v>
      </c>
      <c r="L1247" s="1">
        <f>DATEVALUE(_xlfn.CONCAT(BBDD_Usiarios_Netflix[[#This Row],[Día Último Pago]],"/",BBDD_Usiarios_Netflix[[#This Row],[Mes Último Pago]],"/",BBDD_Usiarios_Netflix[[#This Row],[Año Último Pago]]))</f>
        <v>45478</v>
      </c>
      <c r="M1247" s="4">
        <f>DATEDIF(BBDD_Usiarios_Netflix[[#This Row],[Fecha Suscripción]],BBDD_Usiarios_Netflix[[#This Row],[Fecha Último Pago]],"M")+1</f>
        <v>11</v>
      </c>
      <c r="N1247" s="4">
        <f>BBDD_Usiarios_Netflix[[#This Row],[Ingresos Mensuales]]*BBDD_Usiarios_Netflix[[#This Row],[Meses contratados]]</f>
        <v>154</v>
      </c>
      <c r="O1247" t="s">
        <v>44</v>
      </c>
      <c r="P1247" t="str">
        <f>IF(BBDD_Usiarios_Netflix[[#This Row],[País]]="","Desconocido",BBDD_Usiarios_Netflix[[#This Row],[País]])</f>
        <v>Desconocido</v>
      </c>
      <c r="Q1247">
        <v>35</v>
      </c>
      <c r="R1247" t="s">
        <v>30</v>
      </c>
      <c r="S1247" t="s">
        <v>26</v>
      </c>
      <c r="T1247" t="s">
        <v>27</v>
      </c>
      <c r="U1247">
        <f>IF(IFERROR(VLOOKUP(BBDD_Usiarios_Netflix[[#This Row],[Identificador Usuario]],A1248:$A$5870,1,FALSE),0)&lt;&gt;0,1,0)</f>
        <v>0</v>
      </c>
      <c r="V1247" s="6" t="str">
        <f>IF(BBDD_Usiarios_Netflix[[#This Row],[Duración Plan]]="12 Meses",LEFT(BBDD_Usiarios_Netflix[[#This Row],[Duración Plan]],2),LEFT(BBDD_Usiarios_Netflix[[#This Row],[Duración Plan]],1))</f>
        <v>1</v>
      </c>
      <c r="W12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48" spans="1:23" x14ac:dyDescent="0.25">
      <c r="A1248">
        <v>1247</v>
      </c>
      <c r="B1248" t="s">
        <v>23</v>
      </c>
      <c r="C1248">
        <v>10</v>
      </c>
      <c r="D1248" s="3">
        <v>1</v>
      </c>
      <c r="E1248" s="3">
        <v>9</v>
      </c>
      <c r="F1248">
        <v>23</v>
      </c>
      <c r="G1248" s="1">
        <f>DATEVALUE(_xlfn.CONCAT(BBDD_Usiarios_Netflix[[#This Row],[Día Suscripción]],"/",BBDD_Usiarios_Netflix[[#This Row],[Mes Suscripción]],"/",BBDD_Usiarios_Netflix[[#This Row],[Año Suscripción]]))</f>
        <v>45170</v>
      </c>
      <c r="H1248" s="1">
        <v>2</v>
      </c>
      <c r="I1248" s="1">
        <v>7</v>
      </c>
      <c r="J1248" s="1">
        <v>24</v>
      </c>
      <c r="K1248" s="1" t="str">
        <f>TEXT(BBDD_Usiarios_Netflix[[#This Row],[Fecha Suscripción]],"dddd")</f>
        <v>viernes</v>
      </c>
      <c r="L1248" s="1">
        <f>DATEVALUE(_xlfn.CONCAT(BBDD_Usiarios_Netflix[[#This Row],[Día Último Pago]],"/",BBDD_Usiarios_Netflix[[#This Row],[Mes Último Pago]],"/",BBDD_Usiarios_Netflix[[#This Row],[Año Último Pago]]))</f>
        <v>45475</v>
      </c>
      <c r="M1248" s="4">
        <f>DATEDIF(BBDD_Usiarios_Netflix[[#This Row],[Fecha Suscripción]],BBDD_Usiarios_Netflix[[#This Row],[Fecha Último Pago]],"M")+1</f>
        <v>11</v>
      </c>
      <c r="N1248" s="4">
        <f>BBDD_Usiarios_Netflix[[#This Row],[Ingresos Mensuales]]*BBDD_Usiarios_Netflix[[#This Row],[Meses contratados]]</f>
        <v>110</v>
      </c>
      <c r="O1248" t="s">
        <v>44</v>
      </c>
      <c r="P1248" t="str">
        <f>IF(BBDD_Usiarios_Netflix[[#This Row],[País]]="","Desconocido",BBDD_Usiarios_Netflix[[#This Row],[País]])</f>
        <v>Desconocido</v>
      </c>
      <c r="Q1248">
        <v>41</v>
      </c>
      <c r="R1248" t="s">
        <v>30</v>
      </c>
      <c r="S1248" t="s">
        <v>26</v>
      </c>
      <c r="T1248" t="s">
        <v>41</v>
      </c>
      <c r="U1248">
        <f>IF(IFERROR(VLOOKUP(BBDD_Usiarios_Netflix[[#This Row],[Identificador Usuario]],A1249:$A$5870,1,FALSE),0)&lt;&gt;0,1,0)</f>
        <v>0</v>
      </c>
      <c r="V1248" s="6" t="str">
        <f>IF(BBDD_Usiarios_Netflix[[#This Row],[Duración Plan]]="12 Meses",LEFT(BBDD_Usiarios_Netflix[[#This Row],[Duración Plan]],2),LEFT(BBDD_Usiarios_Netflix[[#This Row],[Duración Plan]],1))</f>
        <v>12</v>
      </c>
      <c r="W12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49" spans="1:23" x14ac:dyDescent="0.25">
      <c r="A1249">
        <v>1248</v>
      </c>
      <c r="B1249" t="s">
        <v>32</v>
      </c>
      <c r="C1249">
        <v>12</v>
      </c>
      <c r="D1249" s="3">
        <v>3</v>
      </c>
      <c r="E1249" s="3">
        <v>9</v>
      </c>
      <c r="F1249">
        <v>23</v>
      </c>
      <c r="G1249" s="1">
        <f>DATEVALUE(_xlfn.CONCAT(BBDD_Usiarios_Netflix[[#This Row],[Día Suscripción]],"/",BBDD_Usiarios_Netflix[[#This Row],[Mes Suscripción]],"/",BBDD_Usiarios_Netflix[[#This Row],[Año Suscripción]]))</f>
        <v>45172</v>
      </c>
      <c r="H1249" s="1">
        <v>5</v>
      </c>
      <c r="I1249" s="1">
        <v>7</v>
      </c>
      <c r="J1249" s="1">
        <v>24</v>
      </c>
      <c r="K1249" s="1" t="str">
        <f>TEXT(BBDD_Usiarios_Netflix[[#This Row],[Fecha Suscripción]],"dddd")</f>
        <v>domingo</v>
      </c>
      <c r="L1249" s="1">
        <f>DATEVALUE(_xlfn.CONCAT(BBDD_Usiarios_Netflix[[#This Row],[Día Último Pago]],"/",BBDD_Usiarios_Netflix[[#This Row],[Mes Último Pago]],"/",BBDD_Usiarios_Netflix[[#This Row],[Año Último Pago]]))</f>
        <v>45478</v>
      </c>
      <c r="M1249" s="4">
        <f>DATEDIF(BBDD_Usiarios_Netflix[[#This Row],[Fecha Suscripción]],BBDD_Usiarios_Netflix[[#This Row],[Fecha Último Pago]],"M")+1</f>
        <v>11</v>
      </c>
      <c r="N1249" s="4">
        <f>BBDD_Usiarios_Netflix[[#This Row],[Ingresos Mensuales]]*BBDD_Usiarios_Netflix[[#This Row],[Meses contratados]]</f>
        <v>132</v>
      </c>
      <c r="O1249" t="s">
        <v>29</v>
      </c>
      <c r="P1249" t="str">
        <f>IF(BBDD_Usiarios_Netflix[[#This Row],[País]]="","Desconocido",BBDD_Usiarios_Netflix[[#This Row],[País]])</f>
        <v>EEUU</v>
      </c>
      <c r="Q1249">
        <v>47</v>
      </c>
      <c r="R1249" t="s">
        <v>30</v>
      </c>
      <c r="S1249" t="s">
        <v>34</v>
      </c>
      <c r="T1249" t="s">
        <v>27</v>
      </c>
      <c r="U1249">
        <f>IF(IFERROR(VLOOKUP(BBDD_Usiarios_Netflix[[#This Row],[Identificador Usuario]],A1250:$A$5870,1,FALSE),0)&lt;&gt;0,1,0)</f>
        <v>0</v>
      </c>
      <c r="V1249" s="6" t="str">
        <f>IF(BBDD_Usiarios_Netflix[[#This Row],[Duración Plan]]="12 Meses",LEFT(BBDD_Usiarios_Netflix[[#This Row],[Duración Plan]],2),LEFT(BBDD_Usiarios_Netflix[[#This Row],[Duración Plan]],1))</f>
        <v>1</v>
      </c>
      <c r="W12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50" spans="1:23" x14ac:dyDescent="0.25">
      <c r="A1250">
        <v>1249</v>
      </c>
      <c r="B1250" t="s">
        <v>28</v>
      </c>
      <c r="C1250">
        <v>14</v>
      </c>
      <c r="D1250" s="3">
        <v>7</v>
      </c>
      <c r="E1250" s="3">
        <v>9</v>
      </c>
      <c r="F1250">
        <v>23</v>
      </c>
      <c r="G1250" s="1">
        <f>DATEVALUE(_xlfn.CONCAT(BBDD_Usiarios_Netflix[[#This Row],[Día Suscripción]],"/",BBDD_Usiarios_Netflix[[#This Row],[Mes Suscripción]],"/",BBDD_Usiarios_Netflix[[#This Row],[Año Suscripción]]))</f>
        <v>45176</v>
      </c>
      <c r="H1250" s="1">
        <v>3</v>
      </c>
      <c r="I1250" s="1">
        <v>7</v>
      </c>
      <c r="J1250" s="1">
        <v>24</v>
      </c>
      <c r="K1250" s="1" t="str">
        <f>TEXT(BBDD_Usiarios_Netflix[[#This Row],[Fecha Suscripción]],"dddd")</f>
        <v>jueves</v>
      </c>
      <c r="L1250" s="1">
        <f>DATEVALUE(_xlfn.CONCAT(BBDD_Usiarios_Netflix[[#This Row],[Día Último Pago]],"/",BBDD_Usiarios_Netflix[[#This Row],[Mes Último Pago]],"/",BBDD_Usiarios_Netflix[[#This Row],[Año Último Pago]]))</f>
        <v>45476</v>
      </c>
      <c r="M1250" s="4">
        <f>DATEDIF(BBDD_Usiarios_Netflix[[#This Row],[Fecha Suscripción]],BBDD_Usiarios_Netflix[[#This Row],[Fecha Último Pago]],"M")+1</f>
        <v>10</v>
      </c>
      <c r="N1250" s="4">
        <f>BBDD_Usiarios_Netflix[[#This Row],[Ingresos Mensuales]]*BBDD_Usiarios_Netflix[[#This Row],[Meses contratados]]</f>
        <v>140</v>
      </c>
      <c r="O1250" t="s">
        <v>24</v>
      </c>
      <c r="P1250" t="str">
        <f>IF(BBDD_Usiarios_Netflix[[#This Row],[País]]="","Desconocido",BBDD_Usiarios_Netflix[[#This Row],[País]])</f>
        <v>Australia</v>
      </c>
      <c r="Q1250">
        <v>28</v>
      </c>
      <c r="R1250" t="s">
        <v>30</v>
      </c>
      <c r="S1250" t="s">
        <v>34</v>
      </c>
      <c r="T1250" t="s">
        <v>35</v>
      </c>
      <c r="U1250">
        <f>IF(IFERROR(VLOOKUP(BBDD_Usiarios_Netflix[[#This Row],[Identificador Usuario]],A1251:$A$5870,1,FALSE),0)&lt;&gt;0,1,0)</f>
        <v>0</v>
      </c>
      <c r="V1250" s="6" t="str">
        <f>IF(BBDD_Usiarios_Netflix[[#This Row],[Duración Plan]]="12 Meses",LEFT(BBDD_Usiarios_Netflix[[#This Row],[Duración Plan]],2),LEFT(BBDD_Usiarios_Netflix[[#This Row],[Duración Plan]],1))</f>
        <v>6</v>
      </c>
      <c r="W12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51" spans="1:23" x14ac:dyDescent="0.25">
      <c r="A1251">
        <v>1250</v>
      </c>
      <c r="B1251" t="s">
        <v>23</v>
      </c>
      <c r="C1251">
        <v>10</v>
      </c>
      <c r="D1251" s="3">
        <v>8</v>
      </c>
      <c r="E1251" s="3">
        <v>9</v>
      </c>
      <c r="F1251">
        <v>23</v>
      </c>
      <c r="G1251" s="1">
        <f>DATEVALUE(_xlfn.CONCAT(BBDD_Usiarios_Netflix[[#This Row],[Día Suscripción]],"/",BBDD_Usiarios_Netflix[[#This Row],[Mes Suscripción]],"/",BBDD_Usiarios_Netflix[[#This Row],[Año Suscripción]]))</f>
        <v>45177</v>
      </c>
      <c r="H1251" s="1">
        <v>4</v>
      </c>
      <c r="I1251" s="1">
        <v>7</v>
      </c>
      <c r="J1251" s="1">
        <v>24</v>
      </c>
      <c r="K1251" s="1" t="str">
        <f>TEXT(BBDD_Usiarios_Netflix[[#This Row],[Fecha Suscripción]],"dddd")</f>
        <v>viernes</v>
      </c>
      <c r="L1251" s="1">
        <f>DATEVALUE(_xlfn.CONCAT(BBDD_Usiarios_Netflix[[#This Row],[Día Último Pago]],"/",BBDD_Usiarios_Netflix[[#This Row],[Mes Último Pago]],"/",BBDD_Usiarios_Netflix[[#This Row],[Año Último Pago]]))</f>
        <v>45477</v>
      </c>
      <c r="M1251" s="4">
        <f>DATEDIF(BBDD_Usiarios_Netflix[[#This Row],[Fecha Suscripción]],BBDD_Usiarios_Netflix[[#This Row],[Fecha Último Pago]],"M")+1</f>
        <v>10</v>
      </c>
      <c r="N1251" s="4">
        <f>BBDD_Usiarios_Netflix[[#This Row],[Ingresos Mensuales]]*BBDD_Usiarios_Netflix[[#This Row],[Meses contratados]]</f>
        <v>100</v>
      </c>
      <c r="O1251" t="s">
        <v>33</v>
      </c>
      <c r="P1251" t="str">
        <f>IF(BBDD_Usiarios_Netflix[[#This Row],[País]]="","Desconocido",BBDD_Usiarios_Netflix[[#This Row],[País]])</f>
        <v>Francia</v>
      </c>
      <c r="Q1251">
        <v>44</v>
      </c>
      <c r="R1251" t="s">
        <v>30</v>
      </c>
      <c r="S1251" t="s">
        <v>26</v>
      </c>
      <c r="T1251" t="s">
        <v>35</v>
      </c>
      <c r="U1251">
        <f>IF(IFERROR(VLOOKUP(BBDD_Usiarios_Netflix[[#This Row],[Identificador Usuario]],A1252:$A$5870,1,FALSE),0)&lt;&gt;0,1,0)</f>
        <v>0</v>
      </c>
      <c r="V1251" s="6" t="str">
        <f>IF(BBDD_Usiarios_Netflix[[#This Row],[Duración Plan]]="12 Meses",LEFT(BBDD_Usiarios_Netflix[[#This Row],[Duración Plan]],2),LEFT(BBDD_Usiarios_Netflix[[#This Row],[Duración Plan]],1))</f>
        <v>6</v>
      </c>
      <c r="W12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52" spans="1:23" x14ac:dyDescent="0.25">
      <c r="A1252">
        <v>1251</v>
      </c>
      <c r="B1252" t="s">
        <v>28</v>
      </c>
      <c r="C1252">
        <v>14</v>
      </c>
      <c r="D1252" s="3">
        <v>14</v>
      </c>
      <c r="E1252" s="3">
        <v>9</v>
      </c>
      <c r="F1252">
        <v>23</v>
      </c>
      <c r="G1252" s="1">
        <f>DATEVALUE(_xlfn.CONCAT(BBDD_Usiarios_Netflix[[#This Row],[Día Suscripción]],"/",BBDD_Usiarios_Netflix[[#This Row],[Mes Suscripción]],"/",BBDD_Usiarios_Netflix[[#This Row],[Año Suscripción]]))</f>
        <v>45183</v>
      </c>
      <c r="H1252" s="1">
        <v>3</v>
      </c>
      <c r="I1252" s="1">
        <v>7</v>
      </c>
      <c r="J1252" s="1">
        <v>24</v>
      </c>
      <c r="K1252" s="1" t="str">
        <f>TEXT(BBDD_Usiarios_Netflix[[#This Row],[Fecha Suscripción]],"dddd")</f>
        <v>jueves</v>
      </c>
      <c r="L1252" s="1">
        <f>DATEVALUE(_xlfn.CONCAT(BBDD_Usiarios_Netflix[[#This Row],[Día Último Pago]],"/",BBDD_Usiarios_Netflix[[#This Row],[Mes Último Pago]],"/",BBDD_Usiarios_Netflix[[#This Row],[Año Último Pago]]))</f>
        <v>45476</v>
      </c>
      <c r="M1252" s="4">
        <f>DATEDIF(BBDD_Usiarios_Netflix[[#This Row],[Fecha Suscripción]],BBDD_Usiarios_Netflix[[#This Row],[Fecha Último Pago]],"M")+1</f>
        <v>10</v>
      </c>
      <c r="N1252" s="4">
        <f>BBDD_Usiarios_Netflix[[#This Row],[Ingresos Mensuales]]*BBDD_Usiarios_Netflix[[#This Row],[Meses contratados]]</f>
        <v>140</v>
      </c>
      <c r="O1252" t="s">
        <v>42</v>
      </c>
      <c r="P1252" t="str">
        <f>IF(BBDD_Usiarios_Netflix[[#This Row],[País]]="","Desconocido",BBDD_Usiarios_Netflix[[#This Row],[País]])</f>
        <v>Reino Unido</v>
      </c>
      <c r="Q1252">
        <v>28</v>
      </c>
      <c r="R1252" t="s">
        <v>30</v>
      </c>
      <c r="S1252" t="s">
        <v>31</v>
      </c>
      <c r="T1252" t="s">
        <v>38</v>
      </c>
      <c r="U1252">
        <f>IF(IFERROR(VLOOKUP(BBDD_Usiarios_Netflix[[#This Row],[Identificador Usuario]],A1253:$A$5870,1,FALSE),0)&lt;&gt;0,1,0)</f>
        <v>0</v>
      </c>
      <c r="V1252" s="6" t="str">
        <f>IF(BBDD_Usiarios_Netflix[[#This Row],[Duración Plan]]="12 Meses",LEFT(BBDD_Usiarios_Netflix[[#This Row],[Duración Plan]],2),LEFT(BBDD_Usiarios_Netflix[[#This Row],[Duración Plan]],1))</f>
        <v>3</v>
      </c>
      <c r="W12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53" spans="1:23" x14ac:dyDescent="0.25">
      <c r="A1253">
        <v>1252</v>
      </c>
      <c r="B1253" t="s">
        <v>23</v>
      </c>
      <c r="C1253">
        <v>10</v>
      </c>
      <c r="D1253" s="3">
        <v>15</v>
      </c>
      <c r="E1253" s="3">
        <v>9</v>
      </c>
      <c r="F1253">
        <v>23</v>
      </c>
      <c r="G1253" s="1">
        <f>DATEVALUE(_xlfn.CONCAT(BBDD_Usiarios_Netflix[[#This Row],[Día Suscripción]],"/",BBDD_Usiarios_Netflix[[#This Row],[Mes Suscripción]],"/",BBDD_Usiarios_Netflix[[#This Row],[Año Suscripción]]))</f>
        <v>45184</v>
      </c>
      <c r="H1253" s="1">
        <v>5</v>
      </c>
      <c r="I1253" s="1">
        <v>7</v>
      </c>
      <c r="J1253" s="1">
        <v>24</v>
      </c>
      <c r="K1253" s="1" t="str">
        <f>TEXT(BBDD_Usiarios_Netflix[[#This Row],[Fecha Suscripción]],"dddd")</f>
        <v>viernes</v>
      </c>
      <c r="L1253" s="1">
        <f>DATEVALUE(_xlfn.CONCAT(BBDD_Usiarios_Netflix[[#This Row],[Día Último Pago]],"/",BBDD_Usiarios_Netflix[[#This Row],[Mes Último Pago]],"/",BBDD_Usiarios_Netflix[[#This Row],[Año Último Pago]]))</f>
        <v>45478</v>
      </c>
      <c r="M1253" s="4">
        <f>DATEDIF(BBDD_Usiarios_Netflix[[#This Row],[Fecha Suscripción]],BBDD_Usiarios_Netflix[[#This Row],[Fecha Último Pago]],"M")+1</f>
        <v>10</v>
      </c>
      <c r="N1253" s="4">
        <f>BBDD_Usiarios_Netflix[[#This Row],[Ingresos Mensuales]]*BBDD_Usiarios_Netflix[[#This Row],[Meses contratados]]</f>
        <v>100</v>
      </c>
      <c r="O1253" t="s">
        <v>43</v>
      </c>
      <c r="P1253" t="str">
        <f>IF(BBDD_Usiarios_Netflix[[#This Row],[País]]="","Desconocido",BBDD_Usiarios_Netflix[[#This Row],[País]])</f>
        <v>Alemania</v>
      </c>
      <c r="Q1253">
        <v>51</v>
      </c>
      <c r="R1253" t="s">
        <v>25</v>
      </c>
      <c r="S1253" t="s">
        <v>36</v>
      </c>
      <c r="T1253" t="s">
        <v>35</v>
      </c>
      <c r="U1253">
        <f>IF(IFERROR(VLOOKUP(BBDD_Usiarios_Netflix[[#This Row],[Identificador Usuario]],A1254:$A$5870,1,FALSE),0)&lt;&gt;0,1,0)</f>
        <v>0</v>
      </c>
      <c r="V1253" s="6" t="str">
        <f>IF(BBDD_Usiarios_Netflix[[#This Row],[Duración Plan]]="12 Meses",LEFT(BBDD_Usiarios_Netflix[[#This Row],[Duración Plan]],2),LEFT(BBDD_Usiarios_Netflix[[#This Row],[Duración Plan]],1))</f>
        <v>6</v>
      </c>
      <c r="W12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54" spans="1:23" x14ac:dyDescent="0.25">
      <c r="A1254">
        <v>1253</v>
      </c>
      <c r="B1254" t="s">
        <v>32</v>
      </c>
      <c r="C1254">
        <v>12</v>
      </c>
      <c r="D1254" s="3">
        <v>27</v>
      </c>
      <c r="E1254" s="3">
        <v>9</v>
      </c>
      <c r="F1254">
        <v>23</v>
      </c>
      <c r="G1254" s="1">
        <f>DATEVALUE(_xlfn.CONCAT(BBDD_Usiarios_Netflix[[#This Row],[Día Suscripción]],"/",BBDD_Usiarios_Netflix[[#This Row],[Mes Suscripción]],"/",BBDD_Usiarios_Netflix[[#This Row],[Año Suscripción]]))</f>
        <v>45196</v>
      </c>
      <c r="H1254" s="1">
        <v>2</v>
      </c>
      <c r="I1254" s="1">
        <v>7</v>
      </c>
      <c r="J1254" s="1">
        <v>24</v>
      </c>
      <c r="K1254" s="1" t="str">
        <f>TEXT(BBDD_Usiarios_Netflix[[#This Row],[Fecha Suscripción]],"dddd")</f>
        <v>miércoles</v>
      </c>
      <c r="L1254" s="1">
        <f>DATEVALUE(_xlfn.CONCAT(BBDD_Usiarios_Netflix[[#This Row],[Día Último Pago]],"/",BBDD_Usiarios_Netflix[[#This Row],[Mes Último Pago]],"/",BBDD_Usiarios_Netflix[[#This Row],[Año Último Pago]]))</f>
        <v>45475</v>
      </c>
      <c r="M1254" s="4">
        <f>DATEDIF(BBDD_Usiarios_Netflix[[#This Row],[Fecha Suscripción]],BBDD_Usiarios_Netflix[[#This Row],[Fecha Último Pago]],"M")+1</f>
        <v>10</v>
      </c>
      <c r="N1254" s="4">
        <f>BBDD_Usiarios_Netflix[[#This Row],[Ingresos Mensuales]]*BBDD_Usiarios_Netflix[[#This Row],[Meses contratados]]</f>
        <v>120</v>
      </c>
      <c r="O1254" t="s">
        <v>29</v>
      </c>
      <c r="P1254" t="str">
        <f>IF(BBDD_Usiarios_Netflix[[#This Row],[País]]="","Desconocido",BBDD_Usiarios_Netflix[[#This Row],[País]])</f>
        <v>EEUU</v>
      </c>
      <c r="Q1254">
        <v>48</v>
      </c>
      <c r="R1254" t="s">
        <v>25</v>
      </c>
      <c r="S1254" t="s">
        <v>36</v>
      </c>
      <c r="T1254" t="s">
        <v>41</v>
      </c>
      <c r="U1254">
        <f>IF(IFERROR(VLOOKUP(BBDD_Usiarios_Netflix[[#This Row],[Identificador Usuario]],A1255:$A$5870,1,FALSE),0)&lt;&gt;0,1,0)</f>
        <v>0</v>
      </c>
      <c r="V1254" s="6" t="str">
        <f>IF(BBDD_Usiarios_Netflix[[#This Row],[Duración Plan]]="12 Meses",LEFT(BBDD_Usiarios_Netflix[[#This Row],[Duración Plan]],2),LEFT(BBDD_Usiarios_Netflix[[#This Row],[Duración Plan]],1))</f>
        <v>12</v>
      </c>
      <c r="W12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55" spans="1:23" x14ac:dyDescent="0.25">
      <c r="A1255">
        <v>1254</v>
      </c>
      <c r="B1255" t="s">
        <v>32</v>
      </c>
      <c r="C1255">
        <v>12</v>
      </c>
      <c r="D1255" s="3">
        <v>30</v>
      </c>
      <c r="E1255" s="3">
        <v>9</v>
      </c>
      <c r="F1255">
        <v>23</v>
      </c>
      <c r="G1255" s="1">
        <f>DATEVALUE(_xlfn.CONCAT(BBDD_Usiarios_Netflix[[#This Row],[Día Suscripción]],"/",BBDD_Usiarios_Netflix[[#This Row],[Mes Suscripción]],"/",BBDD_Usiarios_Netflix[[#This Row],[Año Suscripción]]))</f>
        <v>45199</v>
      </c>
      <c r="H1255" s="1">
        <v>4</v>
      </c>
      <c r="I1255" s="1">
        <v>7</v>
      </c>
      <c r="J1255" s="1">
        <v>24</v>
      </c>
      <c r="K1255" s="1" t="str">
        <f>TEXT(BBDD_Usiarios_Netflix[[#This Row],[Fecha Suscripción]],"dddd")</f>
        <v>sábado</v>
      </c>
      <c r="L1255" s="1">
        <f>DATEVALUE(_xlfn.CONCAT(BBDD_Usiarios_Netflix[[#This Row],[Día Último Pago]],"/",BBDD_Usiarios_Netflix[[#This Row],[Mes Último Pago]],"/",BBDD_Usiarios_Netflix[[#This Row],[Año Último Pago]]))</f>
        <v>45477</v>
      </c>
      <c r="M1255" s="4">
        <f>DATEDIF(BBDD_Usiarios_Netflix[[#This Row],[Fecha Suscripción]],BBDD_Usiarios_Netflix[[#This Row],[Fecha Último Pago]],"M")+1</f>
        <v>10</v>
      </c>
      <c r="N1255" s="4">
        <f>BBDD_Usiarios_Netflix[[#This Row],[Ingresos Mensuales]]*BBDD_Usiarios_Netflix[[#This Row],[Meses contratados]]</f>
        <v>120</v>
      </c>
      <c r="O1255" t="s">
        <v>45</v>
      </c>
      <c r="P1255" t="str">
        <f>IF(BBDD_Usiarios_Netflix[[#This Row],[País]]="","Desconocido",BBDD_Usiarios_Netflix[[#This Row],[País]])</f>
        <v>España</v>
      </c>
      <c r="Q1255">
        <v>49</v>
      </c>
      <c r="R1255" t="s">
        <v>30</v>
      </c>
      <c r="S1255" t="s">
        <v>31</v>
      </c>
      <c r="T1255" t="s">
        <v>35</v>
      </c>
      <c r="U1255">
        <f>IF(IFERROR(VLOOKUP(BBDD_Usiarios_Netflix[[#This Row],[Identificador Usuario]],A1256:$A$5870,1,FALSE),0)&lt;&gt;0,1,0)</f>
        <v>0</v>
      </c>
      <c r="V1255" s="6" t="str">
        <f>IF(BBDD_Usiarios_Netflix[[#This Row],[Duración Plan]]="12 Meses",LEFT(BBDD_Usiarios_Netflix[[#This Row],[Duración Plan]],2),LEFT(BBDD_Usiarios_Netflix[[#This Row],[Duración Plan]],1))</f>
        <v>6</v>
      </c>
      <c r="W12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56" spans="1:23" x14ac:dyDescent="0.25">
      <c r="A1256">
        <v>1255</v>
      </c>
      <c r="B1256" t="s">
        <v>23</v>
      </c>
      <c r="C1256">
        <v>10</v>
      </c>
      <c r="D1256" s="3">
        <v>2</v>
      </c>
      <c r="E1256" s="3">
        <v>10</v>
      </c>
      <c r="F1256">
        <v>23</v>
      </c>
      <c r="G1256" s="1">
        <f>DATEVALUE(_xlfn.CONCAT(BBDD_Usiarios_Netflix[[#This Row],[Día Suscripción]],"/",BBDD_Usiarios_Netflix[[#This Row],[Mes Suscripción]],"/",BBDD_Usiarios_Netflix[[#This Row],[Año Suscripción]]))</f>
        <v>45201</v>
      </c>
      <c r="H1256" s="1">
        <v>4</v>
      </c>
      <c r="I1256" s="1">
        <v>7</v>
      </c>
      <c r="J1256" s="1">
        <v>24</v>
      </c>
      <c r="K1256" s="1" t="str">
        <f>TEXT(BBDD_Usiarios_Netflix[[#This Row],[Fecha Suscripción]],"dddd")</f>
        <v>lunes</v>
      </c>
      <c r="L1256" s="1">
        <f>DATEVALUE(_xlfn.CONCAT(BBDD_Usiarios_Netflix[[#This Row],[Día Último Pago]],"/",BBDD_Usiarios_Netflix[[#This Row],[Mes Último Pago]],"/",BBDD_Usiarios_Netflix[[#This Row],[Año Último Pago]]))</f>
        <v>45477</v>
      </c>
      <c r="M1256" s="4">
        <f>DATEDIF(BBDD_Usiarios_Netflix[[#This Row],[Fecha Suscripción]],BBDD_Usiarios_Netflix[[#This Row],[Fecha Último Pago]],"M")+1</f>
        <v>10</v>
      </c>
      <c r="N1256" s="4">
        <f>BBDD_Usiarios_Netflix[[#This Row],[Ingresos Mensuales]]*BBDD_Usiarios_Netflix[[#This Row],[Meses contratados]]</f>
        <v>100</v>
      </c>
      <c r="O1256" t="s">
        <v>24</v>
      </c>
      <c r="P1256" t="str">
        <f>IF(BBDD_Usiarios_Netflix[[#This Row],[País]]="","Desconocido",BBDD_Usiarios_Netflix[[#This Row],[País]])</f>
        <v>Australia</v>
      </c>
      <c r="Q1256">
        <v>50</v>
      </c>
      <c r="R1256" t="s">
        <v>25</v>
      </c>
      <c r="S1256" t="s">
        <v>34</v>
      </c>
      <c r="T1256" t="s">
        <v>27</v>
      </c>
      <c r="U1256">
        <f>IF(IFERROR(VLOOKUP(BBDD_Usiarios_Netflix[[#This Row],[Identificador Usuario]],A1257:$A$5870,1,FALSE),0)&lt;&gt;0,1,0)</f>
        <v>0</v>
      </c>
      <c r="V1256" s="6" t="str">
        <f>IF(BBDD_Usiarios_Netflix[[#This Row],[Duración Plan]]="12 Meses",LEFT(BBDD_Usiarios_Netflix[[#This Row],[Duración Plan]],2),LEFT(BBDD_Usiarios_Netflix[[#This Row],[Duración Plan]],1))</f>
        <v>1</v>
      </c>
      <c r="W12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57" spans="1:23" x14ac:dyDescent="0.25">
      <c r="A1257">
        <v>1256</v>
      </c>
      <c r="B1257" t="s">
        <v>28</v>
      </c>
      <c r="C1257">
        <v>14</v>
      </c>
      <c r="D1257" s="3">
        <v>3</v>
      </c>
      <c r="E1257" s="3">
        <v>10</v>
      </c>
      <c r="F1257">
        <v>23</v>
      </c>
      <c r="G1257" s="1">
        <f>DATEVALUE(_xlfn.CONCAT(BBDD_Usiarios_Netflix[[#This Row],[Día Suscripción]],"/",BBDD_Usiarios_Netflix[[#This Row],[Mes Suscripción]],"/",BBDD_Usiarios_Netflix[[#This Row],[Año Suscripción]]))</f>
        <v>45202</v>
      </c>
      <c r="H1257" s="1">
        <v>5</v>
      </c>
      <c r="I1257" s="1">
        <v>7</v>
      </c>
      <c r="J1257" s="1">
        <v>24</v>
      </c>
      <c r="K1257" s="1" t="str">
        <f>TEXT(BBDD_Usiarios_Netflix[[#This Row],[Fecha Suscripción]],"dddd")</f>
        <v>martes</v>
      </c>
      <c r="L1257" s="1">
        <f>DATEVALUE(_xlfn.CONCAT(BBDD_Usiarios_Netflix[[#This Row],[Día Último Pago]],"/",BBDD_Usiarios_Netflix[[#This Row],[Mes Último Pago]],"/",BBDD_Usiarios_Netflix[[#This Row],[Año Último Pago]]))</f>
        <v>45478</v>
      </c>
      <c r="M1257" s="4">
        <f>DATEDIF(BBDD_Usiarios_Netflix[[#This Row],[Fecha Suscripción]],BBDD_Usiarios_Netflix[[#This Row],[Fecha Último Pago]],"M")+1</f>
        <v>10</v>
      </c>
      <c r="N1257" s="4">
        <f>BBDD_Usiarios_Netflix[[#This Row],[Ingresos Mensuales]]*BBDD_Usiarios_Netflix[[#This Row],[Meses contratados]]</f>
        <v>140</v>
      </c>
      <c r="O1257" t="s">
        <v>39</v>
      </c>
      <c r="P1257" t="str">
        <f>IF(BBDD_Usiarios_Netflix[[#This Row],[País]]="","Desconocido",BBDD_Usiarios_Netflix[[#This Row],[País]])</f>
        <v>Canadá</v>
      </c>
      <c r="Q1257">
        <v>43</v>
      </c>
      <c r="R1257" t="s">
        <v>25</v>
      </c>
      <c r="S1257" t="s">
        <v>36</v>
      </c>
      <c r="T1257" t="s">
        <v>35</v>
      </c>
      <c r="U1257">
        <f>IF(IFERROR(VLOOKUP(BBDD_Usiarios_Netflix[[#This Row],[Identificador Usuario]],A1258:$A$5870,1,FALSE),0)&lt;&gt;0,1,0)</f>
        <v>0</v>
      </c>
      <c r="V1257" s="6" t="str">
        <f>IF(BBDD_Usiarios_Netflix[[#This Row],[Duración Plan]]="12 Meses",LEFT(BBDD_Usiarios_Netflix[[#This Row],[Duración Plan]],2),LEFT(BBDD_Usiarios_Netflix[[#This Row],[Duración Plan]],1))</f>
        <v>6</v>
      </c>
      <c r="W12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58" spans="1:23" x14ac:dyDescent="0.25">
      <c r="A1258">
        <v>1257</v>
      </c>
      <c r="B1258" t="s">
        <v>23</v>
      </c>
      <c r="C1258">
        <v>10</v>
      </c>
      <c r="D1258" s="3">
        <v>5</v>
      </c>
      <c r="E1258" s="3">
        <v>10</v>
      </c>
      <c r="F1258">
        <v>23</v>
      </c>
      <c r="G1258" s="1">
        <f>DATEVALUE(_xlfn.CONCAT(BBDD_Usiarios_Netflix[[#This Row],[Día Suscripción]],"/",BBDD_Usiarios_Netflix[[#This Row],[Mes Suscripción]],"/",BBDD_Usiarios_Netflix[[#This Row],[Año Suscripción]]))</f>
        <v>45204</v>
      </c>
      <c r="H1258" s="1">
        <v>1</v>
      </c>
      <c r="I1258" s="1">
        <v>7</v>
      </c>
      <c r="J1258" s="1">
        <v>24</v>
      </c>
      <c r="K1258" s="1" t="str">
        <f>TEXT(BBDD_Usiarios_Netflix[[#This Row],[Fecha Suscripción]],"dddd")</f>
        <v>jueves</v>
      </c>
      <c r="L1258" s="1">
        <f>DATEVALUE(_xlfn.CONCAT(BBDD_Usiarios_Netflix[[#This Row],[Día Último Pago]],"/",BBDD_Usiarios_Netflix[[#This Row],[Mes Último Pago]],"/",BBDD_Usiarios_Netflix[[#This Row],[Año Último Pago]]))</f>
        <v>45474</v>
      </c>
      <c r="M1258" s="4">
        <f>DATEDIF(BBDD_Usiarios_Netflix[[#This Row],[Fecha Suscripción]],BBDD_Usiarios_Netflix[[#This Row],[Fecha Último Pago]],"M")+1</f>
        <v>9</v>
      </c>
      <c r="N1258" s="4">
        <f>BBDD_Usiarios_Netflix[[#This Row],[Ingresos Mensuales]]*BBDD_Usiarios_Netflix[[#This Row],[Meses contratados]]</f>
        <v>90</v>
      </c>
      <c r="O1258" t="s">
        <v>24</v>
      </c>
      <c r="P1258" t="str">
        <f>IF(BBDD_Usiarios_Netflix[[#This Row],[País]]="","Desconocido",BBDD_Usiarios_Netflix[[#This Row],[País]])</f>
        <v>Australia</v>
      </c>
      <c r="Q1258">
        <v>32</v>
      </c>
      <c r="R1258" t="s">
        <v>25</v>
      </c>
      <c r="S1258" t="s">
        <v>34</v>
      </c>
      <c r="T1258" t="s">
        <v>27</v>
      </c>
      <c r="U1258">
        <f>IF(IFERROR(VLOOKUP(BBDD_Usiarios_Netflix[[#This Row],[Identificador Usuario]],A1259:$A$5870,1,FALSE),0)&lt;&gt;0,1,0)</f>
        <v>0</v>
      </c>
      <c r="V1258" s="6" t="str">
        <f>IF(BBDD_Usiarios_Netflix[[#This Row],[Duración Plan]]="12 Meses",LEFT(BBDD_Usiarios_Netflix[[#This Row],[Duración Plan]],2),LEFT(BBDD_Usiarios_Netflix[[#This Row],[Duración Plan]],1))</f>
        <v>1</v>
      </c>
      <c r="W12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59" spans="1:23" x14ac:dyDescent="0.25">
      <c r="A1259">
        <v>1258</v>
      </c>
      <c r="B1259" t="s">
        <v>32</v>
      </c>
      <c r="C1259">
        <v>12</v>
      </c>
      <c r="D1259" s="3">
        <v>10</v>
      </c>
      <c r="E1259" s="3">
        <v>10</v>
      </c>
      <c r="F1259">
        <v>23</v>
      </c>
      <c r="G1259" s="1">
        <f>DATEVALUE(_xlfn.CONCAT(BBDD_Usiarios_Netflix[[#This Row],[Día Suscripción]],"/",BBDD_Usiarios_Netflix[[#This Row],[Mes Suscripción]],"/",BBDD_Usiarios_Netflix[[#This Row],[Año Suscripción]]))</f>
        <v>45209</v>
      </c>
      <c r="H1259" s="1">
        <v>3</v>
      </c>
      <c r="I1259" s="1">
        <v>7</v>
      </c>
      <c r="J1259" s="1">
        <v>24</v>
      </c>
      <c r="K1259" s="1" t="str">
        <f>TEXT(BBDD_Usiarios_Netflix[[#This Row],[Fecha Suscripción]],"dddd")</f>
        <v>martes</v>
      </c>
      <c r="L1259" s="1">
        <f>DATEVALUE(_xlfn.CONCAT(BBDD_Usiarios_Netflix[[#This Row],[Día Último Pago]],"/",BBDD_Usiarios_Netflix[[#This Row],[Mes Último Pago]],"/",BBDD_Usiarios_Netflix[[#This Row],[Año Último Pago]]))</f>
        <v>45476</v>
      </c>
      <c r="M1259" s="4">
        <f>DATEDIF(BBDD_Usiarios_Netflix[[#This Row],[Fecha Suscripción]],BBDD_Usiarios_Netflix[[#This Row],[Fecha Último Pago]],"M")+1</f>
        <v>9</v>
      </c>
      <c r="N1259" s="4">
        <f>BBDD_Usiarios_Netflix[[#This Row],[Ingresos Mensuales]]*BBDD_Usiarios_Netflix[[#This Row],[Meses contratados]]</f>
        <v>108</v>
      </c>
      <c r="O1259" t="s">
        <v>24</v>
      </c>
      <c r="P1259" t="str">
        <f>IF(BBDD_Usiarios_Netflix[[#This Row],[País]]="","Desconocido",BBDD_Usiarios_Netflix[[#This Row],[País]])</f>
        <v>Australia</v>
      </c>
      <c r="Q1259">
        <v>42</v>
      </c>
      <c r="R1259" t="s">
        <v>30</v>
      </c>
      <c r="S1259" t="s">
        <v>31</v>
      </c>
      <c r="T1259" t="s">
        <v>35</v>
      </c>
      <c r="U1259">
        <f>IF(IFERROR(VLOOKUP(BBDD_Usiarios_Netflix[[#This Row],[Identificador Usuario]],A1260:$A$5870,1,FALSE),0)&lt;&gt;0,1,0)</f>
        <v>0</v>
      </c>
      <c r="V1259" s="6" t="str">
        <f>IF(BBDD_Usiarios_Netflix[[#This Row],[Duración Plan]]="12 Meses",LEFT(BBDD_Usiarios_Netflix[[#This Row],[Duración Plan]],2),LEFT(BBDD_Usiarios_Netflix[[#This Row],[Duración Plan]],1))</f>
        <v>6</v>
      </c>
      <c r="W12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60" spans="1:23" x14ac:dyDescent="0.25">
      <c r="A1260">
        <v>1259</v>
      </c>
      <c r="B1260" t="s">
        <v>28</v>
      </c>
      <c r="C1260">
        <v>14</v>
      </c>
      <c r="D1260" s="3">
        <v>11</v>
      </c>
      <c r="E1260" s="3">
        <v>10</v>
      </c>
      <c r="F1260">
        <v>23</v>
      </c>
      <c r="G1260" s="1">
        <f>DATEVALUE(_xlfn.CONCAT(BBDD_Usiarios_Netflix[[#This Row],[Día Suscripción]],"/",BBDD_Usiarios_Netflix[[#This Row],[Mes Suscripción]],"/",BBDD_Usiarios_Netflix[[#This Row],[Año Suscripción]]))</f>
        <v>45210</v>
      </c>
      <c r="H1260" s="1">
        <v>3</v>
      </c>
      <c r="I1260" s="1">
        <v>7</v>
      </c>
      <c r="J1260" s="1">
        <v>24</v>
      </c>
      <c r="K1260" s="1" t="str">
        <f>TEXT(BBDD_Usiarios_Netflix[[#This Row],[Fecha Suscripción]],"dddd")</f>
        <v>miércoles</v>
      </c>
      <c r="L1260" s="1">
        <f>DATEVALUE(_xlfn.CONCAT(BBDD_Usiarios_Netflix[[#This Row],[Día Último Pago]],"/",BBDD_Usiarios_Netflix[[#This Row],[Mes Último Pago]],"/",BBDD_Usiarios_Netflix[[#This Row],[Año Último Pago]]))</f>
        <v>45476</v>
      </c>
      <c r="M1260" s="4">
        <f>DATEDIF(BBDD_Usiarios_Netflix[[#This Row],[Fecha Suscripción]],BBDD_Usiarios_Netflix[[#This Row],[Fecha Último Pago]],"M")+1</f>
        <v>9</v>
      </c>
      <c r="N1260" s="4">
        <f>BBDD_Usiarios_Netflix[[#This Row],[Ingresos Mensuales]]*BBDD_Usiarios_Netflix[[#This Row],[Meses contratados]]</f>
        <v>126</v>
      </c>
      <c r="O1260" t="s">
        <v>44</v>
      </c>
      <c r="P1260" t="str">
        <f>IF(BBDD_Usiarios_Netflix[[#This Row],[País]]="","Desconocido",BBDD_Usiarios_Netflix[[#This Row],[País]])</f>
        <v>Desconocido</v>
      </c>
      <c r="Q1260">
        <v>41</v>
      </c>
      <c r="R1260" t="s">
        <v>30</v>
      </c>
      <c r="S1260" t="s">
        <v>36</v>
      </c>
      <c r="T1260" t="s">
        <v>41</v>
      </c>
      <c r="U1260">
        <f>IF(IFERROR(VLOOKUP(BBDD_Usiarios_Netflix[[#This Row],[Identificador Usuario]],A1261:$A$5870,1,FALSE),0)&lt;&gt;0,1,0)</f>
        <v>0</v>
      </c>
      <c r="V1260" s="6" t="str">
        <f>IF(BBDD_Usiarios_Netflix[[#This Row],[Duración Plan]]="12 Meses",LEFT(BBDD_Usiarios_Netflix[[#This Row],[Duración Plan]],2),LEFT(BBDD_Usiarios_Netflix[[#This Row],[Duración Plan]],1))</f>
        <v>12</v>
      </c>
      <c r="W12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61" spans="1:23" x14ac:dyDescent="0.25">
      <c r="A1261">
        <v>1260</v>
      </c>
      <c r="B1261" t="s">
        <v>23</v>
      </c>
      <c r="C1261">
        <v>10</v>
      </c>
      <c r="D1261" s="3">
        <v>13</v>
      </c>
      <c r="E1261" s="3">
        <v>10</v>
      </c>
      <c r="F1261">
        <v>23</v>
      </c>
      <c r="G1261" s="1">
        <f>DATEVALUE(_xlfn.CONCAT(BBDD_Usiarios_Netflix[[#This Row],[Día Suscripción]],"/",BBDD_Usiarios_Netflix[[#This Row],[Mes Suscripción]],"/",BBDD_Usiarios_Netflix[[#This Row],[Año Suscripción]]))</f>
        <v>45212</v>
      </c>
      <c r="H1261" s="1">
        <v>4</v>
      </c>
      <c r="I1261" s="1">
        <v>7</v>
      </c>
      <c r="J1261" s="1">
        <v>24</v>
      </c>
      <c r="K1261" s="1" t="str">
        <f>TEXT(BBDD_Usiarios_Netflix[[#This Row],[Fecha Suscripción]],"dddd")</f>
        <v>viernes</v>
      </c>
      <c r="L1261" s="1">
        <f>DATEVALUE(_xlfn.CONCAT(BBDD_Usiarios_Netflix[[#This Row],[Día Último Pago]],"/",BBDD_Usiarios_Netflix[[#This Row],[Mes Último Pago]],"/",BBDD_Usiarios_Netflix[[#This Row],[Año Último Pago]]))</f>
        <v>45477</v>
      </c>
      <c r="M1261" s="4">
        <f>DATEDIF(BBDD_Usiarios_Netflix[[#This Row],[Fecha Suscripción]],BBDD_Usiarios_Netflix[[#This Row],[Fecha Último Pago]],"M")+1</f>
        <v>9</v>
      </c>
      <c r="N1261" s="4">
        <f>BBDD_Usiarios_Netflix[[#This Row],[Ingresos Mensuales]]*BBDD_Usiarios_Netflix[[#This Row],[Meses contratados]]</f>
        <v>90</v>
      </c>
      <c r="O1261" t="s">
        <v>40</v>
      </c>
      <c r="P1261" t="str">
        <f>IF(BBDD_Usiarios_Netflix[[#This Row],[País]]="","Desconocido",BBDD_Usiarios_Netflix[[#This Row],[País]])</f>
        <v>Italia</v>
      </c>
      <c r="Q1261">
        <v>31</v>
      </c>
      <c r="R1261" t="s">
        <v>25</v>
      </c>
      <c r="S1261" t="s">
        <v>36</v>
      </c>
      <c r="T1261" t="s">
        <v>41</v>
      </c>
      <c r="U1261">
        <f>IF(IFERROR(VLOOKUP(BBDD_Usiarios_Netflix[[#This Row],[Identificador Usuario]],A1262:$A$5870,1,FALSE),0)&lt;&gt;0,1,0)</f>
        <v>0</v>
      </c>
      <c r="V1261" s="6" t="str">
        <f>IF(BBDD_Usiarios_Netflix[[#This Row],[Duración Plan]]="12 Meses",LEFT(BBDD_Usiarios_Netflix[[#This Row],[Duración Plan]],2),LEFT(BBDD_Usiarios_Netflix[[#This Row],[Duración Plan]],1))</f>
        <v>12</v>
      </c>
      <c r="W12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62" spans="1:23" x14ac:dyDescent="0.25">
      <c r="A1262">
        <v>1261</v>
      </c>
      <c r="B1262" t="s">
        <v>28</v>
      </c>
      <c r="C1262">
        <v>14</v>
      </c>
      <c r="D1262" s="3">
        <v>14</v>
      </c>
      <c r="E1262" s="3">
        <v>10</v>
      </c>
      <c r="F1262">
        <v>23</v>
      </c>
      <c r="G1262" s="1">
        <f>DATEVALUE(_xlfn.CONCAT(BBDD_Usiarios_Netflix[[#This Row],[Día Suscripción]],"/",BBDD_Usiarios_Netflix[[#This Row],[Mes Suscripción]],"/",BBDD_Usiarios_Netflix[[#This Row],[Año Suscripción]]))</f>
        <v>45213</v>
      </c>
      <c r="H1262" s="1">
        <v>2</v>
      </c>
      <c r="I1262" s="1">
        <v>7</v>
      </c>
      <c r="J1262" s="1">
        <v>24</v>
      </c>
      <c r="K1262" s="1" t="str">
        <f>TEXT(BBDD_Usiarios_Netflix[[#This Row],[Fecha Suscripción]],"dddd")</f>
        <v>sábado</v>
      </c>
      <c r="L1262" s="1">
        <f>DATEVALUE(_xlfn.CONCAT(BBDD_Usiarios_Netflix[[#This Row],[Día Último Pago]],"/",BBDD_Usiarios_Netflix[[#This Row],[Mes Último Pago]],"/",BBDD_Usiarios_Netflix[[#This Row],[Año Último Pago]]))</f>
        <v>45475</v>
      </c>
      <c r="M1262" s="4">
        <f>DATEDIF(BBDD_Usiarios_Netflix[[#This Row],[Fecha Suscripción]],BBDD_Usiarios_Netflix[[#This Row],[Fecha Último Pago]],"M")+1</f>
        <v>9</v>
      </c>
      <c r="N1262" s="4">
        <f>BBDD_Usiarios_Netflix[[#This Row],[Ingresos Mensuales]]*BBDD_Usiarios_Netflix[[#This Row],[Meses contratados]]</f>
        <v>126</v>
      </c>
      <c r="O1262" t="s">
        <v>37</v>
      </c>
      <c r="P1262" t="str">
        <f>IF(BBDD_Usiarios_Netflix[[#This Row],[País]]="","Desconocido",BBDD_Usiarios_Netflix[[#This Row],[País]])</f>
        <v>Brasil</v>
      </c>
      <c r="Q1262">
        <v>37</v>
      </c>
      <c r="R1262" t="s">
        <v>30</v>
      </c>
      <c r="S1262" t="s">
        <v>34</v>
      </c>
      <c r="T1262" t="s">
        <v>27</v>
      </c>
      <c r="U1262">
        <f>IF(IFERROR(VLOOKUP(BBDD_Usiarios_Netflix[[#This Row],[Identificador Usuario]],A1263:$A$5870,1,FALSE),0)&lt;&gt;0,1,0)</f>
        <v>0</v>
      </c>
      <c r="V1262" s="6" t="str">
        <f>IF(BBDD_Usiarios_Netflix[[#This Row],[Duración Plan]]="12 Meses",LEFT(BBDD_Usiarios_Netflix[[#This Row],[Duración Plan]],2),LEFT(BBDD_Usiarios_Netflix[[#This Row],[Duración Plan]],1))</f>
        <v>1</v>
      </c>
      <c r="W12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63" spans="1:23" x14ac:dyDescent="0.25">
      <c r="A1263">
        <v>1262</v>
      </c>
      <c r="B1263" t="s">
        <v>23</v>
      </c>
      <c r="C1263">
        <v>10</v>
      </c>
      <c r="D1263" s="3">
        <v>16</v>
      </c>
      <c r="E1263" s="3">
        <v>10</v>
      </c>
      <c r="F1263">
        <v>23</v>
      </c>
      <c r="G1263" s="1">
        <f>DATEVALUE(_xlfn.CONCAT(BBDD_Usiarios_Netflix[[#This Row],[Día Suscripción]],"/",BBDD_Usiarios_Netflix[[#This Row],[Mes Suscripción]],"/",BBDD_Usiarios_Netflix[[#This Row],[Año Suscripción]]))</f>
        <v>45215</v>
      </c>
      <c r="H1263" s="1">
        <v>3</v>
      </c>
      <c r="I1263" s="1">
        <v>7</v>
      </c>
      <c r="J1263" s="1">
        <v>24</v>
      </c>
      <c r="K1263" s="1" t="str">
        <f>TEXT(BBDD_Usiarios_Netflix[[#This Row],[Fecha Suscripción]],"dddd")</f>
        <v>lunes</v>
      </c>
      <c r="L1263" s="1">
        <f>DATEVALUE(_xlfn.CONCAT(BBDD_Usiarios_Netflix[[#This Row],[Día Último Pago]],"/",BBDD_Usiarios_Netflix[[#This Row],[Mes Último Pago]],"/",BBDD_Usiarios_Netflix[[#This Row],[Año Último Pago]]))</f>
        <v>45476</v>
      </c>
      <c r="M1263" s="4">
        <f>DATEDIF(BBDD_Usiarios_Netflix[[#This Row],[Fecha Suscripción]],BBDD_Usiarios_Netflix[[#This Row],[Fecha Último Pago]],"M")+1</f>
        <v>9</v>
      </c>
      <c r="N1263" s="4">
        <f>BBDD_Usiarios_Netflix[[#This Row],[Ingresos Mensuales]]*BBDD_Usiarios_Netflix[[#This Row],[Meses contratados]]</f>
        <v>90</v>
      </c>
      <c r="O1263" t="s">
        <v>29</v>
      </c>
      <c r="P1263" t="str">
        <f>IF(BBDD_Usiarios_Netflix[[#This Row],[País]]="","Desconocido",BBDD_Usiarios_Netflix[[#This Row],[País]])</f>
        <v>EEUU</v>
      </c>
      <c r="Q1263">
        <v>46</v>
      </c>
      <c r="R1263" t="s">
        <v>25</v>
      </c>
      <c r="S1263" t="s">
        <v>34</v>
      </c>
      <c r="T1263" t="s">
        <v>27</v>
      </c>
      <c r="U1263">
        <f>IF(IFERROR(VLOOKUP(BBDD_Usiarios_Netflix[[#This Row],[Identificador Usuario]],A1264:$A$5870,1,FALSE),0)&lt;&gt;0,1,0)</f>
        <v>0</v>
      </c>
      <c r="V1263" s="6" t="str">
        <f>IF(BBDD_Usiarios_Netflix[[#This Row],[Duración Plan]]="12 Meses",LEFT(BBDD_Usiarios_Netflix[[#This Row],[Duración Plan]],2),LEFT(BBDD_Usiarios_Netflix[[#This Row],[Duración Plan]],1))</f>
        <v>1</v>
      </c>
      <c r="W12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64" spans="1:23" x14ac:dyDescent="0.25">
      <c r="A1264">
        <v>1263</v>
      </c>
      <c r="B1264" t="s">
        <v>32</v>
      </c>
      <c r="C1264">
        <v>12</v>
      </c>
      <c r="D1264" s="3">
        <v>18</v>
      </c>
      <c r="E1264" s="3">
        <v>10</v>
      </c>
      <c r="F1264">
        <v>23</v>
      </c>
      <c r="G1264" s="1">
        <f>DATEVALUE(_xlfn.CONCAT(BBDD_Usiarios_Netflix[[#This Row],[Día Suscripción]],"/",BBDD_Usiarios_Netflix[[#This Row],[Mes Suscripción]],"/",BBDD_Usiarios_Netflix[[#This Row],[Año Suscripción]]))</f>
        <v>45217</v>
      </c>
      <c r="H1264" s="1">
        <v>3</v>
      </c>
      <c r="I1264" s="1">
        <v>7</v>
      </c>
      <c r="J1264" s="1">
        <v>24</v>
      </c>
      <c r="K1264" s="1" t="str">
        <f>TEXT(BBDD_Usiarios_Netflix[[#This Row],[Fecha Suscripción]],"dddd")</f>
        <v>miércoles</v>
      </c>
      <c r="L1264" s="1">
        <f>DATEVALUE(_xlfn.CONCAT(BBDD_Usiarios_Netflix[[#This Row],[Día Último Pago]],"/",BBDD_Usiarios_Netflix[[#This Row],[Mes Último Pago]],"/",BBDD_Usiarios_Netflix[[#This Row],[Año Último Pago]]))</f>
        <v>45476</v>
      </c>
      <c r="M1264" s="4">
        <f>DATEDIF(BBDD_Usiarios_Netflix[[#This Row],[Fecha Suscripción]],BBDD_Usiarios_Netflix[[#This Row],[Fecha Último Pago]],"M")+1</f>
        <v>9</v>
      </c>
      <c r="N1264" s="4">
        <f>BBDD_Usiarios_Netflix[[#This Row],[Ingresos Mensuales]]*BBDD_Usiarios_Netflix[[#This Row],[Meses contratados]]</f>
        <v>108</v>
      </c>
      <c r="O1264" t="s">
        <v>24</v>
      </c>
      <c r="P1264" t="str">
        <f>IF(BBDD_Usiarios_Netflix[[#This Row],[País]]="","Desconocido",BBDD_Usiarios_Netflix[[#This Row],[País]])</f>
        <v>Australia</v>
      </c>
      <c r="Q1264">
        <v>30</v>
      </c>
      <c r="R1264" t="s">
        <v>30</v>
      </c>
      <c r="S1264" t="s">
        <v>31</v>
      </c>
      <c r="T1264" t="s">
        <v>41</v>
      </c>
      <c r="U1264">
        <f>IF(IFERROR(VLOOKUP(BBDD_Usiarios_Netflix[[#This Row],[Identificador Usuario]],A1265:$A$5870,1,FALSE),0)&lt;&gt;0,1,0)</f>
        <v>0</v>
      </c>
      <c r="V1264" s="6" t="str">
        <f>IF(BBDD_Usiarios_Netflix[[#This Row],[Duración Plan]]="12 Meses",LEFT(BBDD_Usiarios_Netflix[[#This Row],[Duración Plan]],2),LEFT(BBDD_Usiarios_Netflix[[#This Row],[Duración Plan]],1))</f>
        <v>12</v>
      </c>
      <c r="W12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65" spans="1:23" x14ac:dyDescent="0.25">
      <c r="A1265">
        <v>1264</v>
      </c>
      <c r="B1265" t="s">
        <v>32</v>
      </c>
      <c r="C1265">
        <v>12</v>
      </c>
      <c r="D1265" s="3">
        <v>22</v>
      </c>
      <c r="E1265" s="3">
        <v>10</v>
      </c>
      <c r="F1265">
        <v>23</v>
      </c>
      <c r="G1265" s="1">
        <f>DATEVALUE(_xlfn.CONCAT(BBDD_Usiarios_Netflix[[#This Row],[Día Suscripción]],"/",BBDD_Usiarios_Netflix[[#This Row],[Mes Suscripción]],"/",BBDD_Usiarios_Netflix[[#This Row],[Año Suscripción]]))</f>
        <v>45221</v>
      </c>
      <c r="H1265" s="1">
        <v>5</v>
      </c>
      <c r="I1265" s="1">
        <v>7</v>
      </c>
      <c r="J1265" s="1">
        <v>24</v>
      </c>
      <c r="K1265" s="1" t="str">
        <f>TEXT(BBDD_Usiarios_Netflix[[#This Row],[Fecha Suscripción]],"dddd")</f>
        <v>domingo</v>
      </c>
      <c r="L1265" s="1">
        <f>DATEVALUE(_xlfn.CONCAT(BBDD_Usiarios_Netflix[[#This Row],[Día Último Pago]],"/",BBDD_Usiarios_Netflix[[#This Row],[Mes Último Pago]],"/",BBDD_Usiarios_Netflix[[#This Row],[Año Último Pago]]))</f>
        <v>45478</v>
      </c>
      <c r="M1265" s="4">
        <f>DATEDIF(BBDD_Usiarios_Netflix[[#This Row],[Fecha Suscripción]],BBDD_Usiarios_Netflix[[#This Row],[Fecha Último Pago]],"M")+1</f>
        <v>9</v>
      </c>
      <c r="N1265" s="4">
        <f>BBDD_Usiarios_Netflix[[#This Row],[Ingresos Mensuales]]*BBDD_Usiarios_Netflix[[#This Row],[Meses contratados]]</f>
        <v>108</v>
      </c>
      <c r="O1265" t="s">
        <v>24</v>
      </c>
      <c r="P1265" t="str">
        <f>IF(BBDD_Usiarios_Netflix[[#This Row],[País]]="","Desconocido",BBDD_Usiarios_Netflix[[#This Row],[País]])</f>
        <v>Australia</v>
      </c>
      <c r="Q1265">
        <v>30</v>
      </c>
      <c r="R1265" t="s">
        <v>30</v>
      </c>
      <c r="S1265" t="s">
        <v>34</v>
      </c>
      <c r="T1265" t="s">
        <v>41</v>
      </c>
      <c r="U1265">
        <f>IF(IFERROR(VLOOKUP(BBDD_Usiarios_Netflix[[#This Row],[Identificador Usuario]],A1266:$A$5870,1,FALSE),0)&lt;&gt;0,1,0)</f>
        <v>0</v>
      </c>
      <c r="V1265" s="6" t="str">
        <f>IF(BBDD_Usiarios_Netflix[[#This Row],[Duración Plan]]="12 Meses",LEFT(BBDD_Usiarios_Netflix[[#This Row],[Duración Plan]],2),LEFT(BBDD_Usiarios_Netflix[[#This Row],[Duración Plan]],1))</f>
        <v>12</v>
      </c>
      <c r="W12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66" spans="1:23" x14ac:dyDescent="0.25">
      <c r="A1266">
        <v>1265</v>
      </c>
      <c r="B1266" t="s">
        <v>23</v>
      </c>
      <c r="C1266">
        <v>10</v>
      </c>
      <c r="D1266" s="3">
        <v>24</v>
      </c>
      <c r="E1266" s="3">
        <v>10</v>
      </c>
      <c r="F1266">
        <v>23</v>
      </c>
      <c r="G1266" s="1">
        <f>DATEVALUE(_xlfn.CONCAT(BBDD_Usiarios_Netflix[[#This Row],[Día Suscripción]],"/",BBDD_Usiarios_Netflix[[#This Row],[Mes Suscripción]],"/",BBDD_Usiarios_Netflix[[#This Row],[Año Suscripción]]))</f>
        <v>45223</v>
      </c>
      <c r="H1266" s="1">
        <v>3</v>
      </c>
      <c r="I1266" s="1">
        <v>7</v>
      </c>
      <c r="J1266" s="1">
        <v>24</v>
      </c>
      <c r="K1266" s="1" t="str">
        <f>TEXT(BBDD_Usiarios_Netflix[[#This Row],[Fecha Suscripción]],"dddd")</f>
        <v>martes</v>
      </c>
      <c r="L1266" s="1">
        <f>DATEVALUE(_xlfn.CONCAT(BBDD_Usiarios_Netflix[[#This Row],[Día Último Pago]],"/",BBDD_Usiarios_Netflix[[#This Row],[Mes Último Pago]],"/",BBDD_Usiarios_Netflix[[#This Row],[Año Último Pago]]))</f>
        <v>45476</v>
      </c>
      <c r="M1266" s="4">
        <f>DATEDIF(BBDD_Usiarios_Netflix[[#This Row],[Fecha Suscripción]],BBDD_Usiarios_Netflix[[#This Row],[Fecha Último Pago]],"M")+1</f>
        <v>9</v>
      </c>
      <c r="N1266" s="4">
        <f>BBDD_Usiarios_Netflix[[#This Row],[Ingresos Mensuales]]*BBDD_Usiarios_Netflix[[#This Row],[Meses contratados]]</f>
        <v>90</v>
      </c>
      <c r="O1266" t="s">
        <v>44</v>
      </c>
      <c r="P1266" t="str">
        <f>IF(BBDD_Usiarios_Netflix[[#This Row],[País]]="","Desconocido",BBDD_Usiarios_Netflix[[#This Row],[País]])</f>
        <v>Desconocido</v>
      </c>
      <c r="Q1266">
        <v>34</v>
      </c>
      <c r="R1266" t="s">
        <v>30</v>
      </c>
      <c r="S1266" t="s">
        <v>31</v>
      </c>
      <c r="T1266" t="s">
        <v>38</v>
      </c>
      <c r="U1266">
        <f>IF(IFERROR(VLOOKUP(BBDD_Usiarios_Netflix[[#This Row],[Identificador Usuario]],A1267:$A$5870,1,FALSE),0)&lt;&gt;0,1,0)</f>
        <v>0</v>
      </c>
      <c r="V1266" s="6" t="str">
        <f>IF(BBDD_Usiarios_Netflix[[#This Row],[Duración Plan]]="12 Meses",LEFT(BBDD_Usiarios_Netflix[[#This Row],[Duración Plan]],2),LEFT(BBDD_Usiarios_Netflix[[#This Row],[Duración Plan]],1))</f>
        <v>3</v>
      </c>
      <c r="W12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67" spans="1:23" x14ac:dyDescent="0.25">
      <c r="A1267">
        <v>1266</v>
      </c>
      <c r="B1267" t="s">
        <v>28</v>
      </c>
      <c r="C1267">
        <v>14</v>
      </c>
      <c r="D1267" s="3">
        <v>25</v>
      </c>
      <c r="E1267" s="3">
        <v>10</v>
      </c>
      <c r="F1267">
        <v>23</v>
      </c>
      <c r="G1267" s="1">
        <f>DATEVALUE(_xlfn.CONCAT(BBDD_Usiarios_Netflix[[#This Row],[Día Suscripción]],"/",BBDD_Usiarios_Netflix[[#This Row],[Mes Suscripción]],"/",BBDD_Usiarios_Netflix[[#This Row],[Año Suscripción]]))</f>
        <v>45224</v>
      </c>
      <c r="H1267" s="1">
        <v>4</v>
      </c>
      <c r="I1267" s="1">
        <v>7</v>
      </c>
      <c r="J1267" s="1">
        <v>24</v>
      </c>
      <c r="K1267" s="1" t="str">
        <f>TEXT(BBDD_Usiarios_Netflix[[#This Row],[Fecha Suscripción]],"dddd")</f>
        <v>miércoles</v>
      </c>
      <c r="L1267" s="1">
        <f>DATEVALUE(_xlfn.CONCAT(BBDD_Usiarios_Netflix[[#This Row],[Día Último Pago]],"/",BBDD_Usiarios_Netflix[[#This Row],[Mes Último Pago]],"/",BBDD_Usiarios_Netflix[[#This Row],[Año Último Pago]]))</f>
        <v>45477</v>
      </c>
      <c r="M1267" s="4">
        <f>DATEDIF(BBDD_Usiarios_Netflix[[#This Row],[Fecha Suscripción]],BBDD_Usiarios_Netflix[[#This Row],[Fecha Último Pago]],"M")+1</f>
        <v>9</v>
      </c>
      <c r="N1267" s="4">
        <f>BBDD_Usiarios_Netflix[[#This Row],[Ingresos Mensuales]]*BBDD_Usiarios_Netflix[[#This Row],[Meses contratados]]</f>
        <v>126</v>
      </c>
      <c r="O1267" t="s">
        <v>29</v>
      </c>
      <c r="P1267" t="str">
        <f>IF(BBDD_Usiarios_Netflix[[#This Row],[País]]="","Desconocido",BBDD_Usiarios_Netflix[[#This Row],[País]])</f>
        <v>EEUU</v>
      </c>
      <c r="Q1267">
        <v>47</v>
      </c>
      <c r="R1267" t="s">
        <v>30</v>
      </c>
      <c r="S1267" t="s">
        <v>36</v>
      </c>
      <c r="T1267" t="s">
        <v>38</v>
      </c>
      <c r="U1267">
        <f>IF(IFERROR(VLOOKUP(BBDD_Usiarios_Netflix[[#This Row],[Identificador Usuario]],A1268:$A$5870,1,FALSE),0)&lt;&gt;0,1,0)</f>
        <v>0</v>
      </c>
      <c r="V1267" s="6" t="str">
        <f>IF(BBDD_Usiarios_Netflix[[#This Row],[Duración Plan]]="12 Meses",LEFT(BBDD_Usiarios_Netflix[[#This Row],[Duración Plan]],2),LEFT(BBDD_Usiarios_Netflix[[#This Row],[Duración Plan]],1))</f>
        <v>3</v>
      </c>
      <c r="W12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68" spans="1:23" x14ac:dyDescent="0.25">
      <c r="A1268">
        <v>1267</v>
      </c>
      <c r="B1268" t="s">
        <v>23</v>
      </c>
      <c r="C1268">
        <v>10</v>
      </c>
      <c r="D1268" s="3">
        <v>29</v>
      </c>
      <c r="E1268" s="3">
        <v>10</v>
      </c>
      <c r="F1268">
        <v>23</v>
      </c>
      <c r="G1268" s="1">
        <f>DATEVALUE(_xlfn.CONCAT(BBDD_Usiarios_Netflix[[#This Row],[Día Suscripción]],"/",BBDD_Usiarios_Netflix[[#This Row],[Mes Suscripción]],"/",BBDD_Usiarios_Netflix[[#This Row],[Año Suscripción]]))</f>
        <v>45228</v>
      </c>
      <c r="H1268" s="1">
        <v>3</v>
      </c>
      <c r="I1268" s="1">
        <v>7</v>
      </c>
      <c r="J1268" s="1">
        <v>24</v>
      </c>
      <c r="K1268" s="1" t="str">
        <f>TEXT(BBDD_Usiarios_Netflix[[#This Row],[Fecha Suscripción]],"dddd")</f>
        <v>domingo</v>
      </c>
      <c r="L1268" s="1">
        <f>DATEVALUE(_xlfn.CONCAT(BBDD_Usiarios_Netflix[[#This Row],[Día Último Pago]],"/",BBDD_Usiarios_Netflix[[#This Row],[Mes Último Pago]],"/",BBDD_Usiarios_Netflix[[#This Row],[Año Último Pago]]))</f>
        <v>45476</v>
      </c>
      <c r="M1268" s="4">
        <f>DATEDIF(BBDD_Usiarios_Netflix[[#This Row],[Fecha Suscripción]],BBDD_Usiarios_Netflix[[#This Row],[Fecha Último Pago]],"M")+1</f>
        <v>9</v>
      </c>
      <c r="N1268" s="4">
        <f>BBDD_Usiarios_Netflix[[#This Row],[Ingresos Mensuales]]*BBDD_Usiarios_Netflix[[#This Row],[Meses contratados]]</f>
        <v>90</v>
      </c>
      <c r="O1268" t="s">
        <v>45</v>
      </c>
      <c r="P1268" t="str">
        <f>IF(BBDD_Usiarios_Netflix[[#This Row],[País]]="","Desconocido",BBDD_Usiarios_Netflix[[#This Row],[País]])</f>
        <v>España</v>
      </c>
      <c r="Q1268">
        <v>41</v>
      </c>
      <c r="R1268" t="s">
        <v>25</v>
      </c>
      <c r="S1268" t="s">
        <v>31</v>
      </c>
      <c r="T1268" t="s">
        <v>35</v>
      </c>
      <c r="U1268">
        <f>IF(IFERROR(VLOOKUP(BBDD_Usiarios_Netflix[[#This Row],[Identificador Usuario]],A1269:$A$5870,1,FALSE),0)&lt;&gt;0,1,0)</f>
        <v>0</v>
      </c>
      <c r="V1268" s="6" t="str">
        <f>IF(BBDD_Usiarios_Netflix[[#This Row],[Duración Plan]]="12 Meses",LEFT(BBDD_Usiarios_Netflix[[#This Row],[Duración Plan]],2),LEFT(BBDD_Usiarios_Netflix[[#This Row],[Duración Plan]],1))</f>
        <v>6</v>
      </c>
      <c r="W12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69" spans="1:23" x14ac:dyDescent="0.25">
      <c r="A1269">
        <v>1268</v>
      </c>
      <c r="B1269" t="s">
        <v>32</v>
      </c>
      <c r="C1269">
        <v>12</v>
      </c>
      <c r="D1269" s="3">
        <v>2</v>
      </c>
      <c r="E1269" s="3">
        <v>11</v>
      </c>
      <c r="F1269">
        <v>23</v>
      </c>
      <c r="G1269" s="1">
        <f>DATEVALUE(_xlfn.CONCAT(BBDD_Usiarios_Netflix[[#This Row],[Día Suscripción]],"/",BBDD_Usiarios_Netflix[[#This Row],[Mes Suscripción]],"/",BBDD_Usiarios_Netflix[[#This Row],[Año Suscripción]]))</f>
        <v>45232</v>
      </c>
      <c r="H1269" s="1">
        <v>4</v>
      </c>
      <c r="I1269" s="1">
        <v>7</v>
      </c>
      <c r="J1269" s="1">
        <v>24</v>
      </c>
      <c r="K1269" s="1" t="str">
        <f>TEXT(BBDD_Usiarios_Netflix[[#This Row],[Fecha Suscripción]],"dddd")</f>
        <v>jueves</v>
      </c>
      <c r="L1269" s="1">
        <f>DATEVALUE(_xlfn.CONCAT(BBDD_Usiarios_Netflix[[#This Row],[Día Último Pago]],"/",BBDD_Usiarios_Netflix[[#This Row],[Mes Último Pago]],"/",BBDD_Usiarios_Netflix[[#This Row],[Año Último Pago]]))</f>
        <v>45477</v>
      </c>
      <c r="M1269" s="4">
        <f>DATEDIF(BBDD_Usiarios_Netflix[[#This Row],[Fecha Suscripción]],BBDD_Usiarios_Netflix[[#This Row],[Fecha Último Pago]],"M")+1</f>
        <v>9</v>
      </c>
      <c r="N1269" s="4">
        <f>BBDD_Usiarios_Netflix[[#This Row],[Ingresos Mensuales]]*BBDD_Usiarios_Netflix[[#This Row],[Meses contratados]]</f>
        <v>108</v>
      </c>
      <c r="O1269" t="s">
        <v>29</v>
      </c>
      <c r="P1269" t="str">
        <f>IF(BBDD_Usiarios_Netflix[[#This Row],[País]]="","Desconocido",BBDD_Usiarios_Netflix[[#This Row],[País]])</f>
        <v>EEUU</v>
      </c>
      <c r="Q1269">
        <v>42</v>
      </c>
      <c r="R1269" t="s">
        <v>30</v>
      </c>
      <c r="S1269" t="s">
        <v>36</v>
      </c>
      <c r="T1269" t="s">
        <v>27</v>
      </c>
      <c r="U1269">
        <f>IF(IFERROR(VLOOKUP(BBDD_Usiarios_Netflix[[#This Row],[Identificador Usuario]],A1270:$A$5870,1,FALSE),0)&lt;&gt;0,1,0)</f>
        <v>0</v>
      </c>
      <c r="V1269" s="6" t="str">
        <f>IF(BBDD_Usiarios_Netflix[[#This Row],[Duración Plan]]="12 Meses",LEFT(BBDD_Usiarios_Netflix[[#This Row],[Duración Plan]],2),LEFT(BBDD_Usiarios_Netflix[[#This Row],[Duración Plan]],1))</f>
        <v>1</v>
      </c>
      <c r="W12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0" spans="1:23" x14ac:dyDescent="0.25">
      <c r="A1270">
        <v>1269</v>
      </c>
      <c r="B1270" t="s">
        <v>28</v>
      </c>
      <c r="C1270">
        <v>14</v>
      </c>
      <c r="D1270" s="3">
        <v>3</v>
      </c>
      <c r="E1270" s="3">
        <v>11</v>
      </c>
      <c r="F1270">
        <v>23</v>
      </c>
      <c r="G1270" s="1">
        <f>DATEVALUE(_xlfn.CONCAT(BBDD_Usiarios_Netflix[[#This Row],[Día Suscripción]],"/",BBDD_Usiarios_Netflix[[#This Row],[Mes Suscripción]],"/",BBDD_Usiarios_Netflix[[#This Row],[Año Suscripción]]))</f>
        <v>45233</v>
      </c>
      <c r="H1270" s="1">
        <v>5</v>
      </c>
      <c r="I1270" s="1">
        <v>7</v>
      </c>
      <c r="J1270" s="1">
        <v>24</v>
      </c>
      <c r="K1270" s="1" t="str">
        <f>TEXT(BBDD_Usiarios_Netflix[[#This Row],[Fecha Suscripción]],"dddd")</f>
        <v>viernes</v>
      </c>
      <c r="L1270" s="1">
        <f>DATEVALUE(_xlfn.CONCAT(BBDD_Usiarios_Netflix[[#This Row],[Día Último Pago]],"/",BBDD_Usiarios_Netflix[[#This Row],[Mes Último Pago]],"/",BBDD_Usiarios_Netflix[[#This Row],[Año Último Pago]]))</f>
        <v>45478</v>
      </c>
      <c r="M1270" s="4">
        <f>DATEDIF(BBDD_Usiarios_Netflix[[#This Row],[Fecha Suscripción]],BBDD_Usiarios_Netflix[[#This Row],[Fecha Último Pago]],"M")+1</f>
        <v>9</v>
      </c>
      <c r="N1270" s="4">
        <f>BBDD_Usiarios_Netflix[[#This Row],[Ingresos Mensuales]]*BBDD_Usiarios_Netflix[[#This Row],[Meses contratados]]</f>
        <v>126</v>
      </c>
      <c r="O1270" t="s">
        <v>43</v>
      </c>
      <c r="P1270" t="str">
        <f>IF(BBDD_Usiarios_Netflix[[#This Row],[País]]="","Desconocido",BBDD_Usiarios_Netflix[[#This Row],[País]])</f>
        <v>Alemania</v>
      </c>
      <c r="Q1270">
        <v>48</v>
      </c>
      <c r="R1270" t="s">
        <v>30</v>
      </c>
      <c r="S1270" t="s">
        <v>26</v>
      </c>
      <c r="T1270" t="s">
        <v>35</v>
      </c>
      <c r="U1270">
        <f>IF(IFERROR(VLOOKUP(BBDD_Usiarios_Netflix[[#This Row],[Identificador Usuario]],A1271:$A$5870,1,FALSE),0)&lt;&gt;0,1,0)</f>
        <v>0</v>
      </c>
      <c r="V1270" s="6" t="str">
        <f>IF(BBDD_Usiarios_Netflix[[#This Row],[Duración Plan]]="12 Meses",LEFT(BBDD_Usiarios_Netflix[[#This Row],[Duración Plan]],2),LEFT(BBDD_Usiarios_Netflix[[#This Row],[Duración Plan]],1))</f>
        <v>6</v>
      </c>
      <c r="W12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71" spans="1:23" x14ac:dyDescent="0.25">
      <c r="A1271">
        <v>1270</v>
      </c>
      <c r="B1271" t="s">
        <v>23</v>
      </c>
      <c r="C1271">
        <v>10</v>
      </c>
      <c r="D1271" s="3">
        <v>4</v>
      </c>
      <c r="E1271" s="3">
        <v>11</v>
      </c>
      <c r="F1271">
        <v>23</v>
      </c>
      <c r="G1271" s="1">
        <f>DATEVALUE(_xlfn.CONCAT(BBDD_Usiarios_Netflix[[#This Row],[Día Suscripción]],"/",BBDD_Usiarios_Netflix[[#This Row],[Mes Suscripción]],"/",BBDD_Usiarios_Netflix[[#This Row],[Año Suscripción]]))</f>
        <v>45234</v>
      </c>
      <c r="H1271" s="1">
        <v>6</v>
      </c>
      <c r="I1271" s="1">
        <v>7</v>
      </c>
      <c r="J1271" s="1">
        <v>24</v>
      </c>
      <c r="K1271" s="1" t="str">
        <f>TEXT(BBDD_Usiarios_Netflix[[#This Row],[Fecha Suscripción]],"dddd")</f>
        <v>sábado</v>
      </c>
      <c r="L1271" s="1">
        <f>DATEVALUE(_xlfn.CONCAT(BBDD_Usiarios_Netflix[[#This Row],[Día Último Pago]],"/",BBDD_Usiarios_Netflix[[#This Row],[Mes Último Pago]],"/",BBDD_Usiarios_Netflix[[#This Row],[Año Último Pago]]))</f>
        <v>45479</v>
      </c>
      <c r="M1271" s="4">
        <f>DATEDIF(BBDD_Usiarios_Netflix[[#This Row],[Fecha Suscripción]],BBDD_Usiarios_Netflix[[#This Row],[Fecha Último Pago]],"M")+1</f>
        <v>9</v>
      </c>
      <c r="N1271" s="4">
        <f>BBDD_Usiarios_Netflix[[#This Row],[Ingresos Mensuales]]*BBDD_Usiarios_Netflix[[#This Row],[Meses contratados]]</f>
        <v>90</v>
      </c>
      <c r="O1271" t="s">
        <v>40</v>
      </c>
      <c r="P1271" t="str">
        <f>IF(BBDD_Usiarios_Netflix[[#This Row],[País]]="","Desconocido",BBDD_Usiarios_Netflix[[#This Row],[País]])</f>
        <v>Italia</v>
      </c>
      <c r="Q1271">
        <v>30</v>
      </c>
      <c r="R1271" t="s">
        <v>30</v>
      </c>
      <c r="S1271" t="s">
        <v>34</v>
      </c>
      <c r="T1271" t="s">
        <v>27</v>
      </c>
      <c r="U1271">
        <f>IF(IFERROR(VLOOKUP(BBDD_Usiarios_Netflix[[#This Row],[Identificador Usuario]],A1272:$A$5870,1,FALSE),0)&lt;&gt;0,1,0)</f>
        <v>0</v>
      </c>
      <c r="V1271" s="6" t="str">
        <f>IF(BBDD_Usiarios_Netflix[[#This Row],[Duración Plan]]="12 Meses",LEFT(BBDD_Usiarios_Netflix[[#This Row],[Duración Plan]],2),LEFT(BBDD_Usiarios_Netflix[[#This Row],[Duración Plan]],1))</f>
        <v>1</v>
      </c>
      <c r="W12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2" spans="1:23" x14ac:dyDescent="0.25">
      <c r="A1272">
        <v>1271</v>
      </c>
      <c r="B1272" t="s">
        <v>23</v>
      </c>
      <c r="C1272">
        <v>10</v>
      </c>
      <c r="D1272" s="3">
        <v>5</v>
      </c>
      <c r="E1272" s="3">
        <v>11</v>
      </c>
      <c r="F1272">
        <v>23</v>
      </c>
      <c r="G1272" s="1">
        <f>DATEVALUE(_xlfn.CONCAT(BBDD_Usiarios_Netflix[[#This Row],[Día Suscripción]],"/",BBDD_Usiarios_Netflix[[#This Row],[Mes Suscripción]],"/",BBDD_Usiarios_Netflix[[#This Row],[Año Suscripción]]))</f>
        <v>45235</v>
      </c>
      <c r="H1272" s="1">
        <v>3</v>
      </c>
      <c r="I1272" s="1">
        <v>7</v>
      </c>
      <c r="J1272" s="1">
        <v>24</v>
      </c>
      <c r="K1272" s="1" t="str">
        <f>TEXT(BBDD_Usiarios_Netflix[[#This Row],[Fecha Suscripción]],"dddd")</f>
        <v>domingo</v>
      </c>
      <c r="L1272" s="1">
        <f>DATEVALUE(_xlfn.CONCAT(BBDD_Usiarios_Netflix[[#This Row],[Día Último Pago]],"/",BBDD_Usiarios_Netflix[[#This Row],[Mes Último Pago]],"/",BBDD_Usiarios_Netflix[[#This Row],[Año Último Pago]]))</f>
        <v>45476</v>
      </c>
      <c r="M1272" s="4">
        <f>DATEDIF(BBDD_Usiarios_Netflix[[#This Row],[Fecha Suscripción]],BBDD_Usiarios_Netflix[[#This Row],[Fecha Último Pago]],"M")+1</f>
        <v>8</v>
      </c>
      <c r="N1272" s="4">
        <f>BBDD_Usiarios_Netflix[[#This Row],[Ingresos Mensuales]]*BBDD_Usiarios_Netflix[[#This Row],[Meses contratados]]</f>
        <v>80</v>
      </c>
      <c r="O1272" t="s">
        <v>42</v>
      </c>
      <c r="P1272" t="str">
        <f>IF(BBDD_Usiarios_Netflix[[#This Row],[País]]="","Desconocido",BBDD_Usiarios_Netflix[[#This Row],[País]])</f>
        <v>Reino Unido</v>
      </c>
      <c r="Q1272">
        <v>51</v>
      </c>
      <c r="R1272" t="s">
        <v>25</v>
      </c>
      <c r="S1272" t="s">
        <v>26</v>
      </c>
      <c r="T1272" t="s">
        <v>27</v>
      </c>
      <c r="U1272">
        <f>IF(IFERROR(VLOOKUP(BBDD_Usiarios_Netflix[[#This Row],[Identificador Usuario]],A1273:$A$5870,1,FALSE),0)&lt;&gt;0,1,0)</f>
        <v>0</v>
      </c>
      <c r="V1272" s="6" t="str">
        <f>IF(BBDD_Usiarios_Netflix[[#This Row],[Duración Plan]]="12 Meses",LEFT(BBDD_Usiarios_Netflix[[#This Row],[Duración Plan]],2),LEFT(BBDD_Usiarios_Netflix[[#This Row],[Duración Plan]],1))</f>
        <v>1</v>
      </c>
      <c r="W12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3" spans="1:23" x14ac:dyDescent="0.25">
      <c r="A1273">
        <v>1272</v>
      </c>
      <c r="B1273" t="s">
        <v>23</v>
      </c>
      <c r="C1273">
        <v>10</v>
      </c>
      <c r="D1273" s="3">
        <v>5</v>
      </c>
      <c r="E1273" s="3">
        <v>11</v>
      </c>
      <c r="F1273">
        <v>23</v>
      </c>
      <c r="G1273" s="1">
        <f>DATEVALUE(_xlfn.CONCAT(BBDD_Usiarios_Netflix[[#This Row],[Día Suscripción]],"/",BBDD_Usiarios_Netflix[[#This Row],[Mes Suscripción]],"/",BBDD_Usiarios_Netflix[[#This Row],[Año Suscripción]]))</f>
        <v>45235</v>
      </c>
      <c r="H1273" s="1">
        <v>4</v>
      </c>
      <c r="I1273" s="1">
        <v>7</v>
      </c>
      <c r="J1273" s="1">
        <v>24</v>
      </c>
      <c r="K1273" s="1" t="str">
        <f>TEXT(BBDD_Usiarios_Netflix[[#This Row],[Fecha Suscripción]],"dddd")</f>
        <v>domingo</v>
      </c>
      <c r="L1273" s="1">
        <f>DATEVALUE(_xlfn.CONCAT(BBDD_Usiarios_Netflix[[#This Row],[Día Último Pago]],"/",BBDD_Usiarios_Netflix[[#This Row],[Mes Último Pago]],"/",BBDD_Usiarios_Netflix[[#This Row],[Año Último Pago]]))</f>
        <v>45477</v>
      </c>
      <c r="M1273" s="4">
        <f>DATEDIF(BBDD_Usiarios_Netflix[[#This Row],[Fecha Suscripción]],BBDD_Usiarios_Netflix[[#This Row],[Fecha Último Pago]],"M")+1</f>
        <v>8</v>
      </c>
      <c r="N1273" s="4">
        <f>BBDD_Usiarios_Netflix[[#This Row],[Ingresos Mensuales]]*BBDD_Usiarios_Netflix[[#This Row],[Meses contratados]]</f>
        <v>80</v>
      </c>
      <c r="O1273" t="s">
        <v>43</v>
      </c>
      <c r="P1273" t="str">
        <f>IF(BBDD_Usiarios_Netflix[[#This Row],[País]]="","Desconocido",BBDD_Usiarios_Netflix[[#This Row],[País]])</f>
        <v>Alemania</v>
      </c>
      <c r="Q1273">
        <v>27</v>
      </c>
      <c r="R1273" t="s">
        <v>25</v>
      </c>
      <c r="S1273" t="s">
        <v>26</v>
      </c>
      <c r="T1273" t="s">
        <v>27</v>
      </c>
      <c r="U1273">
        <f>IF(IFERROR(VLOOKUP(BBDD_Usiarios_Netflix[[#This Row],[Identificador Usuario]],A1274:$A$5870,1,FALSE),0)&lt;&gt;0,1,0)</f>
        <v>0</v>
      </c>
      <c r="V1273" s="6" t="str">
        <f>IF(BBDD_Usiarios_Netflix[[#This Row],[Duración Plan]]="12 Meses",LEFT(BBDD_Usiarios_Netflix[[#This Row],[Duración Plan]],2),LEFT(BBDD_Usiarios_Netflix[[#This Row],[Duración Plan]],1))</f>
        <v>1</v>
      </c>
      <c r="W12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4" spans="1:23" x14ac:dyDescent="0.25">
      <c r="A1274">
        <v>1273</v>
      </c>
      <c r="B1274" t="s">
        <v>32</v>
      </c>
      <c r="C1274">
        <v>12</v>
      </c>
      <c r="D1274" s="3">
        <v>31</v>
      </c>
      <c r="E1274" s="3">
        <v>10</v>
      </c>
      <c r="F1274">
        <v>23</v>
      </c>
      <c r="G1274" s="1">
        <f>DATEVALUE(_xlfn.CONCAT(BBDD_Usiarios_Netflix[[#This Row],[Día Suscripción]],"/",BBDD_Usiarios_Netflix[[#This Row],[Mes Suscripción]],"/",BBDD_Usiarios_Netflix[[#This Row],[Año Suscripción]]))</f>
        <v>45230</v>
      </c>
      <c r="H1274" s="1">
        <v>4</v>
      </c>
      <c r="I1274" s="1">
        <v>7</v>
      </c>
      <c r="J1274" s="1">
        <v>24</v>
      </c>
      <c r="K1274" s="1" t="str">
        <f>TEXT(BBDD_Usiarios_Netflix[[#This Row],[Fecha Suscripción]],"dddd")</f>
        <v>martes</v>
      </c>
      <c r="L1274" s="1">
        <f>DATEVALUE(_xlfn.CONCAT(BBDD_Usiarios_Netflix[[#This Row],[Día Último Pago]],"/",BBDD_Usiarios_Netflix[[#This Row],[Mes Último Pago]],"/",BBDD_Usiarios_Netflix[[#This Row],[Año Último Pago]]))</f>
        <v>45477</v>
      </c>
      <c r="M1274" s="4">
        <f>DATEDIF(BBDD_Usiarios_Netflix[[#This Row],[Fecha Suscripción]],BBDD_Usiarios_Netflix[[#This Row],[Fecha Último Pago]],"M")+1</f>
        <v>9</v>
      </c>
      <c r="N1274" s="4">
        <f>BBDD_Usiarios_Netflix[[#This Row],[Ingresos Mensuales]]*BBDD_Usiarios_Netflix[[#This Row],[Meses contratados]]</f>
        <v>108</v>
      </c>
      <c r="O1274" t="s">
        <v>33</v>
      </c>
      <c r="P1274" t="str">
        <f>IF(BBDD_Usiarios_Netflix[[#This Row],[País]]="","Desconocido",BBDD_Usiarios_Netflix[[#This Row],[País]])</f>
        <v>Francia</v>
      </c>
      <c r="Q1274">
        <v>38</v>
      </c>
      <c r="R1274" t="s">
        <v>25</v>
      </c>
      <c r="S1274" t="s">
        <v>31</v>
      </c>
      <c r="T1274" t="s">
        <v>35</v>
      </c>
      <c r="U1274">
        <f>IF(IFERROR(VLOOKUP(BBDD_Usiarios_Netflix[[#This Row],[Identificador Usuario]],A1275:$A$5870,1,FALSE),0)&lt;&gt;0,1,0)</f>
        <v>0</v>
      </c>
      <c r="V1274" s="6" t="str">
        <f>IF(BBDD_Usiarios_Netflix[[#This Row],[Duración Plan]]="12 Meses",LEFT(BBDD_Usiarios_Netflix[[#This Row],[Duración Plan]],2),LEFT(BBDD_Usiarios_Netflix[[#This Row],[Duración Plan]],1))</f>
        <v>6</v>
      </c>
      <c r="W12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75" spans="1:23" x14ac:dyDescent="0.25">
      <c r="A1275">
        <v>1274</v>
      </c>
      <c r="B1275" t="s">
        <v>28</v>
      </c>
      <c r="C1275">
        <v>14</v>
      </c>
      <c r="D1275" s="3">
        <v>27</v>
      </c>
      <c r="E1275" s="3">
        <v>10</v>
      </c>
      <c r="F1275">
        <v>23</v>
      </c>
      <c r="G1275" s="1">
        <f>DATEVALUE(_xlfn.CONCAT(BBDD_Usiarios_Netflix[[#This Row],[Día Suscripción]],"/",BBDD_Usiarios_Netflix[[#This Row],[Mes Suscripción]],"/",BBDD_Usiarios_Netflix[[#This Row],[Año Suscripción]]))</f>
        <v>45226</v>
      </c>
      <c r="H1275" s="1">
        <v>5</v>
      </c>
      <c r="I1275" s="1">
        <v>7</v>
      </c>
      <c r="J1275" s="1">
        <v>24</v>
      </c>
      <c r="K1275" s="1" t="str">
        <f>TEXT(BBDD_Usiarios_Netflix[[#This Row],[Fecha Suscripción]],"dddd")</f>
        <v>viernes</v>
      </c>
      <c r="L1275" s="1">
        <f>DATEVALUE(_xlfn.CONCAT(BBDD_Usiarios_Netflix[[#This Row],[Día Último Pago]],"/",BBDD_Usiarios_Netflix[[#This Row],[Mes Último Pago]],"/",BBDD_Usiarios_Netflix[[#This Row],[Año Último Pago]]))</f>
        <v>45478</v>
      </c>
      <c r="M1275" s="4">
        <f>DATEDIF(BBDD_Usiarios_Netflix[[#This Row],[Fecha Suscripción]],BBDD_Usiarios_Netflix[[#This Row],[Fecha Último Pago]],"M")+1</f>
        <v>9</v>
      </c>
      <c r="N1275" s="4">
        <f>BBDD_Usiarios_Netflix[[#This Row],[Ingresos Mensuales]]*BBDD_Usiarios_Netflix[[#This Row],[Meses contratados]]</f>
        <v>126</v>
      </c>
      <c r="O1275" t="s">
        <v>29</v>
      </c>
      <c r="P1275" t="str">
        <f>IF(BBDD_Usiarios_Netflix[[#This Row],[País]]="","Desconocido",BBDD_Usiarios_Netflix[[#This Row],[País]])</f>
        <v>EEUU</v>
      </c>
      <c r="Q1275">
        <v>29</v>
      </c>
      <c r="R1275" t="s">
        <v>30</v>
      </c>
      <c r="S1275" t="s">
        <v>34</v>
      </c>
      <c r="T1275" t="s">
        <v>38</v>
      </c>
      <c r="U1275">
        <f>IF(IFERROR(VLOOKUP(BBDD_Usiarios_Netflix[[#This Row],[Identificador Usuario]],A1276:$A$5870,1,FALSE),0)&lt;&gt;0,1,0)</f>
        <v>0</v>
      </c>
      <c r="V1275" s="6" t="str">
        <f>IF(BBDD_Usiarios_Netflix[[#This Row],[Duración Plan]]="12 Meses",LEFT(BBDD_Usiarios_Netflix[[#This Row],[Duración Plan]],2),LEFT(BBDD_Usiarios_Netflix[[#This Row],[Duración Plan]],1))</f>
        <v>3</v>
      </c>
      <c r="W12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76" spans="1:23" x14ac:dyDescent="0.25">
      <c r="A1276">
        <v>1275</v>
      </c>
      <c r="B1276" t="s">
        <v>23</v>
      </c>
      <c r="C1276">
        <v>10</v>
      </c>
      <c r="D1276" s="3">
        <v>25</v>
      </c>
      <c r="E1276" s="3">
        <v>10</v>
      </c>
      <c r="F1276">
        <v>23</v>
      </c>
      <c r="G1276" s="1">
        <f>DATEVALUE(_xlfn.CONCAT(BBDD_Usiarios_Netflix[[#This Row],[Día Suscripción]],"/",BBDD_Usiarios_Netflix[[#This Row],[Mes Suscripción]],"/",BBDD_Usiarios_Netflix[[#This Row],[Año Suscripción]]))</f>
        <v>45224</v>
      </c>
      <c r="H1276" s="1">
        <v>3</v>
      </c>
      <c r="I1276" s="1">
        <v>7</v>
      </c>
      <c r="J1276" s="1">
        <v>24</v>
      </c>
      <c r="K1276" s="1" t="str">
        <f>TEXT(BBDD_Usiarios_Netflix[[#This Row],[Fecha Suscripción]],"dddd")</f>
        <v>miércoles</v>
      </c>
      <c r="L1276" s="1">
        <f>DATEVALUE(_xlfn.CONCAT(BBDD_Usiarios_Netflix[[#This Row],[Día Último Pago]],"/",BBDD_Usiarios_Netflix[[#This Row],[Mes Último Pago]],"/",BBDD_Usiarios_Netflix[[#This Row],[Año Último Pago]]))</f>
        <v>45476</v>
      </c>
      <c r="M1276" s="4">
        <f>DATEDIF(BBDD_Usiarios_Netflix[[#This Row],[Fecha Suscripción]],BBDD_Usiarios_Netflix[[#This Row],[Fecha Último Pago]],"M")+1</f>
        <v>9</v>
      </c>
      <c r="N1276" s="4">
        <f>BBDD_Usiarios_Netflix[[#This Row],[Ingresos Mensuales]]*BBDD_Usiarios_Netflix[[#This Row],[Meses contratados]]</f>
        <v>90</v>
      </c>
      <c r="O1276" t="s">
        <v>24</v>
      </c>
      <c r="P1276" t="str">
        <f>IF(BBDD_Usiarios_Netflix[[#This Row],[País]]="","Desconocido",BBDD_Usiarios_Netflix[[#This Row],[País]])</f>
        <v>Australia</v>
      </c>
      <c r="Q1276">
        <v>40</v>
      </c>
      <c r="R1276" t="s">
        <v>30</v>
      </c>
      <c r="S1276" t="s">
        <v>26</v>
      </c>
      <c r="T1276" t="s">
        <v>27</v>
      </c>
      <c r="U1276">
        <f>IF(IFERROR(VLOOKUP(BBDD_Usiarios_Netflix[[#This Row],[Identificador Usuario]],A1277:$A$5870,1,FALSE),0)&lt;&gt;0,1,0)</f>
        <v>0</v>
      </c>
      <c r="V1276" s="6" t="str">
        <f>IF(BBDD_Usiarios_Netflix[[#This Row],[Duración Plan]]="12 Meses",LEFT(BBDD_Usiarios_Netflix[[#This Row],[Duración Plan]],2),LEFT(BBDD_Usiarios_Netflix[[#This Row],[Duración Plan]],1))</f>
        <v>1</v>
      </c>
      <c r="W12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7" spans="1:23" x14ac:dyDescent="0.25">
      <c r="A1277">
        <v>1276</v>
      </c>
      <c r="B1277" t="s">
        <v>23</v>
      </c>
      <c r="C1277">
        <v>10</v>
      </c>
      <c r="D1277" s="3">
        <v>26</v>
      </c>
      <c r="E1277" s="3">
        <v>10</v>
      </c>
      <c r="F1277">
        <v>23</v>
      </c>
      <c r="G1277" s="1">
        <f>DATEVALUE(_xlfn.CONCAT(BBDD_Usiarios_Netflix[[#This Row],[Día Suscripción]],"/",BBDD_Usiarios_Netflix[[#This Row],[Mes Suscripción]],"/",BBDD_Usiarios_Netflix[[#This Row],[Año Suscripción]]))</f>
        <v>45225</v>
      </c>
      <c r="H1277" s="1">
        <v>4</v>
      </c>
      <c r="I1277" s="1">
        <v>7</v>
      </c>
      <c r="J1277" s="1">
        <v>24</v>
      </c>
      <c r="K1277" s="1" t="str">
        <f>TEXT(BBDD_Usiarios_Netflix[[#This Row],[Fecha Suscripción]],"dddd")</f>
        <v>jueves</v>
      </c>
      <c r="L1277" s="1">
        <f>DATEVALUE(_xlfn.CONCAT(BBDD_Usiarios_Netflix[[#This Row],[Día Último Pago]],"/",BBDD_Usiarios_Netflix[[#This Row],[Mes Último Pago]],"/",BBDD_Usiarios_Netflix[[#This Row],[Año Último Pago]]))</f>
        <v>45477</v>
      </c>
      <c r="M1277" s="4">
        <f>DATEDIF(BBDD_Usiarios_Netflix[[#This Row],[Fecha Suscripción]],BBDD_Usiarios_Netflix[[#This Row],[Fecha Último Pago]],"M")+1</f>
        <v>9</v>
      </c>
      <c r="N1277" s="4">
        <f>BBDD_Usiarios_Netflix[[#This Row],[Ingresos Mensuales]]*BBDD_Usiarios_Netflix[[#This Row],[Meses contratados]]</f>
        <v>90</v>
      </c>
      <c r="O1277" t="s">
        <v>29</v>
      </c>
      <c r="P1277" t="str">
        <f>IF(BBDD_Usiarios_Netflix[[#This Row],[País]]="","Desconocido",BBDD_Usiarios_Netflix[[#This Row],[País]])</f>
        <v>EEUU</v>
      </c>
      <c r="Q1277">
        <v>31</v>
      </c>
      <c r="R1277" t="s">
        <v>30</v>
      </c>
      <c r="S1277" t="s">
        <v>36</v>
      </c>
      <c r="T1277" t="s">
        <v>27</v>
      </c>
      <c r="U1277">
        <f>IF(IFERROR(VLOOKUP(BBDD_Usiarios_Netflix[[#This Row],[Identificador Usuario]],A1278:$A$5870,1,FALSE),0)&lt;&gt;0,1,0)</f>
        <v>0</v>
      </c>
      <c r="V1277" s="6" t="str">
        <f>IF(BBDD_Usiarios_Netflix[[#This Row],[Duración Plan]]="12 Meses",LEFT(BBDD_Usiarios_Netflix[[#This Row],[Duración Plan]],2),LEFT(BBDD_Usiarios_Netflix[[#This Row],[Duración Plan]],1))</f>
        <v>1</v>
      </c>
      <c r="W12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8" spans="1:23" x14ac:dyDescent="0.25">
      <c r="A1278">
        <v>1277</v>
      </c>
      <c r="B1278" t="s">
        <v>28</v>
      </c>
      <c r="C1278">
        <v>14</v>
      </c>
      <c r="D1278" s="3">
        <v>30</v>
      </c>
      <c r="E1278" s="3">
        <v>9</v>
      </c>
      <c r="F1278">
        <v>23</v>
      </c>
      <c r="G1278" s="1">
        <f>DATEVALUE(_xlfn.CONCAT(BBDD_Usiarios_Netflix[[#This Row],[Día Suscripción]],"/",BBDD_Usiarios_Netflix[[#This Row],[Mes Suscripción]],"/",BBDD_Usiarios_Netflix[[#This Row],[Año Suscripción]]))</f>
        <v>45199</v>
      </c>
      <c r="H1278" s="1">
        <v>4</v>
      </c>
      <c r="I1278" s="1">
        <v>7</v>
      </c>
      <c r="J1278" s="1">
        <v>24</v>
      </c>
      <c r="K1278" s="1" t="str">
        <f>TEXT(BBDD_Usiarios_Netflix[[#This Row],[Fecha Suscripción]],"dddd")</f>
        <v>sábado</v>
      </c>
      <c r="L1278" s="1">
        <f>DATEVALUE(_xlfn.CONCAT(BBDD_Usiarios_Netflix[[#This Row],[Día Último Pago]],"/",BBDD_Usiarios_Netflix[[#This Row],[Mes Último Pago]],"/",BBDD_Usiarios_Netflix[[#This Row],[Año Último Pago]]))</f>
        <v>45477</v>
      </c>
      <c r="M1278" s="4">
        <f>DATEDIF(BBDD_Usiarios_Netflix[[#This Row],[Fecha Suscripción]],BBDD_Usiarios_Netflix[[#This Row],[Fecha Último Pago]],"M")+1</f>
        <v>10</v>
      </c>
      <c r="N1278" s="4">
        <f>BBDD_Usiarios_Netflix[[#This Row],[Ingresos Mensuales]]*BBDD_Usiarios_Netflix[[#This Row],[Meses contratados]]</f>
        <v>140</v>
      </c>
      <c r="O1278" t="s">
        <v>42</v>
      </c>
      <c r="P1278" t="str">
        <f>IF(BBDD_Usiarios_Netflix[[#This Row],[País]]="","Desconocido",BBDD_Usiarios_Netflix[[#This Row],[País]])</f>
        <v>Reino Unido</v>
      </c>
      <c r="Q1278">
        <v>30</v>
      </c>
      <c r="R1278" t="s">
        <v>25</v>
      </c>
      <c r="S1278" t="s">
        <v>26</v>
      </c>
      <c r="T1278" t="s">
        <v>27</v>
      </c>
      <c r="U1278">
        <f>IF(IFERROR(VLOOKUP(BBDD_Usiarios_Netflix[[#This Row],[Identificador Usuario]],A1279:$A$5870,1,FALSE),0)&lt;&gt;0,1,0)</f>
        <v>0</v>
      </c>
      <c r="V1278" s="6" t="str">
        <f>IF(BBDD_Usiarios_Netflix[[#This Row],[Duración Plan]]="12 Meses",LEFT(BBDD_Usiarios_Netflix[[#This Row],[Duración Plan]],2),LEFT(BBDD_Usiarios_Netflix[[#This Row],[Duración Plan]],1))</f>
        <v>1</v>
      </c>
      <c r="W12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79" spans="1:23" x14ac:dyDescent="0.25">
      <c r="A1279">
        <v>1278</v>
      </c>
      <c r="B1279" t="s">
        <v>32</v>
      </c>
      <c r="C1279">
        <v>12</v>
      </c>
      <c r="D1279" s="3">
        <v>27</v>
      </c>
      <c r="E1279" s="3">
        <v>9</v>
      </c>
      <c r="F1279">
        <v>23</v>
      </c>
      <c r="G1279" s="1">
        <f>DATEVALUE(_xlfn.CONCAT(BBDD_Usiarios_Netflix[[#This Row],[Día Suscripción]],"/",BBDD_Usiarios_Netflix[[#This Row],[Mes Suscripción]],"/",BBDD_Usiarios_Netflix[[#This Row],[Año Suscripción]]))</f>
        <v>45196</v>
      </c>
      <c r="H1279" s="1">
        <v>5</v>
      </c>
      <c r="I1279" s="1">
        <v>7</v>
      </c>
      <c r="J1279" s="1">
        <v>24</v>
      </c>
      <c r="K1279" s="1" t="str">
        <f>TEXT(BBDD_Usiarios_Netflix[[#This Row],[Fecha Suscripción]],"dddd")</f>
        <v>miércoles</v>
      </c>
      <c r="L1279" s="1">
        <f>DATEVALUE(_xlfn.CONCAT(BBDD_Usiarios_Netflix[[#This Row],[Día Último Pago]],"/",BBDD_Usiarios_Netflix[[#This Row],[Mes Último Pago]],"/",BBDD_Usiarios_Netflix[[#This Row],[Año Último Pago]]))</f>
        <v>45478</v>
      </c>
      <c r="M1279" s="4">
        <f>DATEDIF(BBDD_Usiarios_Netflix[[#This Row],[Fecha Suscripción]],BBDD_Usiarios_Netflix[[#This Row],[Fecha Último Pago]],"M")+1</f>
        <v>10</v>
      </c>
      <c r="N1279" s="4">
        <f>BBDD_Usiarios_Netflix[[#This Row],[Ingresos Mensuales]]*BBDD_Usiarios_Netflix[[#This Row],[Meses contratados]]</f>
        <v>120</v>
      </c>
      <c r="O1279" t="s">
        <v>29</v>
      </c>
      <c r="P1279" t="str">
        <f>IF(BBDD_Usiarios_Netflix[[#This Row],[País]]="","Desconocido",BBDD_Usiarios_Netflix[[#This Row],[País]])</f>
        <v>EEUU</v>
      </c>
      <c r="Q1279">
        <v>44</v>
      </c>
      <c r="R1279" t="s">
        <v>25</v>
      </c>
      <c r="S1279" t="s">
        <v>36</v>
      </c>
      <c r="T1279" t="s">
        <v>38</v>
      </c>
      <c r="U1279">
        <f>IF(IFERROR(VLOOKUP(BBDD_Usiarios_Netflix[[#This Row],[Identificador Usuario]],A1280:$A$5870,1,FALSE),0)&lt;&gt;0,1,0)</f>
        <v>0</v>
      </c>
      <c r="V1279" s="6" t="str">
        <f>IF(BBDD_Usiarios_Netflix[[#This Row],[Duración Plan]]="12 Meses",LEFT(BBDD_Usiarios_Netflix[[#This Row],[Duración Plan]],2),LEFT(BBDD_Usiarios_Netflix[[#This Row],[Duración Plan]],1))</f>
        <v>3</v>
      </c>
      <c r="W12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80" spans="1:23" x14ac:dyDescent="0.25">
      <c r="A1280">
        <v>1279</v>
      </c>
      <c r="B1280" t="s">
        <v>32</v>
      </c>
      <c r="C1280">
        <v>12</v>
      </c>
      <c r="D1280" s="3">
        <v>12</v>
      </c>
      <c r="E1280" s="3">
        <v>9</v>
      </c>
      <c r="F1280">
        <v>23</v>
      </c>
      <c r="G1280" s="1">
        <f>DATEVALUE(_xlfn.CONCAT(BBDD_Usiarios_Netflix[[#This Row],[Día Suscripción]],"/",BBDD_Usiarios_Netflix[[#This Row],[Mes Suscripción]],"/",BBDD_Usiarios_Netflix[[#This Row],[Año Suscripción]]))</f>
        <v>45181</v>
      </c>
      <c r="H1280" s="1">
        <v>3</v>
      </c>
      <c r="I1280" s="1">
        <v>7</v>
      </c>
      <c r="J1280" s="1">
        <v>24</v>
      </c>
      <c r="K1280" s="1" t="str">
        <f>TEXT(BBDD_Usiarios_Netflix[[#This Row],[Fecha Suscripción]],"dddd")</f>
        <v>martes</v>
      </c>
      <c r="L1280" s="1">
        <f>DATEVALUE(_xlfn.CONCAT(BBDD_Usiarios_Netflix[[#This Row],[Día Último Pago]],"/",BBDD_Usiarios_Netflix[[#This Row],[Mes Último Pago]],"/",BBDD_Usiarios_Netflix[[#This Row],[Año Último Pago]]))</f>
        <v>45476</v>
      </c>
      <c r="M1280" s="4">
        <f>DATEDIF(BBDD_Usiarios_Netflix[[#This Row],[Fecha Suscripción]],BBDD_Usiarios_Netflix[[#This Row],[Fecha Último Pago]],"M")+1</f>
        <v>10</v>
      </c>
      <c r="N1280" s="4">
        <f>BBDD_Usiarios_Netflix[[#This Row],[Ingresos Mensuales]]*BBDD_Usiarios_Netflix[[#This Row],[Meses contratados]]</f>
        <v>120</v>
      </c>
      <c r="O1280" t="s">
        <v>33</v>
      </c>
      <c r="P1280" t="str">
        <f>IF(BBDD_Usiarios_Netflix[[#This Row],[País]]="","Desconocido",BBDD_Usiarios_Netflix[[#This Row],[País]])</f>
        <v>Francia</v>
      </c>
      <c r="Q1280">
        <v>34</v>
      </c>
      <c r="R1280" t="s">
        <v>30</v>
      </c>
      <c r="S1280" t="s">
        <v>31</v>
      </c>
      <c r="T1280" t="s">
        <v>35</v>
      </c>
      <c r="U1280">
        <f>IF(IFERROR(VLOOKUP(BBDD_Usiarios_Netflix[[#This Row],[Identificador Usuario]],A1281:$A$5870,1,FALSE),0)&lt;&gt;0,1,0)</f>
        <v>0</v>
      </c>
      <c r="V1280" s="6" t="str">
        <f>IF(BBDD_Usiarios_Netflix[[#This Row],[Duración Plan]]="12 Meses",LEFT(BBDD_Usiarios_Netflix[[#This Row],[Duración Plan]],2),LEFT(BBDD_Usiarios_Netflix[[#This Row],[Duración Plan]],1))</f>
        <v>6</v>
      </c>
      <c r="W12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81" spans="1:23" x14ac:dyDescent="0.25">
      <c r="A1281">
        <v>1280</v>
      </c>
      <c r="B1281" t="s">
        <v>23</v>
      </c>
      <c r="C1281">
        <v>10</v>
      </c>
      <c r="D1281" s="3">
        <v>25</v>
      </c>
      <c r="E1281" s="3">
        <v>8</v>
      </c>
      <c r="F1281">
        <v>23</v>
      </c>
      <c r="G1281" s="1">
        <f>DATEVALUE(_xlfn.CONCAT(BBDD_Usiarios_Netflix[[#This Row],[Día Suscripción]],"/",BBDD_Usiarios_Netflix[[#This Row],[Mes Suscripción]],"/",BBDD_Usiarios_Netflix[[#This Row],[Año Suscripción]]))</f>
        <v>45163</v>
      </c>
      <c r="H1281" s="1">
        <v>4</v>
      </c>
      <c r="I1281" s="1">
        <v>7</v>
      </c>
      <c r="J1281" s="1">
        <v>24</v>
      </c>
      <c r="K1281" s="1" t="str">
        <f>TEXT(BBDD_Usiarios_Netflix[[#This Row],[Fecha Suscripción]],"dddd")</f>
        <v>viernes</v>
      </c>
      <c r="L1281" s="1">
        <f>DATEVALUE(_xlfn.CONCAT(BBDD_Usiarios_Netflix[[#This Row],[Día Último Pago]],"/",BBDD_Usiarios_Netflix[[#This Row],[Mes Último Pago]],"/",BBDD_Usiarios_Netflix[[#This Row],[Año Último Pago]]))</f>
        <v>45477</v>
      </c>
      <c r="M1281" s="4">
        <f>DATEDIF(BBDD_Usiarios_Netflix[[#This Row],[Fecha Suscripción]],BBDD_Usiarios_Netflix[[#This Row],[Fecha Último Pago]],"M")+1</f>
        <v>11</v>
      </c>
      <c r="N1281" s="4">
        <f>BBDD_Usiarios_Netflix[[#This Row],[Ingresos Mensuales]]*BBDD_Usiarios_Netflix[[#This Row],[Meses contratados]]</f>
        <v>110</v>
      </c>
      <c r="O1281" t="s">
        <v>29</v>
      </c>
      <c r="P1281" t="str">
        <f>IF(BBDD_Usiarios_Netflix[[#This Row],[País]]="","Desconocido",BBDD_Usiarios_Netflix[[#This Row],[País]])</f>
        <v>EEUU</v>
      </c>
      <c r="Q1281">
        <v>28</v>
      </c>
      <c r="R1281" t="s">
        <v>30</v>
      </c>
      <c r="S1281" t="s">
        <v>36</v>
      </c>
      <c r="T1281" t="s">
        <v>38</v>
      </c>
      <c r="U1281">
        <f>IF(IFERROR(VLOOKUP(BBDD_Usiarios_Netflix[[#This Row],[Identificador Usuario]],A1282:$A$5870,1,FALSE),0)&lt;&gt;0,1,0)</f>
        <v>0</v>
      </c>
      <c r="V1281" s="6" t="str">
        <f>IF(BBDD_Usiarios_Netflix[[#This Row],[Duración Plan]]="12 Meses",LEFT(BBDD_Usiarios_Netflix[[#This Row],[Duración Plan]],2),LEFT(BBDD_Usiarios_Netflix[[#This Row],[Duración Plan]],1))</f>
        <v>3</v>
      </c>
      <c r="W12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82" spans="1:23" x14ac:dyDescent="0.25">
      <c r="A1282">
        <v>1281</v>
      </c>
      <c r="B1282" t="s">
        <v>28</v>
      </c>
      <c r="C1282">
        <v>14</v>
      </c>
      <c r="D1282" s="3">
        <v>25</v>
      </c>
      <c r="E1282" s="3">
        <v>8</v>
      </c>
      <c r="F1282">
        <v>23</v>
      </c>
      <c r="G1282" s="1">
        <f>DATEVALUE(_xlfn.CONCAT(BBDD_Usiarios_Netflix[[#This Row],[Día Suscripción]],"/",BBDD_Usiarios_Netflix[[#This Row],[Mes Suscripción]],"/",BBDD_Usiarios_Netflix[[#This Row],[Año Suscripción]]))</f>
        <v>45163</v>
      </c>
      <c r="H1282" s="1">
        <v>4</v>
      </c>
      <c r="I1282" s="1">
        <v>7</v>
      </c>
      <c r="J1282" s="1">
        <v>24</v>
      </c>
      <c r="K1282" s="1" t="str">
        <f>TEXT(BBDD_Usiarios_Netflix[[#This Row],[Fecha Suscripción]],"dddd")</f>
        <v>viernes</v>
      </c>
      <c r="L1282" s="1">
        <f>DATEVALUE(_xlfn.CONCAT(BBDD_Usiarios_Netflix[[#This Row],[Día Último Pago]],"/",BBDD_Usiarios_Netflix[[#This Row],[Mes Último Pago]],"/",BBDD_Usiarios_Netflix[[#This Row],[Año Último Pago]]))</f>
        <v>45477</v>
      </c>
      <c r="M1282" s="4">
        <f>DATEDIF(BBDD_Usiarios_Netflix[[#This Row],[Fecha Suscripción]],BBDD_Usiarios_Netflix[[#This Row],[Fecha Último Pago]],"M")+1</f>
        <v>11</v>
      </c>
      <c r="N1282" s="4">
        <f>BBDD_Usiarios_Netflix[[#This Row],[Ingresos Mensuales]]*BBDD_Usiarios_Netflix[[#This Row],[Meses contratados]]</f>
        <v>154</v>
      </c>
      <c r="O1282" t="s">
        <v>24</v>
      </c>
      <c r="P1282" t="str">
        <f>IF(BBDD_Usiarios_Netflix[[#This Row],[País]]="","Desconocido",BBDD_Usiarios_Netflix[[#This Row],[País]])</f>
        <v>Australia</v>
      </c>
      <c r="Q1282">
        <v>41</v>
      </c>
      <c r="R1282" t="s">
        <v>30</v>
      </c>
      <c r="S1282" t="s">
        <v>36</v>
      </c>
      <c r="T1282" t="s">
        <v>38</v>
      </c>
      <c r="U1282">
        <f>IF(IFERROR(VLOOKUP(BBDD_Usiarios_Netflix[[#This Row],[Identificador Usuario]],A1283:$A$5870,1,FALSE),0)&lt;&gt;0,1,0)</f>
        <v>0</v>
      </c>
      <c r="V1282" s="6" t="str">
        <f>IF(BBDD_Usiarios_Netflix[[#This Row],[Duración Plan]]="12 Meses",LEFT(BBDD_Usiarios_Netflix[[#This Row],[Duración Plan]],2),LEFT(BBDD_Usiarios_Netflix[[#This Row],[Duración Plan]],1))</f>
        <v>3</v>
      </c>
      <c r="W12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83" spans="1:23" x14ac:dyDescent="0.25">
      <c r="A1283">
        <v>1282</v>
      </c>
      <c r="B1283" t="s">
        <v>32</v>
      </c>
      <c r="C1283">
        <v>12</v>
      </c>
      <c r="D1283" s="3">
        <v>22</v>
      </c>
      <c r="E1283" s="3">
        <v>8</v>
      </c>
      <c r="F1283">
        <v>23</v>
      </c>
      <c r="G1283" s="1">
        <f>DATEVALUE(_xlfn.CONCAT(BBDD_Usiarios_Netflix[[#This Row],[Día Suscripción]],"/",BBDD_Usiarios_Netflix[[#This Row],[Mes Suscripción]],"/",BBDD_Usiarios_Netflix[[#This Row],[Año Suscripción]]))</f>
        <v>45160</v>
      </c>
      <c r="H1283" s="1">
        <v>5</v>
      </c>
      <c r="I1283" s="1">
        <v>7</v>
      </c>
      <c r="J1283" s="1">
        <v>24</v>
      </c>
      <c r="K1283" s="1" t="str">
        <f>TEXT(BBDD_Usiarios_Netflix[[#This Row],[Fecha Suscripción]],"dddd")</f>
        <v>martes</v>
      </c>
      <c r="L1283" s="1">
        <f>DATEVALUE(_xlfn.CONCAT(BBDD_Usiarios_Netflix[[#This Row],[Día Último Pago]],"/",BBDD_Usiarios_Netflix[[#This Row],[Mes Último Pago]],"/",BBDD_Usiarios_Netflix[[#This Row],[Año Último Pago]]))</f>
        <v>45478</v>
      </c>
      <c r="M1283" s="4">
        <f>DATEDIF(BBDD_Usiarios_Netflix[[#This Row],[Fecha Suscripción]],BBDD_Usiarios_Netflix[[#This Row],[Fecha Último Pago]],"M")+1</f>
        <v>11</v>
      </c>
      <c r="N1283" s="4">
        <f>BBDD_Usiarios_Netflix[[#This Row],[Ingresos Mensuales]]*BBDD_Usiarios_Netflix[[#This Row],[Meses contratados]]</f>
        <v>132</v>
      </c>
      <c r="O1283" t="s">
        <v>29</v>
      </c>
      <c r="P1283" t="str">
        <f>IF(BBDD_Usiarios_Netflix[[#This Row],[País]]="","Desconocido",BBDD_Usiarios_Netflix[[#This Row],[País]])</f>
        <v>EEUU</v>
      </c>
      <c r="Q1283">
        <v>43</v>
      </c>
      <c r="R1283" t="s">
        <v>25</v>
      </c>
      <c r="S1283" t="s">
        <v>31</v>
      </c>
      <c r="T1283" t="s">
        <v>41</v>
      </c>
      <c r="U1283">
        <f>IF(IFERROR(VLOOKUP(BBDD_Usiarios_Netflix[[#This Row],[Identificador Usuario]],A1284:$A$5870,1,FALSE),0)&lt;&gt;0,1,0)</f>
        <v>0</v>
      </c>
      <c r="V1283" s="6" t="str">
        <f>IF(BBDD_Usiarios_Netflix[[#This Row],[Duración Plan]]="12 Meses",LEFT(BBDD_Usiarios_Netflix[[#This Row],[Duración Plan]],2),LEFT(BBDD_Usiarios_Netflix[[#This Row],[Duración Plan]],1))</f>
        <v>12</v>
      </c>
      <c r="W12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84" spans="1:23" x14ac:dyDescent="0.25">
      <c r="A1284">
        <v>1283</v>
      </c>
      <c r="B1284" t="s">
        <v>23</v>
      </c>
      <c r="C1284">
        <v>10</v>
      </c>
      <c r="D1284" s="3">
        <v>17</v>
      </c>
      <c r="E1284" s="3">
        <v>8</v>
      </c>
      <c r="F1284">
        <v>23</v>
      </c>
      <c r="G1284" s="1">
        <f>DATEVALUE(_xlfn.CONCAT(BBDD_Usiarios_Netflix[[#This Row],[Día Suscripción]],"/",BBDD_Usiarios_Netflix[[#This Row],[Mes Suscripción]],"/",BBDD_Usiarios_Netflix[[#This Row],[Año Suscripción]]))</f>
        <v>45155</v>
      </c>
      <c r="H1284" s="1">
        <v>2</v>
      </c>
      <c r="I1284" s="1">
        <v>7</v>
      </c>
      <c r="J1284" s="1">
        <v>24</v>
      </c>
      <c r="K1284" s="1" t="str">
        <f>TEXT(BBDD_Usiarios_Netflix[[#This Row],[Fecha Suscripción]],"dddd")</f>
        <v>jueves</v>
      </c>
      <c r="L1284" s="1">
        <f>DATEVALUE(_xlfn.CONCAT(BBDD_Usiarios_Netflix[[#This Row],[Día Último Pago]],"/",BBDD_Usiarios_Netflix[[#This Row],[Mes Último Pago]],"/",BBDD_Usiarios_Netflix[[#This Row],[Año Último Pago]]))</f>
        <v>45475</v>
      </c>
      <c r="M1284" s="4">
        <f>DATEDIF(BBDD_Usiarios_Netflix[[#This Row],[Fecha Suscripción]],BBDD_Usiarios_Netflix[[#This Row],[Fecha Último Pago]],"M")+1</f>
        <v>11</v>
      </c>
      <c r="N1284" s="4">
        <f>BBDD_Usiarios_Netflix[[#This Row],[Ingresos Mensuales]]*BBDD_Usiarios_Netflix[[#This Row],[Meses contratados]]</f>
        <v>110</v>
      </c>
      <c r="O1284" t="s">
        <v>39</v>
      </c>
      <c r="P1284" t="str">
        <f>IF(BBDD_Usiarios_Netflix[[#This Row],[País]]="","Desconocido",BBDD_Usiarios_Netflix[[#This Row],[País]])</f>
        <v>Canadá</v>
      </c>
      <c r="Q1284">
        <v>33</v>
      </c>
      <c r="R1284" t="s">
        <v>25</v>
      </c>
      <c r="S1284" t="s">
        <v>36</v>
      </c>
      <c r="T1284" t="s">
        <v>27</v>
      </c>
      <c r="U1284">
        <f>IF(IFERROR(VLOOKUP(BBDD_Usiarios_Netflix[[#This Row],[Identificador Usuario]],A1285:$A$5870,1,FALSE),0)&lt;&gt;0,1,0)</f>
        <v>0</v>
      </c>
      <c r="V1284" s="6" t="str">
        <f>IF(BBDD_Usiarios_Netflix[[#This Row],[Duración Plan]]="12 Meses",LEFT(BBDD_Usiarios_Netflix[[#This Row],[Duración Plan]],2),LEFT(BBDD_Usiarios_Netflix[[#This Row],[Duración Plan]],1))</f>
        <v>1</v>
      </c>
      <c r="W12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85" spans="1:23" x14ac:dyDescent="0.25">
      <c r="A1285">
        <v>1284</v>
      </c>
      <c r="B1285" t="s">
        <v>32</v>
      </c>
      <c r="C1285">
        <v>12</v>
      </c>
      <c r="D1285" s="3">
        <v>9</v>
      </c>
      <c r="E1285" s="3">
        <v>8</v>
      </c>
      <c r="F1285">
        <v>23</v>
      </c>
      <c r="G1285" s="1">
        <f>DATEVALUE(_xlfn.CONCAT(BBDD_Usiarios_Netflix[[#This Row],[Día Suscripción]],"/",BBDD_Usiarios_Netflix[[#This Row],[Mes Suscripción]],"/",BBDD_Usiarios_Netflix[[#This Row],[Año Suscripción]]))</f>
        <v>45147</v>
      </c>
      <c r="H1285" s="1">
        <v>3</v>
      </c>
      <c r="I1285" s="1">
        <v>7</v>
      </c>
      <c r="J1285" s="1">
        <v>24</v>
      </c>
      <c r="K1285" s="1" t="str">
        <f>TEXT(BBDD_Usiarios_Netflix[[#This Row],[Fecha Suscripción]],"dddd")</f>
        <v>miércoles</v>
      </c>
      <c r="L1285" s="1">
        <f>DATEVALUE(_xlfn.CONCAT(BBDD_Usiarios_Netflix[[#This Row],[Día Último Pago]],"/",BBDD_Usiarios_Netflix[[#This Row],[Mes Último Pago]],"/",BBDD_Usiarios_Netflix[[#This Row],[Año Último Pago]]))</f>
        <v>45476</v>
      </c>
      <c r="M1285" s="4">
        <f>DATEDIF(BBDD_Usiarios_Netflix[[#This Row],[Fecha Suscripción]],BBDD_Usiarios_Netflix[[#This Row],[Fecha Último Pago]],"M")+1</f>
        <v>11</v>
      </c>
      <c r="N1285" s="4">
        <f>BBDD_Usiarios_Netflix[[#This Row],[Ingresos Mensuales]]*BBDD_Usiarios_Netflix[[#This Row],[Meses contratados]]</f>
        <v>132</v>
      </c>
      <c r="O1285" t="s">
        <v>42</v>
      </c>
      <c r="P1285" t="str">
        <f>IF(BBDD_Usiarios_Netflix[[#This Row],[País]]="","Desconocido",BBDD_Usiarios_Netflix[[#This Row],[País]])</f>
        <v>Reino Unido</v>
      </c>
      <c r="Q1285">
        <v>32</v>
      </c>
      <c r="R1285" t="s">
        <v>30</v>
      </c>
      <c r="S1285" t="s">
        <v>31</v>
      </c>
      <c r="T1285" t="s">
        <v>41</v>
      </c>
      <c r="U1285">
        <f>IF(IFERROR(VLOOKUP(BBDD_Usiarios_Netflix[[#This Row],[Identificador Usuario]],A1286:$A$5870,1,FALSE),0)&lt;&gt;0,1,0)</f>
        <v>0</v>
      </c>
      <c r="V1285" s="6" t="str">
        <f>IF(BBDD_Usiarios_Netflix[[#This Row],[Duración Plan]]="12 Meses",LEFT(BBDD_Usiarios_Netflix[[#This Row],[Duración Plan]],2),LEFT(BBDD_Usiarios_Netflix[[#This Row],[Duración Plan]],1))</f>
        <v>12</v>
      </c>
      <c r="W12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86" spans="1:23" x14ac:dyDescent="0.25">
      <c r="A1286">
        <v>1285</v>
      </c>
      <c r="B1286" t="s">
        <v>28</v>
      </c>
      <c r="C1286">
        <v>14</v>
      </c>
      <c r="D1286" s="3">
        <v>6</v>
      </c>
      <c r="E1286" s="3">
        <v>8</v>
      </c>
      <c r="F1286">
        <v>23</v>
      </c>
      <c r="G1286" s="1">
        <f>DATEVALUE(_xlfn.CONCAT(BBDD_Usiarios_Netflix[[#This Row],[Día Suscripción]],"/",BBDD_Usiarios_Netflix[[#This Row],[Mes Suscripción]],"/",BBDD_Usiarios_Netflix[[#This Row],[Año Suscripción]]))</f>
        <v>45144</v>
      </c>
      <c r="H1286" s="1">
        <v>4</v>
      </c>
      <c r="I1286" s="1">
        <v>7</v>
      </c>
      <c r="J1286" s="1">
        <v>24</v>
      </c>
      <c r="K1286" s="1" t="str">
        <f>TEXT(BBDD_Usiarios_Netflix[[#This Row],[Fecha Suscripción]],"dddd")</f>
        <v>domingo</v>
      </c>
      <c r="L1286" s="1">
        <f>DATEVALUE(_xlfn.CONCAT(BBDD_Usiarios_Netflix[[#This Row],[Día Último Pago]],"/",BBDD_Usiarios_Netflix[[#This Row],[Mes Último Pago]],"/",BBDD_Usiarios_Netflix[[#This Row],[Año Último Pago]]))</f>
        <v>45477</v>
      </c>
      <c r="M1286" s="4">
        <f>DATEDIF(BBDD_Usiarios_Netflix[[#This Row],[Fecha Suscripción]],BBDD_Usiarios_Netflix[[#This Row],[Fecha Último Pago]],"M")+1</f>
        <v>11</v>
      </c>
      <c r="N1286" s="4">
        <f>BBDD_Usiarios_Netflix[[#This Row],[Ingresos Mensuales]]*BBDD_Usiarios_Netflix[[#This Row],[Meses contratados]]</f>
        <v>154</v>
      </c>
      <c r="O1286" t="s">
        <v>33</v>
      </c>
      <c r="P1286" t="str">
        <f>IF(BBDD_Usiarios_Netflix[[#This Row],[País]]="","Desconocido",BBDD_Usiarios_Netflix[[#This Row],[País]])</f>
        <v>Francia</v>
      </c>
      <c r="Q1286">
        <v>39</v>
      </c>
      <c r="R1286" t="s">
        <v>25</v>
      </c>
      <c r="S1286" t="s">
        <v>34</v>
      </c>
      <c r="T1286" t="s">
        <v>41</v>
      </c>
      <c r="U1286">
        <f>IF(IFERROR(VLOOKUP(BBDD_Usiarios_Netflix[[#This Row],[Identificador Usuario]],A1287:$A$5870,1,FALSE),0)&lt;&gt;0,1,0)</f>
        <v>0</v>
      </c>
      <c r="V1286" s="6" t="str">
        <f>IF(BBDD_Usiarios_Netflix[[#This Row],[Duración Plan]]="12 Meses",LEFT(BBDD_Usiarios_Netflix[[#This Row],[Duración Plan]],2),LEFT(BBDD_Usiarios_Netflix[[#This Row],[Duración Plan]],1))</f>
        <v>12</v>
      </c>
      <c r="W12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87" spans="1:23" x14ac:dyDescent="0.25">
      <c r="A1287">
        <v>1286</v>
      </c>
      <c r="B1287" t="s">
        <v>23</v>
      </c>
      <c r="C1287">
        <v>10</v>
      </c>
      <c r="D1287" s="3">
        <v>17</v>
      </c>
      <c r="E1287" s="3">
        <v>7</v>
      </c>
      <c r="F1287">
        <v>23</v>
      </c>
      <c r="G1287" s="1">
        <f>DATEVALUE(_xlfn.CONCAT(BBDD_Usiarios_Netflix[[#This Row],[Día Suscripción]],"/",BBDD_Usiarios_Netflix[[#This Row],[Mes Suscripción]],"/",BBDD_Usiarios_Netflix[[#This Row],[Año Suscripción]]))</f>
        <v>45124</v>
      </c>
      <c r="H1287" s="1">
        <v>4</v>
      </c>
      <c r="I1287" s="1">
        <v>7</v>
      </c>
      <c r="J1287" s="1">
        <v>24</v>
      </c>
      <c r="K1287" s="1" t="str">
        <f>TEXT(BBDD_Usiarios_Netflix[[#This Row],[Fecha Suscripción]],"dddd")</f>
        <v>lunes</v>
      </c>
      <c r="L1287" s="1">
        <f>DATEVALUE(_xlfn.CONCAT(BBDD_Usiarios_Netflix[[#This Row],[Día Último Pago]],"/",BBDD_Usiarios_Netflix[[#This Row],[Mes Último Pago]],"/",BBDD_Usiarios_Netflix[[#This Row],[Año Último Pago]]))</f>
        <v>45477</v>
      </c>
      <c r="M1287" s="4">
        <f>DATEDIF(BBDD_Usiarios_Netflix[[#This Row],[Fecha Suscripción]],BBDD_Usiarios_Netflix[[#This Row],[Fecha Último Pago]],"M")+1</f>
        <v>12</v>
      </c>
      <c r="N1287" s="4">
        <f>BBDD_Usiarios_Netflix[[#This Row],[Ingresos Mensuales]]*BBDD_Usiarios_Netflix[[#This Row],[Meses contratados]]</f>
        <v>120</v>
      </c>
      <c r="O1287" t="s">
        <v>46</v>
      </c>
      <c r="P1287" t="str">
        <f>IF(BBDD_Usiarios_Netflix[[#This Row],[País]]="","Desconocido",BBDD_Usiarios_Netflix[[#This Row],[País]])</f>
        <v>Méjico</v>
      </c>
      <c r="Q1287">
        <v>37</v>
      </c>
      <c r="R1287" t="s">
        <v>25</v>
      </c>
      <c r="S1287" t="s">
        <v>36</v>
      </c>
      <c r="T1287" t="s">
        <v>27</v>
      </c>
      <c r="U1287">
        <f>IF(IFERROR(VLOOKUP(BBDD_Usiarios_Netflix[[#This Row],[Identificador Usuario]],A1288:$A$5870,1,FALSE),0)&lt;&gt;0,1,0)</f>
        <v>0</v>
      </c>
      <c r="V1287" s="6" t="str">
        <f>IF(BBDD_Usiarios_Netflix[[#This Row],[Duración Plan]]="12 Meses",LEFT(BBDD_Usiarios_Netflix[[#This Row],[Duración Plan]],2),LEFT(BBDD_Usiarios_Netflix[[#This Row],[Duración Plan]],1))</f>
        <v>1</v>
      </c>
      <c r="W12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88" spans="1:23" x14ac:dyDescent="0.25">
      <c r="A1288">
        <v>1287</v>
      </c>
      <c r="B1288" t="s">
        <v>28</v>
      </c>
      <c r="C1288">
        <v>14</v>
      </c>
      <c r="D1288" s="3">
        <v>12</v>
      </c>
      <c r="E1288" s="3">
        <v>7</v>
      </c>
      <c r="F1288">
        <v>23</v>
      </c>
      <c r="G1288" s="1">
        <f>DATEVALUE(_xlfn.CONCAT(BBDD_Usiarios_Netflix[[#This Row],[Día Suscripción]],"/",BBDD_Usiarios_Netflix[[#This Row],[Mes Suscripción]],"/",BBDD_Usiarios_Netflix[[#This Row],[Año Suscripción]]))</f>
        <v>45119</v>
      </c>
      <c r="H1288" s="1">
        <v>2</v>
      </c>
      <c r="I1288" s="1">
        <v>7</v>
      </c>
      <c r="J1288" s="1">
        <v>24</v>
      </c>
      <c r="K1288" s="1" t="str">
        <f>TEXT(BBDD_Usiarios_Netflix[[#This Row],[Fecha Suscripción]],"dddd")</f>
        <v>miércoles</v>
      </c>
      <c r="L1288" s="1">
        <f>DATEVALUE(_xlfn.CONCAT(BBDD_Usiarios_Netflix[[#This Row],[Día Último Pago]],"/",BBDD_Usiarios_Netflix[[#This Row],[Mes Último Pago]],"/",BBDD_Usiarios_Netflix[[#This Row],[Año Último Pago]]))</f>
        <v>45475</v>
      </c>
      <c r="M1288" s="4">
        <f>DATEDIF(BBDD_Usiarios_Netflix[[#This Row],[Fecha Suscripción]],BBDD_Usiarios_Netflix[[#This Row],[Fecha Último Pago]],"M")+1</f>
        <v>12</v>
      </c>
      <c r="N1288" s="4">
        <f>BBDD_Usiarios_Netflix[[#This Row],[Ingresos Mensuales]]*BBDD_Usiarios_Netflix[[#This Row],[Meses contratados]]</f>
        <v>168</v>
      </c>
      <c r="O1288" t="s">
        <v>39</v>
      </c>
      <c r="P1288" t="str">
        <f>IF(BBDD_Usiarios_Netflix[[#This Row],[País]]="","Desconocido",BBDD_Usiarios_Netflix[[#This Row],[País]])</f>
        <v>Canadá</v>
      </c>
      <c r="Q1288">
        <v>46</v>
      </c>
      <c r="R1288" t="s">
        <v>25</v>
      </c>
      <c r="S1288" t="s">
        <v>31</v>
      </c>
      <c r="T1288" t="s">
        <v>27</v>
      </c>
      <c r="U1288">
        <f>IF(IFERROR(VLOOKUP(BBDD_Usiarios_Netflix[[#This Row],[Identificador Usuario]],A1289:$A$5870,1,FALSE),0)&lt;&gt;0,1,0)</f>
        <v>0</v>
      </c>
      <c r="V1288" s="6" t="str">
        <f>IF(BBDD_Usiarios_Netflix[[#This Row],[Duración Plan]]="12 Meses",LEFT(BBDD_Usiarios_Netflix[[#This Row],[Duración Plan]],2),LEFT(BBDD_Usiarios_Netflix[[#This Row],[Duración Plan]],1))</f>
        <v>1</v>
      </c>
      <c r="W12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89" spans="1:23" x14ac:dyDescent="0.25">
      <c r="A1289">
        <v>1288</v>
      </c>
      <c r="B1289" t="s">
        <v>32</v>
      </c>
      <c r="C1289">
        <v>12</v>
      </c>
      <c r="D1289" s="3">
        <v>12</v>
      </c>
      <c r="E1289" s="3">
        <v>7</v>
      </c>
      <c r="F1289">
        <v>23</v>
      </c>
      <c r="G1289" s="1">
        <f>DATEVALUE(_xlfn.CONCAT(BBDD_Usiarios_Netflix[[#This Row],[Día Suscripción]],"/",BBDD_Usiarios_Netflix[[#This Row],[Mes Suscripción]],"/",BBDD_Usiarios_Netflix[[#This Row],[Año Suscripción]]))</f>
        <v>45119</v>
      </c>
      <c r="H1289" s="1">
        <v>3</v>
      </c>
      <c r="I1289" s="1">
        <v>7</v>
      </c>
      <c r="J1289" s="1">
        <v>24</v>
      </c>
      <c r="K1289" s="1" t="str">
        <f>TEXT(BBDD_Usiarios_Netflix[[#This Row],[Fecha Suscripción]],"dddd")</f>
        <v>miércoles</v>
      </c>
      <c r="L1289" s="1">
        <f>DATEVALUE(_xlfn.CONCAT(BBDD_Usiarios_Netflix[[#This Row],[Día Último Pago]],"/",BBDD_Usiarios_Netflix[[#This Row],[Mes Último Pago]],"/",BBDD_Usiarios_Netflix[[#This Row],[Año Último Pago]]))</f>
        <v>45476</v>
      </c>
      <c r="M1289" s="4">
        <f>DATEDIF(BBDD_Usiarios_Netflix[[#This Row],[Fecha Suscripción]],BBDD_Usiarios_Netflix[[#This Row],[Fecha Último Pago]],"M")+1</f>
        <v>12</v>
      </c>
      <c r="N1289" s="4">
        <f>BBDD_Usiarios_Netflix[[#This Row],[Ingresos Mensuales]]*BBDD_Usiarios_Netflix[[#This Row],[Meses contratados]]</f>
        <v>144</v>
      </c>
      <c r="O1289" t="s">
        <v>43</v>
      </c>
      <c r="P1289" t="str">
        <f>IF(BBDD_Usiarios_Netflix[[#This Row],[País]]="","Desconocido",BBDD_Usiarios_Netflix[[#This Row],[País]])</f>
        <v>Alemania</v>
      </c>
      <c r="Q1289">
        <v>39</v>
      </c>
      <c r="R1289" t="s">
        <v>25</v>
      </c>
      <c r="S1289" t="s">
        <v>26</v>
      </c>
      <c r="T1289" t="s">
        <v>27</v>
      </c>
      <c r="U1289">
        <f>IF(IFERROR(VLOOKUP(BBDD_Usiarios_Netflix[[#This Row],[Identificador Usuario]],A1290:$A$5870,1,FALSE),0)&lt;&gt;0,1,0)</f>
        <v>0</v>
      </c>
      <c r="V1289" s="6" t="str">
        <f>IF(BBDD_Usiarios_Netflix[[#This Row],[Duración Plan]]="12 Meses",LEFT(BBDD_Usiarios_Netflix[[#This Row],[Duración Plan]],2),LEFT(BBDD_Usiarios_Netflix[[#This Row],[Duración Plan]],1))</f>
        <v>1</v>
      </c>
      <c r="W12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90" spans="1:23" x14ac:dyDescent="0.25">
      <c r="A1290">
        <v>1289</v>
      </c>
      <c r="B1290" t="s">
        <v>23</v>
      </c>
      <c r="C1290">
        <v>10</v>
      </c>
      <c r="D1290" s="3">
        <v>2</v>
      </c>
      <c r="E1290" s="3">
        <v>7</v>
      </c>
      <c r="F1290">
        <v>23</v>
      </c>
      <c r="G1290" s="1">
        <f>DATEVALUE(_xlfn.CONCAT(BBDD_Usiarios_Netflix[[#This Row],[Día Suscripción]],"/",BBDD_Usiarios_Netflix[[#This Row],[Mes Suscripción]],"/",BBDD_Usiarios_Netflix[[#This Row],[Año Suscripción]]))</f>
        <v>45109</v>
      </c>
      <c r="H1290" s="1">
        <v>4</v>
      </c>
      <c r="I1290" s="1">
        <v>7</v>
      </c>
      <c r="J1290" s="1">
        <v>24</v>
      </c>
      <c r="K1290" s="1" t="str">
        <f>TEXT(BBDD_Usiarios_Netflix[[#This Row],[Fecha Suscripción]],"dddd")</f>
        <v>domingo</v>
      </c>
      <c r="L1290" s="1">
        <f>DATEVALUE(_xlfn.CONCAT(BBDD_Usiarios_Netflix[[#This Row],[Día Último Pago]],"/",BBDD_Usiarios_Netflix[[#This Row],[Mes Último Pago]],"/",BBDD_Usiarios_Netflix[[#This Row],[Año Último Pago]]))</f>
        <v>45477</v>
      </c>
      <c r="M1290" s="4">
        <f>DATEDIF(BBDD_Usiarios_Netflix[[#This Row],[Fecha Suscripción]],BBDD_Usiarios_Netflix[[#This Row],[Fecha Último Pago]],"M")+1</f>
        <v>13</v>
      </c>
      <c r="N1290" s="4">
        <f>BBDD_Usiarios_Netflix[[#This Row],[Ingresos Mensuales]]*BBDD_Usiarios_Netflix[[#This Row],[Meses contratados]]</f>
        <v>130</v>
      </c>
      <c r="O1290" t="s">
        <v>24</v>
      </c>
      <c r="P1290" t="str">
        <f>IF(BBDD_Usiarios_Netflix[[#This Row],[País]]="","Desconocido",BBDD_Usiarios_Netflix[[#This Row],[País]])</f>
        <v>Australia</v>
      </c>
      <c r="Q1290">
        <v>46</v>
      </c>
      <c r="R1290" t="s">
        <v>30</v>
      </c>
      <c r="S1290" t="s">
        <v>31</v>
      </c>
      <c r="T1290" t="s">
        <v>35</v>
      </c>
      <c r="U1290">
        <f>IF(IFERROR(VLOOKUP(BBDD_Usiarios_Netflix[[#This Row],[Identificador Usuario]],A1291:$A$5870,1,FALSE),0)&lt;&gt;0,1,0)</f>
        <v>0</v>
      </c>
      <c r="V1290" s="6" t="str">
        <f>IF(BBDD_Usiarios_Netflix[[#This Row],[Duración Plan]]="12 Meses",LEFT(BBDD_Usiarios_Netflix[[#This Row],[Duración Plan]],2),LEFT(BBDD_Usiarios_Netflix[[#This Row],[Duración Plan]],1))</f>
        <v>6</v>
      </c>
      <c r="W12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91" spans="1:23" x14ac:dyDescent="0.25">
      <c r="A1291">
        <v>1290</v>
      </c>
      <c r="B1291" t="s">
        <v>32</v>
      </c>
      <c r="C1291">
        <v>12</v>
      </c>
      <c r="D1291" s="3">
        <v>2</v>
      </c>
      <c r="E1291" s="3">
        <v>7</v>
      </c>
      <c r="F1291">
        <v>23</v>
      </c>
      <c r="G1291" s="1">
        <f>DATEVALUE(_xlfn.CONCAT(BBDD_Usiarios_Netflix[[#This Row],[Día Suscripción]],"/",BBDD_Usiarios_Netflix[[#This Row],[Mes Suscripción]],"/",BBDD_Usiarios_Netflix[[#This Row],[Año Suscripción]]))</f>
        <v>45109</v>
      </c>
      <c r="H1291" s="1">
        <v>3</v>
      </c>
      <c r="I1291" s="1">
        <v>7</v>
      </c>
      <c r="J1291" s="1">
        <v>24</v>
      </c>
      <c r="K1291" s="1" t="str">
        <f>TEXT(BBDD_Usiarios_Netflix[[#This Row],[Fecha Suscripción]],"dddd")</f>
        <v>domingo</v>
      </c>
      <c r="L1291" s="1">
        <f>DATEVALUE(_xlfn.CONCAT(BBDD_Usiarios_Netflix[[#This Row],[Día Último Pago]],"/",BBDD_Usiarios_Netflix[[#This Row],[Mes Último Pago]],"/",BBDD_Usiarios_Netflix[[#This Row],[Año Último Pago]]))</f>
        <v>45476</v>
      </c>
      <c r="M1291" s="4">
        <f>DATEDIF(BBDD_Usiarios_Netflix[[#This Row],[Fecha Suscripción]],BBDD_Usiarios_Netflix[[#This Row],[Fecha Último Pago]],"M")+1</f>
        <v>13</v>
      </c>
      <c r="N1291" s="4">
        <f>BBDD_Usiarios_Netflix[[#This Row],[Ingresos Mensuales]]*BBDD_Usiarios_Netflix[[#This Row],[Meses contratados]]</f>
        <v>156</v>
      </c>
      <c r="O1291" t="s">
        <v>39</v>
      </c>
      <c r="P1291" t="str">
        <f>IF(BBDD_Usiarios_Netflix[[#This Row],[País]]="","Desconocido",BBDD_Usiarios_Netflix[[#This Row],[País]])</f>
        <v>Canadá</v>
      </c>
      <c r="Q1291">
        <v>43</v>
      </c>
      <c r="R1291" t="s">
        <v>25</v>
      </c>
      <c r="S1291" t="s">
        <v>36</v>
      </c>
      <c r="T1291" t="s">
        <v>41</v>
      </c>
      <c r="U1291">
        <f>IF(IFERROR(VLOOKUP(BBDD_Usiarios_Netflix[[#This Row],[Identificador Usuario]],A1292:$A$5870,1,FALSE),0)&lt;&gt;0,1,0)</f>
        <v>0</v>
      </c>
      <c r="V1291" s="6" t="str">
        <f>IF(BBDD_Usiarios_Netflix[[#This Row],[Duración Plan]]="12 Meses",LEFT(BBDD_Usiarios_Netflix[[#This Row],[Duración Plan]],2),LEFT(BBDD_Usiarios_Netflix[[#This Row],[Duración Plan]],1))</f>
        <v>12</v>
      </c>
      <c r="W12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92" spans="1:23" x14ac:dyDescent="0.25">
      <c r="A1292">
        <v>1291</v>
      </c>
      <c r="B1292" t="s">
        <v>28</v>
      </c>
      <c r="C1292">
        <v>14</v>
      </c>
      <c r="D1292" s="3">
        <v>30</v>
      </c>
      <c r="E1292" s="3">
        <v>6</v>
      </c>
      <c r="F1292">
        <v>23</v>
      </c>
      <c r="G1292" s="1">
        <f>DATEVALUE(_xlfn.CONCAT(BBDD_Usiarios_Netflix[[#This Row],[Día Suscripción]],"/",BBDD_Usiarios_Netflix[[#This Row],[Mes Suscripción]],"/",BBDD_Usiarios_Netflix[[#This Row],[Año Suscripción]]))</f>
        <v>45107</v>
      </c>
      <c r="H1292" s="1">
        <v>2</v>
      </c>
      <c r="I1292" s="1">
        <v>7</v>
      </c>
      <c r="J1292" s="1">
        <v>24</v>
      </c>
      <c r="K1292" s="1" t="str">
        <f>TEXT(BBDD_Usiarios_Netflix[[#This Row],[Fecha Suscripción]],"dddd")</f>
        <v>viernes</v>
      </c>
      <c r="L1292" s="1">
        <f>DATEVALUE(_xlfn.CONCAT(BBDD_Usiarios_Netflix[[#This Row],[Día Último Pago]],"/",BBDD_Usiarios_Netflix[[#This Row],[Mes Último Pago]],"/",BBDD_Usiarios_Netflix[[#This Row],[Año Último Pago]]))</f>
        <v>45475</v>
      </c>
      <c r="M1292" s="4">
        <f>DATEDIF(BBDD_Usiarios_Netflix[[#This Row],[Fecha Suscripción]],BBDD_Usiarios_Netflix[[#This Row],[Fecha Último Pago]],"M")+1</f>
        <v>13</v>
      </c>
      <c r="N1292" s="4">
        <f>BBDD_Usiarios_Netflix[[#This Row],[Ingresos Mensuales]]*BBDD_Usiarios_Netflix[[#This Row],[Meses contratados]]</f>
        <v>182</v>
      </c>
      <c r="O1292" t="s">
        <v>42</v>
      </c>
      <c r="P1292" t="str">
        <f>IF(BBDD_Usiarios_Netflix[[#This Row],[País]]="","Desconocido",BBDD_Usiarios_Netflix[[#This Row],[País]])</f>
        <v>Reino Unido</v>
      </c>
      <c r="Q1292">
        <v>32</v>
      </c>
      <c r="R1292" t="s">
        <v>30</v>
      </c>
      <c r="S1292" t="s">
        <v>36</v>
      </c>
      <c r="T1292" t="s">
        <v>38</v>
      </c>
      <c r="U1292">
        <f>IF(IFERROR(VLOOKUP(BBDD_Usiarios_Netflix[[#This Row],[Identificador Usuario]],A1293:$A$5870,1,FALSE),0)&lt;&gt;0,1,0)</f>
        <v>0</v>
      </c>
      <c r="V1292" s="6" t="str">
        <f>IF(BBDD_Usiarios_Netflix[[#This Row],[Duración Plan]]="12 Meses",LEFT(BBDD_Usiarios_Netflix[[#This Row],[Duración Plan]],2),LEFT(BBDD_Usiarios_Netflix[[#This Row],[Duración Plan]],1))</f>
        <v>3</v>
      </c>
      <c r="W12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293" spans="1:23" x14ac:dyDescent="0.25">
      <c r="A1293">
        <v>1292</v>
      </c>
      <c r="B1293" t="s">
        <v>23</v>
      </c>
      <c r="C1293">
        <v>10</v>
      </c>
      <c r="D1293" s="3">
        <v>30</v>
      </c>
      <c r="E1293" s="3">
        <v>6</v>
      </c>
      <c r="F1293">
        <v>23</v>
      </c>
      <c r="G1293" s="1">
        <f>DATEVALUE(_xlfn.CONCAT(BBDD_Usiarios_Netflix[[#This Row],[Día Suscripción]],"/",BBDD_Usiarios_Netflix[[#This Row],[Mes Suscripción]],"/",BBDD_Usiarios_Netflix[[#This Row],[Año Suscripción]]))</f>
        <v>45107</v>
      </c>
      <c r="H1293" s="1">
        <v>4</v>
      </c>
      <c r="I1293" s="1">
        <v>7</v>
      </c>
      <c r="J1293" s="1">
        <v>24</v>
      </c>
      <c r="K1293" s="1" t="str">
        <f>TEXT(BBDD_Usiarios_Netflix[[#This Row],[Fecha Suscripción]],"dddd")</f>
        <v>viernes</v>
      </c>
      <c r="L1293" s="1">
        <f>DATEVALUE(_xlfn.CONCAT(BBDD_Usiarios_Netflix[[#This Row],[Día Último Pago]],"/",BBDD_Usiarios_Netflix[[#This Row],[Mes Último Pago]],"/",BBDD_Usiarios_Netflix[[#This Row],[Año Último Pago]]))</f>
        <v>45477</v>
      </c>
      <c r="M1293" s="4">
        <f>DATEDIF(BBDD_Usiarios_Netflix[[#This Row],[Fecha Suscripción]],BBDD_Usiarios_Netflix[[#This Row],[Fecha Último Pago]],"M")+1</f>
        <v>13</v>
      </c>
      <c r="N1293" s="4">
        <f>BBDD_Usiarios_Netflix[[#This Row],[Ingresos Mensuales]]*BBDD_Usiarios_Netflix[[#This Row],[Meses contratados]]</f>
        <v>130</v>
      </c>
      <c r="O1293" t="s">
        <v>24</v>
      </c>
      <c r="P1293" t="str">
        <f>IF(BBDD_Usiarios_Netflix[[#This Row],[País]]="","Desconocido",BBDD_Usiarios_Netflix[[#This Row],[País]])</f>
        <v>Australia</v>
      </c>
      <c r="Q1293">
        <v>30</v>
      </c>
      <c r="R1293" t="s">
        <v>30</v>
      </c>
      <c r="S1293" t="s">
        <v>34</v>
      </c>
      <c r="T1293" t="s">
        <v>27</v>
      </c>
      <c r="U1293">
        <f>IF(IFERROR(VLOOKUP(BBDD_Usiarios_Netflix[[#This Row],[Identificador Usuario]],A1294:$A$5870,1,FALSE),0)&lt;&gt;0,1,0)</f>
        <v>0</v>
      </c>
      <c r="V1293" s="6" t="str">
        <f>IF(BBDD_Usiarios_Netflix[[#This Row],[Duración Plan]]="12 Meses",LEFT(BBDD_Usiarios_Netflix[[#This Row],[Duración Plan]],2),LEFT(BBDD_Usiarios_Netflix[[#This Row],[Duración Plan]],1))</f>
        <v>1</v>
      </c>
      <c r="W12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94" spans="1:23" x14ac:dyDescent="0.25">
      <c r="A1294">
        <v>1293</v>
      </c>
      <c r="B1294" t="s">
        <v>32</v>
      </c>
      <c r="C1294">
        <v>12</v>
      </c>
      <c r="D1294" s="3">
        <v>1</v>
      </c>
      <c r="E1294" s="3">
        <v>7</v>
      </c>
      <c r="F1294">
        <v>23</v>
      </c>
      <c r="G1294" s="1">
        <f>DATEVALUE(_xlfn.CONCAT(BBDD_Usiarios_Netflix[[#This Row],[Día Suscripción]],"/",BBDD_Usiarios_Netflix[[#This Row],[Mes Suscripción]],"/",BBDD_Usiarios_Netflix[[#This Row],[Año Suscripción]]))</f>
        <v>45108</v>
      </c>
      <c r="H1294" s="1">
        <v>4</v>
      </c>
      <c r="I1294" s="1">
        <v>7</v>
      </c>
      <c r="J1294" s="1">
        <v>24</v>
      </c>
      <c r="K1294" s="1" t="str">
        <f>TEXT(BBDD_Usiarios_Netflix[[#This Row],[Fecha Suscripción]],"dddd")</f>
        <v>sábado</v>
      </c>
      <c r="L1294" s="1">
        <f>DATEVALUE(_xlfn.CONCAT(BBDD_Usiarios_Netflix[[#This Row],[Día Último Pago]],"/",BBDD_Usiarios_Netflix[[#This Row],[Mes Último Pago]],"/",BBDD_Usiarios_Netflix[[#This Row],[Año Último Pago]]))</f>
        <v>45477</v>
      </c>
      <c r="M1294" s="4">
        <f>DATEDIF(BBDD_Usiarios_Netflix[[#This Row],[Fecha Suscripción]],BBDD_Usiarios_Netflix[[#This Row],[Fecha Último Pago]],"M")+1</f>
        <v>13</v>
      </c>
      <c r="N1294" s="4">
        <f>BBDD_Usiarios_Netflix[[#This Row],[Ingresos Mensuales]]*BBDD_Usiarios_Netflix[[#This Row],[Meses contratados]]</f>
        <v>156</v>
      </c>
      <c r="O1294" t="s">
        <v>45</v>
      </c>
      <c r="P1294" t="str">
        <f>IF(BBDD_Usiarios_Netflix[[#This Row],[País]]="","Desconocido",BBDD_Usiarios_Netflix[[#This Row],[País]])</f>
        <v>España</v>
      </c>
      <c r="Q1294">
        <v>40</v>
      </c>
      <c r="R1294" t="s">
        <v>30</v>
      </c>
      <c r="S1294" t="s">
        <v>31</v>
      </c>
      <c r="T1294" t="s">
        <v>27</v>
      </c>
      <c r="U1294">
        <f>IF(IFERROR(VLOOKUP(BBDD_Usiarios_Netflix[[#This Row],[Identificador Usuario]],A1295:$A$5870,1,FALSE),0)&lt;&gt;0,1,0)</f>
        <v>0</v>
      </c>
      <c r="V1294" s="6" t="str">
        <f>IF(BBDD_Usiarios_Netflix[[#This Row],[Duración Plan]]="12 Meses",LEFT(BBDD_Usiarios_Netflix[[#This Row],[Duración Plan]],2),LEFT(BBDD_Usiarios_Netflix[[#This Row],[Duración Plan]],1))</f>
        <v>1</v>
      </c>
      <c r="W12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95" spans="1:23" x14ac:dyDescent="0.25">
      <c r="A1295">
        <v>1294</v>
      </c>
      <c r="B1295" t="s">
        <v>28</v>
      </c>
      <c r="C1295">
        <v>14</v>
      </c>
      <c r="D1295" s="3">
        <v>30</v>
      </c>
      <c r="E1295" s="3">
        <v>6</v>
      </c>
      <c r="F1295">
        <v>23</v>
      </c>
      <c r="G1295" s="1">
        <f>DATEVALUE(_xlfn.CONCAT(BBDD_Usiarios_Netflix[[#This Row],[Día Suscripción]],"/",BBDD_Usiarios_Netflix[[#This Row],[Mes Suscripción]],"/",BBDD_Usiarios_Netflix[[#This Row],[Año Suscripción]]))</f>
        <v>45107</v>
      </c>
      <c r="H1295" s="1">
        <v>4</v>
      </c>
      <c r="I1295" s="1">
        <v>7</v>
      </c>
      <c r="J1295" s="1">
        <v>24</v>
      </c>
      <c r="K1295" s="1" t="str">
        <f>TEXT(BBDD_Usiarios_Netflix[[#This Row],[Fecha Suscripción]],"dddd")</f>
        <v>viernes</v>
      </c>
      <c r="L1295" s="1">
        <f>DATEVALUE(_xlfn.CONCAT(BBDD_Usiarios_Netflix[[#This Row],[Día Último Pago]],"/",BBDD_Usiarios_Netflix[[#This Row],[Mes Último Pago]],"/",BBDD_Usiarios_Netflix[[#This Row],[Año Último Pago]]))</f>
        <v>45477</v>
      </c>
      <c r="M1295" s="4">
        <f>DATEDIF(BBDD_Usiarios_Netflix[[#This Row],[Fecha Suscripción]],BBDD_Usiarios_Netflix[[#This Row],[Fecha Último Pago]],"M")+1</f>
        <v>13</v>
      </c>
      <c r="N1295" s="4">
        <f>BBDD_Usiarios_Netflix[[#This Row],[Ingresos Mensuales]]*BBDD_Usiarios_Netflix[[#This Row],[Meses contratados]]</f>
        <v>182</v>
      </c>
      <c r="O1295" t="s">
        <v>24</v>
      </c>
      <c r="P1295" t="str">
        <f>IF(BBDD_Usiarios_Netflix[[#This Row],[País]]="","Desconocido",BBDD_Usiarios_Netflix[[#This Row],[País]])</f>
        <v>Australia</v>
      </c>
      <c r="Q1295">
        <v>51</v>
      </c>
      <c r="R1295" t="s">
        <v>30</v>
      </c>
      <c r="S1295" t="s">
        <v>26</v>
      </c>
      <c r="T1295" t="s">
        <v>27</v>
      </c>
      <c r="U1295">
        <f>IF(IFERROR(VLOOKUP(BBDD_Usiarios_Netflix[[#This Row],[Identificador Usuario]],A1296:$A$5870,1,FALSE),0)&lt;&gt;0,1,0)</f>
        <v>0</v>
      </c>
      <c r="V1295" s="6" t="str">
        <f>IF(BBDD_Usiarios_Netflix[[#This Row],[Duración Plan]]="12 Meses",LEFT(BBDD_Usiarios_Netflix[[#This Row],[Duración Plan]],2),LEFT(BBDD_Usiarios_Netflix[[#This Row],[Duración Plan]],1))</f>
        <v>1</v>
      </c>
      <c r="W12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96" spans="1:23" x14ac:dyDescent="0.25">
      <c r="A1296">
        <v>1295</v>
      </c>
      <c r="B1296" t="s">
        <v>23</v>
      </c>
      <c r="C1296">
        <v>10</v>
      </c>
      <c r="D1296" s="3">
        <v>29</v>
      </c>
      <c r="E1296" s="3">
        <v>6</v>
      </c>
      <c r="F1296">
        <v>23</v>
      </c>
      <c r="G1296" s="1">
        <f>DATEVALUE(_xlfn.CONCAT(BBDD_Usiarios_Netflix[[#This Row],[Día Suscripción]],"/",BBDD_Usiarios_Netflix[[#This Row],[Mes Suscripción]],"/",BBDD_Usiarios_Netflix[[#This Row],[Año Suscripción]]))</f>
        <v>45106</v>
      </c>
      <c r="H1296" s="1">
        <v>2</v>
      </c>
      <c r="I1296" s="1">
        <v>7</v>
      </c>
      <c r="J1296" s="1">
        <v>24</v>
      </c>
      <c r="K1296" s="1" t="str">
        <f>TEXT(BBDD_Usiarios_Netflix[[#This Row],[Fecha Suscripción]],"dddd")</f>
        <v>jueves</v>
      </c>
      <c r="L1296" s="1">
        <f>DATEVALUE(_xlfn.CONCAT(BBDD_Usiarios_Netflix[[#This Row],[Día Último Pago]],"/",BBDD_Usiarios_Netflix[[#This Row],[Mes Último Pago]],"/",BBDD_Usiarios_Netflix[[#This Row],[Año Último Pago]]))</f>
        <v>45475</v>
      </c>
      <c r="M1296" s="4">
        <f>DATEDIF(BBDD_Usiarios_Netflix[[#This Row],[Fecha Suscripción]],BBDD_Usiarios_Netflix[[#This Row],[Fecha Último Pago]],"M")+1</f>
        <v>13</v>
      </c>
      <c r="N1296" s="4">
        <f>BBDD_Usiarios_Netflix[[#This Row],[Ingresos Mensuales]]*BBDD_Usiarios_Netflix[[#This Row],[Meses contratados]]</f>
        <v>130</v>
      </c>
      <c r="O1296" t="s">
        <v>43</v>
      </c>
      <c r="P1296" t="str">
        <f>IF(BBDD_Usiarios_Netflix[[#This Row],[País]]="","Desconocido",BBDD_Usiarios_Netflix[[#This Row],[País]])</f>
        <v>Alemania</v>
      </c>
      <c r="Q1296">
        <v>40</v>
      </c>
      <c r="R1296" t="s">
        <v>30</v>
      </c>
      <c r="S1296" t="s">
        <v>26</v>
      </c>
      <c r="T1296" t="s">
        <v>27</v>
      </c>
      <c r="U1296">
        <f>IF(IFERROR(VLOOKUP(BBDD_Usiarios_Netflix[[#This Row],[Identificador Usuario]],A1297:$A$5870,1,FALSE),0)&lt;&gt;0,1,0)</f>
        <v>0</v>
      </c>
      <c r="V1296" s="6" t="str">
        <f>IF(BBDD_Usiarios_Netflix[[#This Row],[Duración Plan]]="12 Meses",LEFT(BBDD_Usiarios_Netflix[[#This Row],[Duración Plan]],2),LEFT(BBDD_Usiarios_Netflix[[#This Row],[Duración Plan]],1))</f>
        <v>1</v>
      </c>
      <c r="W12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297" spans="1:23" x14ac:dyDescent="0.25">
      <c r="A1297">
        <v>1296</v>
      </c>
      <c r="B1297" t="s">
        <v>28</v>
      </c>
      <c r="C1297">
        <v>14</v>
      </c>
      <c r="D1297" s="3">
        <v>30</v>
      </c>
      <c r="E1297" s="3">
        <v>6</v>
      </c>
      <c r="F1297">
        <v>23</v>
      </c>
      <c r="G1297" s="1">
        <f>DATEVALUE(_xlfn.CONCAT(BBDD_Usiarios_Netflix[[#This Row],[Día Suscripción]],"/",BBDD_Usiarios_Netflix[[#This Row],[Mes Suscripción]],"/",BBDD_Usiarios_Netflix[[#This Row],[Año Suscripción]]))</f>
        <v>45107</v>
      </c>
      <c r="H1297" s="1">
        <v>3</v>
      </c>
      <c r="I1297" s="1">
        <v>7</v>
      </c>
      <c r="J1297" s="1">
        <v>24</v>
      </c>
      <c r="K1297" s="1" t="str">
        <f>TEXT(BBDD_Usiarios_Netflix[[#This Row],[Fecha Suscripción]],"dddd")</f>
        <v>viernes</v>
      </c>
      <c r="L1297" s="1">
        <f>DATEVALUE(_xlfn.CONCAT(BBDD_Usiarios_Netflix[[#This Row],[Día Último Pago]],"/",BBDD_Usiarios_Netflix[[#This Row],[Mes Último Pago]],"/",BBDD_Usiarios_Netflix[[#This Row],[Año Último Pago]]))</f>
        <v>45476</v>
      </c>
      <c r="M1297" s="4">
        <f>DATEDIF(BBDD_Usiarios_Netflix[[#This Row],[Fecha Suscripción]],BBDD_Usiarios_Netflix[[#This Row],[Fecha Último Pago]],"M")+1</f>
        <v>13</v>
      </c>
      <c r="N1297" s="4">
        <f>BBDD_Usiarios_Netflix[[#This Row],[Ingresos Mensuales]]*BBDD_Usiarios_Netflix[[#This Row],[Meses contratados]]</f>
        <v>182</v>
      </c>
      <c r="O1297" t="s">
        <v>39</v>
      </c>
      <c r="P1297" t="str">
        <f>IF(BBDD_Usiarios_Netflix[[#This Row],[País]]="","Desconocido",BBDD_Usiarios_Netflix[[#This Row],[País]])</f>
        <v>Canadá</v>
      </c>
      <c r="Q1297">
        <v>28</v>
      </c>
      <c r="R1297" t="s">
        <v>25</v>
      </c>
      <c r="S1297" t="s">
        <v>34</v>
      </c>
      <c r="T1297" t="s">
        <v>35</v>
      </c>
      <c r="U1297">
        <f>IF(IFERROR(VLOOKUP(BBDD_Usiarios_Netflix[[#This Row],[Identificador Usuario]],A1298:$A$5870,1,FALSE),0)&lt;&gt;0,1,0)</f>
        <v>0</v>
      </c>
      <c r="V1297" s="6" t="str">
        <f>IF(BBDD_Usiarios_Netflix[[#This Row],[Duración Plan]]="12 Meses",LEFT(BBDD_Usiarios_Netflix[[#This Row],[Duración Plan]],2),LEFT(BBDD_Usiarios_Netflix[[#This Row],[Duración Plan]],1))</f>
        <v>6</v>
      </c>
      <c r="W12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298" spans="1:23" x14ac:dyDescent="0.25">
      <c r="A1298">
        <v>1297</v>
      </c>
      <c r="B1298" t="s">
        <v>23</v>
      </c>
      <c r="C1298">
        <v>10</v>
      </c>
      <c r="D1298" s="3">
        <v>29</v>
      </c>
      <c r="E1298" s="3">
        <v>6</v>
      </c>
      <c r="F1298">
        <v>23</v>
      </c>
      <c r="G1298" s="1">
        <f>DATEVALUE(_xlfn.CONCAT(BBDD_Usiarios_Netflix[[#This Row],[Día Suscripción]],"/",BBDD_Usiarios_Netflix[[#This Row],[Mes Suscripción]],"/",BBDD_Usiarios_Netflix[[#This Row],[Año Suscripción]]))</f>
        <v>45106</v>
      </c>
      <c r="H1298" s="1">
        <v>4</v>
      </c>
      <c r="I1298" s="1">
        <v>7</v>
      </c>
      <c r="J1298" s="1">
        <v>24</v>
      </c>
      <c r="K1298" s="1" t="str">
        <f>TEXT(BBDD_Usiarios_Netflix[[#This Row],[Fecha Suscripción]],"dddd")</f>
        <v>jueves</v>
      </c>
      <c r="L1298" s="1">
        <f>DATEVALUE(_xlfn.CONCAT(BBDD_Usiarios_Netflix[[#This Row],[Día Último Pago]],"/",BBDD_Usiarios_Netflix[[#This Row],[Mes Último Pago]],"/",BBDD_Usiarios_Netflix[[#This Row],[Año Último Pago]]))</f>
        <v>45477</v>
      </c>
      <c r="M1298" s="4">
        <f>DATEDIF(BBDD_Usiarios_Netflix[[#This Row],[Fecha Suscripción]],BBDD_Usiarios_Netflix[[#This Row],[Fecha Último Pago]],"M")+1</f>
        <v>13</v>
      </c>
      <c r="N1298" s="4">
        <f>BBDD_Usiarios_Netflix[[#This Row],[Ingresos Mensuales]]*BBDD_Usiarios_Netflix[[#This Row],[Meses contratados]]</f>
        <v>130</v>
      </c>
      <c r="O1298" t="s">
        <v>37</v>
      </c>
      <c r="P1298" t="str">
        <f>IF(BBDD_Usiarios_Netflix[[#This Row],[País]]="","Desconocido",BBDD_Usiarios_Netflix[[#This Row],[País]])</f>
        <v>Brasil</v>
      </c>
      <c r="Q1298">
        <v>51</v>
      </c>
      <c r="R1298" t="s">
        <v>30</v>
      </c>
      <c r="S1298" t="s">
        <v>26</v>
      </c>
      <c r="T1298" t="s">
        <v>41</v>
      </c>
      <c r="U1298">
        <f>IF(IFERROR(VLOOKUP(BBDD_Usiarios_Netflix[[#This Row],[Identificador Usuario]],A1299:$A$5870,1,FALSE),0)&lt;&gt;0,1,0)</f>
        <v>0</v>
      </c>
      <c r="V1298" s="6" t="str">
        <f>IF(BBDD_Usiarios_Netflix[[#This Row],[Duración Plan]]="12 Meses",LEFT(BBDD_Usiarios_Netflix[[#This Row],[Duración Plan]],2),LEFT(BBDD_Usiarios_Netflix[[#This Row],[Duración Plan]],1))</f>
        <v>12</v>
      </c>
      <c r="W12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299" spans="1:23" x14ac:dyDescent="0.25">
      <c r="A1299">
        <v>1298</v>
      </c>
      <c r="B1299" t="s">
        <v>32</v>
      </c>
      <c r="C1299">
        <v>12</v>
      </c>
      <c r="D1299" s="3">
        <v>26</v>
      </c>
      <c r="E1299" s="3">
        <v>6</v>
      </c>
      <c r="F1299">
        <v>23</v>
      </c>
      <c r="G1299" s="1">
        <f>DATEVALUE(_xlfn.CONCAT(BBDD_Usiarios_Netflix[[#This Row],[Día Suscripción]],"/",BBDD_Usiarios_Netflix[[#This Row],[Mes Suscripción]],"/",BBDD_Usiarios_Netflix[[#This Row],[Año Suscripción]]))</f>
        <v>45103</v>
      </c>
      <c r="H1299" s="1">
        <v>3</v>
      </c>
      <c r="I1299" s="1">
        <v>7</v>
      </c>
      <c r="J1299" s="1">
        <v>24</v>
      </c>
      <c r="K1299" s="1" t="str">
        <f>TEXT(BBDD_Usiarios_Netflix[[#This Row],[Fecha Suscripción]],"dddd")</f>
        <v>lunes</v>
      </c>
      <c r="L1299" s="1">
        <f>DATEVALUE(_xlfn.CONCAT(BBDD_Usiarios_Netflix[[#This Row],[Día Último Pago]],"/",BBDD_Usiarios_Netflix[[#This Row],[Mes Último Pago]],"/",BBDD_Usiarios_Netflix[[#This Row],[Año Último Pago]]))</f>
        <v>45476</v>
      </c>
      <c r="M1299" s="4">
        <f>DATEDIF(BBDD_Usiarios_Netflix[[#This Row],[Fecha Suscripción]],BBDD_Usiarios_Netflix[[#This Row],[Fecha Último Pago]],"M")+1</f>
        <v>13</v>
      </c>
      <c r="N1299" s="4">
        <f>BBDD_Usiarios_Netflix[[#This Row],[Ingresos Mensuales]]*BBDD_Usiarios_Netflix[[#This Row],[Meses contratados]]</f>
        <v>156</v>
      </c>
      <c r="O1299" t="s">
        <v>24</v>
      </c>
      <c r="P1299" t="str">
        <f>IF(BBDD_Usiarios_Netflix[[#This Row],[País]]="","Desconocido",BBDD_Usiarios_Netflix[[#This Row],[País]])</f>
        <v>Australia</v>
      </c>
      <c r="Q1299">
        <v>27</v>
      </c>
      <c r="R1299" t="s">
        <v>25</v>
      </c>
      <c r="S1299" t="s">
        <v>36</v>
      </c>
      <c r="T1299" t="s">
        <v>35</v>
      </c>
      <c r="U1299">
        <f>IF(IFERROR(VLOOKUP(BBDD_Usiarios_Netflix[[#This Row],[Identificador Usuario]],A1300:$A$5870,1,FALSE),0)&lt;&gt;0,1,0)</f>
        <v>0</v>
      </c>
      <c r="V1299" s="6" t="str">
        <f>IF(BBDD_Usiarios_Netflix[[#This Row],[Duración Plan]]="12 Meses",LEFT(BBDD_Usiarios_Netflix[[#This Row],[Duración Plan]],2),LEFT(BBDD_Usiarios_Netflix[[#This Row],[Duración Plan]],1))</f>
        <v>6</v>
      </c>
      <c r="W12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00" spans="1:23" x14ac:dyDescent="0.25">
      <c r="A1300">
        <v>1299</v>
      </c>
      <c r="B1300" t="s">
        <v>32</v>
      </c>
      <c r="C1300">
        <v>12</v>
      </c>
      <c r="D1300" s="3">
        <v>27</v>
      </c>
      <c r="E1300" s="3">
        <v>6</v>
      </c>
      <c r="F1300">
        <v>23</v>
      </c>
      <c r="G1300" s="1">
        <f>DATEVALUE(_xlfn.CONCAT(BBDD_Usiarios_Netflix[[#This Row],[Día Suscripción]],"/",BBDD_Usiarios_Netflix[[#This Row],[Mes Suscripción]],"/",BBDD_Usiarios_Netflix[[#This Row],[Año Suscripción]]))</f>
        <v>45104</v>
      </c>
      <c r="H1300" s="1">
        <v>1</v>
      </c>
      <c r="I1300" s="1">
        <v>7</v>
      </c>
      <c r="J1300" s="1">
        <v>24</v>
      </c>
      <c r="K1300" s="1" t="str">
        <f>TEXT(BBDD_Usiarios_Netflix[[#This Row],[Fecha Suscripción]],"dddd")</f>
        <v>martes</v>
      </c>
      <c r="L1300" s="1">
        <f>DATEVALUE(_xlfn.CONCAT(BBDD_Usiarios_Netflix[[#This Row],[Día Último Pago]],"/",BBDD_Usiarios_Netflix[[#This Row],[Mes Último Pago]],"/",BBDD_Usiarios_Netflix[[#This Row],[Año Último Pago]]))</f>
        <v>45474</v>
      </c>
      <c r="M1300" s="4">
        <f>DATEDIF(BBDD_Usiarios_Netflix[[#This Row],[Fecha Suscripción]],BBDD_Usiarios_Netflix[[#This Row],[Fecha Último Pago]],"M")+1</f>
        <v>13</v>
      </c>
      <c r="N1300" s="4">
        <f>BBDD_Usiarios_Netflix[[#This Row],[Ingresos Mensuales]]*BBDD_Usiarios_Netflix[[#This Row],[Meses contratados]]</f>
        <v>156</v>
      </c>
      <c r="O1300" t="s">
        <v>29</v>
      </c>
      <c r="P1300" t="str">
        <f>IF(BBDD_Usiarios_Netflix[[#This Row],[País]]="","Desconocido",BBDD_Usiarios_Netflix[[#This Row],[País]])</f>
        <v>EEUU</v>
      </c>
      <c r="Q1300">
        <v>35</v>
      </c>
      <c r="R1300" t="s">
        <v>25</v>
      </c>
      <c r="S1300" t="s">
        <v>34</v>
      </c>
      <c r="T1300" t="s">
        <v>35</v>
      </c>
      <c r="U1300">
        <f>IF(IFERROR(VLOOKUP(BBDD_Usiarios_Netflix[[#This Row],[Identificador Usuario]],A1301:$A$5870,1,FALSE),0)&lt;&gt;0,1,0)</f>
        <v>0</v>
      </c>
      <c r="V1300" s="6" t="str">
        <f>IF(BBDD_Usiarios_Netflix[[#This Row],[Duración Plan]]="12 Meses",LEFT(BBDD_Usiarios_Netflix[[#This Row],[Duración Plan]],2),LEFT(BBDD_Usiarios_Netflix[[#This Row],[Duración Plan]],1))</f>
        <v>6</v>
      </c>
      <c r="W13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01" spans="1:23" x14ac:dyDescent="0.25">
      <c r="A1301">
        <v>1300</v>
      </c>
      <c r="B1301" t="s">
        <v>23</v>
      </c>
      <c r="C1301">
        <v>10</v>
      </c>
      <c r="D1301" s="3">
        <v>24</v>
      </c>
      <c r="E1301" s="3">
        <v>6</v>
      </c>
      <c r="F1301">
        <v>23</v>
      </c>
      <c r="G1301" s="1">
        <f>DATEVALUE(_xlfn.CONCAT(BBDD_Usiarios_Netflix[[#This Row],[Día Suscripción]],"/",BBDD_Usiarios_Netflix[[#This Row],[Mes Suscripción]],"/",BBDD_Usiarios_Netflix[[#This Row],[Año Suscripción]]))</f>
        <v>45101</v>
      </c>
      <c r="H1301" s="1">
        <v>3</v>
      </c>
      <c r="I1301" s="1">
        <v>7</v>
      </c>
      <c r="J1301" s="1">
        <v>24</v>
      </c>
      <c r="K1301" s="1" t="str">
        <f>TEXT(BBDD_Usiarios_Netflix[[#This Row],[Fecha Suscripción]],"dddd")</f>
        <v>sábado</v>
      </c>
      <c r="L1301" s="1">
        <f>DATEVALUE(_xlfn.CONCAT(BBDD_Usiarios_Netflix[[#This Row],[Día Último Pago]],"/",BBDD_Usiarios_Netflix[[#This Row],[Mes Último Pago]],"/",BBDD_Usiarios_Netflix[[#This Row],[Año Último Pago]]))</f>
        <v>45476</v>
      </c>
      <c r="M1301" s="4">
        <f>DATEDIF(BBDD_Usiarios_Netflix[[#This Row],[Fecha Suscripción]],BBDD_Usiarios_Netflix[[#This Row],[Fecha Último Pago]],"M")+1</f>
        <v>13</v>
      </c>
      <c r="N1301" s="4">
        <f>BBDD_Usiarios_Netflix[[#This Row],[Ingresos Mensuales]]*BBDD_Usiarios_Netflix[[#This Row],[Meses contratados]]</f>
        <v>130</v>
      </c>
      <c r="O1301" t="s">
        <v>40</v>
      </c>
      <c r="P1301" t="str">
        <f>IF(BBDD_Usiarios_Netflix[[#This Row],[País]]="","Desconocido",BBDD_Usiarios_Netflix[[#This Row],[País]])</f>
        <v>Italia</v>
      </c>
      <c r="Q1301">
        <v>37</v>
      </c>
      <c r="R1301" t="s">
        <v>25</v>
      </c>
      <c r="S1301" t="s">
        <v>36</v>
      </c>
      <c r="T1301" t="s">
        <v>27</v>
      </c>
      <c r="U1301">
        <f>IF(IFERROR(VLOOKUP(BBDD_Usiarios_Netflix[[#This Row],[Identificador Usuario]],A1302:$A$5870,1,FALSE),0)&lt;&gt;0,1,0)</f>
        <v>0</v>
      </c>
      <c r="V1301" s="6" t="str">
        <f>IF(BBDD_Usiarios_Netflix[[#This Row],[Duración Plan]]="12 Meses",LEFT(BBDD_Usiarios_Netflix[[#This Row],[Duración Plan]],2),LEFT(BBDD_Usiarios_Netflix[[#This Row],[Duración Plan]],1))</f>
        <v>1</v>
      </c>
      <c r="W13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02" spans="1:23" x14ac:dyDescent="0.25">
      <c r="A1302">
        <v>1301</v>
      </c>
      <c r="B1302" t="s">
        <v>28</v>
      </c>
      <c r="C1302">
        <v>14</v>
      </c>
      <c r="D1302" s="3">
        <v>23</v>
      </c>
      <c r="E1302" s="3">
        <v>6</v>
      </c>
      <c r="F1302">
        <v>23</v>
      </c>
      <c r="G1302" s="1">
        <f>DATEVALUE(_xlfn.CONCAT(BBDD_Usiarios_Netflix[[#This Row],[Día Suscripción]],"/",BBDD_Usiarios_Netflix[[#This Row],[Mes Suscripción]],"/",BBDD_Usiarios_Netflix[[#This Row],[Año Suscripción]]))</f>
        <v>45100</v>
      </c>
      <c r="H1302" s="1">
        <v>4</v>
      </c>
      <c r="I1302" s="1">
        <v>7</v>
      </c>
      <c r="J1302" s="1">
        <v>24</v>
      </c>
      <c r="K1302" s="1" t="str">
        <f>TEXT(BBDD_Usiarios_Netflix[[#This Row],[Fecha Suscripción]],"dddd")</f>
        <v>viernes</v>
      </c>
      <c r="L1302" s="1">
        <f>DATEVALUE(_xlfn.CONCAT(BBDD_Usiarios_Netflix[[#This Row],[Día Último Pago]],"/",BBDD_Usiarios_Netflix[[#This Row],[Mes Último Pago]],"/",BBDD_Usiarios_Netflix[[#This Row],[Año Último Pago]]))</f>
        <v>45477</v>
      </c>
      <c r="M1302" s="4">
        <f>DATEDIF(BBDD_Usiarios_Netflix[[#This Row],[Fecha Suscripción]],BBDD_Usiarios_Netflix[[#This Row],[Fecha Último Pago]],"M")+1</f>
        <v>13</v>
      </c>
      <c r="N1302" s="4">
        <f>BBDD_Usiarios_Netflix[[#This Row],[Ingresos Mensuales]]*BBDD_Usiarios_Netflix[[#This Row],[Meses contratados]]</f>
        <v>182</v>
      </c>
      <c r="O1302" t="s">
        <v>33</v>
      </c>
      <c r="P1302" t="str">
        <f>IF(BBDD_Usiarios_Netflix[[#This Row],[País]]="","Desconocido",BBDD_Usiarios_Netflix[[#This Row],[País]])</f>
        <v>Francia</v>
      </c>
      <c r="Q1302">
        <v>51</v>
      </c>
      <c r="R1302" t="s">
        <v>25</v>
      </c>
      <c r="S1302" t="s">
        <v>34</v>
      </c>
      <c r="T1302" t="s">
        <v>35</v>
      </c>
      <c r="U1302">
        <f>IF(IFERROR(VLOOKUP(BBDD_Usiarios_Netflix[[#This Row],[Identificador Usuario]],A1303:$A$5870,1,FALSE),0)&lt;&gt;0,1,0)</f>
        <v>0</v>
      </c>
      <c r="V1302" s="6" t="str">
        <f>IF(BBDD_Usiarios_Netflix[[#This Row],[Duración Plan]]="12 Meses",LEFT(BBDD_Usiarios_Netflix[[#This Row],[Duración Plan]],2),LEFT(BBDD_Usiarios_Netflix[[#This Row],[Duración Plan]],1))</f>
        <v>6</v>
      </c>
      <c r="W13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03" spans="1:23" x14ac:dyDescent="0.25">
      <c r="A1303">
        <v>1302</v>
      </c>
      <c r="B1303" t="s">
        <v>23</v>
      </c>
      <c r="C1303">
        <v>10</v>
      </c>
      <c r="D1303" s="3">
        <v>23</v>
      </c>
      <c r="E1303" s="3">
        <v>6</v>
      </c>
      <c r="F1303">
        <v>23</v>
      </c>
      <c r="G1303" s="1">
        <f>DATEVALUE(_xlfn.CONCAT(BBDD_Usiarios_Netflix[[#This Row],[Día Suscripción]],"/",BBDD_Usiarios_Netflix[[#This Row],[Mes Suscripción]],"/",BBDD_Usiarios_Netflix[[#This Row],[Año Suscripción]]))</f>
        <v>45100</v>
      </c>
      <c r="H1303" s="1">
        <v>3</v>
      </c>
      <c r="I1303" s="1">
        <v>7</v>
      </c>
      <c r="J1303" s="1">
        <v>24</v>
      </c>
      <c r="K1303" s="1" t="str">
        <f>TEXT(BBDD_Usiarios_Netflix[[#This Row],[Fecha Suscripción]],"dddd")</f>
        <v>viernes</v>
      </c>
      <c r="L1303" s="1">
        <f>DATEVALUE(_xlfn.CONCAT(BBDD_Usiarios_Netflix[[#This Row],[Día Último Pago]],"/",BBDD_Usiarios_Netflix[[#This Row],[Mes Último Pago]],"/",BBDD_Usiarios_Netflix[[#This Row],[Año Último Pago]]))</f>
        <v>45476</v>
      </c>
      <c r="M1303" s="4">
        <f>DATEDIF(BBDD_Usiarios_Netflix[[#This Row],[Fecha Suscripción]],BBDD_Usiarios_Netflix[[#This Row],[Fecha Último Pago]],"M")+1</f>
        <v>13</v>
      </c>
      <c r="N1303" s="4">
        <f>BBDD_Usiarios_Netflix[[#This Row],[Ingresos Mensuales]]*BBDD_Usiarios_Netflix[[#This Row],[Meses contratados]]</f>
        <v>130</v>
      </c>
      <c r="O1303" t="s">
        <v>24</v>
      </c>
      <c r="P1303" t="str">
        <f>IF(BBDD_Usiarios_Netflix[[#This Row],[País]]="","Desconocido",BBDD_Usiarios_Netflix[[#This Row],[País]])</f>
        <v>Australia</v>
      </c>
      <c r="Q1303">
        <v>40</v>
      </c>
      <c r="R1303" t="s">
        <v>25</v>
      </c>
      <c r="S1303" t="s">
        <v>34</v>
      </c>
      <c r="T1303" t="s">
        <v>35</v>
      </c>
      <c r="U1303">
        <f>IF(IFERROR(VLOOKUP(BBDD_Usiarios_Netflix[[#This Row],[Identificador Usuario]],A1304:$A$5870,1,FALSE),0)&lt;&gt;0,1,0)</f>
        <v>0</v>
      </c>
      <c r="V1303" s="6" t="str">
        <f>IF(BBDD_Usiarios_Netflix[[#This Row],[Duración Plan]]="12 Meses",LEFT(BBDD_Usiarios_Netflix[[#This Row],[Duración Plan]],2),LEFT(BBDD_Usiarios_Netflix[[#This Row],[Duración Plan]],1))</f>
        <v>6</v>
      </c>
      <c r="W13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04" spans="1:23" x14ac:dyDescent="0.25">
      <c r="A1304">
        <v>1303</v>
      </c>
      <c r="B1304" t="s">
        <v>32</v>
      </c>
      <c r="C1304">
        <v>12</v>
      </c>
      <c r="D1304" s="3">
        <v>25</v>
      </c>
      <c r="E1304" s="3">
        <v>6</v>
      </c>
      <c r="F1304">
        <v>23</v>
      </c>
      <c r="G1304" s="1">
        <f>DATEVALUE(_xlfn.CONCAT(BBDD_Usiarios_Netflix[[#This Row],[Día Suscripción]],"/",BBDD_Usiarios_Netflix[[#This Row],[Mes Suscripción]],"/",BBDD_Usiarios_Netflix[[#This Row],[Año Suscripción]]))</f>
        <v>45102</v>
      </c>
      <c r="H1304" s="1">
        <v>3</v>
      </c>
      <c r="I1304" s="1">
        <v>7</v>
      </c>
      <c r="J1304" s="1">
        <v>24</v>
      </c>
      <c r="K1304" s="1" t="str">
        <f>TEXT(BBDD_Usiarios_Netflix[[#This Row],[Fecha Suscripción]],"dddd")</f>
        <v>domingo</v>
      </c>
      <c r="L1304" s="1">
        <f>DATEVALUE(_xlfn.CONCAT(BBDD_Usiarios_Netflix[[#This Row],[Día Último Pago]],"/",BBDD_Usiarios_Netflix[[#This Row],[Mes Último Pago]],"/",BBDD_Usiarios_Netflix[[#This Row],[Año Último Pago]]))</f>
        <v>45476</v>
      </c>
      <c r="M1304" s="4">
        <f>DATEDIF(BBDD_Usiarios_Netflix[[#This Row],[Fecha Suscripción]],BBDD_Usiarios_Netflix[[#This Row],[Fecha Último Pago]],"M")+1</f>
        <v>13</v>
      </c>
      <c r="N1304" s="4">
        <f>BBDD_Usiarios_Netflix[[#This Row],[Ingresos Mensuales]]*BBDD_Usiarios_Netflix[[#This Row],[Meses contratados]]</f>
        <v>156</v>
      </c>
      <c r="O1304" t="s">
        <v>44</v>
      </c>
      <c r="P1304" t="str">
        <f>IF(BBDD_Usiarios_Netflix[[#This Row],[País]]="","Desconocido",BBDD_Usiarios_Netflix[[#This Row],[País]])</f>
        <v>Desconocido</v>
      </c>
      <c r="Q1304">
        <v>38</v>
      </c>
      <c r="R1304" t="s">
        <v>25</v>
      </c>
      <c r="S1304" t="s">
        <v>36</v>
      </c>
      <c r="T1304" t="s">
        <v>41</v>
      </c>
      <c r="U1304">
        <f>IF(IFERROR(VLOOKUP(BBDD_Usiarios_Netflix[[#This Row],[Identificador Usuario]],A1305:$A$5870,1,FALSE),0)&lt;&gt;0,1,0)</f>
        <v>0</v>
      </c>
      <c r="V1304" s="6" t="str">
        <f>IF(BBDD_Usiarios_Netflix[[#This Row],[Duración Plan]]="12 Meses",LEFT(BBDD_Usiarios_Netflix[[#This Row],[Duración Plan]],2),LEFT(BBDD_Usiarios_Netflix[[#This Row],[Duración Plan]],1))</f>
        <v>12</v>
      </c>
      <c r="W13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05" spans="1:23" x14ac:dyDescent="0.25">
      <c r="A1305">
        <v>1304</v>
      </c>
      <c r="B1305" t="s">
        <v>28</v>
      </c>
      <c r="C1305">
        <v>14</v>
      </c>
      <c r="D1305" s="3">
        <v>28</v>
      </c>
      <c r="E1305" s="3">
        <v>6</v>
      </c>
      <c r="F1305">
        <v>23</v>
      </c>
      <c r="G1305" s="1">
        <f>DATEVALUE(_xlfn.CONCAT(BBDD_Usiarios_Netflix[[#This Row],[Día Suscripción]],"/",BBDD_Usiarios_Netflix[[#This Row],[Mes Suscripción]],"/",BBDD_Usiarios_Netflix[[#This Row],[Año Suscripción]]))</f>
        <v>45105</v>
      </c>
      <c r="H1305" s="1">
        <v>3</v>
      </c>
      <c r="I1305" s="1">
        <v>7</v>
      </c>
      <c r="J1305" s="1">
        <v>24</v>
      </c>
      <c r="K1305" s="1" t="str">
        <f>TEXT(BBDD_Usiarios_Netflix[[#This Row],[Fecha Suscripción]],"dddd")</f>
        <v>miércoles</v>
      </c>
      <c r="L1305" s="1">
        <f>DATEVALUE(_xlfn.CONCAT(BBDD_Usiarios_Netflix[[#This Row],[Día Último Pago]],"/",BBDD_Usiarios_Netflix[[#This Row],[Mes Último Pago]],"/",BBDD_Usiarios_Netflix[[#This Row],[Año Último Pago]]))</f>
        <v>45476</v>
      </c>
      <c r="M1305" s="4">
        <f>DATEDIF(BBDD_Usiarios_Netflix[[#This Row],[Fecha Suscripción]],BBDD_Usiarios_Netflix[[#This Row],[Fecha Último Pago]],"M")+1</f>
        <v>13</v>
      </c>
      <c r="N1305" s="4">
        <f>BBDD_Usiarios_Netflix[[#This Row],[Ingresos Mensuales]]*BBDD_Usiarios_Netflix[[#This Row],[Meses contratados]]</f>
        <v>182</v>
      </c>
      <c r="O1305" t="s">
        <v>40</v>
      </c>
      <c r="P1305" t="str">
        <f>IF(BBDD_Usiarios_Netflix[[#This Row],[País]]="","Desconocido",BBDD_Usiarios_Netflix[[#This Row],[País]])</f>
        <v>Italia</v>
      </c>
      <c r="Q1305">
        <v>48</v>
      </c>
      <c r="R1305" t="s">
        <v>30</v>
      </c>
      <c r="S1305" t="s">
        <v>36</v>
      </c>
      <c r="T1305" t="s">
        <v>35</v>
      </c>
      <c r="U1305">
        <f>IF(IFERROR(VLOOKUP(BBDD_Usiarios_Netflix[[#This Row],[Identificador Usuario]],A1306:$A$5870,1,FALSE),0)&lt;&gt;0,1,0)</f>
        <v>0</v>
      </c>
      <c r="V1305" s="6" t="str">
        <f>IF(BBDD_Usiarios_Netflix[[#This Row],[Duración Plan]]="12 Meses",LEFT(BBDD_Usiarios_Netflix[[#This Row],[Duración Plan]],2),LEFT(BBDD_Usiarios_Netflix[[#This Row],[Duración Plan]],1))</f>
        <v>6</v>
      </c>
      <c r="W13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06" spans="1:23" x14ac:dyDescent="0.25">
      <c r="A1306">
        <v>1305</v>
      </c>
      <c r="B1306" t="s">
        <v>23</v>
      </c>
      <c r="C1306">
        <v>10</v>
      </c>
      <c r="D1306" s="3">
        <v>1</v>
      </c>
      <c r="E1306" s="3">
        <v>7</v>
      </c>
      <c r="F1306">
        <v>23</v>
      </c>
      <c r="G1306" s="1">
        <f>DATEVALUE(_xlfn.CONCAT(BBDD_Usiarios_Netflix[[#This Row],[Día Suscripción]],"/",BBDD_Usiarios_Netflix[[#This Row],[Mes Suscripción]],"/",BBDD_Usiarios_Netflix[[#This Row],[Año Suscripción]]))</f>
        <v>45108</v>
      </c>
      <c r="H1306" s="1">
        <v>3</v>
      </c>
      <c r="I1306" s="1">
        <v>7</v>
      </c>
      <c r="J1306" s="1">
        <v>24</v>
      </c>
      <c r="K1306" s="1" t="str">
        <f>TEXT(BBDD_Usiarios_Netflix[[#This Row],[Fecha Suscripción]],"dddd")</f>
        <v>sábado</v>
      </c>
      <c r="L1306" s="1">
        <f>DATEVALUE(_xlfn.CONCAT(BBDD_Usiarios_Netflix[[#This Row],[Día Último Pago]],"/",BBDD_Usiarios_Netflix[[#This Row],[Mes Último Pago]],"/",BBDD_Usiarios_Netflix[[#This Row],[Año Último Pago]]))</f>
        <v>45476</v>
      </c>
      <c r="M1306" s="4">
        <f>DATEDIF(BBDD_Usiarios_Netflix[[#This Row],[Fecha Suscripción]],BBDD_Usiarios_Netflix[[#This Row],[Fecha Último Pago]],"M")+1</f>
        <v>13</v>
      </c>
      <c r="N1306" s="4">
        <f>BBDD_Usiarios_Netflix[[#This Row],[Ingresos Mensuales]]*BBDD_Usiarios_Netflix[[#This Row],[Meses contratados]]</f>
        <v>130</v>
      </c>
      <c r="O1306" t="s">
        <v>37</v>
      </c>
      <c r="P1306" t="str">
        <f>IF(BBDD_Usiarios_Netflix[[#This Row],[País]]="","Desconocido",BBDD_Usiarios_Netflix[[#This Row],[País]])</f>
        <v>Brasil</v>
      </c>
      <c r="Q1306">
        <v>49</v>
      </c>
      <c r="R1306" t="s">
        <v>25</v>
      </c>
      <c r="S1306" t="s">
        <v>26</v>
      </c>
      <c r="T1306" t="s">
        <v>27</v>
      </c>
      <c r="U1306">
        <f>IF(IFERROR(VLOOKUP(BBDD_Usiarios_Netflix[[#This Row],[Identificador Usuario]],A1307:$A$5870,1,FALSE),0)&lt;&gt;0,1,0)</f>
        <v>0</v>
      </c>
      <c r="V1306" s="6" t="str">
        <f>IF(BBDD_Usiarios_Netflix[[#This Row],[Duración Plan]]="12 Meses",LEFT(BBDD_Usiarios_Netflix[[#This Row],[Duración Plan]],2),LEFT(BBDD_Usiarios_Netflix[[#This Row],[Duración Plan]],1))</f>
        <v>1</v>
      </c>
      <c r="W13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07" spans="1:23" x14ac:dyDescent="0.25">
      <c r="A1307">
        <v>1306</v>
      </c>
      <c r="B1307" t="s">
        <v>28</v>
      </c>
      <c r="C1307">
        <v>14</v>
      </c>
      <c r="D1307" s="3">
        <v>2</v>
      </c>
      <c r="E1307" s="3">
        <v>7</v>
      </c>
      <c r="F1307">
        <v>23</v>
      </c>
      <c r="G1307" s="1">
        <f>DATEVALUE(_xlfn.CONCAT(BBDD_Usiarios_Netflix[[#This Row],[Día Suscripción]],"/",BBDD_Usiarios_Netflix[[#This Row],[Mes Suscripción]],"/",BBDD_Usiarios_Netflix[[#This Row],[Año Suscripción]]))</f>
        <v>45109</v>
      </c>
      <c r="H1307" s="1">
        <v>5</v>
      </c>
      <c r="I1307" s="1">
        <v>7</v>
      </c>
      <c r="J1307" s="1">
        <v>24</v>
      </c>
      <c r="K1307" s="1" t="str">
        <f>TEXT(BBDD_Usiarios_Netflix[[#This Row],[Fecha Suscripción]],"dddd")</f>
        <v>domingo</v>
      </c>
      <c r="L1307" s="1">
        <f>DATEVALUE(_xlfn.CONCAT(BBDD_Usiarios_Netflix[[#This Row],[Día Último Pago]],"/",BBDD_Usiarios_Netflix[[#This Row],[Mes Último Pago]],"/",BBDD_Usiarios_Netflix[[#This Row],[Año Último Pago]]))</f>
        <v>45478</v>
      </c>
      <c r="M1307" s="4">
        <f>DATEDIF(BBDD_Usiarios_Netflix[[#This Row],[Fecha Suscripción]],BBDD_Usiarios_Netflix[[#This Row],[Fecha Último Pago]],"M")+1</f>
        <v>13</v>
      </c>
      <c r="N1307" s="4">
        <f>BBDD_Usiarios_Netflix[[#This Row],[Ingresos Mensuales]]*BBDD_Usiarios_Netflix[[#This Row],[Meses contratados]]</f>
        <v>182</v>
      </c>
      <c r="O1307" t="s">
        <v>33</v>
      </c>
      <c r="P1307" t="str">
        <f>IF(BBDD_Usiarios_Netflix[[#This Row],[País]]="","Desconocido",BBDD_Usiarios_Netflix[[#This Row],[País]])</f>
        <v>Francia</v>
      </c>
      <c r="Q1307">
        <v>33</v>
      </c>
      <c r="R1307" t="s">
        <v>30</v>
      </c>
      <c r="S1307" t="s">
        <v>36</v>
      </c>
      <c r="T1307" t="s">
        <v>41</v>
      </c>
      <c r="U1307">
        <f>IF(IFERROR(VLOOKUP(BBDD_Usiarios_Netflix[[#This Row],[Identificador Usuario]],A1308:$A$5870,1,FALSE),0)&lt;&gt;0,1,0)</f>
        <v>0</v>
      </c>
      <c r="V1307" s="6" t="str">
        <f>IF(BBDD_Usiarios_Netflix[[#This Row],[Duración Plan]]="12 Meses",LEFT(BBDD_Usiarios_Netflix[[#This Row],[Duración Plan]],2),LEFT(BBDD_Usiarios_Netflix[[#This Row],[Duración Plan]],1))</f>
        <v>12</v>
      </c>
      <c r="W13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08" spans="1:23" x14ac:dyDescent="0.25">
      <c r="A1308">
        <v>1307</v>
      </c>
      <c r="B1308" t="s">
        <v>23</v>
      </c>
      <c r="C1308">
        <v>10</v>
      </c>
      <c r="D1308" s="3">
        <v>6</v>
      </c>
      <c r="E1308" s="3">
        <v>7</v>
      </c>
      <c r="F1308">
        <v>23</v>
      </c>
      <c r="G1308" s="1">
        <f>DATEVALUE(_xlfn.CONCAT(BBDD_Usiarios_Netflix[[#This Row],[Día Suscripción]],"/",BBDD_Usiarios_Netflix[[#This Row],[Mes Suscripción]],"/",BBDD_Usiarios_Netflix[[#This Row],[Año Suscripción]]))</f>
        <v>45113</v>
      </c>
      <c r="H1308" s="1">
        <v>3</v>
      </c>
      <c r="I1308" s="1">
        <v>7</v>
      </c>
      <c r="J1308" s="1">
        <v>24</v>
      </c>
      <c r="K1308" s="1" t="str">
        <f>TEXT(BBDD_Usiarios_Netflix[[#This Row],[Fecha Suscripción]],"dddd")</f>
        <v>jueves</v>
      </c>
      <c r="L1308" s="1">
        <f>DATEVALUE(_xlfn.CONCAT(BBDD_Usiarios_Netflix[[#This Row],[Día Último Pago]],"/",BBDD_Usiarios_Netflix[[#This Row],[Mes Último Pago]],"/",BBDD_Usiarios_Netflix[[#This Row],[Año Último Pago]]))</f>
        <v>45476</v>
      </c>
      <c r="M1308" s="4">
        <f>DATEDIF(BBDD_Usiarios_Netflix[[#This Row],[Fecha Suscripción]],BBDD_Usiarios_Netflix[[#This Row],[Fecha Último Pago]],"M")+1</f>
        <v>12</v>
      </c>
      <c r="N1308" s="4">
        <f>BBDD_Usiarios_Netflix[[#This Row],[Ingresos Mensuales]]*BBDD_Usiarios_Netflix[[#This Row],[Meses contratados]]</f>
        <v>120</v>
      </c>
      <c r="O1308" t="s">
        <v>42</v>
      </c>
      <c r="P1308" t="str">
        <f>IF(BBDD_Usiarios_Netflix[[#This Row],[País]]="","Desconocido",BBDD_Usiarios_Netflix[[#This Row],[País]])</f>
        <v>Reino Unido</v>
      </c>
      <c r="Q1308">
        <v>34</v>
      </c>
      <c r="R1308" t="s">
        <v>30</v>
      </c>
      <c r="S1308" t="s">
        <v>31</v>
      </c>
      <c r="T1308" t="s">
        <v>27</v>
      </c>
      <c r="U1308">
        <f>IF(IFERROR(VLOOKUP(BBDD_Usiarios_Netflix[[#This Row],[Identificador Usuario]],A1309:$A$5870,1,FALSE),0)&lt;&gt;0,1,0)</f>
        <v>0</v>
      </c>
      <c r="V1308" s="6" t="str">
        <f>IF(BBDD_Usiarios_Netflix[[#This Row],[Duración Plan]]="12 Meses",LEFT(BBDD_Usiarios_Netflix[[#This Row],[Duración Plan]],2),LEFT(BBDD_Usiarios_Netflix[[#This Row],[Duración Plan]],1))</f>
        <v>1</v>
      </c>
      <c r="W13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09" spans="1:23" x14ac:dyDescent="0.25">
      <c r="A1309">
        <v>1308</v>
      </c>
      <c r="B1309" t="s">
        <v>32</v>
      </c>
      <c r="C1309">
        <v>12</v>
      </c>
      <c r="D1309" s="3">
        <v>12</v>
      </c>
      <c r="E1309" s="3">
        <v>7</v>
      </c>
      <c r="F1309">
        <v>23</v>
      </c>
      <c r="G1309" s="1">
        <f>DATEVALUE(_xlfn.CONCAT(BBDD_Usiarios_Netflix[[#This Row],[Día Suscripción]],"/",BBDD_Usiarios_Netflix[[#This Row],[Mes Suscripción]],"/",BBDD_Usiarios_Netflix[[#This Row],[Año Suscripción]]))</f>
        <v>45119</v>
      </c>
      <c r="H1309" s="1">
        <v>6</v>
      </c>
      <c r="I1309" s="1">
        <v>7</v>
      </c>
      <c r="J1309" s="1">
        <v>24</v>
      </c>
      <c r="K1309" s="1" t="str">
        <f>TEXT(BBDD_Usiarios_Netflix[[#This Row],[Fecha Suscripción]],"dddd")</f>
        <v>miércoles</v>
      </c>
      <c r="L1309" s="1">
        <f>DATEVALUE(_xlfn.CONCAT(BBDD_Usiarios_Netflix[[#This Row],[Día Último Pago]],"/",BBDD_Usiarios_Netflix[[#This Row],[Mes Último Pago]],"/",BBDD_Usiarios_Netflix[[#This Row],[Año Último Pago]]))</f>
        <v>45479</v>
      </c>
      <c r="M1309" s="4">
        <f>DATEDIF(BBDD_Usiarios_Netflix[[#This Row],[Fecha Suscripción]],BBDD_Usiarios_Netflix[[#This Row],[Fecha Último Pago]],"M")+1</f>
        <v>12</v>
      </c>
      <c r="N1309" s="4">
        <f>BBDD_Usiarios_Netflix[[#This Row],[Ingresos Mensuales]]*BBDD_Usiarios_Netflix[[#This Row],[Meses contratados]]</f>
        <v>144</v>
      </c>
      <c r="O1309" t="s">
        <v>44</v>
      </c>
      <c r="P1309" t="str">
        <f>IF(BBDD_Usiarios_Netflix[[#This Row],[País]]="","Desconocido",BBDD_Usiarios_Netflix[[#This Row],[País]])</f>
        <v>Desconocido</v>
      </c>
      <c r="Q1309">
        <v>39</v>
      </c>
      <c r="R1309" t="s">
        <v>25</v>
      </c>
      <c r="S1309" t="s">
        <v>31</v>
      </c>
      <c r="T1309" t="s">
        <v>27</v>
      </c>
      <c r="U1309">
        <f>IF(IFERROR(VLOOKUP(BBDD_Usiarios_Netflix[[#This Row],[Identificador Usuario]],A1310:$A$5870,1,FALSE),0)&lt;&gt;0,1,0)</f>
        <v>0</v>
      </c>
      <c r="V1309" s="6" t="str">
        <f>IF(BBDD_Usiarios_Netflix[[#This Row],[Duración Plan]]="12 Meses",LEFT(BBDD_Usiarios_Netflix[[#This Row],[Duración Plan]],2),LEFT(BBDD_Usiarios_Netflix[[#This Row],[Duración Plan]],1))</f>
        <v>1</v>
      </c>
      <c r="W13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10" spans="1:23" x14ac:dyDescent="0.25">
      <c r="A1310">
        <v>1309</v>
      </c>
      <c r="B1310" t="s">
        <v>32</v>
      </c>
      <c r="C1310">
        <v>12</v>
      </c>
      <c r="D1310" s="3">
        <v>17</v>
      </c>
      <c r="E1310" s="3">
        <v>7</v>
      </c>
      <c r="F1310">
        <v>23</v>
      </c>
      <c r="G1310" s="1">
        <f>DATEVALUE(_xlfn.CONCAT(BBDD_Usiarios_Netflix[[#This Row],[Día Suscripción]],"/",BBDD_Usiarios_Netflix[[#This Row],[Mes Suscripción]],"/",BBDD_Usiarios_Netflix[[#This Row],[Año Suscripción]]))</f>
        <v>45124</v>
      </c>
      <c r="H1310" s="1">
        <v>2</v>
      </c>
      <c r="I1310" s="1">
        <v>7</v>
      </c>
      <c r="J1310" s="1">
        <v>24</v>
      </c>
      <c r="K1310" s="1" t="str">
        <f>TEXT(BBDD_Usiarios_Netflix[[#This Row],[Fecha Suscripción]],"dddd")</f>
        <v>lunes</v>
      </c>
      <c r="L1310" s="1">
        <f>DATEVALUE(_xlfn.CONCAT(BBDD_Usiarios_Netflix[[#This Row],[Día Último Pago]],"/",BBDD_Usiarios_Netflix[[#This Row],[Mes Último Pago]],"/",BBDD_Usiarios_Netflix[[#This Row],[Año Último Pago]]))</f>
        <v>45475</v>
      </c>
      <c r="M1310" s="4">
        <f>DATEDIF(BBDD_Usiarios_Netflix[[#This Row],[Fecha Suscripción]],BBDD_Usiarios_Netflix[[#This Row],[Fecha Último Pago]],"M")+1</f>
        <v>12</v>
      </c>
      <c r="N1310" s="4">
        <f>BBDD_Usiarios_Netflix[[#This Row],[Ingresos Mensuales]]*BBDD_Usiarios_Netflix[[#This Row],[Meses contratados]]</f>
        <v>144</v>
      </c>
      <c r="O1310" t="s">
        <v>42</v>
      </c>
      <c r="P1310" t="str">
        <f>IF(BBDD_Usiarios_Netflix[[#This Row],[País]]="","Desconocido",BBDD_Usiarios_Netflix[[#This Row],[País]])</f>
        <v>Reino Unido</v>
      </c>
      <c r="Q1310">
        <v>37</v>
      </c>
      <c r="R1310" t="s">
        <v>30</v>
      </c>
      <c r="S1310" t="s">
        <v>31</v>
      </c>
      <c r="T1310" t="s">
        <v>35</v>
      </c>
      <c r="U1310">
        <f>IF(IFERROR(VLOOKUP(BBDD_Usiarios_Netflix[[#This Row],[Identificador Usuario]],A1311:$A$5870,1,FALSE),0)&lt;&gt;0,1,0)</f>
        <v>0</v>
      </c>
      <c r="V1310" s="6" t="str">
        <f>IF(BBDD_Usiarios_Netflix[[#This Row],[Duración Plan]]="12 Meses",LEFT(BBDD_Usiarios_Netflix[[#This Row],[Duración Plan]],2),LEFT(BBDD_Usiarios_Netflix[[#This Row],[Duración Plan]],1))</f>
        <v>6</v>
      </c>
      <c r="W13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11" spans="1:23" x14ac:dyDescent="0.25">
      <c r="A1311">
        <v>1310</v>
      </c>
      <c r="B1311" t="s">
        <v>23</v>
      </c>
      <c r="C1311">
        <v>10</v>
      </c>
      <c r="D1311" s="3">
        <v>23</v>
      </c>
      <c r="E1311" s="3">
        <v>7</v>
      </c>
      <c r="F1311">
        <v>23</v>
      </c>
      <c r="G1311" s="1">
        <f>DATEVALUE(_xlfn.CONCAT(BBDD_Usiarios_Netflix[[#This Row],[Día Suscripción]],"/",BBDD_Usiarios_Netflix[[#This Row],[Mes Suscripción]],"/",BBDD_Usiarios_Netflix[[#This Row],[Año Suscripción]]))</f>
        <v>45130</v>
      </c>
      <c r="H1311" s="1">
        <v>5</v>
      </c>
      <c r="I1311" s="1">
        <v>7</v>
      </c>
      <c r="J1311" s="1">
        <v>24</v>
      </c>
      <c r="K1311" s="1" t="str">
        <f>TEXT(BBDD_Usiarios_Netflix[[#This Row],[Fecha Suscripción]],"dddd")</f>
        <v>domingo</v>
      </c>
      <c r="L1311" s="1">
        <f>DATEVALUE(_xlfn.CONCAT(BBDD_Usiarios_Netflix[[#This Row],[Día Último Pago]],"/",BBDD_Usiarios_Netflix[[#This Row],[Mes Último Pago]],"/",BBDD_Usiarios_Netflix[[#This Row],[Año Último Pago]]))</f>
        <v>45478</v>
      </c>
      <c r="M1311" s="4">
        <f>DATEDIF(BBDD_Usiarios_Netflix[[#This Row],[Fecha Suscripción]],BBDD_Usiarios_Netflix[[#This Row],[Fecha Último Pago]],"M")+1</f>
        <v>12</v>
      </c>
      <c r="N1311" s="4">
        <f>BBDD_Usiarios_Netflix[[#This Row],[Ingresos Mensuales]]*BBDD_Usiarios_Netflix[[#This Row],[Meses contratados]]</f>
        <v>120</v>
      </c>
      <c r="O1311" t="s">
        <v>44</v>
      </c>
      <c r="P1311" t="str">
        <f>IF(BBDD_Usiarios_Netflix[[#This Row],[País]]="","Desconocido",BBDD_Usiarios_Netflix[[#This Row],[País]])</f>
        <v>Desconocido</v>
      </c>
      <c r="Q1311">
        <v>44</v>
      </c>
      <c r="R1311" t="s">
        <v>25</v>
      </c>
      <c r="S1311" t="s">
        <v>36</v>
      </c>
      <c r="T1311" t="s">
        <v>27</v>
      </c>
      <c r="U1311">
        <f>IF(IFERROR(VLOOKUP(BBDD_Usiarios_Netflix[[#This Row],[Identificador Usuario]],A1312:$A$5870,1,FALSE),0)&lt;&gt;0,1,0)</f>
        <v>0</v>
      </c>
      <c r="V1311" s="6" t="str">
        <f>IF(BBDD_Usiarios_Netflix[[#This Row],[Duración Plan]]="12 Meses",LEFT(BBDD_Usiarios_Netflix[[#This Row],[Duración Plan]],2),LEFT(BBDD_Usiarios_Netflix[[#This Row],[Duración Plan]],1))</f>
        <v>1</v>
      </c>
      <c r="W13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12" spans="1:23" x14ac:dyDescent="0.25">
      <c r="A1312">
        <v>1311</v>
      </c>
      <c r="B1312" t="s">
        <v>28</v>
      </c>
      <c r="C1312">
        <v>14</v>
      </c>
      <c r="D1312" s="3">
        <v>29</v>
      </c>
      <c r="E1312" s="3">
        <v>7</v>
      </c>
      <c r="F1312">
        <v>23</v>
      </c>
      <c r="G1312" s="1">
        <f>DATEVALUE(_xlfn.CONCAT(BBDD_Usiarios_Netflix[[#This Row],[Día Suscripción]],"/",BBDD_Usiarios_Netflix[[#This Row],[Mes Suscripción]],"/",BBDD_Usiarios_Netflix[[#This Row],[Año Suscripción]]))</f>
        <v>45136</v>
      </c>
      <c r="H1312" s="1">
        <v>4</v>
      </c>
      <c r="I1312" s="1">
        <v>7</v>
      </c>
      <c r="J1312" s="1">
        <v>24</v>
      </c>
      <c r="K1312" s="1" t="str">
        <f>TEXT(BBDD_Usiarios_Netflix[[#This Row],[Fecha Suscripción]],"dddd")</f>
        <v>sábado</v>
      </c>
      <c r="L1312" s="1">
        <f>DATEVALUE(_xlfn.CONCAT(BBDD_Usiarios_Netflix[[#This Row],[Día Último Pago]],"/",BBDD_Usiarios_Netflix[[#This Row],[Mes Último Pago]],"/",BBDD_Usiarios_Netflix[[#This Row],[Año Último Pago]]))</f>
        <v>45477</v>
      </c>
      <c r="M1312" s="4">
        <f>DATEDIF(BBDD_Usiarios_Netflix[[#This Row],[Fecha Suscripción]],BBDD_Usiarios_Netflix[[#This Row],[Fecha Último Pago]],"M")+1</f>
        <v>12</v>
      </c>
      <c r="N1312" s="4">
        <f>BBDD_Usiarios_Netflix[[#This Row],[Ingresos Mensuales]]*BBDD_Usiarios_Netflix[[#This Row],[Meses contratados]]</f>
        <v>168</v>
      </c>
      <c r="O1312" t="s">
        <v>29</v>
      </c>
      <c r="P1312" t="str">
        <f>IF(BBDD_Usiarios_Netflix[[#This Row],[País]]="","Desconocido",BBDD_Usiarios_Netflix[[#This Row],[País]])</f>
        <v>EEUU</v>
      </c>
      <c r="Q1312">
        <v>35</v>
      </c>
      <c r="R1312" t="s">
        <v>25</v>
      </c>
      <c r="S1312" t="s">
        <v>31</v>
      </c>
      <c r="T1312" t="s">
        <v>35</v>
      </c>
      <c r="U1312">
        <f>IF(IFERROR(VLOOKUP(BBDD_Usiarios_Netflix[[#This Row],[Identificador Usuario]],A1313:$A$5870,1,FALSE),0)&lt;&gt;0,1,0)</f>
        <v>0</v>
      </c>
      <c r="V1312" s="6" t="str">
        <f>IF(BBDD_Usiarios_Netflix[[#This Row],[Duración Plan]]="12 Meses",LEFT(BBDD_Usiarios_Netflix[[#This Row],[Duración Plan]],2),LEFT(BBDD_Usiarios_Netflix[[#This Row],[Duración Plan]],1))</f>
        <v>6</v>
      </c>
      <c r="W13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13" spans="1:23" x14ac:dyDescent="0.25">
      <c r="A1313">
        <v>1312</v>
      </c>
      <c r="B1313" t="s">
        <v>23</v>
      </c>
      <c r="C1313">
        <v>10</v>
      </c>
      <c r="D1313" s="3">
        <v>6</v>
      </c>
      <c r="E1313" s="3">
        <v>8</v>
      </c>
      <c r="F1313">
        <v>23</v>
      </c>
      <c r="G1313" s="1">
        <f>DATEVALUE(_xlfn.CONCAT(BBDD_Usiarios_Netflix[[#This Row],[Día Suscripción]],"/",BBDD_Usiarios_Netflix[[#This Row],[Mes Suscripción]],"/",BBDD_Usiarios_Netflix[[#This Row],[Año Suscripción]]))</f>
        <v>45144</v>
      </c>
      <c r="H1313" s="1">
        <v>6</v>
      </c>
      <c r="I1313" s="1">
        <v>7</v>
      </c>
      <c r="J1313" s="1">
        <v>24</v>
      </c>
      <c r="K1313" s="1" t="str">
        <f>TEXT(BBDD_Usiarios_Netflix[[#This Row],[Fecha Suscripción]],"dddd")</f>
        <v>domingo</v>
      </c>
      <c r="L1313" s="1">
        <f>DATEVALUE(_xlfn.CONCAT(BBDD_Usiarios_Netflix[[#This Row],[Día Último Pago]],"/",BBDD_Usiarios_Netflix[[#This Row],[Mes Último Pago]],"/",BBDD_Usiarios_Netflix[[#This Row],[Año Último Pago]]))</f>
        <v>45479</v>
      </c>
      <c r="M1313" s="4">
        <f>DATEDIF(BBDD_Usiarios_Netflix[[#This Row],[Fecha Suscripción]],BBDD_Usiarios_Netflix[[#This Row],[Fecha Último Pago]],"M")+1</f>
        <v>12</v>
      </c>
      <c r="N1313" s="4">
        <f>BBDD_Usiarios_Netflix[[#This Row],[Ingresos Mensuales]]*BBDD_Usiarios_Netflix[[#This Row],[Meses contratados]]</f>
        <v>120</v>
      </c>
      <c r="O1313" t="s">
        <v>29</v>
      </c>
      <c r="P1313" t="str">
        <f>IF(BBDD_Usiarios_Netflix[[#This Row],[País]]="","Desconocido",BBDD_Usiarios_Netflix[[#This Row],[País]])</f>
        <v>EEUU</v>
      </c>
      <c r="Q1313">
        <v>31</v>
      </c>
      <c r="R1313" t="s">
        <v>30</v>
      </c>
      <c r="S1313" t="s">
        <v>36</v>
      </c>
      <c r="T1313" t="s">
        <v>27</v>
      </c>
      <c r="U1313">
        <f>IF(IFERROR(VLOOKUP(BBDD_Usiarios_Netflix[[#This Row],[Identificador Usuario]],A1314:$A$5870,1,FALSE),0)&lt;&gt;0,1,0)</f>
        <v>0</v>
      </c>
      <c r="V1313" s="6" t="str">
        <f>IF(BBDD_Usiarios_Netflix[[#This Row],[Duración Plan]]="12 Meses",LEFT(BBDD_Usiarios_Netflix[[#This Row],[Duración Plan]],2),LEFT(BBDD_Usiarios_Netflix[[#This Row],[Duración Plan]],1))</f>
        <v>1</v>
      </c>
      <c r="W13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14" spans="1:23" x14ac:dyDescent="0.25">
      <c r="A1314">
        <v>1313</v>
      </c>
      <c r="B1314" t="s">
        <v>32</v>
      </c>
      <c r="C1314">
        <v>12</v>
      </c>
      <c r="D1314" s="3">
        <v>9</v>
      </c>
      <c r="E1314" s="3">
        <v>8</v>
      </c>
      <c r="F1314">
        <v>23</v>
      </c>
      <c r="G1314" s="1">
        <f>DATEVALUE(_xlfn.CONCAT(BBDD_Usiarios_Netflix[[#This Row],[Día Suscripción]],"/",BBDD_Usiarios_Netflix[[#This Row],[Mes Suscripción]],"/",BBDD_Usiarios_Netflix[[#This Row],[Año Suscripción]]))</f>
        <v>45147</v>
      </c>
      <c r="H1314" s="1">
        <v>2</v>
      </c>
      <c r="I1314" s="1">
        <v>7</v>
      </c>
      <c r="J1314" s="1">
        <v>24</v>
      </c>
      <c r="K1314" s="1" t="str">
        <f>TEXT(BBDD_Usiarios_Netflix[[#This Row],[Fecha Suscripción]],"dddd")</f>
        <v>miércoles</v>
      </c>
      <c r="L1314" s="1">
        <f>DATEVALUE(_xlfn.CONCAT(BBDD_Usiarios_Netflix[[#This Row],[Día Último Pago]],"/",BBDD_Usiarios_Netflix[[#This Row],[Mes Último Pago]],"/",BBDD_Usiarios_Netflix[[#This Row],[Año Último Pago]]))</f>
        <v>45475</v>
      </c>
      <c r="M1314" s="4">
        <f>DATEDIF(BBDD_Usiarios_Netflix[[#This Row],[Fecha Suscripción]],BBDD_Usiarios_Netflix[[#This Row],[Fecha Último Pago]],"M")+1</f>
        <v>11</v>
      </c>
      <c r="N1314" s="4">
        <f>BBDD_Usiarios_Netflix[[#This Row],[Ingresos Mensuales]]*BBDD_Usiarios_Netflix[[#This Row],[Meses contratados]]</f>
        <v>132</v>
      </c>
      <c r="O1314" t="s">
        <v>24</v>
      </c>
      <c r="P1314" t="str">
        <f>IF(BBDD_Usiarios_Netflix[[#This Row],[País]]="","Desconocido",BBDD_Usiarios_Netflix[[#This Row],[País]])</f>
        <v>Australia</v>
      </c>
      <c r="Q1314">
        <v>39</v>
      </c>
      <c r="R1314" t="s">
        <v>25</v>
      </c>
      <c r="S1314" t="s">
        <v>34</v>
      </c>
      <c r="T1314" t="s">
        <v>27</v>
      </c>
      <c r="U1314">
        <f>IF(IFERROR(VLOOKUP(BBDD_Usiarios_Netflix[[#This Row],[Identificador Usuario]],A1315:$A$5870,1,FALSE),0)&lt;&gt;0,1,0)</f>
        <v>0</v>
      </c>
      <c r="V1314" s="6" t="str">
        <f>IF(BBDD_Usiarios_Netflix[[#This Row],[Duración Plan]]="12 Meses",LEFT(BBDD_Usiarios_Netflix[[#This Row],[Duración Plan]],2),LEFT(BBDD_Usiarios_Netflix[[#This Row],[Duración Plan]],1))</f>
        <v>1</v>
      </c>
      <c r="W13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15" spans="1:23" x14ac:dyDescent="0.25">
      <c r="A1315">
        <v>1314</v>
      </c>
      <c r="B1315" t="s">
        <v>28</v>
      </c>
      <c r="C1315">
        <v>14</v>
      </c>
      <c r="D1315" s="3">
        <v>14</v>
      </c>
      <c r="E1315" s="3">
        <v>8</v>
      </c>
      <c r="F1315">
        <v>23</v>
      </c>
      <c r="G1315" s="1">
        <f>DATEVALUE(_xlfn.CONCAT(BBDD_Usiarios_Netflix[[#This Row],[Día Suscripción]],"/",BBDD_Usiarios_Netflix[[#This Row],[Mes Suscripción]],"/",BBDD_Usiarios_Netflix[[#This Row],[Año Suscripción]]))</f>
        <v>45152</v>
      </c>
      <c r="H1315" s="1">
        <v>5</v>
      </c>
      <c r="I1315" s="1">
        <v>7</v>
      </c>
      <c r="J1315" s="1">
        <v>24</v>
      </c>
      <c r="K1315" s="1" t="str">
        <f>TEXT(BBDD_Usiarios_Netflix[[#This Row],[Fecha Suscripción]],"dddd")</f>
        <v>lunes</v>
      </c>
      <c r="L1315" s="1">
        <f>DATEVALUE(_xlfn.CONCAT(BBDD_Usiarios_Netflix[[#This Row],[Día Último Pago]],"/",BBDD_Usiarios_Netflix[[#This Row],[Mes Último Pago]],"/",BBDD_Usiarios_Netflix[[#This Row],[Año Último Pago]]))</f>
        <v>45478</v>
      </c>
      <c r="M1315" s="4">
        <f>DATEDIF(BBDD_Usiarios_Netflix[[#This Row],[Fecha Suscripción]],BBDD_Usiarios_Netflix[[#This Row],[Fecha Último Pago]],"M")+1</f>
        <v>11</v>
      </c>
      <c r="N1315" s="4">
        <f>BBDD_Usiarios_Netflix[[#This Row],[Ingresos Mensuales]]*BBDD_Usiarios_Netflix[[#This Row],[Meses contratados]]</f>
        <v>154</v>
      </c>
      <c r="O1315" t="s">
        <v>42</v>
      </c>
      <c r="P1315" t="str">
        <f>IF(BBDD_Usiarios_Netflix[[#This Row],[País]]="","Desconocido",BBDD_Usiarios_Netflix[[#This Row],[País]])</f>
        <v>Reino Unido</v>
      </c>
      <c r="Q1315">
        <v>38</v>
      </c>
      <c r="R1315" t="s">
        <v>25</v>
      </c>
      <c r="S1315" t="s">
        <v>31</v>
      </c>
      <c r="T1315" t="s">
        <v>35</v>
      </c>
      <c r="U1315">
        <f>IF(IFERROR(VLOOKUP(BBDD_Usiarios_Netflix[[#This Row],[Identificador Usuario]],A1316:$A$5870,1,FALSE),0)&lt;&gt;0,1,0)</f>
        <v>0</v>
      </c>
      <c r="V1315" s="6" t="str">
        <f>IF(BBDD_Usiarios_Netflix[[#This Row],[Duración Plan]]="12 Meses",LEFT(BBDD_Usiarios_Netflix[[#This Row],[Duración Plan]],2),LEFT(BBDD_Usiarios_Netflix[[#This Row],[Duración Plan]],1))</f>
        <v>6</v>
      </c>
      <c r="W13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16" spans="1:23" x14ac:dyDescent="0.25">
      <c r="A1316">
        <v>1315</v>
      </c>
      <c r="B1316" t="s">
        <v>23</v>
      </c>
      <c r="C1316">
        <v>10</v>
      </c>
      <c r="D1316" s="3">
        <v>20</v>
      </c>
      <c r="E1316" s="3">
        <v>8</v>
      </c>
      <c r="F1316">
        <v>23</v>
      </c>
      <c r="G1316" s="1">
        <f>DATEVALUE(_xlfn.CONCAT(BBDD_Usiarios_Netflix[[#This Row],[Día Suscripción]],"/",BBDD_Usiarios_Netflix[[#This Row],[Mes Suscripción]],"/",BBDD_Usiarios_Netflix[[#This Row],[Año Suscripción]]))</f>
        <v>45158</v>
      </c>
      <c r="H1316" s="1">
        <v>3</v>
      </c>
      <c r="I1316" s="1">
        <v>7</v>
      </c>
      <c r="J1316" s="1">
        <v>24</v>
      </c>
      <c r="K1316" s="1" t="str">
        <f>TEXT(BBDD_Usiarios_Netflix[[#This Row],[Fecha Suscripción]],"dddd")</f>
        <v>domingo</v>
      </c>
      <c r="L1316" s="1">
        <f>DATEVALUE(_xlfn.CONCAT(BBDD_Usiarios_Netflix[[#This Row],[Día Último Pago]],"/",BBDD_Usiarios_Netflix[[#This Row],[Mes Último Pago]],"/",BBDD_Usiarios_Netflix[[#This Row],[Año Último Pago]]))</f>
        <v>45476</v>
      </c>
      <c r="M1316" s="4">
        <f>DATEDIF(BBDD_Usiarios_Netflix[[#This Row],[Fecha Suscripción]],BBDD_Usiarios_Netflix[[#This Row],[Fecha Último Pago]],"M")+1</f>
        <v>11</v>
      </c>
      <c r="N1316" s="4">
        <f>BBDD_Usiarios_Netflix[[#This Row],[Ingresos Mensuales]]*BBDD_Usiarios_Netflix[[#This Row],[Meses contratados]]</f>
        <v>110</v>
      </c>
      <c r="O1316" t="s">
        <v>24</v>
      </c>
      <c r="P1316" t="str">
        <f>IF(BBDD_Usiarios_Netflix[[#This Row],[País]]="","Desconocido",BBDD_Usiarios_Netflix[[#This Row],[País]])</f>
        <v>Australia</v>
      </c>
      <c r="Q1316">
        <v>42</v>
      </c>
      <c r="R1316" t="s">
        <v>25</v>
      </c>
      <c r="S1316" t="s">
        <v>26</v>
      </c>
      <c r="T1316" t="s">
        <v>35</v>
      </c>
      <c r="U1316">
        <f>IF(IFERROR(VLOOKUP(BBDD_Usiarios_Netflix[[#This Row],[Identificador Usuario]],A1317:$A$5870,1,FALSE),0)&lt;&gt;0,1,0)</f>
        <v>0</v>
      </c>
      <c r="V1316" s="6" t="str">
        <f>IF(BBDD_Usiarios_Netflix[[#This Row],[Duración Plan]]="12 Meses",LEFT(BBDD_Usiarios_Netflix[[#This Row],[Duración Plan]],2),LEFT(BBDD_Usiarios_Netflix[[#This Row],[Duración Plan]],1))</f>
        <v>6</v>
      </c>
      <c r="W13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17" spans="1:23" x14ac:dyDescent="0.25">
      <c r="A1317">
        <v>1316</v>
      </c>
      <c r="B1317" t="s">
        <v>28</v>
      </c>
      <c r="C1317">
        <v>14</v>
      </c>
      <c r="D1317" s="3">
        <v>28</v>
      </c>
      <c r="E1317" s="3">
        <v>8</v>
      </c>
      <c r="F1317">
        <v>23</v>
      </c>
      <c r="G1317" s="1">
        <f>DATEVALUE(_xlfn.CONCAT(BBDD_Usiarios_Netflix[[#This Row],[Día Suscripción]],"/",BBDD_Usiarios_Netflix[[#This Row],[Mes Suscripción]],"/",BBDD_Usiarios_Netflix[[#This Row],[Año Suscripción]]))</f>
        <v>45166</v>
      </c>
      <c r="H1317" s="1">
        <v>5</v>
      </c>
      <c r="I1317" s="1">
        <v>7</v>
      </c>
      <c r="J1317" s="1">
        <v>24</v>
      </c>
      <c r="K1317" s="1" t="str">
        <f>TEXT(BBDD_Usiarios_Netflix[[#This Row],[Fecha Suscripción]],"dddd")</f>
        <v>lunes</v>
      </c>
      <c r="L1317" s="1">
        <f>DATEVALUE(_xlfn.CONCAT(BBDD_Usiarios_Netflix[[#This Row],[Día Último Pago]],"/",BBDD_Usiarios_Netflix[[#This Row],[Mes Último Pago]],"/",BBDD_Usiarios_Netflix[[#This Row],[Año Último Pago]]))</f>
        <v>45478</v>
      </c>
      <c r="M1317" s="4">
        <f>DATEDIF(BBDD_Usiarios_Netflix[[#This Row],[Fecha Suscripción]],BBDD_Usiarios_Netflix[[#This Row],[Fecha Último Pago]],"M")+1</f>
        <v>11</v>
      </c>
      <c r="N1317" s="4">
        <f>BBDD_Usiarios_Netflix[[#This Row],[Ingresos Mensuales]]*BBDD_Usiarios_Netflix[[#This Row],[Meses contratados]]</f>
        <v>154</v>
      </c>
      <c r="O1317" t="s">
        <v>24</v>
      </c>
      <c r="P1317" t="str">
        <f>IF(BBDD_Usiarios_Netflix[[#This Row],[País]]="","Desconocido",BBDD_Usiarios_Netflix[[#This Row],[País]])</f>
        <v>Australia</v>
      </c>
      <c r="Q1317">
        <v>48</v>
      </c>
      <c r="R1317" t="s">
        <v>30</v>
      </c>
      <c r="S1317" t="s">
        <v>31</v>
      </c>
      <c r="T1317" t="s">
        <v>35</v>
      </c>
      <c r="U1317">
        <f>IF(IFERROR(VLOOKUP(BBDD_Usiarios_Netflix[[#This Row],[Identificador Usuario]],A1318:$A$5870,1,FALSE),0)&lt;&gt;0,1,0)</f>
        <v>0</v>
      </c>
      <c r="V1317" s="6" t="str">
        <f>IF(BBDD_Usiarios_Netflix[[#This Row],[Duración Plan]]="12 Meses",LEFT(BBDD_Usiarios_Netflix[[#This Row],[Duración Plan]],2),LEFT(BBDD_Usiarios_Netflix[[#This Row],[Duración Plan]],1))</f>
        <v>6</v>
      </c>
      <c r="W13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18" spans="1:23" x14ac:dyDescent="0.25">
      <c r="A1318">
        <v>1317</v>
      </c>
      <c r="B1318" t="s">
        <v>23</v>
      </c>
      <c r="C1318">
        <v>10</v>
      </c>
      <c r="D1318" s="3">
        <v>2</v>
      </c>
      <c r="E1318" s="3">
        <v>9</v>
      </c>
      <c r="F1318">
        <v>23</v>
      </c>
      <c r="G1318" s="1">
        <f>DATEVALUE(_xlfn.CONCAT(BBDD_Usiarios_Netflix[[#This Row],[Día Suscripción]],"/",BBDD_Usiarios_Netflix[[#This Row],[Mes Suscripción]],"/",BBDD_Usiarios_Netflix[[#This Row],[Año Suscripción]]))</f>
        <v>45171</v>
      </c>
      <c r="H1318" s="1">
        <v>3</v>
      </c>
      <c r="I1318" s="1">
        <v>7</v>
      </c>
      <c r="J1318" s="1">
        <v>24</v>
      </c>
      <c r="K1318" s="1" t="str">
        <f>TEXT(BBDD_Usiarios_Netflix[[#This Row],[Fecha Suscripción]],"dddd")</f>
        <v>sábado</v>
      </c>
      <c r="L1318" s="1">
        <f>DATEVALUE(_xlfn.CONCAT(BBDD_Usiarios_Netflix[[#This Row],[Día Último Pago]],"/",BBDD_Usiarios_Netflix[[#This Row],[Mes Último Pago]],"/",BBDD_Usiarios_Netflix[[#This Row],[Año Último Pago]]))</f>
        <v>45476</v>
      </c>
      <c r="M1318" s="4">
        <f>DATEDIF(BBDD_Usiarios_Netflix[[#This Row],[Fecha Suscripción]],BBDD_Usiarios_Netflix[[#This Row],[Fecha Último Pago]],"M")+1</f>
        <v>11</v>
      </c>
      <c r="N1318" s="4">
        <f>BBDD_Usiarios_Netflix[[#This Row],[Ingresos Mensuales]]*BBDD_Usiarios_Netflix[[#This Row],[Meses contratados]]</f>
        <v>110</v>
      </c>
      <c r="O1318" t="s">
        <v>24</v>
      </c>
      <c r="P1318" t="str">
        <f>IF(BBDD_Usiarios_Netflix[[#This Row],[País]]="","Desconocido",BBDD_Usiarios_Netflix[[#This Row],[País]])</f>
        <v>Australia</v>
      </c>
      <c r="Q1318">
        <v>31</v>
      </c>
      <c r="R1318" t="s">
        <v>25</v>
      </c>
      <c r="S1318" t="s">
        <v>31</v>
      </c>
      <c r="T1318" t="s">
        <v>35</v>
      </c>
      <c r="U1318">
        <f>IF(IFERROR(VLOOKUP(BBDD_Usiarios_Netflix[[#This Row],[Identificador Usuario]],A1319:$A$5870,1,FALSE),0)&lt;&gt;0,1,0)</f>
        <v>0</v>
      </c>
      <c r="V1318" s="6" t="str">
        <f>IF(BBDD_Usiarios_Netflix[[#This Row],[Duración Plan]]="12 Meses",LEFT(BBDD_Usiarios_Netflix[[#This Row],[Duración Plan]],2),LEFT(BBDD_Usiarios_Netflix[[#This Row],[Duración Plan]],1))</f>
        <v>6</v>
      </c>
      <c r="W13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19" spans="1:23" x14ac:dyDescent="0.25">
      <c r="A1319">
        <v>1318</v>
      </c>
      <c r="B1319" t="s">
        <v>32</v>
      </c>
      <c r="C1319">
        <v>12</v>
      </c>
      <c r="D1319" s="3">
        <v>4</v>
      </c>
      <c r="E1319" s="3">
        <v>9</v>
      </c>
      <c r="F1319">
        <v>23</v>
      </c>
      <c r="G1319" s="1">
        <f>DATEVALUE(_xlfn.CONCAT(BBDD_Usiarios_Netflix[[#This Row],[Día Suscripción]],"/",BBDD_Usiarios_Netflix[[#This Row],[Mes Suscripción]],"/",BBDD_Usiarios_Netflix[[#This Row],[Año Suscripción]]))</f>
        <v>45173</v>
      </c>
      <c r="H1319" s="1">
        <v>5</v>
      </c>
      <c r="I1319" s="1">
        <v>7</v>
      </c>
      <c r="J1319" s="1">
        <v>24</v>
      </c>
      <c r="K1319" s="1" t="str">
        <f>TEXT(BBDD_Usiarios_Netflix[[#This Row],[Fecha Suscripción]],"dddd")</f>
        <v>lunes</v>
      </c>
      <c r="L1319" s="1">
        <f>DATEVALUE(_xlfn.CONCAT(BBDD_Usiarios_Netflix[[#This Row],[Día Último Pago]],"/",BBDD_Usiarios_Netflix[[#This Row],[Mes Último Pago]],"/",BBDD_Usiarios_Netflix[[#This Row],[Año Último Pago]]))</f>
        <v>45478</v>
      </c>
      <c r="M1319" s="4">
        <f>DATEDIF(BBDD_Usiarios_Netflix[[#This Row],[Fecha Suscripción]],BBDD_Usiarios_Netflix[[#This Row],[Fecha Último Pago]],"M")+1</f>
        <v>11</v>
      </c>
      <c r="N1319" s="4">
        <f>BBDD_Usiarios_Netflix[[#This Row],[Ingresos Mensuales]]*BBDD_Usiarios_Netflix[[#This Row],[Meses contratados]]</f>
        <v>132</v>
      </c>
      <c r="O1319" t="s">
        <v>40</v>
      </c>
      <c r="P1319" t="str">
        <f>IF(BBDD_Usiarios_Netflix[[#This Row],[País]]="","Desconocido",BBDD_Usiarios_Netflix[[#This Row],[País]])</f>
        <v>Italia</v>
      </c>
      <c r="Q1319">
        <v>42</v>
      </c>
      <c r="R1319" t="s">
        <v>25</v>
      </c>
      <c r="S1319" t="s">
        <v>26</v>
      </c>
      <c r="T1319" t="s">
        <v>27</v>
      </c>
      <c r="U1319">
        <f>IF(IFERROR(VLOOKUP(BBDD_Usiarios_Netflix[[#This Row],[Identificador Usuario]],A1320:$A$5870,1,FALSE),0)&lt;&gt;0,1,0)</f>
        <v>0</v>
      </c>
      <c r="V1319" s="6" t="str">
        <f>IF(BBDD_Usiarios_Netflix[[#This Row],[Duración Plan]]="12 Meses",LEFT(BBDD_Usiarios_Netflix[[#This Row],[Duración Plan]],2),LEFT(BBDD_Usiarios_Netflix[[#This Row],[Duración Plan]],1))</f>
        <v>1</v>
      </c>
      <c r="W13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20" spans="1:23" x14ac:dyDescent="0.25">
      <c r="A1320">
        <v>1319</v>
      </c>
      <c r="B1320" t="s">
        <v>32</v>
      </c>
      <c r="C1320">
        <v>12</v>
      </c>
      <c r="D1320" s="3">
        <v>6</v>
      </c>
      <c r="E1320" s="3">
        <v>9</v>
      </c>
      <c r="F1320">
        <v>23</v>
      </c>
      <c r="G1320" s="1">
        <f>DATEVALUE(_xlfn.CONCAT(BBDD_Usiarios_Netflix[[#This Row],[Día Suscripción]],"/",BBDD_Usiarios_Netflix[[#This Row],[Mes Suscripción]],"/",BBDD_Usiarios_Netflix[[#This Row],[Año Suscripción]]))</f>
        <v>45175</v>
      </c>
      <c r="H1320" s="1">
        <v>3</v>
      </c>
      <c r="I1320" s="1">
        <v>7</v>
      </c>
      <c r="J1320" s="1">
        <v>24</v>
      </c>
      <c r="K1320" s="1" t="str">
        <f>TEXT(BBDD_Usiarios_Netflix[[#This Row],[Fecha Suscripción]],"dddd")</f>
        <v>miércoles</v>
      </c>
      <c r="L1320" s="1">
        <f>DATEVALUE(_xlfn.CONCAT(BBDD_Usiarios_Netflix[[#This Row],[Día Último Pago]],"/",BBDD_Usiarios_Netflix[[#This Row],[Mes Último Pago]],"/",BBDD_Usiarios_Netflix[[#This Row],[Año Último Pago]]))</f>
        <v>45476</v>
      </c>
      <c r="M1320" s="4">
        <f>DATEDIF(BBDD_Usiarios_Netflix[[#This Row],[Fecha Suscripción]],BBDD_Usiarios_Netflix[[#This Row],[Fecha Último Pago]],"M")+1</f>
        <v>10</v>
      </c>
      <c r="N1320" s="4">
        <f>BBDD_Usiarios_Netflix[[#This Row],[Ingresos Mensuales]]*BBDD_Usiarios_Netflix[[#This Row],[Meses contratados]]</f>
        <v>120</v>
      </c>
      <c r="O1320" t="s">
        <v>43</v>
      </c>
      <c r="P1320" t="str">
        <f>IF(BBDD_Usiarios_Netflix[[#This Row],[País]]="","Desconocido",BBDD_Usiarios_Netflix[[#This Row],[País]])</f>
        <v>Alemania</v>
      </c>
      <c r="Q1320">
        <v>35</v>
      </c>
      <c r="R1320" t="s">
        <v>25</v>
      </c>
      <c r="S1320" t="s">
        <v>26</v>
      </c>
      <c r="T1320" t="s">
        <v>35</v>
      </c>
      <c r="U1320">
        <f>IF(IFERROR(VLOOKUP(BBDD_Usiarios_Netflix[[#This Row],[Identificador Usuario]],A1321:$A$5870,1,FALSE),0)&lt;&gt;0,1,0)</f>
        <v>0</v>
      </c>
      <c r="V1320" s="6" t="str">
        <f>IF(BBDD_Usiarios_Netflix[[#This Row],[Duración Plan]]="12 Meses",LEFT(BBDD_Usiarios_Netflix[[#This Row],[Duración Plan]],2),LEFT(BBDD_Usiarios_Netflix[[#This Row],[Duración Plan]],1))</f>
        <v>6</v>
      </c>
      <c r="W13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21" spans="1:23" x14ac:dyDescent="0.25">
      <c r="A1321">
        <v>1320</v>
      </c>
      <c r="B1321" t="s">
        <v>23</v>
      </c>
      <c r="C1321">
        <v>10</v>
      </c>
      <c r="D1321" s="3">
        <v>14</v>
      </c>
      <c r="E1321" s="3">
        <v>9</v>
      </c>
      <c r="F1321">
        <v>23</v>
      </c>
      <c r="G1321" s="1">
        <f>DATEVALUE(_xlfn.CONCAT(BBDD_Usiarios_Netflix[[#This Row],[Día Suscripción]],"/",BBDD_Usiarios_Netflix[[#This Row],[Mes Suscripción]],"/",BBDD_Usiarios_Netflix[[#This Row],[Año Suscripción]]))</f>
        <v>45183</v>
      </c>
      <c r="H1321" s="1">
        <v>5</v>
      </c>
      <c r="I1321" s="1">
        <v>7</v>
      </c>
      <c r="J1321" s="1">
        <v>24</v>
      </c>
      <c r="K1321" s="1" t="str">
        <f>TEXT(BBDD_Usiarios_Netflix[[#This Row],[Fecha Suscripción]],"dddd")</f>
        <v>jueves</v>
      </c>
      <c r="L1321" s="1">
        <f>DATEVALUE(_xlfn.CONCAT(BBDD_Usiarios_Netflix[[#This Row],[Día Último Pago]],"/",BBDD_Usiarios_Netflix[[#This Row],[Mes Último Pago]],"/",BBDD_Usiarios_Netflix[[#This Row],[Año Último Pago]]))</f>
        <v>45478</v>
      </c>
      <c r="M1321" s="4">
        <f>DATEDIF(BBDD_Usiarios_Netflix[[#This Row],[Fecha Suscripción]],BBDD_Usiarios_Netflix[[#This Row],[Fecha Último Pago]],"M")+1</f>
        <v>10</v>
      </c>
      <c r="N1321" s="4">
        <f>BBDD_Usiarios_Netflix[[#This Row],[Ingresos Mensuales]]*BBDD_Usiarios_Netflix[[#This Row],[Meses contratados]]</f>
        <v>100</v>
      </c>
      <c r="O1321" t="s">
        <v>42</v>
      </c>
      <c r="P1321" t="str">
        <f>IF(BBDD_Usiarios_Netflix[[#This Row],[País]]="","Desconocido",BBDD_Usiarios_Netflix[[#This Row],[País]])</f>
        <v>Reino Unido</v>
      </c>
      <c r="Q1321">
        <v>39</v>
      </c>
      <c r="R1321" t="s">
        <v>25</v>
      </c>
      <c r="S1321" t="s">
        <v>36</v>
      </c>
      <c r="T1321" t="s">
        <v>27</v>
      </c>
      <c r="U1321">
        <f>IF(IFERROR(VLOOKUP(BBDD_Usiarios_Netflix[[#This Row],[Identificador Usuario]],A1322:$A$5870,1,FALSE),0)&lt;&gt;0,1,0)</f>
        <v>0</v>
      </c>
      <c r="V1321" s="6" t="str">
        <f>IF(BBDD_Usiarios_Netflix[[#This Row],[Duración Plan]]="12 Meses",LEFT(BBDD_Usiarios_Netflix[[#This Row],[Duración Plan]],2),LEFT(BBDD_Usiarios_Netflix[[#This Row],[Duración Plan]],1))</f>
        <v>1</v>
      </c>
      <c r="W13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22" spans="1:23" x14ac:dyDescent="0.25">
      <c r="A1322">
        <v>1321</v>
      </c>
      <c r="B1322" t="s">
        <v>28</v>
      </c>
      <c r="C1322">
        <v>14</v>
      </c>
      <c r="D1322" s="3">
        <v>15</v>
      </c>
      <c r="E1322" s="3">
        <v>9</v>
      </c>
      <c r="F1322">
        <v>23</v>
      </c>
      <c r="G1322" s="1">
        <f>DATEVALUE(_xlfn.CONCAT(BBDD_Usiarios_Netflix[[#This Row],[Día Suscripción]],"/",BBDD_Usiarios_Netflix[[#This Row],[Mes Suscripción]],"/",BBDD_Usiarios_Netflix[[#This Row],[Año Suscripción]]))</f>
        <v>45184</v>
      </c>
      <c r="H1322" s="1">
        <v>4</v>
      </c>
      <c r="I1322" s="1">
        <v>7</v>
      </c>
      <c r="J1322" s="1">
        <v>24</v>
      </c>
      <c r="K1322" s="1" t="str">
        <f>TEXT(BBDD_Usiarios_Netflix[[#This Row],[Fecha Suscripción]],"dddd")</f>
        <v>viernes</v>
      </c>
      <c r="L1322" s="1">
        <f>DATEVALUE(_xlfn.CONCAT(BBDD_Usiarios_Netflix[[#This Row],[Día Último Pago]],"/",BBDD_Usiarios_Netflix[[#This Row],[Mes Último Pago]],"/",BBDD_Usiarios_Netflix[[#This Row],[Año Último Pago]]))</f>
        <v>45477</v>
      </c>
      <c r="M1322" s="4">
        <f>DATEDIF(BBDD_Usiarios_Netflix[[#This Row],[Fecha Suscripción]],BBDD_Usiarios_Netflix[[#This Row],[Fecha Último Pago]],"M")+1</f>
        <v>10</v>
      </c>
      <c r="N1322" s="4">
        <f>BBDD_Usiarios_Netflix[[#This Row],[Ingresos Mensuales]]*BBDD_Usiarios_Netflix[[#This Row],[Meses contratados]]</f>
        <v>140</v>
      </c>
      <c r="O1322" t="s">
        <v>40</v>
      </c>
      <c r="P1322" t="str">
        <f>IF(BBDD_Usiarios_Netflix[[#This Row],[País]]="","Desconocido",BBDD_Usiarios_Netflix[[#This Row],[País]])</f>
        <v>Italia</v>
      </c>
      <c r="Q1322">
        <v>50</v>
      </c>
      <c r="R1322" t="s">
        <v>30</v>
      </c>
      <c r="S1322" t="s">
        <v>31</v>
      </c>
      <c r="T1322" t="s">
        <v>38</v>
      </c>
      <c r="U1322">
        <f>IF(IFERROR(VLOOKUP(BBDD_Usiarios_Netflix[[#This Row],[Identificador Usuario]],A1323:$A$5870,1,FALSE),0)&lt;&gt;0,1,0)</f>
        <v>0</v>
      </c>
      <c r="V1322" s="6" t="str">
        <f>IF(BBDD_Usiarios_Netflix[[#This Row],[Duración Plan]]="12 Meses",LEFT(BBDD_Usiarios_Netflix[[#This Row],[Duración Plan]],2),LEFT(BBDD_Usiarios_Netflix[[#This Row],[Duración Plan]],1))</f>
        <v>3</v>
      </c>
      <c r="W13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23" spans="1:23" x14ac:dyDescent="0.25">
      <c r="A1323">
        <v>1322</v>
      </c>
      <c r="B1323" t="s">
        <v>23</v>
      </c>
      <c r="C1323">
        <v>10</v>
      </c>
      <c r="D1323" s="3">
        <v>16</v>
      </c>
      <c r="E1323" s="3">
        <v>9</v>
      </c>
      <c r="F1323">
        <v>23</v>
      </c>
      <c r="G1323" s="1">
        <f>DATEVALUE(_xlfn.CONCAT(BBDD_Usiarios_Netflix[[#This Row],[Día Suscripción]],"/",BBDD_Usiarios_Netflix[[#This Row],[Mes Suscripción]],"/",BBDD_Usiarios_Netflix[[#This Row],[Año Suscripción]]))</f>
        <v>45185</v>
      </c>
      <c r="H1323" s="1">
        <v>6</v>
      </c>
      <c r="I1323" s="1">
        <v>7</v>
      </c>
      <c r="J1323" s="1">
        <v>24</v>
      </c>
      <c r="K1323" s="1" t="str">
        <f>TEXT(BBDD_Usiarios_Netflix[[#This Row],[Fecha Suscripción]],"dddd")</f>
        <v>sábado</v>
      </c>
      <c r="L1323" s="1">
        <f>DATEVALUE(_xlfn.CONCAT(BBDD_Usiarios_Netflix[[#This Row],[Día Último Pago]],"/",BBDD_Usiarios_Netflix[[#This Row],[Mes Último Pago]],"/",BBDD_Usiarios_Netflix[[#This Row],[Año Último Pago]]))</f>
        <v>45479</v>
      </c>
      <c r="M1323" s="4">
        <f>DATEDIF(BBDD_Usiarios_Netflix[[#This Row],[Fecha Suscripción]],BBDD_Usiarios_Netflix[[#This Row],[Fecha Último Pago]],"M")+1</f>
        <v>10</v>
      </c>
      <c r="N1323" s="4">
        <f>BBDD_Usiarios_Netflix[[#This Row],[Ingresos Mensuales]]*BBDD_Usiarios_Netflix[[#This Row],[Meses contratados]]</f>
        <v>100</v>
      </c>
      <c r="O1323" t="s">
        <v>29</v>
      </c>
      <c r="P1323" t="str">
        <f>IF(BBDD_Usiarios_Netflix[[#This Row],[País]]="","Desconocido",BBDD_Usiarios_Netflix[[#This Row],[País]])</f>
        <v>EEUU</v>
      </c>
      <c r="Q1323">
        <v>40</v>
      </c>
      <c r="R1323" t="s">
        <v>25</v>
      </c>
      <c r="S1323" t="s">
        <v>26</v>
      </c>
      <c r="T1323" t="s">
        <v>35</v>
      </c>
      <c r="U1323">
        <f>IF(IFERROR(VLOOKUP(BBDD_Usiarios_Netflix[[#This Row],[Identificador Usuario]],A1324:$A$5870,1,FALSE),0)&lt;&gt;0,1,0)</f>
        <v>0</v>
      </c>
      <c r="V1323" s="6" t="str">
        <f>IF(BBDD_Usiarios_Netflix[[#This Row],[Duración Plan]]="12 Meses",LEFT(BBDD_Usiarios_Netflix[[#This Row],[Duración Plan]],2),LEFT(BBDD_Usiarios_Netflix[[#This Row],[Duración Plan]],1))</f>
        <v>6</v>
      </c>
      <c r="W13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24" spans="1:23" x14ac:dyDescent="0.25">
      <c r="A1324">
        <v>1323</v>
      </c>
      <c r="B1324" t="s">
        <v>32</v>
      </c>
      <c r="C1324">
        <v>12</v>
      </c>
      <c r="D1324" s="3">
        <v>28</v>
      </c>
      <c r="E1324" s="3">
        <v>9</v>
      </c>
      <c r="F1324">
        <v>23</v>
      </c>
      <c r="G1324" s="1">
        <f>DATEVALUE(_xlfn.CONCAT(BBDD_Usiarios_Netflix[[#This Row],[Día Suscripción]],"/",BBDD_Usiarios_Netflix[[#This Row],[Mes Suscripción]],"/",BBDD_Usiarios_Netflix[[#This Row],[Año Suscripción]]))</f>
        <v>45197</v>
      </c>
      <c r="H1324" s="1">
        <v>2</v>
      </c>
      <c r="I1324" s="1">
        <v>7</v>
      </c>
      <c r="J1324" s="1">
        <v>24</v>
      </c>
      <c r="K1324" s="1" t="str">
        <f>TEXT(BBDD_Usiarios_Netflix[[#This Row],[Fecha Suscripción]],"dddd")</f>
        <v>jueves</v>
      </c>
      <c r="L1324" s="1">
        <f>DATEVALUE(_xlfn.CONCAT(BBDD_Usiarios_Netflix[[#This Row],[Día Último Pago]],"/",BBDD_Usiarios_Netflix[[#This Row],[Mes Último Pago]],"/",BBDD_Usiarios_Netflix[[#This Row],[Año Último Pago]]))</f>
        <v>45475</v>
      </c>
      <c r="M1324" s="4">
        <f>DATEDIF(BBDD_Usiarios_Netflix[[#This Row],[Fecha Suscripción]],BBDD_Usiarios_Netflix[[#This Row],[Fecha Último Pago]],"M")+1</f>
        <v>10</v>
      </c>
      <c r="N1324" s="4">
        <f>BBDD_Usiarios_Netflix[[#This Row],[Ingresos Mensuales]]*BBDD_Usiarios_Netflix[[#This Row],[Meses contratados]]</f>
        <v>120</v>
      </c>
      <c r="O1324" t="s">
        <v>45</v>
      </c>
      <c r="P1324" t="str">
        <f>IF(BBDD_Usiarios_Netflix[[#This Row],[País]]="","Desconocido",BBDD_Usiarios_Netflix[[#This Row],[País]])</f>
        <v>España</v>
      </c>
      <c r="Q1324">
        <v>29</v>
      </c>
      <c r="R1324" t="s">
        <v>25</v>
      </c>
      <c r="S1324" t="s">
        <v>26</v>
      </c>
      <c r="T1324" t="s">
        <v>27</v>
      </c>
      <c r="U1324">
        <f>IF(IFERROR(VLOOKUP(BBDD_Usiarios_Netflix[[#This Row],[Identificador Usuario]],A1325:$A$5870,1,FALSE),0)&lt;&gt;0,1,0)</f>
        <v>0</v>
      </c>
      <c r="V1324" s="6" t="str">
        <f>IF(BBDD_Usiarios_Netflix[[#This Row],[Duración Plan]]="12 Meses",LEFT(BBDD_Usiarios_Netflix[[#This Row],[Duración Plan]],2),LEFT(BBDD_Usiarios_Netflix[[#This Row],[Duración Plan]],1))</f>
        <v>1</v>
      </c>
      <c r="W13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25" spans="1:23" x14ac:dyDescent="0.25">
      <c r="A1325">
        <v>1324</v>
      </c>
      <c r="B1325" t="s">
        <v>28</v>
      </c>
      <c r="C1325">
        <v>14</v>
      </c>
      <c r="D1325" s="3">
        <v>2</v>
      </c>
      <c r="E1325" s="3">
        <v>10</v>
      </c>
      <c r="F1325">
        <v>23</v>
      </c>
      <c r="G1325" s="1">
        <f>DATEVALUE(_xlfn.CONCAT(BBDD_Usiarios_Netflix[[#This Row],[Día Suscripción]],"/",BBDD_Usiarios_Netflix[[#This Row],[Mes Suscripción]],"/",BBDD_Usiarios_Netflix[[#This Row],[Año Suscripción]]))</f>
        <v>45201</v>
      </c>
      <c r="H1325" s="1">
        <v>4</v>
      </c>
      <c r="I1325" s="1">
        <v>7</v>
      </c>
      <c r="J1325" s="1">
        <v>24</v>
      </c>
      <c r="K1325" s="1" t="str">
        <f>TEXT(BBDD_Usiarios_Netflix[[#This Row],[Fecha Suscripción]],"dddd")</f>
        <v>lunes</v>
      </c>
      <c r="L1325" s="1">
        <f>DATEVALUE(_xlfn.CONCAT(BBDD_Usiarios_Netflix[[#This Row],[Día Último Pago]],"/",BBDD_Usiarios_Netflix[[#This Row],[Mes Último Pago]],"/",BBDD_Usiarios_Netflix[[#This Row],[Año Último Pago]]))</f>
        <v>45477</v>
      </c>
      <c r="M1325" s="4">
        <f>DATEDIF(BBDD_Usiarios_Netflix[[#This Row],[Fecha Suscripción]],BBDD_Usiarios_Netflix[[#This Row],[Fecha Último Pago]],"M")+1</f>
        <v>10</v>
      </c>
      <c r="N1325" s="4">
        <f>BBDD_Usiarios_Netflix[[#This Row],[Ingresos Mensuales]]*BBDD_Usiarios_Netflix[[#This Row],[Meses contratados]]</f>
        <v>140</v>
      </c>
      <c r="O1325" t="s">
        <v>42</v>
      </c>
      <c r="P1325" t="str">
        <f>IF(BBDD_Usiarios_Netflix[[#This Row],[País]]="","Desconocido",BBDD_Usiarios_Netflix[[#This Row],[País]])</f>
        <v>Reino Unido</v>
      </c>
      <c r="Q1325">
        <v>48</v>
      </c>
      <c r="R1325" t="s">
        <v>30</v>
      </c>
      <c r="S1325" t="s">
        <v>34</v>
      </c>
      <c r="T1325" t="s">
        <v>27</v>
      </c>
      <c r="U1325">
        <f>IF(IFERROR(VLOOKUP(BBDD_Usiarios_Netflix[[#This Row],[Identificador Usuario]],A1326:$A$5870,1,FALSE),0)&lt;&gt;0,1,0)</f>
        <v>0</v>
      </c>
      <c r="V1325" s="6" t="str">
        <f>IF(BBDD_Usiarios_Netflix[[#This Row],[Duración Plan]]="12 Meses",LEFT(BBDD_Usiarios_Netflix[[#This Row],[Duración Plan]],2),LEFT(BBDD_Usiarios_Netflix[[#This Row],[Duración Plan]],1))</f>
        <v>1</v>
      </c>
      <c r="W13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26" spans="1:23" x14ac:dyDescent="0.25">
      <c r="A1326">
        <v>1325</v>
      </c>
      <c r="B1326" t="s">
        <v>23</v>
      </c>
      <c r="C1326">
        <v>10</v>
      </c>
      <c r="D1326" s="3">
        <v>3</v>
      </c>
      <c r="E1326" s="3">
        <v>10</v>
      </c>
      <c r="F1326">
        <v>23</v>
      </c>
      <c r="G1326" s="1">
        <f>DATEVALUE(_xlfn.CONCAT(BBDD_Usiarios_Netflix[[#This Row],[Día Suscripción]],"/",BBDD_Usiarios_Netflix[[#This Row],[Mes Suscripción]],"/",BBDD_Usiarios_Netflix[[#This Row],[Año Suscripción]]))</f>
        <v>45202</v>
      </c>
      <c r="H1326" s="1">
        <v>4</v>
      </c>
      <c r="I1326" s="1">
        <v>7</v>
      </c>
      <c r="J1326" s="1">
        <v>24</v>
      </c>
      <c r="K1326" s="1" t="str">
        <f>TEXT(BBDD_Usiarios_Netflix[[#This Row],[Fecha Suscripción]],"dddd")</f>
        <v>martes</v>
      </c>
      <c r="L1326" s="1">
        <f>DATEVALUE(_xlfn.CONCAT(BBDD_Usiarios_Netflix[[#This Row],[Día Último Pago]],"/",BBDD_Usiarios_Netflix[[#This Row],[Mes Último Pago]],"/",BBDD_Usiarios_Netflix[[#This Row],[Año Último Pago]]))</f>
        <v>45477</v>
      </c>
      <c r="M1326" s="4">
        <f>DATEDIF(BBDD_Usiarios_Netflix[[#This Row],[Fecha Suscripción]],BBDD_Usiarios_Netflix[[#This Row],[Fecha Último Pago]],"M")+1</f>
        <v>10</v>
      </c>
      <c r="N1326" s="4">
        <f>BBDD_Usiarios_Netflix[[#This Row],[Ingresos Mensuales]]*BBDD_Usiarios_Netflix[[#This Row],[Meses contratados]]</f>
        <v>100</v>
      </c>
      <c r="O1326" t="s">
        <v>43</v>
      </c>
      <c r="P1326" t="str">
        <f>IF(BBDD_Usiarios_Netflix[[#This Row],[País]]="","Desconocido",BBDD_Usiarios_Netflix[[#This Row],[País]])</f>
        <v>Alemania</v>
      </c>
      <c r="Q1326">
        <v>34</v>
      </c>
      <c r="R1326" t="s">
        <v>25</v>
      </c>
      <c r="S1326" t="s">
        <v>26</v>
      </c>
      <c r="T1326" t="s">
        <v>38</v>
      </c>
      <c r="U1326">
        <f>IF(IFERROR(VLOOKUP(BBDD_Usiarios_Netflix[[#This Row],[Identificador Usuario]],A1327:$A$5870,1,FALSE),0)&lt;&gt;0,1,0)</f>
        <v>0</v>
      </c>
      <c r="V1326" s="6" t="str">
        <f>IF(BBDD_Usiarios_Netflix[[#This Row],[Duración Plan]]="12 Meses",LEFT(BBDD_Usiarios_Netflix[[#This Row],[Duración Plan]],2),LEFT(BBDD_Usiarios_Netflix[[#This Row],[Duración Plan]],1))</f>
        <v>3</v>
      </c>
      <c r="W13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27" spans="1:23" x14ac:dyDescent="0.25">
      <c r="A1327">
        <v>1326</v>
      </c>
      <c r="B1327" t="s">
        <v>28</v>
      </c>
      <c r="C1327">
        <v>14</v>
      </c>
      <c r="D1327" s="3">
        <v>5</v>
      </c>
      <c r="E1327" s="3">
        <v>10</v>
      </c>
      <c r="F1327">
        <v>23</v>
      </c>
      <c r="G1327" s="1">
        <f>DATEVALUE(_xlfn.CONCAT(BBDD_Usiarios_Netflix[[#This Row],[Día Suscripción]],"/",BBDD_Usiarios_Netflix[[#This Row],[Mes Suscripción]],"/",BBDD_Usiarios_Netflix[[#This Row],[Año Suscripción]]))</f>
        <v>45204</v>
      </c>
      <c r="H1327" s="1">
        <v>5</v>
      </c>
      <c r="I1327" s="1">
        <v>7</v>
      </c>
      <c r="J1327" s="1">
        <v>24</v>
      </c>
      <c r="K1327" s="1" t="str">
        <f>TEXT(BBDD_Usiarios_Netflix[[#This Row],[Fecha Suscripción]],"dddd")</f>
        <v>jueves</v>
      </c>
      <c r="L1327" s="1">
        <f>DATEVALUE(_xlfn.CONCAT(BBDD_Usiarios_Netflix[[#This Row],[Día Último Pago]],"/",BBDD_Usiarios_Netflix[[#This Row],[Mes Último Pago]],"/",BBDD_Usiarios_Netflix[[#This Row],[Año Último Pago]]))</f>
        <v>45478</v>
      </c>
      <c r="M1327" s="4">
        <f>DATEDIF(BBDD_Usiarios_Netflix[[#This Row],[Fecha Suscripción]],BBDD_Usiarios_Netflix[[#This Row],[Fecha Último Pago]],"M")+1</f>
        <v>10</v>
      </c>
      <c r="N1327" s="4">
        <f>BBDD_Usiarios_Netflix[[#This Row],[Ingresos Mensuales]]*BBDD_Usiarios_Netflix[[#This Row],[Meses contratados]]</f>
        <v>140</v>
      </c>
      <c r="O1327" t="s">
        <v>24</v>
      </c>
      <c r="P1327" t="str">
        <f>IF(BBDD_Usiarios_Netflix[[#This Row],[País]]="","Desconocido",BBDD_Usiarios_Netflix[[#This Row],[País]])</f>
        <v>Australia</v>
      </c>
      <c r="Q1327">
        <v>48</v>
      </c>
      <c r="R1327" t="s">
        <v>25</v>
      </c>
      <c r="S1327" t="s">
        <v>26</v>
      </c>
      <c r="T1327" t="s">
        <v>41</v>
      </c>
      <c r="U1327">
        <f>IF(IFERROR(VLOOKUP(BBDD_Usiarios_Netflix[[#This Row],[Identificador Usuario]],A1328:$A$5870,1,FALSE),0)&lt;&gt;0,1,0)</f>
        <v>0</v>
      </c>
      <c r="V1327" s="6" t="str">
        <f>IF(BBDD_Usiarios_Netflix[[#This Row],[Duración Plan]]="12 Meses",LEFT(BBDD_Usiarios_Netflix[[#This Row],[Duración Plan]],2),LEFT(BBDD_Usiarios_Netflix[[#This Row],[Duración Plan]],1))</f>
        <v>12</v>
      </c>
      <c r="W13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28" spans="1:23" x14ac:dyDescent="0.25">
      <c r="A1328">
        <v>1327</v>
      </c>
      <c r="B1328" t="s">
        <v>23</v>
      </c>
      <c r="C1328">
        <v>10</v>
      </c>
      <c r="D1328" s="3">
        <v>7</v>
      </c>
      <c r="E1328" s="3">
        <v>10</v>
      </c>
      <c r="F1328">
        <v>23</v>
      </c>
      <c r="G1328" s="1">
        <f>DATEVALUE(_xlfn.CONCAT(BBDD_Usiarios_Netflix[[#This Row],[Día Suscripción]],"/",BBDD_Usiarios_Netflix[[#This Row],[Mes Suscripción]],"/",BBDD_Usiarios_Netflix[[#This Row],[Año Suscripción]]))</f>
        <v>45206</v>
      </c>
      <c r="H1328" s="1">
        <v>2</v>
      </c>
      <c r="I1328" s="1">
        <v>7</v>
      </c>
      <c r="J1328" s="1">
        <v>24</v>
      </c>
      <c r="K1328" s="1" t="str">
        <f>TEXT(BBDD_Usiarios_Netflix[[#This Row],[Fecha Suscripción]],"dddd")</f>
        <v>sábado</v>
      </c>
      <c r="L1328" s="1">
        <f>DATEVALUE(_xlfn.CONCAT(BBDD_Usiarios_Netflix[[#This Row],[Día Último Pago]],"/",BBDD_Usiarios_Netflix[[#This Row],[Mes Último Pago]],"/",BBDD_Usiarios_Netflix[[#This Row],[Año Último Pago]]))</f>
        <v>45475</v>
      </c>
      <c r="M1328" s="4">
        <f>DATEDIF(BBDD_Usiarios_Netflix[[#This Row],[Fecha Suscripción]],BBDD_Usiarios_Netflix[[#This Row],[Fecha Último Pago]],"M")+1</f>
        <v>9</v>
      </c>
      <c r="N1328" s="4">
        <f>BBDD_Usiarios_Netflix[[#This Row],[Ingresos Mensuales]]*BBDD_Usiarios_Netflix[[#This Row],[Meses contratados]]</f>
        <v>90</v>
      </c>
      <c r="O1328" t="s">
        <v>39</v>
      </c>
      <c r="P1328" t="str">
        <f>IF(BBDD_Usiarios_Netflix[[#This Row],[País]]="","Desconocido",BBDD_Usiarios_Netflix[[#This Row],[País]])</f>
        <v>Canadá</v>
      </c>
      <c r="Q1328">
        <v>48</v>
      </c>
      <c r="R1328" t="s">
        <v>25</v>
      </c>
      <c r="S1328" t="s">
        <v>36</v>
      </c>
      <c r="T1328" t="s">
        <v>41</v>
      </c>
      <c r="U1328">
        <f>IF(IFERROR(VLOOKUP(BBDD_Usiarios_Netflix[[#This Row],[Identificador Usuario]],A1329:$A$5870,1,FALSE),0)&lt;&gt;0,1,0)</f>
        <v>0</v>
      </c>
      <c r="V1328" s="6" t="str">
        <f>IF(BBDD_Usiarios_Netflix[[#This Row],[Duración Plan]]="12 Meses",LEFT(BBDD_Usiarios_Netflix[[#This Row],[Duración Plan]],2),LEFT(BBDD_Usiarios_Netflix[[#This Row],[Duración Plan]],1))</f>
        <v>12</v>
      </c>
      <c r="W13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29" spans="1:23" x14ac:dyDescent="0.25">
      <c r="A1329">
        <v>1328</v>
      </c>
      <c r="B1329" t="s">
        <v>32</v>
      </c>
      <c r="C1329">
        <v>12</v>
      </c>
      <c r="D1329" s="3">
        <v>9</v>
      </c>
      <c r="E1329" s="3">
        <v>10</v>
      </c>
      <c r="F1329">
        <v>23</v>
      </c>
      <c r="G1329" s="1">
        <f>DATEVALUE(_xlfn.CONCAT(BBDD_Usiarios_Netflix[[#This Row],[Día Suscripción]],"/",BBDD_Usiarios_Netflix[[#This Row],[Mes Suscripción]],"/",BBDD_Usiarios_Netflix[[#This Row],[Año Suscripción]]))</f>
        <v>45208</v>
      </c>
      <c r="H1329" s="1">
        <v>4</v>
      </c>
      <c r="I1329" s="1">
        <v>7</v>
      </c>
      <c r="J1329" s="1">
        <v>24</v>
      </c>
      <c r="K1329" s="1" t="str">
        <f>TEXT(BBDD_Usiarios_Netflix[[#This Row],[Fecha Suscripción]],"dddd")</f>
        <v>lunes</v>
      </c>
      <c r="L1329" s="1">
        <f>DATEVALUE(_xlfn.CONCAT(BBDD_Usiarios_Netflix[[#This Row],[Día Último Pago]],"/",BBDD_Usiarios_Netflix[[#This Row],[Mes Último Pago]],"/",BBDD_Usiarios_Netflix[[#This Row],[Año Último Pago]]))</f>
        <v>45477</v>
      </c>
      <c r="M1329" s="4">
        <f>DATEDIF(BBDD_Usiarios_Netflix[[#This Row],[Fecha Suscripción]],BBDD_Usiarios_Netflix[[#This Row],[Fecha Último Pago]],"M")+1</f>
        <v>9</v>
      </c>
      <c r="N1329" s="4">
        <f>BBDD_Usiarios_Netflix[[#This Row],[Ingresos Mensuales]]*BBDD_Usiarios_Netflix[[#This Row],[Meses contratados]]</f>
        <v>108</v>
      </c>
      <c r="O1329" t="s">
        <v>39</v>
      </c>
      <c r="P1329" t="str">
        <f>IF(BBDD_Usiarios_Netflix[[#This Row],[País]]="","Desconocido",BBDD_Usiarios_Netflix[[#This Row],[País]])</f>
        <v>Canadá</v>
      </c>
      <c r="Q1329">
        <v>35</v>
      </c>
      <c r="R1329" t="s">
        <v>30</v>
      </c>
      <c r="S1329" t="s">
        <v>31</v>
      </c>
      <c r="T1329" t="s">
        <v>41</v>
      </c>
      <c r="U1329">
        <f>IF(IFERROR(VLOOKUP(BBDD_Usiarios_Netflix[[#This Row],[Identificador Usuario]],A1330:$A$5870,1,FALSE),0)&lt;&gt;0,1,0)</f>
        <v>0</v>
      </c>
      <c r="V1329" s="6" t="str">
        <f>IF(BBDD_Usiarios_Netflix[[#This Row],[Duración Plan]]="12 Meses",LEFT(BBDD_Usiarios_Netflix[[#This Row],[Duración Plan]],2),LEFT(BBDD_Usiarios_Netflix[[#This Row],[Duración Plan]],1))</f>
        <v>12</v>
      </c>
      <c r="W13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30" spans="1:23" x14ac:dyDescent="0.25">
      <c r="A1330">
        <v>1329</v>
      </c>
      <c r="B1330" t="s">
        <v>32</v>
      </c>
      <c r="C1330">
        <v>12</v>
      </c>
      <c r="D1330" s="3">
        <v>11</v>
      </c>
      <c r="E1330" s="3">
        <v>10</v>
      </c>
      <c r="F1330">
        <v>23</v>
      </c>
      <c r="G1330" s="1">
        <f>DATEVALUE(_xlfn.CONCAT(BBDD_Usiarios_Netflix[[#This Row],[Día Suscripción]],"/",BBDD_Usiarios_Netflix[[#This Row],[Mes Suscripción]],"/",BBDD_Usiarios_Netflix[[#This Row],[Año Suscripción]]))</f>
        <v>45210</v>
      </c>
      <c r="H1330" s="1">
        <v>4</v>
      </c>
      <c r="I1330" s="1">
        <v>7</v>
      </c>
      <c r="J1330" s="1">
        <v>24</v>
      </c>
      <c r="K1330" s="1" t="str">
        <f>TEXT(BBDD_Usiarios_Netflix[[#This Row],[Fecha Suscripción]],"dddd")</f>
        <v>miércoles</v>
      </c>
      <c r="L1330" s="1">
        <f>DATEVALUE(_xlfn.CONCAT(BBDD_Usiarios_Netflix[[#This Row],[Día Último Pago]],"/",BBDD_Usiarios_Netflix[[#This Row],[Mes Último Pago]],"/",BBDD_Usiarios_Netflix[[#This Row],[Año Último Pago]]))</f>
        <v>45477</v>
      </c>
      <c r="M1330" s="4">
        <f>DATEDIF(BBDD_Usiarios_Netflix[[#This Row],[Fecha Suscripción]],BBDD_Usiarios_Netflix[[#This Row],[Fecha Último Pago]],"M")+1</f>
        <v>9</v>
      </c>
      <c r="N1330" s="4">
        <f>BBDD_Usiarios_Netflix[[#This Row],[Ingresos Mensuales]]*BBDD_Usiarios_Netflix[[#This Row],[Meses contratados]]</f>
        <v>108</v>
      </c>
      <c r="O1330" t="s">
        <v>44</v>
      </c>
      <c r="P1330" t="str">
        <f>IF(BBDD_Usiarios_Netflix[[#This Row],[País]]="","Desconocido",BBDD_Usiarios_Netflix[[#This Row],[País]])</f>
        <v>Desconocido</v>
      </c>
      <c r="Q1330">
        <v>29</v>
      </c>
      <c r="R1330" t="s">
        <v>25</v>
      </c>
      <c r="S1330" t="s">
        <v>36</v>
      </c>
      <c r="T1330" t="s">
        <v>27</v>
      </c>
      <c r="U1330">
        <f>IF(IFERROR(VLOOKUP(BBDD_Usiarios_Netflix[[#This Row],[Identificador Usuario]],A1331:$A$5870,1,FALSE),0)&lt;&gt;0,1,0)</f>
        <v>0</v>
      </c>
      <c r="V1330" s="6" t="str">
        <f>IF(BBDD_Usiarios_Netflix[[#This Row],[Duración Plan]]="12 Meses",LEFT(BBDD_Usiarios_Netflix[[#This Row],[Duración Plan]],2),LEFT(BBDD_Usiarios_Netflix[[#This Row],[Duración Plan]],1))</f>
        <v>1</v>
      </c>
      <c r="W13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31" spans="1:23" x14ac:dyDescent="0.25">
      <c r="A1331">
        <v>1330</v>
      </c>
      <c r="B1331" t="s">
        <v>23</v>
      </c>
      <c r="C1331">
        <v>10</v>
      </c>
      <c r="D1331" s="3">
        <v>13</v>
      </c>
      <c r="E1331" s="3">
        <v>10</v>
      </c>
      <c r="F1331">
        <v>23</v>
      </c>
      <c r="G1331" s="1">
        <f>DATEVALUE(_xlfn.CONCAT(BBDD_Usiarios_Netflix[[#This Row],[Día Suscripción]],"/",BBDD_Usiarios_Netflix[[#This Row],[Mes Suscripción]],"/",BBDD_Usiarios_Netflix[[#This Row],[Año Suscripción]]))</f>
        <v>45212</v>
      </c>
      <c r="H1331" s="1">
        <v>5</v>
      </c>
      <c r="I1331" s="1">
        <v>7</v>
      </c>
      <c r="J1331" s="1">
        <v>24</v>
      </c>
      <c r="K1331" s="1" t="str">
        <f>TEXT(BBDD_Usiarios_Netflix[[#This Row],[Fecha Suscripción]],"dddd")</f>
        <v>viernes</v>
      </c>
      <c r="L1331" s="1">
        <f>DATEVALUE(_xlfn.CONCAT(BBDD_Usiarios_Netflix[[#This Row],[Día Último Pago]],"/",BBDD_Usiarios_Netflix[[#This Row],[Mes Último Pago]],"/",BBDD_Usiarios_Netflix[[#This Row],[Año Último Pago]]))</f>
        <v>45478</v>
      </c>
      <c r="M1331" s="4">
        <f>DATEDIF(BBDD_Usiarios_Netflix[[#This Row],[Fecha Suscripción]],BBDD_Usiarios_Netflix[[#This Row],[Fecha Último Pago]],"M")+1</f>
        <v>9</v>
      </c>
      <c r="N1331" s="4">
        <f>BBDD_Usiarios_Netflix[[#This Row],[Ingresos Mensuales]]*BBDD_Usiarios_Netflix[[#This Row],[Meses contratados]]</f>
        <v>90</v>
      </c>
      <c r="O1331" t="s">
        <v>40</v>
      </c>
      <c r="P1331" t="str">
        <f>IF(BBDD_Usiarios_Netflix[[#This Row],[País]]="","Desconocido",BBDD_Usiarios_Netflix[[#This Row],[País]])</f>
        <v>Italia</v>
      </c>
      <c r="Q1331">
        <v>47</v>
      </c>
      <c r="R1331" t="s">
        <v>30</v>
      </c>
      <c r="S1331" t="s">
        <v>34</v>
      </c>
      <c r="T1331" t="s">
        <v>38</v>
      </c>
      <c r="U1331">
        <f>IF(IFERROR(VLOOKUP(BBDD_Usiarios_Netflix[[#This Row],[Identificador Usuario]],A1332:$A$5870,1,FALSE),0)&lt;&gt;0,1,0)</f>
        <v>0</v>
      </c>
      <c r="V1331" s="6" t="str">
        <f>IF(BBDD_Usiarios_Netflix[[#This Row],[Duración Plan]]="12 Meses",LEFT(BBDD_Usiarios_Netflix[[#This Row],[Duración Plan]],2),LEFT(BBDD_Usiarios_Netflix[[#This Row],[Duración Plan]],1))</f>
        <v>3</v>
      </c>
      <c r="W13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32" spans="1:23" x14ac:dyDescent="0.25">
      <c r="A1332">
        <v>1331</v>
      </c>
      <c r="B1332" t="s">
        <v>28</v>
      </c>
      <c r="C1332">
        <v>14</v>
      </c>
      <c r="D1332" s="3">
        <v>15</v>
      </c>
      <c r="E1332" s="3">
        <v>10</v>
      </c>
      <c r="F1332">
        <v>23</v>
      </c>
      <c r="G1332" s="1">
        <f>DATEVALUE(_xlfn.CONCAT(BBDD_Usiarios_Netflix[[#This Row],[Día Suscripción]],"/",BBDD_Usiarios_Netflix[[#This Row],[Mes Suscripción]],"/",BBDD_Usiarios_Netflix[[#This Row],[Año Suscripción]]))</f>
        <v>45214</v>
      </c>
      <c r="H1332" s="1">
        <v>2</v>
      </c>
      <c r="I1332" s="1">
        <v>7</v>
      </c>
      <c r="J1332" s="1">
        <v>24</v>
      </c>
      <c r="K1332" s="1" t="str">
        <f>TEXT(BBDD_Usiarios_Netflix[[#This Row],[Fecha Suscripción]],"dddd")</f>
        <v>domingo</v>
      </c>
      <c r="L1332" s="1">
        <f>DATEVALUE(_xlfn.CONCAT(BBDD_Usiarios_Netflix[[#This Row],[Día Último Pago]],"/",BBDD_Usiarios_Netflix[[#This Row],[Mes Último Pago]],"/",BBDD_Usiarios_Netflix[[#This Row],[Año Último Pago]]))</f>
        <v>45475</v>
      </c>
      <c r="M1332" s="4">
        <f>DATEDIF(BBDD_Usiarios_Netflix[[#This Row],[Fecha Suscripción]],BBDD_Usiarios_Netflix[[#This Row],[Fecha Último Pago]],"M")+1</f>
        <v>9</v>
      </c>
      <c r="N1332" s="4">
        <f>BBDD_Usiarios_Netflix[[#This Row],[Ingresos Mensuales]]*BBDD_Usiarios_Netflix[[#This Row],[Meses contratados]]</f>
        <v>126</v>
      </c>
      <c r="O1332" t="s">
        <v>40</v>
      </c>
      <c r="P1332" t="str">
        <f>IF(BBDD_Usiarios_Netflix[[#This Row],[País]]="","Desconocido",BBDD_Usiarios_Netflix[[#This Row],[País]])</f>
        <v>Italia</v>
      </c>
      <c r="Q1332">
        <v>36</v>
      </c>
      <c r="R1332" t="s">
        <v>25</v>
      </c>
      <c r="S1332" t="s">
        <v>26</v>
      </c>
      <c r="T1332" t="s">
        <v>27</v>
      </c>
      <c r="U1332">
        <f>IF(IFERROR(VLOOKUP(BBDD_Usiarios_Netflix[[#This Row],[Identificador Usuario]],A1333:$A$5870,1,FALSE),0)&lt;&gt;0,1,0)</f>
        <v>0</v>
      </c>
      <c r="V1332" s="6" t="str">
        <f>IF(BBDD_Usiarios_Netflix[[#This Row],[Duración Plan]]="12 Meses",LEFT(BBDD_Usiarios_Netflix[[#This Row],[Duración Plan]],2),LEFT(BBDD_Usiarios_Netflix[[#This Row],[Duración Plan]],1))</f>
        <v>1</v>
      </c>
      <c r="W13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33" spans="1:23" x14ac:dyDescent="0.25">
      <c r="A1333">
        <v>1332</v>
      </c>
      <c r="B1333" t="s">
        <v>23</v>
      </c>
      <c r="C1333">
        <v>10</v>
      </c>
      <c r="D1333" s="3">
        <v>17</v>
      </c>
      <c r="E1333" s="3">
        <v>10</v>
      </c>
      <c r="F1333">
        <v>23</v>
      </c>
      <c r="G1333" s="1">
        <f>DATEVALUE(_xlfn.CONCAT(BBDD_Usiarios_Netflix[[#This Row],[Día Suscripción]],"/",BBDD_Usiarios_Netflix[[#This Row],[Mes Suscripción]],"/",BBDD_Usiarios_Netflix[[#This Row],[Año Suscripción]]))</f>
        <v>45216</v>
      </c>
      <c r="H1333" s="1">
        <v>4</v>
      </c>
      <c r="I1333" s="1">
        <v>7</v>
      </c>
      <c r="J1333" s="1">
        <v>24</v>
      </c>
      <c r="K1333" s="1" t="str">
        <f>TEXT(BBDD_Usiarios_Netflix[[#This Row],[Fecha Suscripción]],"dddd")</f>
        <v>martes</v>
      </c>
      <c r="L1333" s="1">
        <f>DATEVALUE(_xlfn.CONCAT(BBDD_Usiarios_Netflix[[#This Row],[Día Último Pago]],"/",BBDD_Usiarios_Netflix[[#This Row],[Mes Último Pago]],"/",BBDD_Usiarios_Netflix[[#This Row],[Año Último Pago]]))</f>
        <v>45477</v>
      </c>
      <c r="M1333" s="4">
        <f>DATEDIF(BBDD_Usiarios_Netflix[[#This Row],[Fecha Suscripción]],BBDD_Usiarios_Netflix[[#This Row],[Fecha Último Pago]],"M")+1</f>
        <v>9</v>
      </c>
      <c r="N1333" s="4">
        <f>BBDD_Usiarios_Netflix[[#This Row],[Ingresos Mensuales]]*BBDD_Usiarios_Netflix[[#This Row],[Meses contratados]]</f>
        <v>90</v>
      </c>
      <c r="O1333" t="s">
        <v>43</v>
      </c>
      <c r="P1333" t="str">
        <f>IF(BBDD_Usiarios_Netflix[[#This Row],[País]]="","Desconocido",BBDD_Usiarios_Netflix[[#This Row],[País]])</f>
        <v>Alemania</v>
      </c>
      <c r="Q1333">
        <v>40</v>
      </c>
      <c r="R1333" t="s">
        <v>30</v>
      </c>
      <c r="S1333" t="s">
        <v>26</v>
      </c>
      <c r="T1333" t="s">
        <v>41</v>
      </c>
      <c r="U1333">
        <f>IF(IFERROR(VLOOKUP(BBDD_Usiarios_Netflix[[#This Row],[Identificador Usuario]],A1334:$A$5870,1,FALSE),0)&lt;&gt;0,1,0)</f>
        <v>0</v>
      </c>
      <c r="V1333" s="6" t="str">
        <f>IF(BBDD_Usiarios_Netflix[[#This Row],[Duración Plan]]="12 Meses",LEFT(BBDD_Usiarios_Netflix[[#This Row],[Duración Plan]],2),LEFT(BBDD_Usiarios_Netflix[[#This Row],[Duración Plan]],1))</f>
        <v>12</v>
      </c>
      <c r="W13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34" spans="1:23" x14ac:dyDescent="0.25">
      <c r="A1334">
        <v>1333</v>
      </c>
      <c r="B1334" t="s">
        <v>32</v>
      </c>
      <c r="C1334">
        <v>12</v>
      </c>
      <c r="D1334" s="3">
        <v>21</v>
      </c>
      <c r="E1334" s="3">
        <v>10</v>
      </c>
      <c r="F1334">
        <v>23</v>
      </c>
      <c r="G1334" s="1">
        <f>DATEVALUE(_xlfn.CONCAT(BBDD_Usiarios_Netflix[[#This Row],[Día Suscripción]],"/",BBDD_Usiarios_Netflix[[#This Row],[Mes Suscripción]],"/",BBDD_Usiarios_Netflix[[#This Row],[Año Suscripción]]))</f>
        <v>45220</v>
      </c>
      <c r="H1334" s="1">
        <v>4</v>
      </c>
      <c r="I1334" s="1">
        <v>7</v>
      </c>
      <c r="J1334" s="1">
        <v>24</v>
      </c>
      <c r="K1334" s="1" t="str">
        <f>TEXT(BBDD_Usiarios_Netflix[[#This Row],[Fecha Suscripción]],"dddd")</f>
        <v>sábado</v>
      </c>
      <c r="L1334" s="1">
        <f>DATEVALUE(_xlfn.CONCAT(BBDD_Usiarios_Netflix[[#This Row],[Día Último Pago]],"/",BBDD_Usiarios_Netflix[[#This Row],[Mes Último Pago]],"/",BBDD_Usiarios_Netflix[[#This Row],[Año Último Pago]]))</f>
        <v>45477</v>
      </c>
      <c r="M1334" s="4">
        <f>DATEDIF(BBDD_Usiarios_Netflix[[#This Row],[Fecha Suscripción]],BBDD_Usiarios_Netflix[[#This Row],[Fecha Último Pago]],"M")+1</f>
        <v>9</v>
      </c>
      <c r="N1334" s="4">
        <f>BBDD_Usiarios_Netflix[[#This Row],[Ingresos Mensuales]]*BBDD_Usiarios_Netflix[[#This Row],[Meses contratados]]</f>
        <v>108</v>
      </c>
      <c r="O1334" t="s">
        <v>42</v>
      </c>
      <c r="P1334" t="str">
        <f>IF(BBDD_Usiarios_Netflix[[#This Row],[País]]="","Desconocido",BBDD_Usiarios_Netflix[[#This Row],[País]])</f>
        <v>Reino Unido</v>
      </c>
      <c r="Q1334">
        <v>51</v>
      </c>
      <c r="R1334" t="s">
        <v>25</v>
      </c>
      <c r="S1334" t="s">
        <v>31</v>
      </c>
      <c r="T1334" t="s">
        <v>35</v>
      </c>
      <c r="U1334">
        <f>IF(IFERROR(VLOOKUP(BBDD_Usiarios_Netflix[[#This Row],[Identificador Usuario]],A1335:$A$5870,1,FALSE),0)&lt;&gt;0,1,0)</f>
        <v>0</v>
      </c>
      <c r="V1334" s="6" t="str">
        <f>IF(BBDD_Usiarios_Netflix[[#This Row],[Duración Plan]]="12 Meses",LEFT(BBDD_Usiarios_Netflix[[#This Row],[Duración Plan]],2),LEFT(BBDD_Usiarios_Netflix[[#This Row],[Duración Plan]],1))</f>
        <v>6</v>
      </c>
      <c r="W13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35" spans="1:23" x14ac:dyDescent="0.25">
      <c r="A1335">
        <v>1334</v>
      </c>
      <c r="B1335" t="s">
        <v>28</v>
      </c>
      <c r="C1335">
        <v>14</v>
      </c>
      <c r="D1335" s="3">
        <v>23</v>
      </c>
      <c r="E1335" s="3">
        <v>10</v>
      </c>
      <c r="F1335">
        <v>23</v>
      </c>
      <c r="G1335" s="1">
        <f>DATEVALUE(_xlfn.CONCAT(BBDD_Usiarios_Netflix[[#This Row],[Día Suscripción]],"/",BBDD_Usiarios_Netflix[[#This Row],[Mes Suscripción]],"/",BBDD_Usiarios_Netflix[[#This Row],[Año Suscripción]]))</f>
        <v>45222</v>
      </c>
      <c r="H1335" s="1">
        <v>5</v>
      </c>
      <c r="I1335" s="1">
        <v>7</v>
      </c>
      <c r="J1335" s="1">
        <v>24</v>
      </c>
      <c r="K1335" s="1" t="str">
        <f>TEXT(BBDD_Usiarios_Netflix[[#This Row],[Fecha Suscripción]],"dddd")</f>
        <v>lunes</v>
      </c>
      <c r="L1335" s="1">
        <f>DATEVALUE(_xlfn.CONCAT(BBDD_Usiarios_Netflix[[#This Row],[Día Último Pago]],"/",BBDD_Usiarios_Netflix[[#This Row],[Mes Último Pago]],"/",BBDD_Usiarios_Netflix[[#This Row],[Año Último Pago]]))</f>
        <v>45478</v>
      </c>
      <c r="M1335" s="4">
        <f>DATEDIF(BBDD_Usiarios_Netflix[[#This Row],[Fecha Suscripción]],BBDD_Usiarios_Netflix[[#This Row],[Fecha Último Pago]],"M")+1</f>
        <v>9</v>
      </c>
      <c r="N1335" s="4">
        <f>BBDD_Usiarios_Netflix[[#This Row],[Ingresos Mensuales]]*BBDD_Usiarios_Netflix[[#This Row],[Meses contratados]]</f>
        <v>126</v>
      </c>
      <c r="O1335" t="s">
        <v>39</v>
      </c>
      <c r="P1335" t="str">
        <f>IF(BBDD_Usiarios_Netflix[[#This Row],[País]]="","Desconocido",BBDD_Usiarios_Netflix[[#This Row],[País]])</f>
        <v>Canadá</v>
      </c>
      <c r="Q1335">
        <v>37</v>
      </c>
      <c r="R1335" t="s">
        <v>25</v>
      </c>
      <c r="S1335" t="s">
        <v>34</v>
      </c>
      <c r="T1335" t="s">
        <v>35</v>
      </c>
      <c r="U1335">
        <f>IF(IFERROR(VLOOKUP(BBDD_Usiarios_Netflix[[#This Row],[Identificador Usuario]],A1336:$A$5870,1,FALSE),0)&lt;&gt;0,1,0)</f>
        <v>0</v>
      </c>
      <c r="V1335" s="6" t="str">
        <f>IF(BBDD_Usiarios_Netflix[[#This Row],[Duración Plan]]="12 Meses",LEFT(BBDD_Usiarios_Netflix[[#This Row],[Duración Plan]],2),LEFT(BBDD_Usiarios_Netflix[[#This Row],[Duración Plan]],1))</f>
        <v>6</v>
      </c>
      <c r="W13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36" spans="1:23" x14ac:dyDescent="0.25">
      <c r="A1336">
        <v>1335</v>
      </c>
      <c r="B1336" t="s">
        <v>23</v>
      </c>
      <c r="C1336">
        <v>10</v>
      </c>
      <c r="D1336" s="3">
        <v>24</v>
      </c>
      <c r="E1336" s="3">
        <v>10</v>
      </c>
      <c r="F1336">
        <v>23</v>
      </c>
      <c r="G1336" s="1">
        <f>DATEVALUE(_xlfn.CONCAT(BBDD_Usiarios_Netflix[[#This Row],[Día Suscripción]],"/",BBDD_Usiarios_Netflix[[#This Row],[Mes Suscripción]],"/",BBDD_Usiarios_Netflix[[#This Row],[Año Suscripción]]))</f>
        <v>45223</v>
      </c>
      <c r="H1336" s="1">
        <v>6</v>
      </c>
      <c r="I1336" s="1">
        <v>7</v>
      </c>
      <c r="J1336" s="1">
        <v>24</v>
      </c>
      <c r="K1336" s="1" t="str">
        <f>TEXT(BBDD_Usiarios_Netflix[[#This Row],[Fecha Suscripción]],"dddd")</f>
        <v>martes</v>
      </c>
      <c r="L1336" s="1">
        <f>DATEVALUE(_xlfn.CONCAT(BBDD_Usiarios_Netflix[[#This Row],[Día Último Pago]],"/",BBDD_Usiarios_Netflix[[#This Row],[Mes Último Pago]],"/",BBDD_Usiarios_Netflix[[#This Row],[Año Último Pago]]))</f>
        <v>45479</v>
      </c>
      <c r="M1336" s="4">
        <f>DATEDIF(BBDD_Usiarios_Netflix[[#This Row],[Fecha Suscripción]],BBDD_Usiarios_Netflix[[#This Row],[Fecha Último Pago]],"M")+1</f>
        <v>9</v>
      </c>
      <c r="N1336" s="4">
        <f>BBDD_Usiarios_Netflix[[#This Row],[Ingresos Mensuales]]*BBDD_Usiarios_Netflix[[#This Row],[Meses contratados]]</f>
        <v>90</v>
      </c>
      <c r="O1336" t="s">
        <v>29</v>
      </c>
      <c r="P1336" t="str">
        <f>IF(BBDD_Usiarios_Netflix[[#This Row],[País]]="","Desconocido",BBDD_Usiarios_Netflix[[#This Row],[País]])</f>
        <v>EEUU</v>
      </c>
      <c r="Q1336">
        <v>36</v>
      </c>
      <c r="R1336" t="s">
        <v>25</v>
      </c>
      <c r="S1336" t="s">
        <v>31</v>
      </c>
      <c r="T1336" t="s">
        <v>27</v>
      </c>
      <c r="U1336">
        <f>IF(IFERROR(VLOOKUP(BBDD_Usiarios_Netflix[[#This Row],[Identificador Usuario]],A1337:$A$5870,1,FALSE),0)&lt;&gt;0,1,0)</f>
        <v>0</v>
      </c>
      <c r="V1336" s="6" t="str">
        <f>IF(BBDD_Usiarios_Netflix[[#This Row],[Duración Plan]]="12 Meses",LEFT(BBDD_Usiarios_Netflix[[#This Row],[Duración Plan]],2),LEFT(BBDD_Usiarios_Netflix[[#This Row],[Duración Plan]],1))</f>
        <v>1</v>
      </c>
      <c r="W13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37" spans="1:23" x14ac:dyDescent="0.25">
      <c r="A1337">
        <v>1336</v>
      </c>
      <c r="B1337" t="s">
        <v>28</v>
      </c>
      <c r="C1337">
        <v>14</v>
      </c>
      <c r="D1337" s="3">
        <v>28</v>
      </c>
      <c r="E1337" s="3">
        <v>10</v>
      </c>
      <c r="F1337">
        <v>23</v>
      </c>
      <c r="G1337" s="1">
        <f>DATEVALUE(_xlfn.CONCAT(BBDD_Usiarios_Netflix[[#This Row],[Día Suscripción]],"/",BBDD_Usiarios_Netflix[[#This Row],[Mes Suscripción]],"/",BBDD_Usiarios_Netflix[[#This Row],[Año Suscripción]]))</f>
        <v>45227</v>
      </c>
      <c r="H1337" s="1">
        <v>4</v>
      </c>
      <c r="I1337" s="1">
        <v>7</v>
      </c>
      <c r="J1337" s="1">
        <v>24</v>
      </c>
      <c r="K1337" s="1" t="str">
        <f>TEXT(BBDD_Usiarios_Netflix[[#This Row],[Fecha Suscripción]],"dddd")</f>
        <v>sábado</v>
      </c>
      <c r="L1337" s="1">
        <f>DATEVALUE(_xlfn.CONCAT(BBDD_Usiarios_Netflix[[#This Row],[Día Último Pago]],"/",BBDD_Usiarios_Netflix[[#This Row],[Mes Último Pago]],"/",BBDD_Usiarios_Netflix[[#This Row],[Año Último Pago]]))</f>
        <v>45477</v>
      </c>
      <c r="M1337" s="4">
        <f>DATEDIF(BBDD_Usiarios_Netflix[[#This Row],[Fecha Suscripción]],BBDD_Usiarios_Netflix[[#This Row],[Fecha Último Pago]],"M")+1</f>
        <v>9</v>
      </c>
      <c r="N1337" s="4">
        <f>BBDD_Usiarios_Netflix[[#This Row],[Ingresos Mensuales]]*BBDD_Usiarios_Netflix[[#This Row],[Meses contratados]]</f>
        <v>126</v>
      </c>
      <c r="O1337" t="s">
        <v>29</v>
      </c>
      <c r="P1337" t="str">
        <f>IF(BBDD_Usiarios_Netflix[[#This Row],[País]]="","Desconocido",BBDD_Usiarios_Netflix[[#This Row],[País]])</f>
        <v>EEUU</v>
      </c>
      <c r="Q1337">
        <v>45</v>
      </c>
      <c r="R1337" t="s">
        <v>25</v>
      </c>
      <c r="S1337" t="s">
        <v>31</v>
      </c>
      <c r="T1337" t="s">
        <v>27</v>
      </c>
      <c r="U1337">
        <f>IF(IFERROR(VLOOKUP(BBDD_Usiarios_Netflix[[#This Row],[Identificador Usuario]],A1338:$A$5870,1,FALSE),0)&lt;&gt;0,1,0)</f>
        <v>0</v>
      </c>
      <c r="V1337" s="6" t="str">
        <f>IF(BBDD_Usiarios_Netflix[[#This Row],[Duración Plan]]="12 Meses",LEFT(BBDD_Usiarios_Netflix[[#This Row],[Duración Plan]],2),LEFT(BBDD_Usiarios_Netflix[[#This Row],[Duración Plan]],1))</f>
        <v>1</v>
      </c>
      <c r="W13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38" spans="1:23" x14ac:dyDescent="0.25">
      <c r="A1338">
        <v>1337</v>
      </c>
      <c r="B1338" t="s">
        <v>23</v>
      </c>
      <c r="C1338">
        <v>10</v>
      </c>
      <c r="D1338" s="3">
        <v>31</v>
      </c>
      <c r="E1338" s="3">
        <v>10</v>
      </c>
      <c r="F1338">
        <v>23</v>
      </c>
      <c r="G1338" s="1">
        <f>DATEVALUE(_xlfn.CONCAT(BBDD_Usiarios_Netflix[[#This Row],[Día Suscripción]],"/",BBDD_Usiarios_Netflix[[#This Row],[Mes Suscripción]],"/",BBDD_Usiarios_Netflix[[#This Row],[Año Suscripción]]))</f>
        <v>45230</v>
      </c>
      <c r="H1338" s="1">
        <v>4</v>
      </c>
      <c r="I1338" s="1">
        <v>7</v>
      </c>
      <c r="J1338" s="1">
        <v>24</v>
      </c>
      <c r="K1338" s="1" t="str">
        <f>TEXT(BBDD_Usiarios_Netflix[[#This Row],[Fecha Suscripción]],"dddd")</f>
        <v>martes</v>
      </c>
      <c r="L1338" s="1">
        <f>DATEVALUE(_xlfn.CONCAT(BBDD_Usiarios_Netflix[[#This Row],[Día Último Pago]],"/",BBDD_Usiarios_Netflix[[#This Row],[Mes Último Pago]],"/",BBDD_Usiarios_Netflix[[#This Row],[Año Último Pago]]))</f>
        <v>45477</v>
      </c>
      <c r="M1338" s="4">
        <f>DATEDIF(BBDD_Usiarios_Netflix[[#This Row],[Fecha Suscripción]],BBDD_Usiarios_Netflix[[#This Row],[Fecha Último Pago]],"M")+1</f>
        <v>9</v>
      </c>
      <c r="N1338" s="4">
        <f>BBDD_Usiarios_Netflix[[#This Row],[Ingresos Mensuales]]*BBDD_Usiarios_Netflix[[#This Row],[Meses contratados]]</f>
        <v>90</v>
      </c>
      <c r="O1338" t="s">
        <v>40</v>
      </c>
      <c r="P1338" t="str">
        <f>IF(BBDD_Usiarios_Netflix[[#This Row],[País]]="","Desconocido",BBDD_Usiarios_Netflix[[#This Row],[País]])</f>
        <v>Italia</v>
      </c>
      <c r="Q1338">
        <v>31</v>
      </c>
      <c r="R1338" t="s">
        <v>30</v>
      </c>
      <c r="S1338" t="s">
        <v>31</v>
      </c>
      <c r="T1338" t="s">
        <v>41</v>
      </c>
      <c r="U1338">
        <f>IF(IFERROR(VLOOKUP(BBDD_Usiarios_Netflix[[#This Row],[Identificador Usuario]],A1339:$A$5870,1,FALSE),0)&lt;&gt;0,1,0)</f>
        <v>0</v>
      </c>
      <c r="V1338" s="6" t="str">
        <f>IF(BBDD_Usiarios_Netflix[[#This Row],[Duración Plan]]="12 Meses",LEFT(BBDD_Usiarios_Netflix[[#This Row],[Duración Plan]],2),LEFT(BBDD_Usiarios_Netflix[[#This Row],[Duración Plan]],1))</f>
        <v>12</v>
      </c>
      <c r="W13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39" spans="1:23" x14ac:dyDescent="0.25">
      <c r="A1339">
        <v>1338</v>
      </c>
      <c r="B1339" t="s">
        <v>32</v>
      </c>
      <c r="C1339">
        <v>12</v>
      </c>
      <c r="D1339" s="3">
        <v>3</v>
      </c>
      <c r="E1339" s="3">
        <v>11</v>
      </c>
      <c r="F1339">
        <v>23</v>
      </c>
      <c r="G1339" s="1">
        <f>DATEVALUE(_xlfn.CONCAT(BBDD_Usiarios_Netflix[[#This Row],[Día Suscripción]],"/",BBDD_Usiarios_Netflix[[#This Row],[Mes Suscripción]],"/",BBDD_Usiarios_Netflix[[#This Row],[Año Suscripción]]))</f>
        <v>45233</v>
      </c>
      <c r="H1339" s="1">
        <v>4</v>
      </c>
      <c r="I1339" s="1">
        <v>7</v>
      </c>
      <c r="J1339" s="1">
        <v>24</v>
      </c>
      <c r="K1339" s="1" t="str">
        <f>TEXT(BBDD_Usiarios_Netflix[[#This Row],[Fecha Suscripción]],"dddd")</f>
        <v>viernes</v>
      </c>
      <c r="L1339" s="1">
        <f>DATEVALUE(_xlfn.CONCAT(BBDD_Usiarios_Netflix[[#This Row],[Día Último Pago]],"/",BBDD_Usiarios_Netflix[[#This Row],[Mes Último Pago]],"/",BBDD_Usiarios_Netflix[[#This Row],[Año Último Pago]]))</f>
        <v>45477</v>
      </c>
      <c r="M1339" s="4">
        <f>DATEDIF(BBDD_Usiarios_Netflix[[#This Row],[Fecha Suscripción]],BBDD_Usiarios_Netflix[[#This Row],[Fecha Último Pago]],"M")+1</f>
        <v>9</v>
      </c>
      <c r="N1339" s="4">
        <f>BBDD_Usiarios_Netflix[[#This Row],[Ingresos Mensuales]]*BBDD_Usiarios_Netflix[[#This Row],[Meses contratados]]</f>
        <v>108</v>
      </c>
      <c r="O1339" t="s">
        <v>29</v>
      </c>
      <c r="P1339" t="str">
        <f>IF(BBDD_Usiarios_Netflix[[#This Row],[País]]="","Desconocido",BBDD_Usiarios_Netflix[[#This Row],[País]])</f>
        <v>EEUU</v>
      </c>
      <c r="Q1339">
        <v>45</v>
      </c>
      <c r="R1339" t="s">
        <v>30</v>
      </c>
      <c r="S1339" t="s">
        <v>36</v>
      </c>
      <c r="T1339" t="s">
        <v>38</v>
      </c>
      <c r="U1339">
        <f>IF(IFERROR(VLOOKUP(BBDD_Usiarios_Netflix[[#This Row],[Identificador Usuario]],A1340:$A$5870,1,FALSE),0)&lt;&gt;0,1,0)</f>
        <v>0</v>
      </c>
      <c r="V1339" s="6" t="str">
        <f>IF(BBDD_Usiarios_Netflix[[#This Row],[Duración Plan]]="12 Meses",LEFT(BBDD_Usiarios_Netflix[[#This Row],[Duración Plan]],2),LEFT(BBDD_Usiarios_Netflix[[#This Row],[Duración Plan]],1))</f>
        <v>3</v>
      </c>
      <c r="W13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40" spans="1:23" x14ac:dyDescent="0.25">
      <c r="A1340">
        <v>1339</v>
      </c>
      <c r="B1340" t="s">
        <v>32</v>
      </c>
      <c r="C1340">
        <v>12</v>
      </c>
      <c r="D1340" s="3">
        <v>4</v>
      </c>
      <c r="E1340" s="3">
        <v>11</v>
      </c>
      <c r="F1340">
        <v>23</v>
      </c>
      <c r="G1340" s="1">
        <f>DATEVALUE(_xlfn.CONCAT(BBDD_Usiarios_Netflix[[#This Row],[Día Suscripción]],"/",BBDD_Usiarios_Netflix[[#This Row],[Mes Suscripción]],"/",BBDD_Usiarios_Netflix[[#This Row],[Año Suscripción]]))</f>
        <v>45234</v>
      </c>
      <c r="H1340" s="1">
        <v>5</v>
      </c>
      <c r="I1340" s="1">
        <v>7</v>
      </c>
      <c r="J1340" s="1">
        <v>24</v>
      </c>
      <c r="K1340" s="1" t="str">
        <f>TEXT(BBDD_Usiarios_Netflix[[#This Row],[Fecha Suscripción]],"dddd")</f>
        <v>sábado</v>
      </c>
      <c r="L1340" s="1">
        <f>DATEVALUE(_xlfn.CONCAT(BBDD_Usiarios_Netflix[[#This Row],[Día Último Pago]],"/",BBDD_Usiarios_Netflix[[#This Row],[Mes Último Pago]],"/",BBDD_Usiarios_Netflix[[#This Row],[Año Último Pago]]))</f>
        <v>45478</v>
      </c>
      <c r="M1340" s="4">
        <f>DATEDIF(BBDD_Usiarios_Netflix[[#This Row],[Fecha Suscripción]],BBDD_Usiarios_Netflix[[#This Row],[Fecha Último Pago]],"M")+1</f>
        <v>9</v>
      </c>
      <c r="N1340" s="4">
        <f>BBDD_Usiarios_Netflix[[#This Row],[Ingresos Mensuales]]*BBDD_Usiarios_Netflix[[#This Row],[Meses contratados]]</f>
        <v>108</v>
      </c>
      <c r="O1340" t="s">
        <v>24</v>
      </c>
      <c r="P1340" t="str">
        <f>IF(BBDD_Usiarios_Netflix[[#This Row],[País]]="","Desconocido",BBDD_Usiarios_Netflix[[#This Row],[País]])</f>
        <v>Australia</v>
      </c>
      <c r="Q1340">
        <v>30</v>
      </c>
      <c r="R1340" t="s">
        <v>25</v>
      </c>
      <c r="S1340" t="s">
        <v>36</v>
      </c>
      <c r="T1340" t="s">
        <v>41</v>
      </c>
      <c r="U1340">
        <f>IF(IFERROR(VLOOKUP(BBDD_Usiarios_Netflix[[#This Row],[Identificador Usuario]],A1341:$A$5870,1,FALSE),0)&lt;&gt;0,1,0)</f>
        <v>0</v>
      </c>
      <c r="V1340" s="6" t="str">
        <f>IF(BBDD_Usiarios_Netflix[[#This Row],[Duración Plan]]="12 Meses",LEFT(BBDD_Usiarios_Netflix[[#This Row],[Duración Plan]],2),LEFT(BBDD_Usiarios_Netflix[[#This Row],[Duración Plan]],1))</f>
        <v>12</v>
      </c>
      <c r="W13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41" spans="1:23" x14ac:dyDescent="0.25">
      <c r="A1341">
        <v>1340</v>
      </c>
      <c r="B1341" t="s">
        <v>23</v>
      </c>
      <c r="C1341">
        <v>10</v>
      </c>
      <c r="D1341" s="3">
        <v>5</v>
      </c>
      <c r="E1341" s="3">
        <v>11</v>
      </c>
      <c r="F1341">
        <v>23</v>
      </c>
      <c r="G1341" s="1">
        <f>DATEVALUE(_xlfn.CONCAT(BBDD_Usiarios_Netflix[[#This Row],[Día Suscripción]],"/",BBDD_Usiarios_Netflix[[#This Row],[Mes Suscripción]],"/",BBDD_Usiarios_Netflix[[#This Row],[Año Suscripción]]))</f>
        <v>45235</v>
      </c>
      <c r="H1341" s="1">
        <v>6</v>
      </c>
      <c r="I1341" s="1">
        <v>7</v>
      </c>
      <c r="J1341" s="1">
        <v>24</v>
      </c>
      <c r="K1341" s="1" t="str">
        <f>TEXT(BBDD_Usiarios_Netflix[[#This Row],[Fecha Suscripción]],"dddd")</f>
        <v>domingo</v>
      </c>
      <c r="L1341" s="1">
        <f>DATEVALUE(_xlfn.CONCAT(BBDD_Usiarios_Netflix[[#This Row],[Día Último Pago]],"/",BBDD_Usiarios_Netflix[[#This Row],[Mes Último Pago]],"/",BBDD_Usiarios_Netflix[[#This Row],[Año Último Pago]]))</f>
        <v>45479</v>
      </c>
      <c r="M1341" s="4">
        <f>DATEDIF(BBDD_Usiarios_Netflix[[#This Row],[Fecha Suscripción]],BBDD_Usiarios_Netflix[[#This Row],[Fecha Último Pago]],"M")+1</f>
        <v>9</v>
      </c>
      <c r="N1341" s="4">
        <f>BBDD_Usiarios_Netflix[[#This Row],[Ingresos Mensuales]]*BBDD_Usiarios_Netflix[[#This Row],[Meses contratados]]</f>
        <v>90</v>
      </c>
      <c r="O1341" t="s">
        <v>45</v>
      </c>
      <c r="P1341" t="str">
        <f>IF(BBDD_Usiarios_Netflix[[#This Row],[País]]="","Desconocido",BBDD_Usiarios_Netflix[[#This Row],[País]])</f>
        <v>España</v>
      </c>
      <c r="Q1341">
        <v>40</v>
      </c>
      <c r="R1341" t="s">
        <v>30</v>
      </c>
      <c r="S1341" t="s">
        <v>26</v>
      </c>
      <c r="T1341" t="s">
        <v>38</v>
      </c>
      <c r="U1341">
        <f>IF(IFERROR(VLOOKUP(BBDD_Usiarios_Netflix[[#This Row],[Identificador Usuario]],A1342:$A$5870,1,FALSE),0)&lt;&gt;0,1,0)</f>
        <v>0</v>
      </c>
      <c r="V1341" s="6" t="str">
        <f>IF(BBDD_Usiarios_Netflix[[#This Row],[Duración Plan]]="12 Meses",LEFT(BBDD_Usiarios_Netflix[[#This Row],[Duración Plan]],2),LEFT(BBDD_Usiarios_Netflix[[#This Row],[Duración Plan]],1))</f>
        <v>3</v>
      </c>
      <c r="W13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42" spans="1:23" x14ac:dyDescent="0.25">
      <c r="A1342">
        <v>1341</v>
      </c>
      <c r="B1342" t="s">
        <v>28</v>
      </c>
      <c r="C1342">
        <v>14</v>
      </c>
      <c r="D1342" s="3">
        <v>6</v>
      </c>
      <c r="E1342" s="3">
        <v>11</v>
      </c>
      <c r="F1342">
        <v>23</v>
      </c>
      <c r="G1342" s="1">
        <f>DATEVALUE(_xlfn.CONCAT(BBDD_Usiarios_Netflix[[#This Row],[Día Suscripción]],"/",BBDD_Usiarios_Netflix[[#This Row],[Mes Suscripción]],"/",BBDD_Usiarios_Netflix[[#This Row],[Año Suscripción]]))</f>
        <v>45236</v>
      </c>
      <c r="H1342" s="1">
        <v>4</v>
      </c>
      <c r="I1342" s="1">
        <v>7</v>
      </c>
      <c r="J1342" s="1">
        <v>24</v>
      </c>
      <c r="K1342" s="1" t="str">
        <f>TEXT(BBDD_Usiarios_Netflix[[#This Row],[Fecha Suscripción]],"dddd")</f>
        <v>lunes</v>
      </c>
      <c r="L1342" s="1">
        <f>DATEVALUE(_xlfn.CONCAT(BBDD_Usiarios_Netflix[[#This Row],[Día Último Pago]],"/",BBDD_Usiarios_Netflix[[#This Row],[Mes Último Pago]],"/",BBDD_Usiarios_Netflix[[#This Row],[Año Último Pago]]))</f>
        <v>45477</v>
      </c>
      <c r="M1342" s="4">
        <f>DATEDIF(BBDD_Usiarios_Netflix[[#This Row],[Fecha Suscripción]],BBDD_Usiarios_Netflix[[#This Row],[Fecha Último Pago]],"M")+1</f>
        <v>8</v>
      </c>
      <c r="N1342" s="4">
        <f>BBDD_Usiarios_Netflix[[#This Row],[Ingresos Mensuales]]*BBDD_Usiarios_Netflix[[#This Row],[Meses contratados]]</f>
        <v>112</v>
      </c>
      <c r="O1342" t="s">
        <v>42</v>
      </c>
      <c r="P1342" t="str">
        <f>IF(BBDD_Usiarios_Netflix[[#This Row],[País]]="","Desconocido",BBDD_Usiarios_Netflix[[#This Row],[País]])</f>
        <v>Reino Unido</v>
      </c>
      <c r="Q1342">
        <v>44</v>
      </c>
      <c r="R1342" t="s">
        <v>30</v>
      </c>
      <c r="S1342" t="s">
        <v>34</v>
      </c>
      <c r="T1342" t="s">
        <v>38</v>
      </c>
      <c r="U1342">
        <f>IF(IFERROR(VLOOKUP(BBDD_Usiarios_Netflix[[#This Row],[Identificador Usuario]],A1343:$A$5870,1,FALSE),0)&lt;&gt;0,1,0)</f>
        <v>0</v>
      </c>
      <c r="V1342" s="6" t="str">
        <f>IF(BBDD_Usiarios_Netflix[[#This Row],[Duración Plan]]="12 Meses",LEFT(BBDD_Usiarios_Netflix[[#This Row],[Duración Plan]],2),LEFT(BBDD_Usiarios_Netflix[[#This Row],[Duración Plan]],1))</f>
        <v>3</v>
      </c>
      <c r="W13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43" spans="1:23" x14ac:dyDescent="0.25">
      <c r="A1343">
        <v>1342</v>
      </c>
      <c r="B1343" t="s">
        <v>23</v>
      </c>
      <c r="C1343">
        <v>10</v>
      </c>
      <c r="D1343" s="3">
        <v>1</v>
      </c>
      <c r="E1343" s="3">
        <v>11</v>
      </c>
      <c r="F1343">
        <v>23</v>
      </c>
      <c r="G1343" s="1">
        <f>DATEVALUE(_xlfn.CONCAT(BBDD_Usiarios_Netflix[[#This Row],[Día Suscripción]],"/",BBDD_Usiarios_Netflix[[#This Row],[Mes Suscripción]],"/",BBDD_Usiarios_Netflix[[#This Row],[Año Suscripción]]))</f>
        <v>45231</v>
      </c>
      <c r="H1343" s="1">
        <v>5</v>
      </c>
      <c r="I1343" s="1">
        <v>7</v>
      </c>
      <c r="J1343" s="1">
        <v>24</v>
      </c>
      <c r="K1343" s="1" t="str">
        <f>TEXT(BBDD_Usiarios_Netflix[[#This Row],[Fecha Suscripción]],"dddd")</f>
        <v>miércoles</v>
      </c>
      <c r="L1343" s="1">
        <f>DATEVALUE(_xlfn.CONCAT(BBDD_Usiarios_Netflix[[#This Row],[Día Último Pago]],"/",BBDD_Usiarios_Netflix[[#This Row],[Mes Último Pago]],"/",BBDD_Usiarios_Netflix[[#This Row],[Año Último Pago]]))</f>
        <v>45478</v>
      </c>
      <c r="M1343" s="4">
        <f>DATEDIF(BBDD_Usiarios_Netflix[[#This Row],[Fecha Suscripción]],BBDD_Usiarios_Netflix[[#This Row],[Fecha Último Pago]],"M")+1</f>
        <v>9</v>
      </c>
      <c r="N1343" s="4">
        <f>BBDD_Usiarios_Netflix[[#This Row],[Ingresos Mensuales]]*BBDD_Usiarios_Netflix[[#This Row],[Meses contratados]]</f>
        <v>90</v>
      </c>
      <c r="O1343" t="s">
        <v>44</v>
      </c>
      <c r="P1343" t="str">
        <f>IF(BBDD_Usiarios_Netflix[[#This Row],[País]]="","Desconocido",BBDD_Usiarios_Netflix[[#This Row],[País]])</f>
        <v>Desconocido</v>
      </c>
      <c r="Q1343">
        <v>36</v>
      </c>
      <c r="R1343" t="s">
        <v>30</v>
      </c>
      <c r="S1343" t="s">
        <v>36</v>
      </c>
      <c r="T1343" t="s">
        <v>38</v>
      </c>
      <c r="U1343">
        <f>IF(IFERROR(VLOOKUP(BBDD_Usiarios_Netflix[[#This Row],[Identificador Usuario]],A1344:$A$5870,1,FALSE),0)&lt;&gt;0,1,0)</f>
        <v>0</v>
      </c>
      <c r="V1343" s="6" t="str">
        <f>IF(BBDD_Usiarios_Netflix[[#This Row],[Duración Plan]]="12 Meses",LEFT(BBDD_Usiarios_Netflix[[#This Row],[Duración Plan]],2),LEFT(BBDD_Usiarios_Netflix[[#This Row],[Duración Plan]],1))</f>
        <v>3</v>
      </c>
      <c r="W13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44" spans="1:23" x14ac:dyDescent="0.25">
      <c r="A1344">
        <v>1343</v>
      </c>
      <c r="B1344" t="s">
        <v>32</v>
      </c>
      <c r="C1344">
        <v>12</v>
      </c>
      <c r="D1344" s="3">
        <v>1</v>
      </c>
      <c r="E1344" s="3">
        <v>11</v>
      </c>
      <c r="F1344">
        <v>23</v>
      </c>
      <c r="G1344" s="1">
        <f>DATEVALUE(_xlfn.CONCAT(BBDD_Usiarios_Netflix[[#This Row],[Día Suscripción]],"/",BBDD_Usiarios_Netflix[[#This Row],[Mes Suscripción]],"/",BBDD_Usiarios_Netflix[[#This Row],[Año Suscripción]]))</f>
        <v>45231</v>
      </c>
      <c r="H1344" s="1">
        <v>5</v>
      </c>
      <c r="I1344" s="1">
        <v>7</v>
      </c>
      <c r="J1344" s="1">
        <v>24</v>
      </c>
      <c r="K1344" s="1" t="str">
        <f>TEXT(BBDD_Usiarios_Netflix[[#This Row],[Fecha Suscripción]],"dddd")</f>
        <v>miércoles</v>
      </c>
      <c r="L1344" s="1">
        <f>DATEVALUE(_xlfn.CONCAT(BBDD_Usiarios_Netflix[[#This Row],[Día Último Pago]],"/",BBDD_Usiarios_Netflix[[#This Row],[Mes Último Pago]],"/",BBDD_Usiarios_Netflix[[#This Row],[Año Último Pago]]))</f>
        <v>45478</v>
      </c>
      <c r="M1344" s="4">
        <f>DATEDIF(BBDD_Usiarios_Netflix[[#This Row],[Fecha Suscripción]],BBDD_Usiarios_Netflix[[#This Row],[Fecha Último Pago]],"M")+1</f>
        <v>9</v>
      </c>
      <c r="N1344" s="4">
        <f>BBDD_Usiarios_Netflix[[#This Row],[Ingresos Mensuales]]*BBDD_Usiarios_Netflix[[#This Row],[Meses contratados]]</f>
        <v>108</v>
      </c>
      <c r="O1344" t="s">
        <v>42</v>
      </c>
      <c r="P1344" t="str">
        <f>IF(BBDD_Usiarios_Netflix[[#This Row],[País]]="","Desconocido",BBDD_Usiarios_Netflix[[#This Row],[País]])</f>
        <v>Reino Unido</v>
      </c>
      <c r="Q1344">
        <v>36</v>
      </c>
      <c r="R1344" t="s">
        <v>25</v>
      </c>
      <c r="S1344" t="s">
        <v>31</v>
      </c>
      <c r="T1344" t="s">
        <v>27</v>
      </c>
      <c r="U1344">
        <f>IF(IFERROR(VLOOKUP(BBDD_Usiarios_Netflix[[#This Row],[Identificador Usuario]],A1345:$A$5870,1,FALSE),0)&lt;&gt;0,1,0)</f>
        <v>0</v>
      </c>
      <c r="V1344" s="6" t="str">
        <f>IF(BBDD_Usiarios_Netflix[[#This Row],[Duración Plan]]="12 Meses",LEFT(BBDD_Usiarios_Netflix[[#This Row],[Duración Plan]],2),LEFT(BBDD_Usiarios_Netflix[[#This Row],[Duración Plan]],1))</f>
        <v>1</v>
      </c>
      <c r="W13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45" spans="1:23" x14ac:dyDescent="0.25">
      <c r="A1345">
        <v>1344</v>
      </c>
      <c r="B1345" t="s">
        <v>28</v>
      </c>
      <c r="C1345">
        <v>14</v>
      </c>
      <c r="D1345" s="3">
        <v>29</v>
      </c>
      <c r="E1345" s="3">
        <v>10</v>
      </c>
      <c r="F1345">
        <v>23</v>
      </c>
      <c r="G1345" s="1">
        <f>DATEVALUE(_xlfn.CONCAT(BBDD_Usiarios_Netflix[[#This Row],[Día Suscripción]],"/",BBDD_Usiarios_Netflix[[#This Row],[Mes Suscripción]],"/",BBDD_Usiarios_Netflix[[#This Row],[Año Suscripción]]))</f>
        <v>45228</v>
      </c>
      <c r="H1345" s="1">
        <v>5</v>
      </c>
      <c r="I1345" s="1">
        <v>7</v>
      </c>
      <c r="J1345" s="1">
        <v>24</v>
      </c>
      <c r="K1345" s="1" t="str">
        <f>TEXT(BBDD_Usiarios_Netflix[[#This Row],[Fecha Suscripción]],"dddd")</f>
        <v>domingo</v>
      </c>
      <c r="L1345" s="1">
        <f>DATEVALUE(_xlfn.CONCAT(BBDD_Usiarios_Netflix[[#This Row],[Día Último Pago]],"/",BBDD_Usiarios_Netflix[[#This Row],[Mes Último Pago]],"/",BBDD_Usiarios_Netflix[[#This Row],[Año Último Pago]]))</f>
        <v>45478</v>
      </c>
      <c r="M1345" s="4">
        <f>DATEDIF(BBDD_Usiarios_Netflix[[#This Row],[Fecha Suscripción]],BBDD_Usiarios_Netflix[[#This Row],[Fecha Último Pago]],"M")+1</f>
        <v>9</v>
      </c>
      <c r="N1345" s="4">
        <f>BBDD_Usiarios_Netflix[[#This Row],[Ingresos Mensuales]]*BBDD_Usiarios_Netflix[[#This Row],[Meses contratados]]</f>
        <v>126</v>
      </c>
      <c r="O1345" t="s">
        <v>33</v>
      </c>
      <c r="P1345" t="str">
        <f>IF(BBDD_Usiarios_Netflix[[#This Row],[País]]="","Desconocido",BBDD_Usiarios_Netflix[[#This Row],[País]])</f>
        <v>Francia</v>
      </c>
      <c r="Q1345">
        <v>32</v>
      </c>
      <c r="R1345" t="s">
        <v>30</v>
      </c>
      <c r="S1345" t="s">
        <v>26</v>
      </c>
      <c r="T1345" t="s">
        <v>27</v>
      </c>
      <c r="U1345">
        <f>IF(IFERROR(VLOOKUP(BBDD_Usiarios_Netflix[[#This Row],[Identificador Usuario]],A1346:$A$5870,1,FALSE),0)&lt;&gt;0,1,0)</f>
        <v>0</v>
      </c>
      <c r="V1345" s="6" t="str">
        <f>IF(BBDD_Usiarios_Netflix[[#This Row],[Duración Plan]]="12 Meses",LEFT(BBDD_Usiarios_Netflix[[#This Row],[Duración Plan]],2),LEFT(BBDD_Usiarios_Netflix[[#This Row],[Duración Plan]],1))</f>
        <v>1</v>
      </c>
      <c r="W13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46" spans="1:23" x14ac:dyDescent="0.25">
      <c r="A1346">
        <v>1345</v>
      </c>
      <c r="B1346" t="s">
        <v>23</v>
      </c>
      <c r="C1346">
        <v>10</v>
      </c>
      <c r="D1346" s="3">
        <v>27</v>
      </c>
      <c r="E1346" s="3">
        <v>10</v>
      </c>
      <c r="F1346">
        <v>23</v>
      </c>
      <c r="G1346" s="1">
        <f>DATEVALUE(_xlfn.CONCAT(BBDD_Usiarios_Netflix[[#This Row],[Día Suscripción]],"/",BBDD_Usiarios_Netflix[[#This Row],[Mes Suscripción]],"/",BBDD_Usiarios_Netflix[[#This Row],[Año Suscripción]]))</f>
        <v>45226</v>
      </c>
      <c r="H1346" s="1">
        <v>3</v>
      </c>
      <c r="I1346" s="1">
        <v>7</v>
      </c>
      <c r="J1346" s="1">
        <v>24</v>
      </c>
      <c r="K1346" s="1" t="str">
        <f>TEXT(BBDD_Usiarios_Netflix[[#This Row],[Fecha Suscripción]],"dddd")</f>
        <v>viernes</v>
      </c>
      <c r="L1346" s="1">
        <f>DATEVALUE(_xlfn.CONCAT(BBDD_Usiarios_Netflix[[#This Row],[Día Último Pago]],"/",BBDD_Usiarios_Netflix[[#This Row],[Mes Último Pago]],"/",BBDD_Usiarios_Netflix[[#This Row],[Año Último Pago]]))</f>
        <v>45476</v>
      </c>
      <c r="M1346" s="4">
        <f>DATEDIF(BBDD_Usiarios_Netflix[[#This Row],[Fecha Suscripción]],BBDD_Usiarios_Netflix[[#This Row],[Fecha Último Pago]],"M")+1</f>
        <v>9</v>
      </c>
      <c r="N1346" s="4">
        <f>BBDD_Usiarios_Netflix[[#This Row],[Ingresos Mensuales]]*BBDD_Usiarios_Netflix[[#This Row],[Meses contratados]]</f>
        <v>90</v>
      </c>
      <c r="O1346" t="s">
        <v>42</v>
      </c>
      <c r="P1346" t="str">
        <f>IF(BBDD_Usiarios_Netflix[[#This Row],[País]]="","Desconocido",BBDD_Usiarios_Netflix[[#This Row],[País]])</f>
        <v>Reino Unido</v>
      </c>
      <c r="Q1346">
        <v>46</v>
      </c>
      <c r="R1346" t="s">
        <v>25</v>
      </c>
      <c r="S1346" t="s">
        <v>34</v>
      </c>
      <c r="T1346" t="s">
        <v>27</v>
      </c>
      <c r="U1346">
        <f>IF(IFERROR(VLOOKUP(BBDD_Usiarios_Netflix[[#This Row],[Identificador Usuario]],A1347:$A$5870,1,FALSE),0)&lt;&gt;0,1,0)</f>
        <v>0</v>
      </c>
      <c r="V1346" s="6" t="str">
        <f>IF(BBDD_Usiarios_Netflix[[#This Row],[Duración Plan]]="12 Meses",LEFT(BBDD_Usiarios_Netflix[[#This Row],[Duración Plan]],2),LEFT(BBDD_Usiarios_Netflix[[#This Row],[Duración Plan]],1))</f>
        <v>1</v>
      </c>
      <c r="W13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47" spans="1:23" x14ac:dyDescent="0.25">
      <c r="A1347">
        <v>1346</v>
      </c>
      <c r="B1347" t="s">
        <v>23</v>
      </c>
      <c r="C1347">
        <v>10</v>
      </c>
      <c r="D1347" s="3">
        <v>16</v>
      </c>
      <c r="E1347" s="3">
        <v>10</v>
      </c>
      <c r="F1347">
        <v>23</v>
      </c>
      <c r="G1347" s="1">
        <f>DATEVALUE(_xlfn.CONCAT(BBDD_Usiarios_Netflix[[#This Row],[Día Suscripción]],"/",BBDD_Usiarios_Netflix[[#This Row],[Mes Suscripción]],"/",BBDD_Usiarios_Netflix[[#This Row],[Año Suscripción]]))</f>
        <v>45215</v>
      </c>
      <c r="H1347" s="1">
        <v>4</v>
      </c>
      <c r="I1347" s="1">
        <v>7</v>
      </c>
      <c r="J1347" s="1">
        <v>24</v>
      </c>
      <c r="K1347" s="1" t="str">
        <f>TEXT(BBDD_Usiarios_Netflix[[#This Row],[Fecha Suscripción]],"dddd")</f>
        <v>lunes</v>
      </c>
      <c r="L1347" s="1">
        <f>DATEVALUE(_xlfn.CONCAT(BBDD_Usiarios_Netflix[[#This Row],[Día Último Pago]],"/",BBDD_Usiarios_Netflix[[#This Row],[Mes Último Pago]],"/",BBDD_Usiarios_Netflix[[#This Row],[Año Último Pago]]))</f>
        <v>45477</v>
      </c>
      <c r="M1347" s="4">
        <f>DATEDIF(BBDD_Usiarios_Netflix[[#This Row],[Fecha Suscripción]],BBDD_Usiarios_Netflix[[#This Row],[Fecha Último Pago]],"M")+1</f>
        <v>9</v>
      </c>
      <c r="N1347" s="4">
        <f>BBDD_Usiarios_Netflix[[#This Row],[Ingresos Mensuales]]*BBDD_Usiarios_Netflix[[#This Row],[Meses contratados]]</f>
        <v>90</v>
      </c>
      <c r="O1347" t="s">
        <v>24</v>
      </c>
      <c r="P1347" t="str">
        <f>IF(BBDD_Usiarios_Netflix[[#This Row],[País]]="","Desconocido",BBDD_Usiarios_Netflix[[#This Row],[País]])</f>
        <v>Australia</v>
      </c>
      <c r="Q1347">
        <v>39</v>
      </c>
      <c r="R1347" t="s">
        <v>30</v>
      </c>
      <c r="S1347" t="s">
        <v>34</v>
      </c>
      <c r="T1347" t="s">
        <v>38</v>
      </c>
      <c r="U1347">
        <f>IF(IFERROR(VLOOKUP(BBDD_Usiarios_Netflix[[#This Row],[Identificador Usuario]],A1348:$A$5870,1,FALSE),0)&lt;&gt;0,1,0)</f>
        <v>0</v>
      </c>
      <c r="V1347" s="6" t="str">
        <f>IF(BBDD_Usiarios_Netflix[[#This Row],[Duración Plan]]="12 Meses",LEFT(BBDD_Usiarios_Netflix[[#This Row],[Duración Plan]],2),LEFT(BBDD_Usiarios_Netflix[[#This Row],[Duración Plan]],1))</f>
        <v>3</v>
      </c>
      <c r="W13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48" spans="1:23" x14ac:dyDescent="0.25">
      <c r="A1348">
        <v>1347</v>
      </c>
      <c r="B1348" t="s">
        <v>23</v>
      </c>
      <c r="C1348">
        <v>10</v>
      </c>
      <c r="D1348" s="3">
        <v>14</v>
      </c>
      <c r="E1348" s="3">
        <v>10</v>
      </c>
      <c r="F1348">
        <v>23</v>
      </c>
      <c r="G1348" s="1">
        <f>DATEVALUE(_xlfn.CONCAT(BBDD_Usiarios_Netflix[[#This Row],[Día Suscripción]],"/",BBDD_Usiarios_Netflix[[#This Row],[Mes Suscripción]],"/",BBDD_Usiarios_Netflix[[#This Row],[Año Suscripción]]))</f>
        <v>45213</v>
      </c>
      <c r="H1348" s="1">
        <v>4</v>
      </c>
      <c r="I1348" s="1">
        <v>7</v>
      </c>
      <c r="J1348" s="1">
        <v>24</v>
      </c>
      <c r="K1348" s="1" t="str">
        <f>TEXT(BBDD_Usiarios_Netflix[[#This Row],[Fecha Suscripción]],"dddd")</f>
        <v>sábado</v>
      </c>
      <c r="L1348" s="1">
        <f>DATEVALUE(_xlfn.CONCAT(BBDD_Usiarios_Netflix[[#This Row],[Día Último Pago]],"/",BBDD_Usiarios_Netflix[[#This Row],[Mes Último Pago]],"/",BBDD_Usiarios_Netflix[[#This Row],[Año Último Pago]]))</f>
        <v>45477</v>
      </c>
      <c r="M1348" s="4">
        <f>DATEDIF(BBDD_Usiarios_Netflix[[#This Row],[Fecha Suscripción]],BBDD_Usiarios_Netflix[[#This Row],[Fecha Último Pago]],"M")+1</f>
        <v>9</v>
      </c>
      <c r="N1348" s="4">
        <f>BBDD_Usiarios_Netflix[[#This Row],[Ingresos Mensuales]]*BBDD_Usiarios_Netflix[[#This Row],[Meses contratados]]</f>
        <v>90</v>
      </c>
      <c r="O1348" t="s">
        <v>24</v>
      </c>
      <c r="P1348" t="str">
        <f>IF(BBDD_Usiarios_Netflix[[#This Row],[País]]="","Desconocido",BBDD_Usiarios_Netflix[[#This Row],[País]])</f>
        <v>Australia</v>
      </c>
      <c r="Q1348">
        <v>30</v>
      </c>
      <c r="R1348" t="s">
        <v>25</v>
      </c>
      <c r="S1348" t="s">
        <v>34</v>
      </c>
      <c r="T1348" t="s">
        <v>27</v>
      </c>
      <c r="U1348">
        <f>IF(IFERROR(VLOOKUP(BBDD_Usiarios_Netflix[[#This Row],[Identificador Usuario]],A1349:$A$5870,1,FALSE),0)&lt;&gt;0,1,0)</f>
        <v>0</v>
      </c>
      <c r="V1348" s="6" t="str">
        <f>IF(BBDD_Usiarios_Netflix[[#This Row],[Duración Plan]]="12 Meses",LEFT(BBDD_Usiarios_Netflix[[#This Row],[Duración Plan]],2),LEFT(BBDD_Usiarios_Netflix[[#This Row],[Duración Plan]],1))</f>
        <v>1</v>
      </c>
      <c r="W13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49" spans="1:23" x14ac:dyDescent="0.25">
      <c r="A1349">
        <v>1348</v>
      </c>
      <c r="B1349" t="s">
        <v>32</v>
      </c>
      <c r="C1349">
        <v>12</v>
      </c>
      <c r="D1349" s="3">
        <v>14</v>
      </c>
      <c r="E1349" s="3">
        <v>9</v>
      </c>
      <c r="F1349">
        <v>23</v>
      </c>
      <c r="G1349" s="1">
        <f>DATEVALUE(_xlfn.CONCAT(BBDD_Usiarios_Netflix[[#This Row],[Día Suscripción]],"/",BBDD_Usiarios_Netflix[[#This Row],[Mes Suscripción]],"/",BBDD_Usiarios_Netflix[[#This Row],[Año Suscripción]]))</f>
        <v>45183</v>
      </c>
      <c r="H1349" s="1">
        <v>5</v>
      </c>
      <c r="I1349" s="1">
        <v>7</v>
      </c>
      <c r="J1349" s="1">
        <v>24</v>
      </c>
      <c r="K1349" s="1" t="str">
        <f>TEXT(BBDD_Usiarios_Netflix[[#This Row],[Fecha Suscripción]],"dddd")</f>
        <v>jueves</v>
      </c>
      <c r="L1349" s="1">
        <f>DATEVALUE(_xlfn.CONCAT(BBDD_Usiarios_Netflix[[#This Row],[Día Último Pago]],"/",BBDD_Usiarios_Netflix[[#This Row],[Mes Último Pago]],"/",BBDD_Usiarios_Netflix[[#This Row],[Año Último Pago]]))</f>
        <v>45478</v>
      </c>
      <c r="M1349" s="4">
        <f>DATEDIF(BBDD_Usiarios_Netflix[[#This Row],[Fecha Suscripción]],BBDD_Usiarios_Netflix[[#This Row],[Fecha Último Pago]],"M")+1</f>
        <v>10</v>
      </c>
      <c r="N1349" s="4">
        <f>BBDD_Usiarios_Netflix[[#This Row],[Ingresos Mensuales]]*BBDD_Usiarios_Netflix[[#This Row],[Meses contratados]]</f>
        <v>120</v>
      </c>
      <c r="O1349" t="s">
        <v>39</v>
      </c>
      <c r="P1349" t="str">
        <f>IF(BBDD_Usiarios_Netflix[[#This Row],[País]]="","Desconocido",BBDD_Usiarios_Netflix[[#This Row],[País]])</f>
        <v>Canadá</v>
      </c>
      <c r="Q1349">
        <v>34</v>
      </c>
      <c r="R1349" t="s">
        <v>25</v>
      </c>
      <c r="S1349" t="s">
        <v>36</v>
      </c>
      <c r="T1349" t="s">
        <v>38</v>
      </c>
      <c r="U1349">
        <f>IF(IFERROR(VLOOKUP(BBDD_Usiarios_Netflix[[#This Row],[Identificador Usuario]],A1350:$A$5870,1,FALSE),0)&lt;&gt;0,1,0)</f>
        <v>0</v>
      </c>
      <c r="V1349" s="6" t="str">
        <f>IF(BBDD_Usiarios_Netflix[[#This Row],[Duración Plan]]="12 Meses",LEFT(BBDD_Usiarios_Netflix[[#This Row],[Duración Plan]],2),LEFT(BBDD_Usiarios_Netflix[[#This Row],[Duración Plan]],1))</f>
        <v>3</v>
      </c>
      <c r="W13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50" spans="1:23" x14ac:dyDescent="0.25">
      <c r="A1350">
        <v>1349</v>
      </c>
      <c r="B1350" t="s">
        <v>28</v>
      </c>
      <c r="C1350">
        <v>14</v>
      </c>
      <c r="D1350" s="3">
        <v>3</v>
      </c>
      <c r="E1350" s="3">
        <v>9</v>
      </c>
      <c r="F1350">
        <v>23</v>
      </c>
      <c r="G1350" s="1">
        <f>DATEVALUE(_xlfn.CONCAT(BBDD_Usiarios_Netflix[[#This Row],[Día Suscripción]],"/",BBDD_Usiarios_Netflix[[#This Row],[Mes Suscripción]],"/",BBDD_Usiarios_Netflix[[#This Row],[Año Suscripción]]))</f>
        <v>45172</v>
      </c>
      <c r="H1350" s="1">
        <v>3</v>
      </c>
      <c r="I1350" s="1">
        <v>7</v>
      </c>
      <c r="J1350" s="1">
        <v>24</v>
      </c>
      <c r="K1350" s="1" t="str">
        <f>TEXT(BBDD_Usiarios_Netflix[[#This Row],[Fecha Suscripción]],"dddd")</f>
        <v>domingo</v>
      </c>
      <c r="L1350" s="1">
        <f>DATEVALUE(_xlfn.CONCAT(BBDD_Usiarios_Netflix[[#This Row],[Día Último Pago]],"/",BBDD_Usiarios_Netflix[[#This Row],[Mes Último Pago]],"/",BBDD_Usiarios_Netflix[[#This Row],[Año Último Pago]]))</f>
        <v>45476</v>
      </c>
      <c r="M1350" s="4">
        <f>DATEDIF(BBDD_Usiarios_Netflix[[#This Row],[Fecha Suscripción]],BBDD_Usiarios_Netflix[[#This Row],[Fecha Último Pago]],"M")+1</f>
        <v>11</v>
      </c>
      <c r="N1350" s="4">
        <f>BBDD_Usiarios_Netflix[[#This Row],[Ingresos Mensuales]]*BBDD_Usiarios_Netflix[[#This Row],[Meses contratados]]</f>
        <v>154</v>
      </c>
      <c r="O1350" t="s">
        <v>46</v>
      </c>
      <c r="P1350" t="str">
        <f>IF(BBDD_Usiarios_Netflix[[#This Row],[País]]="","Desconocido",BBDD_Usiarios_Netflix[[#This Row],[País]])</f>
        <v>Méjico</v>
      </c>
      <c r="Q1350">
        <v>28</v>
      </c>
      <c r="R1350" t="s">
        <v>25</v>
      </c>
      <c r="S1350" t="s">
        <v>36</v>
      </c>
      <c r="T1350" t="s">
        <v>38</v>
      </c>
      <c r="U1350">
        <f>IF(IFERROR(VLOOKUP(BBDD_Usiarios_Netflix[[#This Row],[Identificador Usuario]],A1351:$A$5870,1,FALSE),0)&lt;&gt;0,1,0)</f>
        <v>0</v>
      </c>
      <c r="V1350" s="6" t="str">
        <f>IF(BBDD_Usiarios_Netflix[[#This Row],[Duración Plan]]="12 Meses",LEFT(BBDD_Usiarios_Netflix[[#This Row],[Duración Plan]],2),LEFT(BBDD_Usiarios_Netflix[[#This Row],[Duración Plan]],1))</f>
        <v>3</v>
      </c>
      <c r="W13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51" spans="1:23" x14ac:dyDescent="0.25">
      <c r="A1351">
        <v>1350</v>
      </c>
      <c r="B1351" t="s">
        <v>23</v>
      </c>
      <c r="C1351">
        <v>10</v>
      </c>
      <c r="D1351" s="3">
        <v>27</v>
      </c>
      <c r="E1351" s="3">
        <v>8</v>
      </c>
      <c r="F1351">
        <v>23</v>
      </c>
      <c r="G1351" s="1">
        <f>DATEVALUE(_xlfn.CONCAT(BBDD_Usiarios_Netflix[[#This Row],[Día Suscripción]],"/",BBDD_Usiarios_Netflix[[#This Row],[Mes Suscripción]],"/",BBDD_Usiarios_Netflix[[#This Row],[Año Suscripción]]))</f>
        <v>45165</v>
      </c>
      <c r="H1351" s="1">
        <v>4</v>
      </c>
      <c r="I1351" s="1">
        <v>7</v>
      </c>
      <c r="J1351" s="1">
        <v>24</v>
      </c>
      <c r="K1351" s="1" t="str">
        <f>TEXT(BBDD_Usiarios_Netflix[[#This Row],[Fecha Suscripción]],"dddd")</f>
        <v>domingo</v>
      </c>
      <c r="L1351" s="1">
        <f>DATEVALUE(_xlfn.CONCAT(BBDD_Usiarios_Netflix[[#This Row],[Día Último Pago]],"/",BBDD_Usiarios_Netflix[[#This Row],[Mes Último Pago]],"/",BBDD_Usiarios_Netflix[[#This Row],[Año Último Pago]]))</f>
        <v>45477</v>
      </c>
      <c r="M1351" s="4">
        <f>DATEDIF(BBDD_Usiarios_Netflix[[#This Row],[Fecha Suscripción]],BBDD_Usiarios_Netflix[[#This Row],[Fecha Último Pago]],"M")+1</f>
        <v>11</v>
      </c>
      <c r="N1351" s="4">
        <f>BBDD_Usiarios_Netflix[[#This Row],[Ingresos Mensuales]]*BBDD_Usiarios_Netflix[[#This Row],[Meses contratados]]</f>
        <v>110</v>
      </c>
      <c r="O1351" t="s">
        <v>45</v>
      </c>
      <c r="P1351" t="str">
        <f>IF(BBDD_Usiarios_Netflix[[#This Row],[País]]="","Desconocido",BBDD_Usiarios_Netflix[[#This Row],[País]])</f>
        <v>España</v>
      </c>
      <c r="Q1351">
        <v>39</v>
      </c>
      <c r="R1351" t="s">
        <v>30</v>
      </c>
      <c r="S1351" t="s">
        <v>26</v>
      </c>
      <c r="T1351" t="s">
        <v>35</v>
      </c>
      <c r="U1351">
        <f>IF(IFERROR(VLOOKUP(BBDD_Usiarios_Netflix[[#This Row],[Identificador Usuario]],A1352:$A$5870,1,FALSE),0)&lt;&gt;0,1,0)</f>
        <v>0</v>
      </c>
      <c r="V1351" s="6" t="str">
        <f>IF(BBDD_Usiarios_Netflix[[#This Row],[Duración Plan]]="12 Meses",LEFT(BBDD_Usiarios_Netflix[[#This Row],[Duración Plan]],2),LEFT(BBDD_Usiarios_Netflix[[#This Row],[Duración Plan]],1))</f>
        <v>6</v>
      </c>
      <c r="W13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52" spans="1:23" x14ac:dyDescent="0.25">
      <c r="A1352">
        <v>1351</v>
      </c>
      <c r="B1352" t="s">
        <v>23</v>
      </c>
      <c r="C1352">
        <v>10</v>
      </c>
      <c r="D1352" s="3">
        <v>27</v>
      </c>
      <c r="E1352" s="3">
        <v>8</v>
      </c>
      <c r="F1352">
        <v>23</v>
      </c>
      <c r="G1352" s="1">
        <f>DATEVALUE(_xlfn.CONCAT(BBDD_Usiarios_Netflix[[#This Row],[Día Suscripción]],"/",BBDD_Usiarios_Netflix[[#This Row],[Mes Suscripción]],"/",BBDD_Usiarios_Netflix[[#This Row],[Año Suscripción]]))</f>
        <v>45165</v>
      </c>
      <c r="H1352" s="1">
        <v>5</v>
      </c>
      <c r="I1352" s="1">
        <v>7</v>
      </c>
      <c r="J1352" s="1">
        <v>24</v>
      </c>
      <c r="K1352" s="1" t="str">
        <f>TEXT(BBDD_Usiarios_Netflix[[#This Row],[Fecha Suscripción]],"dddd")</f>
        <v>domingo</v>
      </c>
      <c r="L1352" s="1">
        <f>DATEVALUE(_xlfn.CONCAT(BBDD_Usiarios_Netflix[[#This Row],[Día Último Pago]],"/",BBDD_Usiarios_Netflix[[#This Row],[Mes Último Pago]],"/",BBDD_Usiarios_Netflix[[#This Row],[Año Último Pago]]))</f>
        <v>45478</v>
      </c>
      <c r="M1352" s="4">
        <f>DATEDIF(BBDD_Usiarios_Netflix[[#This Row],[Fecha Suscripción]],BBDD_Usiarios_Netflix[[#This Row],[Fecha Último Pago]],"M")+1</f>
        <v>11</v>
      </c>
      <c r="N1352" s="4">
        <f>BBDD_Usiarios_Netflix[[#This Row],[Ingresos Mensuales]]*BBDD_Usiarios_Netflix[[#This Row],[Meses contratados]]</f>
        <v>110</v>
      </c>
      <c r="O1352" t="s">
        <v>24</v>
      </c>
      <c r="P1352" t="str">
        <f>IF(BBDD_Usiarios_Netflix[[#This Row],[País]]="","Desconocido",BBDD_Usiarios_Netflix[[#This Row],[País]])</f>
        <v>Australia</v>
      </c>
      <c r="Q1352">
        <v>34</v>
      </c>
      <c r="R1352" t="s">
        <v>30</v>
      </c>
      <c r="S1352" t="s">
        <v>36</v>
      </c>
      <c r="T1352" t="s">
        <v>27</v>
      </c>
      <c r="U1352">
        <f>IF(IFERROR(VLOOKUP(BBDD_Usiarios_Netflix[[#This Row],[Identificador Usuario]],A1353:$A$5870,1,FALSE),0)&lt;&gt;0,1,0)</f>
        <v>0</v>
      </c>
      <c r="V1352" s="6" t="str">
        <f>IF(BBDD_Usiarios_Netflix[[#This Row],[Duración Plan]]="12 Meses",LEFT(BBDD_Usiarios_Netflix[[#This Row],[Duración Plan]],2),LEFT(BBDD_Usiarios_Netflix[[#This Row],[Duración Plan]],1))</f>
        <v>1</v>
      </c>
      <c r="W13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53" spans="1:23" x14ac:dyDescent="0.25">
      <c r="A1353">
        <v>1352</v>
      </c>
      <c r="B1353" t="s">
        <v>28</v>
      </c>
      <c r="C1353">
        <v>14</v>
      </c>
      <c r="D1353" s="3">
        <v>21</v>
      </c>
      <c r="E1353" s="3">
        <v>8</v>
      </c>
      <c r="F1353">
        <v>23</v>
      </c>
      <c r="G1353" s="1">
        <f>DATEVALUE(_xlfn.CONCAT(BBDD_Usiarios_Netflix[[#This Row],[Día Suscripción]],"/",BBDD_Usiarios_Netflix[[#This Row],[Mes Suscripción]],"/",BBDD_Usiarios_Netflix[[#This Row],[Año Suscripción]]))</f>
        <v>45159</v>
      </c>
      <c r="H1353" s="1">
        <v>5</v>
      </c>
      <c r="I1353" s="1">
        <v>7</v>
      </c>
      <c r="J1353" s="1">
        <v>24</v>
      </c>
      <c r="K1353" s="1" t="str">
        <f>TEXT(BBDD_Usiarios_Netflix[[#This Row],[Fecha Suscripción]],"dddd")</f>
        <v>lunes</v>
      </c>
      <c r="L1353" s="1">
        <f>DATEVALUE(_xlfn.CONCAT(BBDD_Usiarios_Netflix[[#This Row],[Día Último Pago]],"/",BBDD_Usiarios_Netflix[[#This Row],[Mes Último Pago]],"/",BBDD_Usiarios_Netflix[[#This Row],[Año Último Pago]]))</f>
        <v>45478</v>
      </c>
      <c r="M1353" s="4">
        <f>DATEDIF(BBDD_Usiarios_Netflix[[#This Row],[Fecha Suscripción]],BBDD_Usiarios_Netflix[[#This Row],[Fecha Último Pago]],"M")+1</f>
        <v>11</v>
      </c>
      <c r="N1353" s="4">
        <f>BBDD_Usiarios_Netflix[[#This Row],[Ingresos Mensuales]]*BBDD_Usiarios_Netflix[[#This Row],[Meses contratados]]</f>
        <v>154</v>
      </c>
      <c r="O1353" t="s">
        <v>33</v>
      </c>
      <c r="P1353" t="str">
        <f>IF(BBDD_Usiarios_Netflix[[#This Row],[País]]="","Desconocido",BBDD_Usiarios_Netflix[[#This Row],[País]])</f>
        <v>Francia</v>
      </c>
      <c r="Q1353">
        <v>42</v>
      </c>
      <c r="R1353" t="s">
        <v>25</v>
      </c>
      <c r="S1353" t="s">
        <v>36</v>
      </c>
      <c r="T1353" t="s">
        <v>41</v>
      </c>
      <c r="U1353">
        <f>IF(IFERROR(VLOOKUP(BBDD_Usiarios_Netflix[[#This Row],[Identificador Usuario]],A1354:$A$5870,1,FALSE),0)&lt;&gt;0,1,0)</f>
        <v>0</v>
      </c>
      <c r="V1353" s="6" t="str">
        <f>IF(BBDD_Usiarios_Netflix[[#This Row],[Duración Plan]]="12 Meses",LEFT(BBDD_Usiarios_Netflix[[#This Row],[Duración Plan]],2),LEFT(BBDD_Usiarios_Netflix[[#This Row],[Duración Plan]],1))</f>
        <v>12</v>
      </c>
      <c r="W13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54" spans="1:23" x14ac:dyDescent="0.25">
      <c r="A1354">
        <v>1353</v>
      </c>
      <c r="B1354" t="s">
        <v>32</v>
      </c>
      <c r="C1354">
        <v>12</v>
      </c>
      <c r="D1354" s="3">
        <v>13</v>
      </c>
      <c r="E1354" s="3">
        <v>8</v>
      </c>
      <c r="F1354">
        <v>23</v>
      </c>
      <c r="G1354" s="1">
        <f>DATEVALUE(_xlfn.CONCAT(BBDD_Usiarios_Netflix[[#This Row],[Día Suscripción]],"/",BBDD_Usiarios_Netflix[[#This Row],[Mes Suscripción]],"/",BBDD_Usiarios_Netflix[[#This Row],[Año Suscripción]]))</f>
        <v>45151</v>
      </c>
      <c r="H1354" s="1">
        <v>2</v>
      </c>
      <c r="I1354" s="1">
        <v>7</v>
      </c>
      <c r="J1354" s="1">
        <v>24</v>
      </c>
      <c r="K1354" s="1" t="str">
        <f>TEXT(BBDD_Usiarios_Netflix[[#This Row],[Fecha Suscripción]],"dddd")</f>
        <v>domingo</v>
      </c>
      <c r="L1354" s="1">
        <f>DATEVALUE(_xlfn.CONCAT(BBDD_Usiarios_Netflix[[#This Row],[Día Último Pago]],"/",BBDD_Usiarios_Netflix[[#This Row],[Mes Último Pago]],"/",BBDD_Usiarios_Netflix[[#This Row],[Año Último Pago]]))</f>
        <v>45475</v>
      </c>
      <c r="M1354" s="4">
        <f>DATEDIF(BBDD_Usiarios_Netflix[[#This Row],[Fecha Suscripción]],BBDD_Usiarios_Netflix[[#This Row],[Fecha Último Pago]],"M")+1</f>
        <v>11</v>
      </c>
      <c r="N1354" s="4">
        <f>BBDD_Usiarios_Netflix[[#This Row],[Ingresos Mensuales]]*BBDD_Usiarios_Netflix[[#This Row],[Meses contratados]]</f>
        <v>132</v>
      </c>
      <c r="O1354" t="s">
        <v>39</v>
      </c>
      <c r="P1354" t="str">
        <f>IF(BBDD_Usiarios_Netflix[[#This Row],[País]]="","Desconocido",BBDD_Usiarios_Netflix[[#This Row],[País]])</f>
        <v>Canadá</v>
      </c>
      <c r="Q1354">
        <v>29</v>
      </c>
      <c r="R1354" t="s">
        <v>30</v>
      </c>
      <c r="S1354" t="s">
        <v>31</v>
      </c>
      <c r="T1354" t="s">
        <v>41</v>
      </c>
      <c r="U1354">
        <f>IF(IFERROR(VLOOKUP(BBDD_Usiarios_Netflix[[#This Row],[Identificador Usuario]],A1355:$A$5870,1,FALSE),0)&lt;&gt;0,1,0)</f>
        <v>0</v>
      </c>
      <c r="V1354" s="6" t="str">
        <f>IF(BBDD_Usiarios_Netflix[[#This Row],[Duración Plan]]="12 Meses",LEFT(BBDD_Usiarios_Netflix[[#This Row],[Duración Plan]],2),LEFT(BBDD_Usiarios_Netflix[[#This Row],[Duración Plan]],1))</f>
        <v>12</v>
      </c>
      <c r="W13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55" spans="1:23" x14ac:dyDescent="0.25">
      <c r="A1355">
        <v>1354</v>
      </c>
      <c r="B1355" t="s">
        <v>32</v>
      </c>
      <c r="C1355">
        <v>12</v>
      </c>
      <c r="D1355" s="3">
        <v>12</v>
      </c>
      <c r="E1355" s="3">
        <v>8</v>
      </c>
      <c r="F1355">
        <v>23</v>
      </c>
      <c r="G1355" s="1">
        <f>DATEVALUE(_xlfn.CONCAT(BBDD_Usiarios_Netflix[[#This Row],[Día Suscripción]],"/",BBDD_Usiarios_Netflix[[#This Row],[Mes Suscripción]],"/",BBDD_Usiarios_Netflix[[#This Row],[Año Suscripción]]))</f>
        <v>45150</v>
      </c>
      <c r="H1355" s="1">
        <v>4</v>
      </c>
      <c r="I1355" s="1">
        <v>7</v>
      </c>
      <c r="J1355" s="1">
        <v>24</v>
      </c>
      <c r="K1355" s="1" t="str">
        <f>TEXT(BBDD_Usiarios_Netflix[[#This Row],[Fecha Suscripción]],"dddd")</f>
        <v>sábado</v>
      </c>
      <c r="L1355" s="1">
        <f>DATEVALUE(_xlfn.CONCAT(BBDD_Usiarios_Netflix[[#This Row],[Día Último Pago]],"/",BBDD_Usiarios_Netflix[[#This Row],[Mes Último Pago]],"/",BBDD_Usiarios_Netflix[[#This Row],[Año Último Pago]]))</f>
        <v>45477</v>
      </c>
      <c r="M1355" s="4">
        <f>DATEDIF(BBDD_Usiarios_Netflix[[#This Row],[Fecha Suscripción]],BBDD_Usiarios_Netflix[[#This Row],[Fecha Último Pago]],"M")+1</f>
        <v>11</v>
      </c>
      <c r="N1355" s="4">
        <f>BBDD_Usiarios_Netflix[[#This Row],[Ingresos Mensuales]]*BBDD_Usiarios_Netflix[[#This Row],[Meses contratados]]</f>
        <v>132</v>
      </c>
      <c r="O1355" t="s">
        <v>24</v>
      </c>
      <c r="P1355" t="str">
        <f>IF(BBDD_Usiarios_Netflix[[#This Row],[País]]="","Desconocido",BBDD_Usiarios_Netflix[[#This Row],[País]])</f>
        <v>Australia</v>
      </c>
      <c r="Q1355">
        <v>29</v>
      </c>
      <c r="R1355" t="s">
        <v>25</v>
      </c>
      <c r="S1355" t="s">
        <v>31</v>
      </c>
      <c r="T1355" t="s">
        <v>27</v>
      </c>
      <c r="U1355">
        <f>IF(IFERROR(VLOOKUP(BBDD_Usiarios_Netflix[[#This Row],[Identificador Usuario]],A1356:$A$5870,1,FALSE),0)&lt;&gt;0,1,0)</f>
        <v>0</v>
      </c>
      <c r="V1355" s="6" t="str">
        <f>IF(BBDD_Usiarios_Netflix[[#This Row],[Duración Plan]]="12 Meses",LEFT(BBDD_Usiarios_Netflix[[#This Row],[Duración Plan]],2),LEFT(BBDD_Usiarios_Netflix[[#This Row],[Duración Plan]],1))</f>
        <v>1</v>
      </c>
      <c r="W13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56" spans="1:23" x14ac:dyDescent="0.25">
      <c r="A1356">
        <v>1355</v>
      </c>
      <c r="B1356" t="s">
        <v>23</v>
      </c>
      <c r="C1356">
        <v>10</v>
      </c>
      <c r="D1356" s="3">
        <v>24</v>
      </c>
      <c r="E1356" s="3">
        <v>7</v>
      </c>
      <c r="F1356">
        <v>23</v>
      </c>
      <c r="G1356" s="1">
        <f>DATEVALUE(_xlfn.CONCAT(BBDD_Usiarios_Netflix[[#This Row],[Día Suscripción]],"/",BBDD_Usiarios_Netflix[[#This Row],[Mes Suscripción]],"/",BBDD_Usiarios_Netflix[[#This Row],[Año Suscripción]]))</f>
        <v>45131</v>
      </c>
      <c r="H1356" s="1">
        <v>4</v>
      </c>
      <c r="I1356" s="1">
        <v>7</v>
      </c>
      <c r="J1356" s="1">
        <v>24</v>
      </c>
      <c r="K1356" s="1" t="str">
        <f>TEXT(BBDD_Usiarios_Netflix[[#This Row],[Fecha Suscripción]],"dddd")</f>
        <v>lunes</v>
      </c>
      <c r="L1356" s="1">
        <f>DATEVALUE(_xlfn.CONCAT(BBDD_Usiarios_Netflix[[#This Row],[Día Último Pago]],"/",BBDD_Usiarios_Netflix[[#This Row],[Mes Último Pago]],"/",BBDD_Usiarios_Netflix[[#This Row],[Año Último Pago]]))</f>
        <v>45477</v>
      </c>
      <c r="M1356" s="4">
        <f>DATEDIF(BBDD_Usiarios_Netflix[[#This Row],[Fecha Suscripción]],BBDD_Usiarios_Netflix[[#This Row],[Fecha Último Pago]],"M")+1</f>
        <v>12</v>
      </c>
      <c r="N1356" s="4">
        <f>BBDD_Usiarios_Netflix[[#This Row],[Ingresos Mensuales]]*BBDD_Usiarios_Netflix[[#This Row],[Meses contratados]]</f>
        <v>120</v>
      </c>
      <c r="O1356" t="s">
        <v>43</v>
      </c>
      <c r="P1356" t="str">
        <f>IF(BBDD_Usiarios_Netflix[[#This Row],[País]]="","Desconocido",BBDD_Usiarios_Netflix[[#This Row],[País]])</f>
        <v>Alemania</v>
      </c>
      <c r="Q1356">
        <v>30</v>
      </c>
      <c r="R1356" t="s">
        <v>25</v>
      </c>
      <c r="S1356" t="s">
        <v>31</v>
      </c>
      <c r="T1356" t="s">
        <v>35</v>
      </c>
      <c r="U1356">
        <f>IF(IFERROR(VLOOKUP(BBDD_Usiarios_Netflix[[#This Row],[Identificador Usuario]],A1357:$A$5870,1,FALSE),0)&lt;&gt;0,1,0)</f>
        <v>0</v>
      </c>
      <c r="V1356" s="6" t="str">
        <f>IF(BBDD_Usiarios_Netflix[[#This Row],[Duración Plan]]="12 Meses",LEFT(BBDD_Usiarios_Netflix[[#This Row],[Duración Plan]],2),LEFT(BBDD_Usiarios_Netflix[[#This Row],[Duración Plan]],1))</f>
        <v>6</v>
      </c>
      <c r="W13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57" spans="1:23" x14ac:dyDescent="0.25">
      <c r="A1357">
        <v>1356</v>
      </c>
      <c r="B1357" t="s">
        <v>28</v>
      </c>
      <c r="C1357">
        <v>14</v>
      </c>
      <c r="D1357" s="3">
        <v>24</v>
      </c>
      <c r="E1357" s="3">
        <v>7</v>
      </c>
      <c r="F1357">
        <v>23</v>
      </c>
      <c r="G1357" s="1">
        <f>DATEVALUE(_xlfn.CONCAT(BBDD_Usiarios_Netflix[[#This Row],[Día Suscripción]],"/",BBDD_Usiarios_Netflix[[#This Row],[Mes Suscripción]],"/",BBDD_Usiarios_Netflix[[#This Row],[Año Suscripción]]))</f>
        <v>45131</v>
      </c>
      <c r="H1357" s="1">
        <v>4</v>
      </c>
      <c r="I1357" s="1">
        <v>7</v>
      </c>
      <c r="J1357" s="1">
        <v>24</v>
      </c>
      <c r="K1357" s="1" t="str">
        <f>TEXT(BBDD_Usiarios_Netflix[[#This Row],[Fecha Suscripción]],"dddd")</f>
        <v>lunes</v>
      </c>
      <c r="L1357" s="1">
        <f>DATEVALUE(_xlfn.CONCAT(BBDD_Usiarios_Netflix[[#This Row],[Día Último Pago]],"/",BBDD_Usiarios_Netflix[[#This Row],[Mes Último Pago]],"/",BBDD_Usiarios_Netflix[[#This Row],[Año Último Pago]]))</f>
        <v>45477</v>
      </c>
      <c r="M1357" s="4">
        <f>DATEDIF(BBDD_Usiarios_Netflix[[#This Row],[Fecha Suscripción]],BBDD_Usiarios_Netflix[[#This Row],[Fecha Último Pago]],"M")+1</f>
        <v>12</v>
      </c>
      <c r="N1357" s="4">
        <f>BBDD_Usiarios_Netflix[[#This Row],[Ingresos Mensuales]]*BBDD_Usiarios_Netflix[[#This Row],[Meses contratados]]</f>
        <v>168</v>
      </c>
      <c r="O1357" t="s">
        <v>45</v>
      </c>
      <c r="P1357" t="str">
        <f>IF(BBDD_Usiarios_Netflix[[#This Row],[País]]="","Desconocido",BBDD_Usiarios_Netflix[[#This Row],[País]])</f>
        <v>España</v>
      </c>
      <c r="Q1357">
        <v>51</v>
      </c>
      <c r="R1357" t="s">
        <v>25</v>
      </c>
      <c r="S1357" t="s">
        <v>26</v>
      </c>
      <c r="T1357" t="s">
        <v>27</v>
      </c>
      <c r="U1357">
        <f>IF(IFERROR(VLOOKUP(BBDD_Usiarios_Netflix[[#This Row],[Identificador Usuario]],A1358:$A$5870,1,FALSE),0)&lt;&gt;0,1,0)</f>
        <v>0</v>
      </c>
      <c r="V1357" s="6" t="str">
        <f>IF(BBDD_Usiarios_Netflix[[#This Row],[Duración Plan]]="12 Meses",LEFT(BBDD_Usiarios_Netflix[[#This Row],[Duración Plan]],2),LEFT(BBDD_Usiarios_Netflix[[#This Row],[Duración Plan]],1))</f>
        <v>1</v>
      </c>
      <c r="W13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58" spans="1:23" x14ac:dyDescent="0.25">
      <c r="A1358">
        <v>1357</v>
      </c>
      <c r="B1358" t="s">
        <v>32</v>
      </c>
      <c r="C1358">
        <v>12</v>
      </c>
      <c r="D1358" s="3">
        <v>12</v>
      </c>
      <c r="E1358" s="3">
        <v>7</v>
      </c>
      <c r="F1358">
        <v>23</v>
      </c>
      <c r="G1358" s="1">
        <f>DATEVALUE(_xlfn.CONCAT(BBDD_Usiarios_Netflix[[#This Row],[Día Suscripción]],"/",BBDD_Usiarios_Netflix[[#This Row],[Mes Suscripción]],"/",BBDD_Usiarios_Netflix[[#This Row],[Año Suscripción]]))</f>
        <v>45119</v>
      </c>
      <c r="H1358" s="1">
        <v>2</v>
      </c>
      <c r="I1358" s="1">
        <v>7</v>
      </c>
      <c r="J1358" s="1">
        <v>24</v>
      </c>
      <c r="K1358" s="1" t="str">
        <f>TEXT(BBDD_Usiarios_Netflix[[#This Row],[Fecha Suscripción]],"dddd")</f>
        <v>miércoles</v>
      </c>
      <c r="L1358" s="1">
        <f>DATEVALUE(_xlfn.CONCAT(BBDD_Usiarios_Netflix[[#This Row],[Día Último Pago]],"/",BBDD_Usiarios_Netflix[[#This Row],[Mes Último Pago]],"/",BBDD_Usiarios_Netflix[[#This Row],[Año Último Pago]]))</f>
        <v>45475</v>
      </c>
      <c r="M1358" s="4">
        <f>DATEDIF(BBDD_Usiarios_Netflix[[#This Row],[Fecha Suscripción]],BBDD_Usiarios_Netflix[[#This Row],[Fecha Último Pago]],"M")+1</f>
        <v>12</v>
      </c>
      <c r="N1358" s="4">
        <f>BBDD_Usiarios_Netflix[[#This Row],[Ingresos Mensuales]]*BBDD_Usiarios_Netflix[[#This Row],[Meses contratados]]</f>
        <v>144</v>
      </c>
      <c r="O1358" t="s">
        <v>39</v>
      </c>
      <c r="P1358" t="str">
        <f>IF(BBDD_Usiarios_Netflix[[#This Row],[País]]="","Desconocido",BBDD_Usiarios_Netflix[[#This Row],[País]])</f>
        <v>Canadá</v>
      </c>
      <c r="Q1358">
        <v>51</v>
      </c>
      <c r="R1358" t="s">
        <v>25</v>
      </c>
      <c r="S1358" t="s">
        <v>34</v>
      </c>
      <c r="T1358" t="s">
        <v>35</v>
      </c>
      <c r="U1358">
        <f>IF(IFERROR(VLOOKUP(BBDD_Usiarios_Netflix[[#This Row],[Identificador Usuario]],A1359:$A$5870,1,FALSE),0)&lt;&gt;0,1,0)</f>
        <v>0</v>
      </c>
      <c r="V1358" s="6" t="str">
        <f>IF(BBDD_Usiarios_Netflix[[#This Row],[Duración Plan]]="12 Meses",LEFT(BBDD_Usiarios_Netflix[[#This Row],[Duración Plan]],2),LEFT(BBDD_Usiarios_Netflix[[#This Row],[Duración Plan]],1))</f>
        <v>6</v>
      </c>
      <c r="W13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59" spans="1:23" x14ac:dyDescent="0.25">
      <c r="A1359">
        <v>1358</v>
      </c>
      <c r="B1359" t="s">
        <v>23</v>
      </c>
      <c r="C1359">
        <v>10</v>
      </c>
      <c r="D1359" s="3">
        <v>9</v>
      </c>
      <c r="E1359" s="3">
        <v>7</v>
      </c>
      <c r="F1359">
        <v>23</v>
      </c>
      <c r="G1359" s="1">
        <f>DATEVALUE(_xlfn.CONCAT(BBDD_Usiarios_Netflix[[#This Row],[Día Suscripción]],"/",BBDD_Usiarios_Netflix[[#This Row],[Mes Suscripción]],"/",BBDD_Usiarios_Netflix[[#This Row],[Año Suscripción]]))</f>
        <v>45116</v>
      </c>
      <c r="H1359" s="1">
        <v>4</v>
      </c>
      <c r="I1359" s="1">
        <v>7</v>
      </c>
      <c r="J1359" s="1">
        <v>24</v>
      </c>
      <c r="K1359" s="1" t="str">
        <f>TEXT(BBDD_Usiarios_Netflix[[#This Row],[Fecha Suscripción]],"dddd")</f>
        <v>domingo</v>
      </c>
      <c r="L1359" s="1">
        <f>DATEVALUE(_xlfn.CONCAT(BBDD_Usiarios_Netflix[[#This Row],[Día Último Pago]],"/",BBDD_Usiarios_Netflix[[#This Row],[Mes Último Pago]],"/",BBDD_Usiarios_Netflix[[#This Row],[Año Último Pago]]))</f>
        <v>45477</v>
      </c>
      <c r="M1359" s="4">
        <f>DATEDIF(BBDD_Usiarios_Netflix[[#This Row],[Fecha Suscripción]],BBDD_Usiarios_Netflix[[#This Row],[Fecha Último Pago]],"M")+1</f>
        <v>12</v>
      </c>
      <c r="N1359" s="4">
        <f>BBDD_Usiarios_Netflix[[#This Row],[Ingresos Mensuales]]*BBDD_Usiarios_Netflix[[#This Row],[Meses contratados]]</f>
        <v>120</v>
      </c>
      <c r="O1359" t="s">
        <v>43</v>
      </c>
      <c r="P1359" t="str">
        <f>IF(BBDD_Usiarios_Netflix[[#This Row],[País]]="","Desconocido",BBDD_Usiarios_Netflix[[#This Row],[País]])</f>
        <v>Alemania</v>
      </c>
      <c r="Q1359">
        <v>44</v>
      </c>
      <c r="R1359" t="s">
        <v>25</v>
      </c>
      <c r="S1359" t="s">
        <v>31</v>
      </c>
      <c r="T1359" t="s">
        <v>35</v>
      </c>
      <c r="U1359">
        <f>IF(IFERROR(VLOOKUP(BBDD_Usiarios_Netflix[[#This Row],[Identificador Usuario]],A1360:$A$5870,1,FALSE),0)&lt;&gt;0,1,0)</f>
        <v>0</v>
      </c>
      <c r="V1359" s="6" t="str">
        <f>IF(BBDD_Usiarios_Netflix[[#This Row],[Duración Plan]]="12 Meses",LEFT(BBDD_Usiarios_Netflix[[#This Row],[Duración Plan]],2),LEFT(BBDD_Usiarios_Netflix[[#This Row],[Duración Plan]],1))</f>
        <v>6</v>
      </c>
      <c r="W13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60" spans="1:23" x14ac:dyDescent="0.25">
      <c r="A1360">
        <v>1359</v>
      </c>
      <c r="B1360" t="s">
        <v>32</v>
      </c>
      <c r="C1360">
        <v>12</v>
      </c>
      <c r="D1360" s="3">
        <v>9</v>
      </c>
      <c r="E1360" s="3">
        <v>7</v>
      </c>
      <c r="F1360">
        <v>23</v>
      </c>
      <c r="G1360" s="1">
        <f>DATEVALUE(_xlfn.CONCAT(BBDD_Usiarios_Netflix[[#This Row],[Día Suscripción]],"/",BBDD_Usiarios_Netflix[[#This Row],[Mes Suscripción]],"/",BBDD_Usiarios_Netflix[[#This Row],[Año Suscripción]]))</f>
        <v>45116</v>
      </c>
      <c r="H1360" s="1">
        <v>5</v>
      </c>
      <c r="I1360" s="1">
        <v>7</v>
      </c>
      <c r="J1360" s="1">
        <v>24</v>
      </c>
      <c r="K1360" s="1" t="str">
        <f>TEXT(BBDD_Usiarios_Netflix[[#This Row],[Fecha Suscripción]],"dddd")</f>
        <v>domingo</v>
      </c>
      <c r="L1360" s="1">
        <f>DATEVALUE(_xlfn.CONCAT(BBDD_Usiarios_Netflix[[#This Row],[Día Último Pago]],"/",BBDD_Usiarios_Netflix[[#This Row],[Mes Último Pago]],"/",BBDD_Usiarios_Netflix[[#This Row],[Año Último Pago]]))</f>
        <v>45478</v>
      </c>
      <c r="M1360" s="4">
        <f>DATEDIF(BBDD_Usiarios_Netflix[[#This Row],[Fecha Suscripción]],BBDD_Usiarios_Netflix[[#This Row],[Fecha Último Pago]],"M")+1</f>
        <v>12</v>
      </c>
      <c r="N1360" s="4">
        <f>BBDD_Usiarios_Netflix[[#This Row],[Ingresos Mensuales]]*BBDD_Usiarios_Netflix[[#This Row],[Meses contratados]]</f>
        <v>144</v>
      </c>
      <c r="O1360" t="s">
        <v>29</v>
      </c>
      <c r="P1360" t="str">
        <f>IF(BBDD_Usiarios_Netflix[[#This Row],[País]]="","Desconocido",BBDD_Usiarios_Netflix[[#This Row],[País]])</f>
        <v>EEUU</v>
      </c>
      <c r="Q1360">
        <v>35</v>
      </c>
      <c r="R1360" t="s">
        <v>25</v>
      </c>
      <c r="S1360" t="s">
        <v>36</v>
      </c>
      <c r="T1360" t="s">
        <v>38</v>
      </c>
      <c r="U1360">
        <f>IF(IFERROR(VLOOKUP(BBDD_Usiarios_Netflix[[#This Row],[Identificador Usuario]],A1361:$A$5870,1,FALSE),0)&lt;&gt;0,1,0)</f>
        <v>0</v>
      </c>
      <c r="V1360" s="6" t="str">
        <f>IF(BBDD_Usiarios_Netflix[[#This Row],[Duración Plan]]="12 Meses",LEFT(BBDD_Usiarios_Netflix[[#This Row],[Duración Plan]],2),LEFT(BBDD_Usiarios_Netflix[[#This Row],[Duración Plan]],1))</f>
        <v>3</v>
      </c>
      <c r="W13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61" spans="1:23" x14ac:dyDescent="0.25">
      <c r="A1361">
        <v>1360</v>
      </c>
      <c r="B1361" t="s">
        <v>28</v>
      </c>
      <c r="C1361">
        <v>14</v>
      </c>
      <c r="D1361" s="3">
        <v>10</v>
      </c>
      <c r="E1361" s="3">
        <v>7</v>
      </c>
      <c r="F1361">
        <v>23</v>
      </c>
      <c r="G1361" s="1">
        <f>DATEVALUE(_xlfn.CONCAT(BBDD_Usiarios_Netflix[[#This Row],[Día Suscripción]],"/",BBDD_Usiarios_Netflix[[#This Row],[Mes Suscripción]],"/",BBDD_Usiarios_Netflix[[#This Row],[Año Suscripción]]))</f>
        <v>45117</v>
      </c>
      <c r="H1361" s="1">
        <v>4</v>
      </c>
      <c r="I1361" s="1">
        <v>7</v>
      </c>
      <c r="J1361" s="1">
        <v>24</v>
      </c>
      <c r="K1361" s="1" t="str">
        <f>TEXT(BBDD_Usiarios_Netflix[[#This Row],[Fecha Suscripción]],"dddd")</f>
        <v>lunes</v>
      </c>
      <c r="L1361" s="1">
        <f>DATEVALUE(_xlfn.CONCAT(BBDD_Usiarios_Netflix[[#This Row],[Día Último Pago]],"/",BBDD_Usiarios_Netflix[[#This Row],[Mes Último Pago]],"/",BBDD_Usiarios_Netflix[[#This Row],[Año Último Pago]]))</f>
        <v>45477</v>
      </c>
      <c r="M1361" s="4">
        <f>DATEDIF(BBDD_Usiarios_Netflix[[#This Row],[Fecha Suscripción]],BBDD_Usiarios_Netflix[[#This Row],[Fecha Último Pago]],"M")+1</f>
        <v>12</v>
      </c>
      <c r="N1361" s="4">
        <f>BBDD_Usiarios_Netflix[[#This Row],[Ingresos Mensuales]]*BBDD_Usiarios_Netflix[[#This Row],[Meses contratados]]</f>
        <v>168</v>
      </c>
      <c r="O1361" t="s">
        <v>40</v>
      </c>
      <c r="P1361" t="str">
        <f>IF(BBDD_Usiarios_Netflix[[#This Row],[País]]="","Desconocido",BBDD_Usiarios_Netflix[[#This Row],[País]])</f>
        <v>Italia</v>
      </c>
      <c r="Q1361">
        <v>39</v>
      </c>
      <c r="R1361" t="s">
        <v>25</v>
      </c>
      <c r="S1361" t="s">
        <v>34</v>
      </c>
      <c r="T1361" t="s">
        <v>27</v>
      </c>
      <c r="U1361">
        <f>IF(IFERROR(VLOOKUP(BBDD_Usiarios_Netflix[[#This Row],[Identificador Usuario]],A1362:$A$5870,1,FALSE),0)&lt;&gt;0,1,0)</f>
        <v>0</v>
      </c>
      <c r="V1361" s="6" t="str">
        <f>IF(BBDD_Usiarios_Netflix[[#This Row],[Duración Plan]]="12 Meses",LEFT(BBDD_Usiarios_Netflix[[#This Row],[Duración Plan]],2),LEFT(BBDD_Usiarios_Netflix[[#This Row],[Duración Plan]],1))</f>
        <v>1</v>
      </c>
      <c r="W13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62" spans="1:23" x14ac:dyDescent="0.25">
      <c r="A1362">
        <v>1361</v>
      </c>
      <c r="B1362" t="s">
        <v>23</v>
      </c>
      <c r="C1362">
        <v>10</v>
      </c>
      <c r="D1362" s="3">
        <v>2</v>
      </c>
      <c r="E1362" s="3">
        <v>7</v>
      </c>
      <c r="F1362">
        <v>23</v>
      </c>
      <c r="G1362" s="1">
        <f>DATEVALUE(_xlfn.CONCAT(BBDD_Usiarios_Netflix[[#This Row],[Día Suscripción]],"/",BBDD_Usiarios_Netflix[[#This Row],[Mes Suscripción]],"/",BBDD_Usiarios_Netflix[[#This Row],[Año Suscripción]]))</f>
        <v>45109</v>
      </c>
      <c r="H1362" s="1">
        <v>2</v>
      </c>
      <c r="I1362" s="1">
        <v>7</v>
      </c>
      <c r="J1362" s="1">
        <v>24</v>
      </c>
      <c r="K1362" s="1" t="str">
        <f>TEXT(BBDD_Usiarios_Netflix[[#This Row],[Fecha Suscripción]],"dddd")</f>
        <v>domingo</v>
      </c>
      <c r="L1362" s="1">
        <f>DATEVALUE(_xlfn.CONCAT(BBDD_Usiarios_Netflix[[#This Row],[Día Último Pago]],"/",BBDD_Usiarios_Netflix[[#This Row],[Mes Último Pago]],"/",BBDD_Usiarios_Netflix[[#This Row],[Año Último Pago]]))</f>
        <v>45475</v>
      </c>
      <c r="M1362" s="4">
        <f>DATEDIF(BBDD_Usiarios_Netflix[[#This Row],[Fecha Suscripción]],BBDD_Usiarios_Netflix[[#This Row],[Fecha Último Pago]],"M")+1</f>
        <v>13</v>
      </c>
      <c r="N1362" s="4">
        <f>BBDD_Usiarios_Netflix[[#This Row],[Ingresos Mensuales]]*BBDD_Usiarios_Netflix[[#This Row],[Meses contratados]]</f>
        <v>130</v>
      </c>
      <c r="O1362" t="s">
        <v>42</v>
      </c>
      <c r="P1362" t="str">
        <f>IF(BBDD_Usiarios_Netflix[[#This Row],[País]]="","Desconocido",BBDD_Usiarios_Netflix[[#This Row],[País]])</f>
        <v>Reino Unido</v>
      </c>
      <c r="Q1362">
        <v>41</v>
      </c>
      <c r="R1362" t="s">
        <v>30</v>
      </c>
      <c r="S1362" t="s">
        <v>36</v>
      </c>
      <c r="T1362" t="s">
        <v>41</v>
      </c>
      <c r="U1362">
        <f>IF(IFERROR(VLOOKUP(BBDD_Usiarios_Netflix[[#This Row],[Identificador Usuario]],A1363:$A$5870,1,FALSE),0)&lt;&gt;0,1,0)</f>
        <v>0</v>
      </c>
      <c r="V1362" s="6" t="str">
        <f>IF(BBDD_Usiarios_Netflix[[#This Row],[Duración Plan]]="12 Meses",LEFT(BBDD_Usiarios_Netflix[[#This Row],[Duración Plan]],2),LEFT(BBDD_Usiarios_Netflix[[#This Row],[Duración Plan]],1))</f>
        <v>12</v>
      </c>
      <c r="W13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63" spans="1:23" x14ac:dyDescent="0.25">
      <c r="A1363">
        <v>1362</v>
      </c>
      <c r="B1363" t="s">
        <v>28</v>
      </c>
      <c r="C1363">
        <v>14</v>
      </c>
      <c r="D1363" s="3">
        <v>2</v>
      </c>
      <c r="E1363" s="3">
        <v>7</v>
      </c>
      <c r="F1363">
        <v>23</v>
      </c>
      <c r="G1363" s="1">
        <f>DATEVALUE(_xlfn.CONCAT(BBDD_Usiarios_Netflix[[#This Row],[Día Suscripción]],"/",BBDD_Usiarios_Netflix[[#This Row],[Mes Suscripción]],"/",BBDD_Usiarios_Netflix[[#This Row],[Año Suscripción]]))</f>
        <v>45109</v>
      </c>
      <c r="H1363" s="1">
        <v>4</v>
      </c>
      <c r="I1363" s="1">
        <v>7</v>
      </c>
      <c r="J1363" s="1">
        <v>24</v>
      </c>
      <c r="K1363" s="1" t="str">
        <f>TEXT(BBDD_Usiarios_Netflix[[#This Row],[Fecha Suscripción]],"dddd")</f>
        <v>domingo</v>
      </c>
      <c r="L1363" s="1">
        <f>DATEVALUE(_xlfn.CONCAT(BBDD_Usiarios_Netflix[[#This Row],[Día Último Pago]],"/",BBDD_Usiarios_Netflix[[#This Row],[Mes Último Pago]],"/",BBDD_Usiarios_Netflix[[#This Row],[Año Último Pago]]))</f>
        <v>45477</v>
      </c>
      <c r="M1363" s="4">
        <f>DATEDIF(BBDD_Usiarios_Netflix[[#This Row],[Fecha Suscripción]],BBDD_Usiarios_Netflix[[#This Row],[Fecha Último Pago]],"M")+1</f>
        <v>13</v>
      </c>
      <c r="N1363" s="4">
        <f>BBDD_Usiarios_Netflix[[#This Row],[Ingresos Mensuales]]*BBDD_Usiarios_Netflix[[#This Row],[Meses contratados]]</f>
        <v>182</v>
      </c>
      <c r="O1363" t="s">
        <v>29</v>
      </c>
      <c r="P1363" t="str">
        <f>IF(BBDD_Usiarios_Netflix[[#This Row],[País]]="","Desconocido",BBDD_Usiarios_Netflix[[#This Row],[País]])</f>
        <v>EEUU</v>
      </c>
      <c r="Q1363">
        <v>44</v>
      </c>
      <c r="R1363" t="s">
        <v>30</v>
      </c>
      <c r="S1363" t="s">
        <v>36</v>
      </c>
      <c r="T1363" t="s">
        <v>41</v>
      </c>
      <c r="U1363">
        <f>IF(IFERROR(VLOOKUP(BBDD_Usiarios_Netflix[[#This Row],[Identificador Usuario]],A1364:$A$5870,1,FALSE),0)&lt;&gt;0,1,0)</f>
        <v>0</v>
      </c>
      <c r="V1363" s="6" t="str">
        <f>IF(BBDD_Usiarios_Netflix[[#This Row],[Duración Plan]]="12 Meses",LEFT(BBDD_Usiarios_Netflix[[#This Row],[Duración Plan]],2),LEFT(BBDD_Usiarios_Netflix[[#This Row],[Duración Plan]],1))</f>
        <v>12</v>
      </c>
      <c r="W13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64" spans="1:23" x14ac:dyDescent="0.25">
      <c r="A1364">
        <v>1363</v>
      </c>
      <c r="B1364" t="s">
        <v>32</v>
      </c>
      <c r="C1364">
        <v>12</v>
      </c>
      <c r="D1364" s="3">
        <v>1</v>
      </c>
      <c r="E1364" s="3">
        <v>7</v>
      </c>
      <c r="F1364">
        <v>23</v>
      </c>
      <c r="G1364" s="1">
        <f>DATEVALUE(_xlfn.CONCAT(BBDD_Usiarios_Netflix[[#This Row],[Día Suscripción]],"/",BBDD_Usiarios_Netflix[[#This Row],[Mes Suscripción]],"/",BBDD_Usiarios_Netflix[[#This Row],[Año Suscripción]]))</f>
        <v>45108</v>
      </c>
      <c r="H1364" s="1">
        <v>5</v>
      </c>
      <c r="I1364" s="1">
        <v>7</v>
      </c>
      <c r="J1364" s="1">
        <v>24</v>
      </c>
      <c r="K1364" s="1" t="str">
        <f>TEXT(BBDD_Usiarios_Netflix[[#This Row],[Fecha Suscripción]],"dddd")</f>
        <v>sábado</v>
      </c>
      <c r="L1364" s="1">
        <f>DATEVALUE(_xlfn.CONCAT(BBDD_Usiarios_Netflix[[#This Row],[Día Último Pago]],"/",BBDD_Usiarios_Netflix[[#This Row],[Mes Último Pago]],"/",BBDD_Usiarios_Netflix[[#This Row],[Año Último Pago]]))</f>
        <v>45478</v>
      </c>
      <c r="M1364" s="4">
        <f>DATEDIF(BBDD_Usiarios_Netflix[[#This Row],[Fecha Suscripción]],BBDD_Usiarios_Netflix[[#This Row],[Fecha Último Pago]],"M")+1</f>
        <v>13</v>
      </c>
      <c r="N1364" s="4">
        <f>BBDD_Usiarios_Netflix[[#This Row],[Ingresos Mensuales]]*BBDD_Usiarios_Netflix[[#This Row],[Meses contratados]]</f>
        <v>156</v>
      </c>
      <c r="O1364" t="s">
        <v>44</v>
      </c>
      <c r="P1364" t="str">
        <f>IF(BBDD_Usiarios_Netflix[[#This Row],[País]]="","Desconocido",BBDD_Usiarios_Netflix[[#This Row],[País]])</f>
        <v>Desconocido</v>
      </c>
      <c r="Q1364">
        <v>29</v>
      </c>
      <c r="R1364" t="s">
        <v>25</v>
      </c>
      <c r="S1364" t="s">
        <v>36</v>
      </c>
      <c r="T1364" t="s">
        <v>27</v>
      </c>
      <c r="U1364">
        <f>IF(IFERROR(VLOOKUP(BBDD_Usiarios_Netflix[[#This Row],[Identificador Usuario]],A1365:$A$5870,1,FALSE),0)&lt;&gt;0,1,0)</f>
        <v>0</v>
      </c>
      <c r="V1364" s="6" t="str">
        <f>IF(BBDD_Usiarios_Netflix[[#This Row],[Duración Plan]]="12 Meses",LEFT(BBDD_Usiarios_Netflix[[#This Row],[Duración Plan]],2),LEFT(BBDD_Usiarios_Netflix[[#This Row],[Duración Plan]],1))</f>
        <v>1</v>
      </c>
      <c r="W13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65" spans="1:23" x14ac:dyDescent="0.25">
      <c r="A1365">
        <v>1364</v>
      </c>
      <c r="B1365" t="s">
        <v>23</v>
      </c>
      <c r="C1365">
        <v>10</v>
      </c>
      <c r="D1365" s="3">
        <v>1</v>
      </c>
      <c r="E1365" s="3">
        <v>7</v>
      </c>
      <c r="F1365">
        <v>23</v>
      </c>
      <c r="G1365" s="1">
        <f>DATEVALUE(_xlfn.CONCAT(BBDD_Usiarios_Netflix[[#This Row],[Día Suscripción]],"/",BBDD_Usiarios_Netflix[[#This Row],[Mes Suscripción]],"/",BBDD_Usiarios_Netflix[[#This Row],[Año Suscripción]]))</f>
        <v>45108</v>
      </c>
      <c r="H1365" s="1">
        <v>4</v>
      </c>
      <c r="I1365" s="1">
        <v>7</v>
      </c>
      <c r="J1365" s="1">
        <v>24</v>
      </c>
      <c r="K1365" s="1" t="str">
        <f>TEXT(BBDD_Usiarios_Netflix[[#This Row],[Fecha Suscripción]],"dddd")</f>
        <v>sábado</v>
      </c>
      <c r="L1365" s="1">
        <f>DATEVALUE(_xlfn.CONCAT(BBDD_Usiarios_Netflix[[#This Row],[Día Último Pago]],"/",BBDD_Usiarios_Netflix[[#This Row],[Mes Último Pago]],"/",BBDD_Usiarios_Netflix[[#This Row],[Año Último Pago]]))</f>
        <v>45477</v>
      </c>
      <c r="M1365" s="4">
        <f>DATEDIF(BBDD_Usiarios_Netflix[[#This Row],[Fecha Suscripción]],BBDD_Usiarios_Netflix[[#This Row],[Fecha Último Pago]],"M")+1</f>
        <v>13</v>
      </c>
      <c r="N1365" s="4">
        <f>BBDD_Usiarios_Netflix[[#This Row],[Ingresos Mensuales]]*BBDD_Usiarios_Netflix[[#This Row],[Meses contratados]]</f>
        <v>130</v>
      </c>
      <c r="O1365" t="s">
        <v>42</v>
      </c>
      <c r="P1365" t="str">
        <f>IF(BBDD_Usiarios_Netflix[[#This Row],[País]]="","Desconocido",BBDD_Usiarios_Netflix[[#This Row],[País]])</f>
        <v>Reino Unido</v>
      </c>
      <c r="Q1365">
        <v>47</v>
      </c>
      <c r="R1365" t="s">
        <v>25</v>
      </c>
      <c r="S1365" t="s">
        <v>31</v>
      </c>
      <c r="T1365" t="s">
        <v>41</v>
      </c>
      <c r="U1365">
        <f>IF(IFERROR(VLOOKUP(BBDD_Usiarios_Netflix[[#This Row],[Identificador Usuario]],A1366:$A$5870,1,FALSE),0)&lt;&gt;0,1,0)</f>
        <v>0</v>
      </c>
      <c r="V1365" s="6" t="str">
        <f>IF(BBDD_Usiarios_Netflix[[#This Row],[Duración Plan]]="12 Meses",LEFT(BBDD_Usiarios_Netflix[[#This Row],[Duración Plan]],2),LEFT(BBDD_Usiarios_Netflix[[#This Row],[Duración Plan]],1))</f>
        <v>12</v>
      </c>
      <c r="W13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66" spans="1:23" x14ac:dyDescent="0.25">
      <c r="A1366">
        <v>1365</v>
      </c>
      <c r="B1366" t="s">
        <v>32</v>
      </c>
      <c r="C1366">
        <v>12</v>
      </c>
      <c r="D1366" s="3">
        <v>30</v>
      </c>
      <c r="E1366" s="3">
        <v>6</v>
      </c>
      <c r="F1366">
        <v>23</v>
      </c>
      <c r="G1366" s="1">
        <f>DATEVALUE(_xlfn.CONCAT(BBDD_Usiarios_Netflix[[#This Row],[Día Suscripción]],"/",BBDD_Usiarios_Netflix[[#This Row],[Mes Suscripción]],"/",BBDD_Usiarios_Netflix[[#This Row],[Año Suscripción]]))</f>
        <v>45107</v>
      </c>
      <c r="H1366" s="1">
        <v>2</v>
      </c>
      <c r="I1366" s="1">
        <v>7</v>
      </c>
      <c r="J1366" s="1">
        <v>24</v>
      </c>
      <c r="K1366" s="1" t="str">
        <f>TEXT(BBDD_Usiarios_Netflix[[#This Row],[Fecha Suscripción]],"dddd")</f>
        <v>viernes</v>
      </c>
      <c r="L1366" s="1">
        <f>DATEVALUE(_xlfn.CONCAT(BBDD_Usiarios_Netflix[[#This Row],[Día Último Pago]],"/",BBDD_Usiarios_Netflix[[#This Row],[Mes Último Pago]],"/",BBDD_Usiarios_Netflix[[#This Row],[Año Último Pago]]))</f>
        <v>45475</v>
      </c>
      <c r="M1366" s="4">
        <f>DATEDIF(BBDD_Usiarios_Netflix[[#This Row],[Fecha Suscripción]],BBDD_Usiarios_Netflix[[#This Row],[Fecha Último Pago]],"M")+1</f>
        <v>13</v>
      </c>
      <c r="N1366" s="4">
        <f>BBDD_Usiarios_Netflix[[#This Row],[Ingresos Mensuales]]*BBDD_Usiarios_Netflix[[#This Row],[Meses contratados]]</f>
        <v>156</v>
      </c>
      <c r="O1366" t="s">
        <v>43</v>
      </c>
      <c r="P1366" t="str">
        <f>IF(BBDD_Usiarios_Netflix[[#This Row],[País]]="","Desconocido",BBDD_Usiarios_Netflix[[#This Row],[País]])</f>
        <v>Alemania</v>
      </c>
      <c r="Q1366">
        <v>28</v>
      </c>
      <c r="R1366" t="s">
        <v>30</v>
      </c>
      <c r="S1366" t="s">
        <v>26</v>
      </c>
      <c r="T1366" t="s">
        <v>27</v>
      </c>
      <c r="U1366">
        <f>IF(IFERROR(VLOOKUP(BBDD_Usiarios_Netflix[[#This Row],[Identificador Usuario]],A1367:$A$5870,1,FALSE),0)&lt;&gt;0,1,0)</f>
        <v>0</v>
      </c>
      <c r="V1366" s="6" t="str">
        <f>IF(BBDD_Usiarios_Netflix[[#This Row],[Duración Plan]]="12 Meses",LEFT(BBDD_Usiarios_Netflix[[#This Row],[Duración Plan]],2),LEFT(BBDD_Usiarios_Netflix[[#This Row],[Duración Plan]],1))</f>
        <v>1</v>
      </c>
      <c r="W13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67" spans="1:23" x14ac:dyDescent="0.25">
      <c r="A1367">
        <v>1366</v>
      </c>
      <c r="B1367" t="s">
        <v>28</v>
      </c>
      <c r="C1367">
        <v>14</v>
      </c>
      <c r="D1367" s="3">
        <v>29</v>
      </c>
      <c r="E1367" s="3">
        <v>6</v>
      </c>
      <c r="F1367">
        <v>23</v>
      </c>
      <c r="G1367" s="1">
        <f>DATEVALUE(_xlfn.CONCAT(BBDD_Usiarios_Netflix[[#This Row],[Día Suscripción]],"/",BBDD_Usiarios_Netflix[[#This Row],[Mes Suscripción]],"/",BBDD_Usiarios_Netflix[[#This Row],[Año Suscripción]]))</f>
        <v>45106</v>
      </c>
      <c r="H1367" s="1">
        <v>4</v>
      </c>
      <c r="I1367" s="1">
        <v>7</v>
      </c>
      <c r="J1367" s="1">
        <v>24</v>
      </c>
      <c r="K1367" s="1" t="str">
        <f>TEXT(BBDD_Usiarios_Netflix[[#This Row],[Fecha Suscripción]],"dddd")</f>
        <v>jueves</v>
      </c>
      <c r="L1367" s="1">
        <f>DATEVALUE(_xlfn.CONCAT(BBDD_Usiarios_Netflix[[#This Row],[Día Último Pago]],"/",BBDD_Usiarios_Netflix[[#This Row],[Mes Último Pago]],"/",BBDD_Usiarios_Netflix[[#This Row],[Año Último Pago]]))</f>
        <v>45477</v>
      </c>
      <c r="M1367" s="4">
        <f>DATEDIF(BBDD_Usiarios_Netflix[[#This Row],[Fecha Suscripción]],BBDD_Usiarios_Netflix[[#This Row],[Fecha Último Pago]],"M")+1</f>
        <v>13</v>
      </c>
      <c r="N1367" s="4">
        <f>BBDD_Usiarios_Netflix[[#This Row],[Ingresos Mensuales]]*BBDD_Usiarios_Netflix[[#This Row],[Meses contratados]]</f>
        <v>182</v>
      </c>
      <c r="O1367" t="s">
        <v>44</v>
      </c>
      <c r="P1367" t="str">
        <f>IF(BBDD_Usiarios_Netflix[[#This Row],[País]]="","Desconocido",BBDD_Usiarios_Netflix[[#This Row],[País]])</f>
        <v>Desconocido</v>
      </c>
      <c r="Q1367">
        <v>45</v>
      </c>
      <c r="R1367" t="s">
        <v>25</v>
      </c>
      <c r="S1367" t="s">
        <v>36</v>
      </c>
      <c r="T1367" t="s">
        <v>38</v>
      </c>
      <c r="U1367">
        <f>IF(IFERROR(VLOOKUP(BBDD_Usiarios_Netflix[[#This Row],[Identificador Usuario]],A1368:$A$5870,1,FALSE),0)&lt;&gt;0,1,0)</f>
        <v>0</v>
      </c>
      <c r="V1367" s="6" t="str">
        <f>IF(BBDD_Usiarios_Netflix[[#This Row],[Duración Plan]]="12 Meses",LEFT(BBDD_Usiarios_Netflix[[#This Row],[Duración Plan]],2),LEFT(BBDD_Usiarios_Netflix[[#This Row],[Duración Plan]],1))</f>
        <v>3</v>
      </c>
      <c r="W13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68" spans="1:23" x14ac:dyDescent="0.25">
      <c r="A1368">
        <v>1367</v>
      </c>
      <c r="B1368" t="s">
        <v>23</v>
      </c>
      <c r="C1368">
        <v>10</v>
      </c>
      <c r="D1368" s="3">
        <v>26</v>
      </c>
      <c r="E1368" s="3">
        <v>6</v>
      </c>
      <c r="F1368">
        <v>23</v>
      </c>
      <c r="G1368" s="1">
        <f>DATEVALUE(_xlfn.CONCAT(BBDD_Usiarios_Netflix[[#This Row],[Día Suscripción]],"/",BBDD_Usiarios_Netflix[[#This Row],[Mes Suscripción]],"/",BBDD_Usiarios_Netflix[[#This Row],[Año Suscripción]]))</f>
        <v>45103</v>
      </c>
      <c r="H1368" s="1">
        <v>4</v>
      </c>
      <c r="I1368" s="1">
        <v>7</v>
      </c>
      <c r="J1368" s="1">
        <v>24</v>
      </c>
      <c r="K1368" s="1" t="str">
        <f>TEXT(BBDD_Usiarios_Netflix[[#This Row],[Fecha Suscripción]],"dddd")</f>
        <v>lunes</v>
      </c>
      <c r="L1368" s="1">
        <f>DATEVALUE(_xlfn.CONCAT(BBDD_Usiarios_Netflix[[#This Row],[Día Último Pago]],"/",BBDD_Usiarios_Netflix[[#This Row],[Mes Último Pago]],"/",BBDD_Usiarios_Netflix[[#This Row],[Año Último Pago]]))</f>
        <v>45477</v>
      </c>
      <c r="M1368" s="4">
        <f>DATEDIF(BBDD_Usiarios_Netflix[[#This Row],[Fecha Suscripción]],BBDD_Usiarios_Netflix[[#This Row],[Fecha Último Pago]],"M")+1</f>
        <v>13</v>
      </c>
      <c r="N1368" s="4">
        <f>BBDD_Usiarios_Netflix[[#This Row],[Ingresos Mensuales]]*BBDD_Usiarios_Netflix[[#This Row],[Meses contratados]]</f>
        <v>130</v>
      </c>
      <c r="O1368" t="s">
        <v>24</v>
      </c>
      <c r="P1368" t="str">
        <f>IF(BBDD_Usiarios_Netflix[[#This Row],[País]]="","Desconocido",BBDD_Usiarios_Netflix[[#This Row],[País]])</f>
        <v>Australia</v>
      </c>
      <c r="Q1368">
        <v>28</v>
      </c>
      <c r="R1368" t="s">
        <v>30</v>
      </c>
      <c r="S1368" t="s">
        <v>26</v>
      </c>
      <c r="T1368" t="s">
        <v>41</v>
      </c>
      <c r="U1368">
        <f>IF(IFERROR(VLOOKUP(BBDD_Usiarios_Netflix[[#This Row],[Identificador Usuario]],A1369:$A$5870,1,FALSE),0)&lt;&gt;0,1,0)</f>
        <v>0</v>
      </c>
      <c r="V1368" s="6" t="str">
        <f>IF(BBDD_Usiarios_Netflix[[#This Row],[Duración Plan]]="12 Meses",LEFT(BBDD_Usiarios_Netflix[[#This Row],[Duración Plan]],2),LEFT(BBDD_Usiarios_Netflix[[#This Row],[Duración Plan]],1))</f>
        <v>12</v>
      </c>
      <c r="W13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69" spans="1:23" x14ac:dyDescent="0.25">
      <c r="A1369">
        <v>1368</v>
      </c>
      <c r="B1369" t="s">
        <v>32</v>
      </c>
      <c r="C1369">
        <v>12</v>
      </c>
      <c r="D1369" s="3">
        <v>27</v>
      </c>
      <c r="E1369" s="3">
        <v>6</v>
      </c>
      <c r="F1369">
        <v>23</v>
      </c>
      <c r="G1369" s="1">
        <f>DATEVALUE(_xlfn.CONCAT(BBDD_Usiarios_Netflix[[#This Row],[Día Suscripción]],"/",BBDD_Usiarios_Netflix[[#This Row],[Mes Suscripción]],"/",BBDD_Usiarios_Netflix[[#This Row],[Año Suscripción]]))</f>
        <v>45104</v>
      </c>
      <c r="H1369" s="1">
        <v>3</v>
      </c>
      <c r="I1369" s="1">
        <v>7</v>
      </c>
      <c r="J1369" s="1">
        <v>24</v>
      </c>
      <c r="K1369" s="1" t="str">
        <f>TEXT(BBDD_Usiarios_Netflix[[#This Row],[Fecha Suscripción]],"dddd")</f>
        <v>martes</v>
      </c>
      <c r="L1369" s="1">
        <f>DATEVALUE(_xlfn.CONCAT(BBDD_Usiarios_Netflix[[#This Row],[Día Último Pago]],"/",BBDD_Usiarios_Netflix[[#This Row],[Mes Último Pago]],"/",BBDD_Usiarios_Netflix[[#This Row],[Año Último Pago]]))</f>
        <v>45476</v>
      </c>
      <c r="M1369" s="4">
        <f>DATEDIF(BBDD_Usiarios_Netflix[[#This Row],[Fecha Suscripción]],BBDD_Usiarios_Netflix[[#This Row],[Fecha Último Pago]],"M")+1</f>
        <v>13</v>
      </c>
      <c r="N1369" s="4">
        <f>BBDD_Usiarios_Netflix[[#This Row],[Ingresos Mensuales]]*BBDD_Usiarios_Netflix[[#This Row],[Meses contratados]]</f>
        <v>156</v>
      </c>
      <c r="O1369" t="s">
        <v>29</v>
      </c>
      <c r="P1369" t="str">
        <f>IF(BBDD_Usiarios_Netflix[[#This Row],[País]]="","Desconocido",BBDD_Usiarios_Netflix[[#This Row],[País]])</f>
        <v>EEUU</v>
      </c>
      <c r="Q1369">
        <v>31</v>
      </c>
      <c r="R1369" t="s">
        <v>30</v>
      </c>
      <c r="S1369" t="s">
        <v>36</v>
      </c>
      <c r="T1369" t="s">
        <v>27</v>
      </c>
      <c r="U1369">
        <f>IF(IFERROR(VLOOKUP(BBDD_Usiarios_Netflix[[#This Row],[Identificador Usuario]],A1370:$A$5870,1,FALSE),0)&lt;&gt;0,1,0)</f>
        <v>0</v>
      </c>
      <c r="V1369" s="6" t="str">
        <f>IF(BBDD_Usiarios_Netflix[[#This Row],[Duración Plan]]="12 Meses",LEFT(BBDD_Usiarios_Netflix[[#This Row],[Duración Plan]],2),LEFT(BBDD_Usiarios_Netflix[[#This Row],[Duración Plan]],1))</f>
        <v>1</v>
      </c>
      <c r="W13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70" spans="1:23" x14ac:dyDescent="0.25">
      <c r="A1370">
        <v>1369</v>
      </c>
      <c r="B1370" t="s">
        <v>28</v>
      </c>
      <c r="C1370">
        <v>14</v>
      </c>
      <c r="D1370" s="3">
        <v>25</v>
      </c>
      <c r="E1370" s="3">
        <v>6</v>
      </c>
      <c r="F1370">
        <v>23</v>
      </c>
      <c r="G1370" s="1">
        <f>DATEVALUE(_xlfn.CONCAT(BBDD_Usiarios_Netflix[[#This Row],[Día Suscripción]],"/",BBDD_Usiarios_Netflix[[#This Row],[Mes Suscripción]],"/",BBDD_Usiarios_Netflix[[#This Row],[Año Suscripción]]))</f>
        <v>45102</v>
      </c>
      <c r="H1370" s="1">
        <v>3</v>
      </c>
      <c r="I1370" s="1">
        <v>7</v>
      </c>
      <c r="J1370" s="1">
        <v>24</v>
      </c>
      <c r="K1370" s="1" t="str">
        <f>TEXT(BBDD_Usiarios_Netflix[[#This Row],[Fecha Suscripción]],"dddd")</f>
        <v>domingo</v>
      </c>
      <c r="L1370" s="1">
        <f>DATEVALUE(_xlfn.CONCAT(BBDD_Usiarios_Netflix[[#This Row],[Día Último Pago]],"/",BBDD_Usiarios_Netflix[[#This Row],[Mes Último Pago]],"/",BBDD_Usiarios_Netflix[[#This Row],[Año Último Pago]]))</f>
        <v>45476</v>
      </c>
      <c r="M1370" s="4">
        <f>DATEDIF(BBDD_Usiarios_Netflix[[#This Row],[Fecha Suscripción]],BBDD_Usiarios_Netflix[[#This Row],[Fecha Último Pago]],"M")+1</f>
        <v>13</v>
      </c>
      <c r="N1370" s="4">
        <f>BBDD_Usiarios_Netflix[[#This Row],[Ingresos Mensuales]]*BBDD_Usiarios_Netflix[[#This Row],[Meses contratados]]</f>
        <v>182</v>
      </c>
      <c r="O1370" t="s">
        <v>33</v>
      </c>
      <c r="P1370" t="str">
        <f>IF(BBDD_Usiarios_Netflix[[#This Row],[País]]="","Desconocido",BBDD_Usiarios_Netflix[[#This Row],[País]])</f>
        <v>Francia</v>
      </c>
      <c r="Q1370">
        <v>47</v>
      </c>
      <c r="R1370" t="s">
        <v>30</v>
      </c>
      <c r="S1370" t="s">
        <v>36</v>
      </c>
      <c r="T1370" t="s">
        <v>41</v>
      </c>
      <c r="U1370">
        <f>IF(IFERROR(VLOOKUP(BBDD_Usiarios_Netflix[[#This Row],[Identificador Usuario]],A1371:$A$5870,1,FALSE),0)&lt;&gt;0,1,0)</f>
        <v>0</v>
      </c>
      <c r="V1370" s="6" t="str">
        <f>IF(BBDD_Usiarios_Netflix[[#This Row],[Duración Plan]]="12 Meses",LEFT(BBDD_Usiarios_Netflix[[#This Row],[Duración Plan]],2),LEFT(BBDD_Usiarios_Netflix[[#This Row],[Duración Plan]],1))</f>
        <v>12</v>
      </c>
      <c r="W13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71" spans="1:23" x14ac:dyDescent="0.25">
      <c r="A1371">
        <v>1370</v>
      </c>
      <c r="B1371" t="s">
        <v>23</v>
      </c>
      <c r="C1371">
        <v>10</v>
      </c>
      <c r="D1371" s="3">
        <v>23</v>
      </c>
      <c r="E1371" s="3">
        <v>6</v>
      </c>
      <c r="F1371">
        <v>23</v>
      </c>
      <c r="G1371" s="1">
        <f>DATEVALUE(_xlfn.CONCAT(BBDD_Usiarios_Netflix[[#This Row],[Día Suscripción]],"/",BBDD_Usiarios_Netflix[[#This Row],[Mes Suscripción]],"/",BBDD_Usiarios_Netflix[[#This Row],[Año Suscripción]]))</f>
        <v>45100</v>
      </c>
      <c r="H1371" s="1">
        <v>4</v>
      </c>
      <c r="I1371" s="1">
        <v>7</v>
      </c>
      <c r="J1371" s="1">
        <v>24</v>
      </c>
      <c r="K1371" s="1" t="str">
        <f>TEXT(BBDD_Usiarios_Netflix[[#This Row],[Fecha Suscripción]],"dddd")</f>
        <v>viernes</v>
      </c>
      <c r="L1371" s="1">
        <f>DATEVALUE(_xlfn.CONCAT(BBDD_Usiarios_Netflix[[#This Row],[Día Último Pago]],"/",BBDD_Usiarios_Netflix[[#This Row],[Mes Último Pago]],"/",BBDD_Usiarios_Netflix[[#This Row],[Año Último Pago]]))</f>
        <v>45477</v>
      </c>
      <c r="M1371" s="4">
        <f>DATEDIF(BBDD_Usiarios_Netflix[[#This Row],[Fecha Suscripción]],BBDD_Usiarios_Netflix[[#This Row],[Fecha Último Pago]],"M")+1</f>
        <v>13</v>
      </c>
      <c r="N1371" s="4">
        <f>BBDD_Usiarios_Netflix[[#This Row],[Ingresos Mensuales]]*BBDD_Usiarios_Netflix[[#This Row],[Meses contratados]]</f>
        <v>130</v>
      </c>
      <c r="O1371" t="s">
        <v>43</v>
      </c>
      <c r="P1371" t="str">
        <f>IF(BBDD_Usiarios_Netflix[[#This Row],[País]]="","Desconocido",BBDD_Usiarios_Netflix[[#This Row],[País]])</f>
        <v>Alemania</v>
      </c>
      <c r="Q1371">
        <v>42</v>
      </c>
      <c r="R1371" t="s">
        <v>30</v>
      </c>
      <c r="S1371" t="s">
        <v>31</v>
      </c>
      <c r="T1371" t="s">
        <v>27</v>
      </c>
      <c r="U1371">
        <f>IF(IFERROR(VLOOKUP(BBDD_Usiarios_Netflix[[#This Row],[Identificador Usuario]],A1372:$A$5870,1,FALSE),0)&lt;&gt;0,1,0)</f>
        <v>0</v>
      </c>
      <c r="V1371" s="6" t="str">
        <f>IF(BBDD_Usiarios_Netflix[[#This Row],[Duración Plan]]="12 Meses",LEFT(BBDD_Usiarios_Netflix[[#This Row],[Duración Plan]],2),LEFT(BBDD_Usiarios_Netflix[[#This Row],[Duración Plan]],1))</f>
        <v>1</v>
      </c>
      <c r="W13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72" spans="1:23" x14ac:dyDescent="0.25">
      <c r="A1372">
        <v>1371</v>
      </c>
      <c r="B1372" t="s">
        <v>28</v>
      </c>
      <c r="C1372">
        <v>14</v>
      </c>
      <c r="D1372" s="3">
        <v>24</v>
      </c>
      <c r="E1372" s="3">
        <v>6</v>
      </c>
      <c r="F1372">
        <v>23</v>
      </c>
      <c r="G1372" s="1">
        <f>DATEVALUE(_xlfn.CONCAT(BBDD_Usiarios_Netflix[[#This Row],[Día Suscripción]],"/",BBDD_Usiarios_Netflix[[#This Row],[Mes Suscripción]],"/",BBDD_Usiarios_Netflix[[#This Row],[Año Suscripción]]))</f>
        <v>45101</v>
      </c>
      <c r="H1372" s="1">
        <v>4</v>
      </c>
      <c r="I1372" s="1">
        <v>7</v>
      </c>
      <c r="J1372" s="1">
        <v>24</v>
      </c>
      <c r="K1372" s="1" t="str">
        <f>TEXT(BBDD_Usiarios_Netflix[[#This Row],[Fecha Suscripción]],"dddd")</f>
        <v>sábado</v>
      </c>
      <c r="L1372" s="1">
        <f>DATEVALUE(_xlfn.CONCAT(BBDD_Usiarios_Netflix[[#This Row],[Día Último Pago]],"/",BBDD_Usiarios_Netflix[[#This Row],[Mes Último Pago]],"/",BBDD_Usiarios_Netflix[[#This Row],[Año Último Pago]]))</f>
        <v>45477</v>
      </c>
      <c r="M1372" s="4">
        <f>DATEDIF(BBDD_Usiarios_Netflix[[#This Row],[Fecha Suscripción]],BBDD_Usiarios_Netflix[[#This Row],[Fecha Último Pago]],"M")+1</f>
        <v>13</v>
      </c>
      <c r="N1372" s="4">
        <f>BBDD_Usiarios_Netflix[[#This Row],[Ingresos Mensuales]]*BBDD_Usiarios_Netflix[[#This Row],[Meses contratados]]</f>
        <v>182</v>
      </c>
      <c r="O1372" t="s">
        <v>45</v>
      </c>
      <c r="P1372" t="str">
        <f>IF(BBDD_Usiarios_Netflix[[#This Row],[País]]="","Desconocido",BBDD_Usiarios_Netflix[[#This Row],[País]])</f>
        <v>España</v>
      </c>
      <c r="Q1372">
        <v>34</v>
      </c>
      <c r="R1372" t="s">
        <v>30</v>
      </c>
      <c r="S1372" t="s">
        <v>36</v>
      </c>
      <c r="T1372" t="s">
        <v>38</v>
      </c>
      <c r="U1372">
        <f>IF(IFERROR(VLOOKUP(BBDD_Usiarios_Netflix[[#This Row],[Identificador Usuario]],A1373:$A$5870,1,FALSE),0)&lt;&gt;0,1,0)</f>
        <v>0</v>
      </c>
      <c r="V1372" s="6" t="str">
        <f>IF(BBDD_Usiarios_Netflix[[#This Row],[Duración Plan]]="12 Meses",LEFT(BBDD_Usiarios_Netflix[[#This Row],[Duración Plan]],2),LEFT(BBDD_Usiarios_Netflix[[#This Row],[Duración Plan]],1))</f>
        <v>3</v>
      </c>
      <c r="W13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73" spans="1:23" x14ac:dyDescent="0.25">
      <c r="A1373">
        <v>1372</v>
      </c>
      <c r="B1373" t="s">
        <v>23</v>
      </c>
      <c r="C1373">
        <v>10</v>
      </c>
      <c r="D1373" s="3">
        <v>25</v>
      </c>
      <c r="E1373" s="3">
        <v>6</v>
      </c>
      <c r="F1373">
        <v>23</v>
      </c>
      <c r="G1373" s="1">
        <f>DATEVALUE(_xlfn.CONCAT(BBDD_Usiarios_Netflix[[#This Row],[Día Suscripción]],"/",BBDD_Usiarios_Netflix[[#This Row],[Mes Suscripción]],"/",BBDD_Usiarios_Netflix[[#This Row],[Año Suscripción]]))</f>
        <v>45102</v>
      </c>
      <c r="H1373" s="1">
        <v>5</v>
      </c>
      <c r="I1373" s="1">
        <v>7</v>
      </c>
      <c r="J1373" s="1">
        <v>24</v>
      </c>
      <c r="K1373" s="1" t="str">
        <f>TEXT(BBDD_Usiarios_Netflix[[#This Row],[Fecha Suscripción]],"dddd")</f>
        <v>domingo</v>
      </c>
      <c r="L1373" s="1">
        <f>DATEVALUE(_xlfn.CONCAT(BBDD_Usiarios_Netflix[[#This Row],[Día Último Pago]],"/",BBDD_Usiarios_Netflix[[#This Row],[Mes Último Pago]],"/",BBDD_Usiarios_Netflix[[#This Row],[Año Último Pago]]))</f>
        <v>45478</v>
      </c>
      <c r="M1373" s="4">
        <f>DATEDIF(BBDD_Usiarios_Netflix[[#This Row],[Fecha Suscripción]],BBDD_Usiarios_Netflix[[#This Row],[Fecha Último Pago]],"M")+1</f>
        <v>13</v>
      </c>
      <c r="N1373" s="4">
        <f>BBDD_Usiarios_Netflix[[#This Row],[Ingresos Mensuales]]*BBDD_Usiarios_Netflix[[#This Row],[Meses contratados]]</f>
        <v>130</v>
      </c>
      <c r="O1373" t="s">
        <v>39</v>
      </c>
      <c r="P1373" t="str">
        <f>IF(BBDD_Usiarios_Netflix[[#This Row],[País]]="","Desconocido",BBDD_Usiarios_Netflix[[#This Row],[País]])</f>
        <v>Canadá</v>
      </c>
      <c r="Q1373">
        <v>40</v>
      </c>
      <c r="R1373" t="s">
        <v>30</v>
      </c>
      <c r="S1373" t="s">
        <v>36</v>
      </c>
      <c r="T1373" t="s">
        <v>27</v>
      </c>
      <c r="U1373">
        <f>IF(IFERROR(VLOOKUP(BBDD_Usiarios_Netflix[[#This Row],[Identificador Usuario]],A1374:$A$5870,1,FALSE),0)&lt;&gt;0,1,0)</f>
        <v>0</v>
      </c>
      <c r="V1373" s="6" t="str">
        <f>IF(BBDD_Usiarios_Netflix[[#This Row],[Duración Plan]]="12 Meses",LEFT(BBDD_Usiarios_Netflix[[#This Row],[Duración Plan]],2),LEFT(BBDD_Usiarios_Netflix[[#This Row],[Duración Plan]],1))</f>
        <v>1</v>
      </c>
      <c r="W13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74" spans="1:23" x14ac:dyDescent="0.25">
      <c r="A1374">
        <v>1373</v>
      </c>
      <c r="B1374" t="s">
        <v>32</v>
      </c>
      <c r="C1374">
        <v>12</v>
      </c>
      <c r="D1374" s="3">
        <v>26</v>
      </c>
      <c r="E1374" s="3">
        <v>6</v>
      </c>
      <c r="F1374">
        <v>23</v>
      </c>
      <c r="G1374" s="1">
        <f>DATEVALUE(_xlfn.CONCAT(BBDD_Usiarios_Netflix[[#This Row],[Día Suscripción]],"/",BBDD_Usiarios_Netflix[[#This Row],[Mes Suscripción]],"/",BBDD_Usiarios_Netflix[[#This Row],[Año Suscripción]]))</f>
        <v>45103</v>
      </c>
      <c r="H1374" s="1">
        <v>4</v>
      </c>
      <c r="I1374" s="1">
        <v>7</v>
      </c>
      <c r="J1374" s="1">
        <v>24</v>
      </c>
      <c r="K1374" s="1" t="str">
        <f>TEXT(BBDD_Usiarios_Netflix[[#This Row],[Fecha Suscripción]],"dddd")</f>
        <v>lunes</v>
      </c>
      <c r="L1374" s="1">
        <f>DATEVALUE(_xlfn.CONCAT(BBDD_Usiarios_Netflix[[#This Row],[Día Último Pago]],"/",BBDD_Usiarios_Netflix[[#This Row],[Mes Último Pago]],"/",BBDD_Usiarios_Netflix[[#This Row],[Año Último Pago]]))</f>
        <v>45477</v>
      </c>
      <c r="M1374" s="4">
        <f>DATEDIF(BBDD_Usiarios_Netflix[[#This Row],[Fecha Suscripción]],BBDD_Usiarios_Netflix[[#This Row],[Fecha Último Pago]],"M")+1</f>
        <v>13</v>
      </c>
      <c r="N1374" s="4">
        <f>BBDD_Usiarios_Netflix[[#This Row],[Ingresos Mensuales]]*BBDD_Usiarios_Netflix[[#This Row],[Meses contratados]]</f>
        <v>156</v>
      </c>
      <c r="O1374" t="s">
        <v>33</v>
      </c>
      <c r="P1374" t="str">
        <f>IF(BBDD_Usiarios_Netflix[[#This Row],[País]]="","Desconocido",BBDD_Usiarios_Netflix[[#This Row],[País]])</f>
        <v>Francia</v>
      </c>
      <c r="Q1374">
        <v>42</v>
      </c>
      <c r="R1374" t="s">
        <v>30</v>
      </c>
      <c r="S1374" t="s">
        <v>36</v>
      </c>
      <c r="T1374" t="s">
        <v>41</v>
      </c>
      <c r="U1374">
        <f>IF(IFERROR(VLOOKUP(BBDD_Usiarios_Netflix[[#This Row],[Identificador Usuario]],A1375:$A$5870,1,FALSE),0)&lt;&gt;0,1,0)</f>
        <v>0</v>
      </c>
      <c r="V1374" s="6" t="str">
        <f>IF(BBDD_Usiarios_Netflix[[#This Row],[Duración Plan]]="12 Meses",LEFT(BBDD_Usiarios_Netflix[[#This Row],[Duración Plan]],2),LEFT(BBDD_Usiarios_Netflix[[#This Row],[Duración Plan]],1))</f>
        <v>12</v>
      </c>
      <c r="W13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75" spans="1:23" x14ac:dyDescent="0.25">
      <c r="A1375">
        <v>1374</v>
      </c>
      <c r="B1375" t="s">
        <v>32</v>
      </c>
      <c r="C1375">
        <v>12</v>
      </c>
      <c r="D1375" s="3">
        <v>27</v>
      </c>
      <c r="E1375" s="3">
        <v>6</v>
      </c>
      <c r="F1375">
        <v>23</v>
      </c>
      <c r="G1375" s="1">
        <f>DATEVALUE(_xlfn.CONCAT(BBDD_Usiarios_Netflix[[#This Row],[Día Suscripción]],"/",BBDD_Usiarios_Netflix[[#This Row],[Mes Suscripción]],"/",BBDD_Usiarios_Netflix[[#This Row],[Año Suscripción]]))</f>
        <v>45104</v>
      </c>
      <c r="H1375" s="1">
        <v>7</v>
      </c>
      <c r="I1375" s="1">
        <v>7</v>
      </c>
      <c r="J1375" s="1">
        <v>24</v>
      </c>
      <c r="K1375" s="1" t="str">
        <f>TEXT(BBDD_Usiarios_Netflix[[#This Row],[Fecha Suscripción]],"dddd")</f>
        <v>martes</v>
      </c>
      <c r="L1375" s="1">
        <f>DATEVALUE(_xlfn.CONCAT(BBDD_Usiarios_Netflix[[#This Row],[Día Último Pago]],"/",BBDD_Usiarios_Netflix[[#This Row],[Mes Último Pago]],"/",BBDD_Usiarios_Netflix[[#This Row],[Año Último Pago]]))</f>
        <v>45480</v>
      </c>
      <c r="M1375" s="4">
        <f>DATEDIF(BBDD_Usiarios_Netflix[[#This Row],[Fecha Suscripción]],BBDD_Usiarios_Netflix[[#This Row],[Fecha Último Pago]],"M")+1</f>
        <v>13</v>
      </c>
      <c r="N1375" s="4">
        <f>BBDD_Usiarios_Netflix[[#This Row],[Ingresos Mensuales]]*BBDD_Usiarios_Netflix[[#This Row],[Meses contratados]]</f>
        <v>156</v>
      </c>
      <c r="O1375" t="s">
        <v>45</v>
      </c>
      <c r="P1375" t="str">
        <f>IF(BBDD_Usiarios_Netflix[[#This Row],[País]]="","Desconocido",BBDD_Usiarios_Netflix[[#This Row],[País]])</f>
        <v>España</v>
      </c>
      <c r="Q1375">
        <v>33</v>
      </c>
      <c r="R1375" t="s">
        <v>25</v>
      </c>
      <c r="S1375" t="s">
        <v>34</v>
      </c>
      <c r="T1375" t="s">
        <v>27</v>
      </c>
      <c r="U1375">
        <f>IF(IFERROR(VLOOKUP(BBDD_Usiarios_Netflix[[#This Row],[Identificador Usuario]],A1376:$A$5870,1,FALSE),0)&lt;&gt;0,1,0)</f>
        <v>0</v>
      </c>
      <c r="V1375" s="6" t="str">
        <f>IF(BBDD_Usiarios_Netflix[[#This Row],[Duración Plan]]="12 Meses",LEFT(BBDD_Usiarios_Netflix[[#This Row],[Duración Plan]],2),LEFT(BBDD_Usiarios_Netflix[[#This Row],[Duración Plan]],1))</f>
        <v>1</v>
      </c>
      <c r="W13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76" spans="1:23" x14ac:dyDescent="0.25">
      <c r="A1376">
        <v>1375</v>
      </c>
      <c r="B1376" t="s">
        <v>23</v>
      </c>
      <c r="C1376">
        <v>10</v>
      </c>
      <c r="D1376" s="3">
        <v>30</v>
      </c>
      <c r="E1376" s="3">
        <v>6</v>
      </c>
      <c r="F1376">
        <v>23</v>
      </c>
      <c r="G1376" s="1">
        <f>DATEVALUE(_xlfn.CONCAT(BBDD_Usiarios_Netflix[[#This Row],[Día Suscripción]],"/",BBDD_Usiarios_Netflix[[#This Row],[Mes Suscripción]],"/",BBDD_Usiarios_Netflix[[#This Row],[Año Suscripción]]))</f>
        <v>45107</v>
      </c>
      <c r="H1376" s="1">
        <v>3</v>
      </c>
      <c r="I1376" s="1">
        <v>7</v>
      </c>
      <c r="J1376" s="1">
        <v>24</v>
      </c>
      <c r="K1376" s="1" t="str">
        <f>TEXT(BBDD_Usiarios_Netflix[[#This Row],[Fecha Suscripción]],"dddd")</f>
        <v>viernes</v>
      </c>
      <c r="L1376" s="1">
        <f>DATEVALUE(_xlfn.CONCAT(BBDD_Usiarios_Netflix[[#This Row],[Día Último Pago]],"/",BBDD_Usiarios_Netflix[[#This Row],[Mes Último Pago]],"/",BBDD_Usiarios_Netflix[[#This Row],[Año Último Pago]]))</f>
        <v>45476</v>
      </c>
      <c r="M1376" s="4">
        <f>DATEDIF(BBDD_Usiarios_Netflix[[#This Row],[Fecha Suscripción]],BBDD_Usiarios_Netflix[[#This Row],[Fecha Último Pago]],"M")+1</f>
        <v>13</v>
      </c>
      <c r="N1376" s="4">
        <f>BBDD_Usiarios_Netflix[[#This Row],[Ingresos Mensuales]]*BBDD_Usiarios_Netflix[[#This Row],[Meses contratados]]</f>
        <v>130</v>
      </c>
      <c r="O1376" t="s">
        <v>43</v>
      </c>
      <c r="P1376" t="str">
        <f>IF(BBDD_Usiarios_Netflix[[#This Row],[País]]="","Desconocido",BBDD_Usiarios_Netflix[[#This Row],[País]])</f>
        <v>Alemania</v>
      </c>
      <c r="Q1376">
        <v>30</v>
      </c>
      <c r="R1376" t="s">
        <v>25</v>
      </c>
      <c r="S1376" t="s">
        <v>36</v>
      </c>
      <c r="T1376" t="s">
        <v>27</v>
      </c>
      <c r="U1376">
        <f>IF(IFERROR(VLOOKUP(BBDD_Usiarios_Netflix[[#This Row],[Identificador Usuario]],A1377:$A$5870,1,FALSE),0)&lt;&gt;0,1,0)</f>
        <v>0</v>
      </c>
      <c r="V1376" s="6" t="str">
        <f>IF(BBDD_Usiarios_Netflix[[#This Row],[Duración Plan]]="12 Meses",LEFT(BBDD_Usiarios_Netflix[[#This Row],[Duración Plan]],2),LEFT(BBDD_Usiarios_Netflix[[#This Row],[Duración Plan]],1))</f>
        <v>1</v>
      </c>
      <c r="W13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77" spans="1:23" x14ac:dyDescent="0.25">
      <c r="A1377">
        <v>1376</v>
      </c>
      <c r="B1377" t="s">
        <v>28</v>
      </c>
      <c r="C1377">
        <v>14</v>
      </c>
      <c r="D1377" s="3">
        <v>3</v>
      </c>
      <c r="E1377" s="3">
        <v>7</v>
      </c>
      <c r="F1377">
        <v>23</v>
      </c>
      <c r="G1377" s="1">
        <f>DATEVALUE(_xlfn.CONCAT(BBDD_Usiarios_Netflix[[#This Row],[Día Suscripción]],"/",BBDD_Usiarios_Netflix[[#This Row],[Mes Suscripción]],"/",BBDD_Usiarios_Netflix[[#This Row],[Año Suscripción]]))</f>
        <v>45110</v>
      </c>
      <c r="H1377" s="1">
        <v>5</v>
      </c>
      <c r="I1377" s="1">
        <v>7</v>
      </c>
      <c r="J1377" s="1">
        <v>24</v>
      </c>
      <c r="K1377" s="1" t="str">
        <f>TEXT(BBDD_Usiarios_Netflix[[#This Row],[Fecha Suscripción]],"dddd")</f>
        <v>lunes</v>
      </c>
      <c r="L1377" s="1">
        <f>DATEVALUE(_xlfn.CONCAT(BBDD_Usiarios_Netflix[[#This Row],[Día Último Pago]],"/",BBDD_Usiarios_Netflix[[#This Row],[Mes Último Pago]],"/",BBDD_Usiarios_Netflix[[#This Row],[Año Último Pago]]))</f>
        <v>45478</v>
      </c>
      <c r="M1377" s="4">
        <f>DATEDIF(BBDD_Usiarios_Netflix[[#This Row],[Fecha Suscripción]],BBDD_Usiarios_Netflix[[#This Row],[Fecha Último Pago]],"M")+1</f>
        <v>13</v>
      </c>
      <c r="N1377" s="4">
        <f>BBDD_Usiarios_Netflix[[#This Row],[Ingresos Mensuales]]*BBDD_Usiarios_Netflix[[#This Row],[Meses contratados]]</f>
        <v>182</v>
      </c>
      <c r="O1377" t="s">
        <v>40</v>
      </c>
      <c r="P1377" t="str">
        <f>IF(BBDD_Usiarios_Netflix[[#This Row],[País]]="","Desconocido",BBDD_Usiarios_Netflix[[#This Row],[País]])</f>
        <v>Italia</v>
      </c>
      <c r="Q1377">
        <v>29</v>
      </c>
      <c r="R1377" t="s">
        <v>25</v>
      </c>
      <c r="S1377" t="s">
        <v>31</v>
      </c>
      <c r="T1377" t="s">
        <v>41</v>
      </c>
      <c r="U1377">
        <f>IF(IFERROR(VLOOKUP(BBDD_Usiarios_Netflix[[#This Row],[Identificador Usuario]],A1378:$A$5870,1,FALSE),0)&lt;&gt;0,1,0)</f>
        <v>0</v>
      </c>
      <c r="V1377" s="6" t="str">
        <f>IF(BBDD_Usiarios_Netflix[[#This Row],[Duración Plan]]="12 Meses",LEFT(BBDD_Usiarios_Netflix[[#This Row],[Duración Plan]],2),LEFT(BBDD_Usiarios_Netflix[[#This Row],[Duración Plan]],1))</f>
        <v>12</v>
      </c>
      <c r="W13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78" spans="1:23" x14ac:dyDescent="0.25">
      <c r="A1378">
        <v>1377</v>
      </c>
      <c r="B1378" t="s">
        <v>23</v>
      </c>
      <c r="C1378">
        <v>10</v>
      </c>
      <c r="D1378" s="3">
        <v>9</v>
      </c>
      <c r="E1378" s="3">
        <v>7</v>
      </c>
      <c r="F1378">
        <v>23</v>
      </c>
      <c r="G1378" s="1">
        <f>DATEVALUE(_xlfn.CONCAT(BBDD_Usiarios_Netflix[[#This Row],[Día Suscripción]],"/",BBDD_Usiarios_Netflix[[#This Row],[Mes Suscripción]],"/",BBDD_Usiarios_Netflix[[#This Row],[Año Suscripción]]))</f>
        <v>45116</v>
      </c>
      <c r="H1378" s="1">
        <v>4</v>
      </c>
      <c r="I1378" s="1">
        <v>7</v>
      </c>
      <c r="J1378" s="1">
        <v>24</v>
      </c>
      <c r="K1378" s="1" t="str">
        <f>TEXT(BBDD_Usiarios_Netflix[[#This Row],[Fecha Suscripción]],"dddd")</f>
        <v>domingo</v>
      </c>
      <c r="L1378" s="1">
        <f>DATEVALUE(_xlfn.CONCAT(BBDD_Usiarios_Netflix[[#This Row],[Día Último Pago]],"/",BBDD_Usiarios_Netflix[[#This Row],[Mes Último Pago]],"/",BBDD_Usiarios_Netflix[[#This Row],[Año Último Pago]]))</f>
        <v>45477</v>
      </c>
      <c r="M1378" s="4">
        <f>DATEDIF(BBDD_Usiarios_Netflix[[#This Row],[Fecha Suscripción]],BBDD_Usiarios_Netflix[[#This Row],[Fecha Último Pago]],"M")+1</f>
        <v>12</v>
      </c>
      <c r="N1378" s="4">
        <f>BBDD_Usiarios_Netflix[[#This Row],[Ingresos Mensuales]]*BBDD_Usiarios_Netflix[[#This Row],[Meses contratados]]</f>
        <v>120</v>
      </c>
      <c r="O1378" t="s">
        <v>29</v>
      </c>
      <c r="P1378" t="str">
        <f>IF(BBDD_Usiarios_Netflix[[#This Row],[País]]="","Desconocido",BBDD_Usiarios_Netflix[[#This Row],[País]])</f>
        <v>EEUU</v>
      </c>
      <c r="Q1378">
        <v>31</v>
      </c>
      <c r="R1378" t="s">
        <v>25</v>
      </c>
      <c r="S1378" t="s">
        <v>34</v>
      </c>
      <c r="T1378" t="s">
        <v>38</v>
      </c>
      <c r="U1378">
        <f>IF(IFERROR(VLOOKUP(BBDD_Usiarios_Netflix[[#This Row],[Identificador Usuario]],A1379:$A$5870,1,FALSE),0)&lt;&gt;0,1,0)</f>
        <v>0</v>
      </c>
      <c r="V1378" s="6" t="str">
        <f>IF(BBDD_Usiarios_Netflix[[#This Row],[Duración Plan]]="12 Meses",LEFT(BBDD_Usiarios_Netflix[[#This Row],[Duración Plan]],2),LEFT(BBDD_Usiarios_Netflix[[#This Row],[Duración Plan]],1))</f>
        <v>3</v>
      </c>
      <c r="W13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79" spans="1:23" x14ac:dyDescent="0.25">
      <c r="A1379">
        <v>1378</v>
      </c>
      <c r="B1379" t="s">
        <v>32</v>
      </c>
      <c r="C1379">
        <v>12</v>
      </c>
      <c r="D1379" s="3">
        <v>17</v>
      </c>
      <c r="E1379" s="3">
        <v>7</v>
      </c>
      <c r="F1379">
        <v>23</v>
      </c>
      <c r="G1379" s="1">
        <f>DATEVALUE(_xlfn.CONCAT(BBDD_Usiarios_Netflix[[#This Row],[Día Suscripción]],"/",BBDD_Usiarios_Netflix[[#This Row],[Mes Suscripción]],"/",BBDD_Usiarios_Netflix[[#This Row],[Año Suscripción]]))</f>
        <v>45124</v>
      </c>
      <c r="H1379" s="1">
        <v>6</v>
      </c>
      <c r="I1379" s="1">
        <v>7</v>
      </c>
      <c r="J1379" s="1">
        <v>24</v>
      </c>
      <c r="K1379" s="1" t="str">
        <f>TEXT(BBDD_Usiarios_Netflix[[#This Row],[Fecha Suscripción]],"dddd")</f>
        <v>lunes</v>
      </c>
      <c r="L1379" s="1">
        <f>DATEVALUE(_xlfn.CONCAT(BBDD_Usiarios_Netflix[[#This Row],[Día Último Pago]],"/",BBDD_Usiarios_Netflix[[#This Row],[Mes Último Pago]],"/",BBDD_Usiarios_Netflix[[#This Row],[Año Último Pago]]))</f>
        <v>45479</v>
      </c>
      <c r="M1379" s="4">
        <f>DATEDIF(BBDD_Usiarios_Netflix[[#This Row],[Fecha Suscripción]],BBDD_Usiarios_Netflix[[#This Row],[Fecha Último Pago]],"M")+1</f>
        <v>12</v>
      </c>
      <c r="N1379" s="4">
        <f>BBDD_Usiarios_Netflix[[#This Row],[Ingresos Mensuales]]*BBDD_Usiarios_Netflix[[#This Row],[Meses contratados]]</f>
        <v>144</v>
      </c>
      <c r="O1379" t="s">
        <v>37</v>
      </c>
      <c r="P1379" t="str">
        <f>IF(BBDD_Usiarios_Netflix[[#This Row],[País]]="","Desconocido",BBDD_Usiarios_Netflix[[#This Row],[País]])</f>
        <v>Brasil</v>
      </c>
      <c r="Q1379">
        <v>46</v>
      </c>
      <c r="R1379" t="s">
        <v>30</v>
      </c>
      <c r="S1379" t="s">
        <v>34</v>
      </c>
      <c r="T1379" t="s">
        <v>41</v>
      </c>
      <c r="U1379">
        <f>IF(IFERROR(VLOOKUP(BBDD_Usiarios_Netflix[[#This Row],[Identificador Usuario]],A1380:$A$5870,1,FALSE),0)&lt;&gt;0,1,0)</f>
        <v>0</v>
      </c>
      <c r="V1379" s="6" t="str">
        <f>IF(BBDD_Usiarios_Netflix[[#This Row],[Duración Plan]]="12 Meses",LEFT(BBDD_Usiarios_Netflix[[#This Row],[Duración Plan]],2),LEFT(BBDD_Usiarios_Netflix[[#This Row],[Duración Plan]],1))</f>
        <v>12</v>
      </c>
      <c r="W13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80" spans="1:23" x14ac:dyDescent="0.25">
      <c r="A1380">
        <v>1379</v>
      </c>
      <c r="B1380" t="s">
        <v>28</v>
      </c>
      <c r="C1380">
        <v>14</v>
      </c>
      <c r="D1380" s="3">
        <v>22</v>
      </c>
      <c r="E1380" s="3">
        <v>7</v>
      </c>
      <c r="F1380">
        <v>23</v>
      </c>
      <c r="G1380" s="1">
        <f>DATEVALUE(_xlfn.CONCAT(BBDD_Usiarios_Netflix[[#This Row],[Día Suscripción]],"/",BBDD_Usiarios_Netflix[[#This Row],[Mes Suscripción]],"/",BBDD_Usiarios_Netflix[[#This Row],[Año Suscripción]]))</f>
        <v>45129</v>
      </c>
      <c r="H1380" s="1">
        <v>3</v>
      </c>
      <c r="I1380" s="1">
        <v>7</v>
      </c>
      <c r="J1380" s="1">
        <v>24</v>
      </c>
      <c r="K1380" s="1" t="str">
        <f>TEXT(BBDD_Usiarios_Netflix[[#This Row],[Fecha Suscripción]],"dddd")</f>
        <v>sábado</v>
      </c>
      <c r="L1380" s="1">
        <f>DATEVALUE(_xlfn.CONCAT(BBDD_Usiarios_Netflix[[#This Row],[Día Último Pago]],"/",BBDD_Usiarios_Netflix[[#This Row],[Mes Último Pago]],"/",BBDD_Usiarios_Netflix[[#This Row],[Año Último Pago]]))</f>
        <v>45476</v>
      </c>
      <c r="M1380" s="4">
        <f>DATEDIF(BBDD_Usiarios_Netflix[[#This Row],[Fecha Suscripción]],BBDD_Usiarios_Netflix[[#This Row],[Fecha Último Pago]],"M")+1</f>
        <v>12</v>
      </c>
      <c r="N1380" s="4">
        <f>BBDD_Usiarios_Netflix[[#This Row],[Ingresos Mensuales]]*BBDD_Usiarios_Netflix[[#This Row],[Meses contratados]]</f>
        <v>168</v>
      </c>
      <c r="O1380" t="s">
        <v>45</v>
      </c>
      <c r="P1380" t="str">
        <f>IF(BBDD_Usiarios_Netflix[[#This Row],[País]]="","Desconocido",BBDD_Usiarios_Netflix[[#This Row],[País]])</f>
        <v>España</v>
      </c>
      <c r="Q1380">
        <v>46</v>
      </c>
      <c r="R1380" t="s">
        <v>30</v>
      </c>
      <c r="S1380" t="s">
        <v>26</v>
      </c>
      <c r="T1380" t="s">
        <v>41</v>
      </c>
      <c r="U1380">
        <f>IF(IFERROR(VLOOKUP(BBDD_Usiarios_Netflix[[#This Row],[Identificador Usuario]],A1381:$A$5870,1,FALSE),0)&lt;&gt;0,1,0)</f>
        <v>0</v>
      </c>
      <c r="V1380" s="6" t="str">
        <f>IF(BBDD_Usiarios_Netflix[[#This Row],[Duración Plan]]="12 Meses",LEFT(BBDD_Usiarios_Netflix[[#This Row],[Duración Plan]],2),LEFT(BBDD_Usiarios_Netflix[[#This Row],[Duración Plan]],1))</f>
        <v>12</v>
      </c>
      <c r="W13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81" spans="1:23" x14ac:dyDescent="0.25">
      <c r="A1381">
        <v>1380</v>
      </c>
      <c r="B1381" t="s">
        <v>23</v>
      </c>
      <c r="C1381">
        <v>10</v>
      </c>
      <c r="D1381" s="3">
        <v>28</v>
      </c>
      <c r="E1381" s="3">
        <v>7</v>
      </c>
      <c r="F1381">
        <v>23</v>
      </c>
      <c r="G1381" s="1">
        <f>DATEVALUE(_xlfn.CONCAT(BBDD_Usiarios_Netflix[[#This Row],[Día Suscripción]],"/",BBDD_Usiarios_Netflix[[#This Row],[Mes Suscripción]],"/",BBDD_Usiarios_Netflix[[#This Row],[Año Suscripción]]))</f>
        <v>45135</v>
      </c>
      <c r="H1381" s="1">
        <v>5</v>
      </c>
      <c r="I1381" s="1">
        <v>7</v>
      </c>
      <c r="J1381" s="1">
        <v>24</v>
      </c>
      <c r="K1381" s="1" t="str">
        <f>TEXT(BBDD_Usiarios_Netflix[[#This Row],[Fecha Suscripción]],"dddd")</f>
        <v>viernes</v>
      </c>
      <c r="L1381" s="1">
        <f>DATEVALUE(_xlfn.CONCAT(BBDD_Usiarios_Netflix[[#This Row],[Día Último Pago]],"/",BBDD_Usiarios_Netflix[[#This Row],[Mes Último Pago]],"/",BBDD_Usiarios_Netflix[[#This Row],[Año Último Pago]]))</f>
        <v>45478</v>
      </c>
      <c r="M1381" s="4">
        <f>DATEDIF(BBDD_Usiarios_Netflix[[#This Row],[Fecha Suscripción]],BBDD_Usiarios_Netflix[[#This Row],[Fecha Último Pago]],"M")+1</f>
        <v>12</v>
      </c>
      <c r="N1381" s="4">
        <f>BBDD_Usiarios_Netflix[[#This Row],[Ingresos Mensuales]]*BBDD_Usiarios_Netflix[[#This Row],[Meses contratados]]</f>
        <v>120</v>
      </c>
      <c r="O1381" t="s">
        <v>42</v>
      </c>
      <c r="P1381" t="str">
        <f>IF(BBDD_Usiarios_Netflix[[#This Row],[País]]="","Desconocido",BBDD_Usiarios_Netflix[[#This Row],[País]])</f>
        <v>Reino Unido</v>
      </c>
      <c r="Q1381">
        <v>47</v>
      </c>
      <c r="R1381" t="s">
        <v>25</v>
      </c>
      <c r="S1381" t="s">
        <v>36</v>
      </c>
      <c r="T1381" t="s">
        <v>27</v>
      </c>
      <c r="U1381">
        <f>IF(IFERROR(VLOOKUP(BBDD_Usiarios_Netflix[[#This Row],[Identificador Usuario]],A1382:$A$5870,1,FALSE),0)&lt;&gt;0,1,0)</f>
        <v>0</v>
      </c>
      <c r="V1381" s="6" t="str">
        <f>IF(BBDD_Usiarios_Netflix[[#This Row],[Duración Plan]]="12 Meses",LEFT(BBDD_Usiarios_Netflix[[#This Row],[Duración Plan]],2),LEFT(BBDD_Usiarios_Netflix[[#This Row],[Duración Plan]],1))</f>
        <v>1</v>
      </c>
      <c r="W13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82" spans="1:23" x14ac:dyDescent="0.25">
      <c r="A1382">
        <v>1381</v>
      </c>
      <c r="B1382" t="s">
        <v>28</v>
      </c>
      <c r="C1382">
        <v>14</v>
      </c>
      <c r="D1382" s="3">
        <v>4</v>
      </c>
      <c r="E1382" s="3">
        <v>8</v>
      </c>
      <c r="F1382">
        <v>23</v>
      </c>
      <c r="G1382" s="1">
        <f>DATEVALUE(_xlfn.CONCAT(BBDD_Usiarios_Netflix[[#This Row],[Día Suscripción]],"/",BBDD_Usiarios_Netflix[[#This Row],[Mes Suscripción]],"/",BBDD_Usiarios_Netflix[[#This Row],[Año Suscripción]]))</f>
        <v>45142</v>
      </c>
      <c r="H1382" s="1">
        <v>4</v>
      </c>
      <c r="I1382" s="1">
        <v>7</v>
      </c>
      <c r="J1382" s="1">
        <v>24</v>
      </c>
      <c r="K1382" s="1" t="str">
        <f>TEXT(BBDD_Usiarios_Netflix[[#This Row],[Fecha Suscripción]],"dddd")</f>
        <v>viernes</v>
      </c>
      <c r="L1382" s="1">
        <f>DATEVALUE(_xlfn.CONCAT(BBDD_Usiarios_Netflix[[#This Row],[Día Último Pago]],"/",BBDD_Usiarios_Netflix[[#This Row],[Mes Último Pago]],"/",BBDD_Usiarios_Netflix[[#This Row],[Año Último Pago]]))</f>
        <v>45477</v>
      </c>
      <c r="M1382" s="4">
        <f>DATEDIF(BBDD_Usiarios_Netflix[[#This Row],[Fecha Suscripción]],BBDD_Usiarios_Netflix[[#This Row],[Fecha Último Pago]],"M")+1</f>
        <v>12</v>
      </c>
      <c r="N1382" s="4">
        <f>BBDD_Usiarios_Netflix[[#This Row],[Ingresos Mensuales]]*BBDD_Usiarios_Netflix[[#This Row],[Meses contratados]]</f>
        <v>168</v>
      </c>
      <c r="O1382" t="s">
        <v>29</v>
      </c>
      <c r="P1382" t="str">
        <f>IF(BBDD_Usiarios_Netflix[[#This Row],[País]]="","Desconocido",BBDD_Usiarios_Netflix[[#This Row],[País]])</f>
        <v>EEUU</v>
      </c>
      <c r="Q1382">
        <v>48</v>
      </c>
      <c r="R1382" t="s">
        <v>30</v>
      </c>
      <c r="S1382" t="s">
        <v>34</v>
      </c>
      <c r="T1382" t="s">
        <v>27</v>
      </c>
      <c r="U1382">
        <f>IF(IFERROR(VLOOKUP(BBDD_Usiarios_Netflix[[#This Row],[Identificador Usuario]],A1383:$A$5870,1,FALSE),0)&lt;&gt;0,1,0)</f>
        <v>0</v>
      </c>
      <c r="V1382" s="6" t="str">
        <f>IF(BBDD_Usiarios_Netflix[[#This Row],[Duración Plan]]="12 Meses",LEFT(BBDD_Usiarios_Netflix[[#This Row],[Duración Plan]],2),LEFT(BBDD_Usiarios_Netflix[[#This Row],[Duración Plan]],1))</f>
        <v>1</v>
      </c>
      <c r="W13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83" spans="1:23" x14ac:dyDescent="0.25">
      <c r="A1383">
        <v>1382</v>
      </c>
      <c r="B1383" t="s">
        <v>23</v>
      </c>
      <c r="C1383">
        <v>10</v>
      </c>
      <c r="D1383" s="3">
        <v>8</v>
      </c>
      <c r="E1383" s="3">
        <v>8</v>
      </c>
      <c r="F1383">
        <v>23</v>
      </c>
      <c r="G1383" s="1">
        <f>DATEVALUE(_xlfn.CONCAT(BBDD_Usiarios_Netflix[[#This Row],[Día Suscripción]],"/",BBDD_Usiarios_Netflix[[#This Row],[Mes Suscripción]],"/",BBDD_Usiarios_Netflix[[#This Row],[Año Suscripción]]))</f>
        <v>45146</v>
      </c>
      <c r="H1383" s="1">
        <v>6</v>
      </c>
      <c r="I1383" s="1">
        <v>7</v>
      </c>
      <c r="J1383" s="1">
        <v>24</v>
      </c>
      <c r="K1383" s="1" t="str">
        <f>TEXT(BBDD_Usiarios_Netflix[[#This Row],[Fecha Suscripción]],"dddd")</f>
        <v>martes</v>
      </c>
      <c r="L1383" s="1">
        <f>DATEVALUE(_xlfn.CONCAT(BBDD_Usiarios_Netflix[[#This Row],[Día Último Pago]],"/",BBDD_Usiarios_Netflix[[#This Row],[Mes Último Pago]],"/",BBDD_Usiarios_Netflix[[#This Row],[Año Último Pago]]))</f>
        <v>45479</v>
      </c>
      <c r="M1383" s="4">
        <f>DATEDIF(BBDD_Usiarios_Netflix[[#This Row],[Fecha Suscripción]],BBDD_Usiarios_Netflix[[#This Row],[Fecha Último Pago]],"M")+1</f>
        <v>11</v>
      </c>
      <c r="N1383" s="4">
        <f>BBDD_Usiarios_Netflix[[#This Row],[Ingresos Mensuales]]*BBDD_Usiarios_Netflix[[#This Row],[Meses contratados]]</f>
        <v>110</v>
      </c>
      <c r="O1383" t="s">
        <v>24</v>
      </c>
      <c r="P1383" t="str">
        <f>IF(BBDD_Usiarios_Netflix[[#This Row],[País]]="","Desconocido",BBDD_Usiarios_Netflix[[#This Row],[País]])</f>
        <v>Australia</v>
      </c>
      <c r="Q1383">
        <v>32</v>
      </c>
      <c r="R1383" t="s">
        <v>30</v>
      </c>
      <c r="S1383" t="s">
        <v>34</v>
      </c>
      <c r="T1383" t="s">
        <v>27</v>
      </c>
      <c r="U1383">
        <f>IF(IFERROR(VLOOKUP(BBDD_Usiarios_Netflix[[#This Row],[Identificador Usuario]],A1384:$A$5870,1,FALSE),0)&lt;&gt;0,1,0)</f>
        <v>0</v>
      </c>
      <c r="V1383" s="6" t="str">
        <f>IF(BBDD_Usiarios_Netflix[[#This Row],[Duración Plan]]="12 Meses",LEFT(BBDD_Usiarios_Netflix[[#This Row],[Duración Plan]],2),LEFT(BBDD_Usiarios_Netflix[[#This Row],[Duración Plan]],1))</f>
        <v>1</v>
      </c>
      <c r="W13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84" spans="1:23" x14ac:dyDescent="0.25">
      <c r="A1384">
        <v>1383</v>
      </c>
      <c r="B1384" t="s">
        <v>32</v>
      </c>
      <c r="C1384">
        <v>12</v>
      </c>
      <c r="D1384" s="3">
        <v>13</v>
      </c>
      <c r="E1384" s="3">
        <v>8</v>
      </c>
      <c r="F1384">
        <v>23</v>
      </c>
      <c r="G1384" s="1">
        <f>DATEVALUE(_xlfn.CONCAT(BBDD_Usiarios_Netflix[[#This Row],[Día Suscripción]],"/",BBDD_Usiarios_Netflix[[#This Row],[Mes Suscripción]],"/",BBDD_Usiarios_Netflix[[#This Row],[Año Suscripción]]))</f>
        <v>45151</v>
      </c>
      <c r="H1384" s="1">
        <v>4</v>
      </c>
      <c r="I1384" s="1">
        <v>7</v>
      </c>
      <c r="J1384" s="1">
        <v>24</v>
      </c>
      <c r="K1384" s="1" t="str">
        <f>TEXT(BBDD_Usiarios_Netflix[[#This Row],[Fecha Suscripción]],"dddd")</f>
        <v>domingo</v>
      </c>
      <c r="L1384" s="1">
        <f>DATEVALUE(_xlfn.CONCAT(BBDD_Usiarios_Netflix[[#This Row],[Día Último Pago]],"/",BBDD_Usiarios_Netflix[[#This Row],[Mes Último Pago]],"/",BBDD_Usiarios_Netflix[[#This Row],[Año Último Pago]]))</f>
        <v>45477</v>
      </c>
      <c r="M1384" s="4">
        <f>DATEDIF(BBDD_Usiarios_Netflix[[#This Row],[Fecha Suscripción]],BBDD_Usiarios_Netflix[[#This Row],[Fecha Último Pago]],"M")+1</f>
        <v>11</v>
      </c>
      <c r="N1384" s="4">
        <f>BBDD_Usiarios_Netflix[[#This Row],[Ingresos Mensuales]]*BBDD_Usiarios_Netflix[[#This Row],[Meses contratados]]</f>
        <v>132</v>
      </c>
      <c r="O1384" t="s">
        <v>33</v>
      </c>
      <c r="P1384" t="str">
        <f>IF(BBDD_Usiarios_Netflix[[#This Row],[País]]="","Desconocido",BBDD_Usiarios_Netflix[[#This Row],[País]])</f>
        <v>Francia</v>
      </c>
      <c r="Q1384">
        <v>51</v>
      </c>
      <c r="R1384" t="s">
        <v>30</v>
      </c>
      <c r="S1384" t="s">
        <v>31</v>
      </c>
      <c r="T1384" t="s">
        <v>38</v>
      </c>
      <c r="U1384">
        <f>IF(IFERROR(VLOOKUP(BBDD_Usiarios_Netflix[[#This Row],[Identificador Usuario]],A1385:$A$5870,1,FALSE),0)&lt;&gt;0,1,0)</f>
        <v>0</v>
      </c>
      <c r="V1384" s="6" t="str">
        <f>IF(BBDD_Usiarios_Netflix[[#This Row],[Duración Plan]]="12 Meses",LEFT(BBDD_Usiarios_Netflix[[#This Row],[Duración Plan]],2),LEFT(BBDD_Usiarios_Netflix[[#This Row],[Duración Plan]],1))</f>
        <v>3</v>
      </c>
      <c r="W13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85" spans="1:23" x14ac:dyDescent="0.25">
      <c r="A1385">
        <v>1384</v>
      </c>
      <c r="B1385" t="s">
        <v>32</v>
      </c>
      <c r="C1385">
        <v>12</v>
      </c>
      <c r="D1385" s="3">
        <v>17</v>
      </c>
      <c r="E1385" s="3">
        <v>8</v>
      </c>
      <c r="F1385">
        <v>23</v>
      </c>
      <c r="G1385" s="1">
        <f>DATEVALUE(_xlfn.CONCAT(BBDD_Usiarios_Netflix[[#This Row],[Día Suscripción]],"/",BBDD_Usiarios_Netflix[[#This Row],[Mes Suscripción]],"/",BBDD_Usiarios_Netflix[[#This Row],[Año Suscripción]]))</f>
        <v>45155</v>
      </c>
      <c r="H1385" s="1">
        <v>5</v>
      </c>
      <c r="I1385" s="1">
        <v>7</v>
      </c>
      <c r="J1385" s="1">
        <v>24</v>
      </c>
      <c r="K1385" s="1" t="str">
        <f>TEXT(BBDD_Usiarios_Netflix[[#This Row],[Fecha Suscripción]],"dddd")</f>
        <v>jueves</v>
      </c>
      <c r="L1385" s="1">
        <f>DATEVALUE(_xlfn.CONCAT(BBDD_Usiarios_Netflix[[#This Row],[Día Último Pago]],"/",BBDD_Usiarios_Netflix[[#This Row],[Mes Último Pago]],"/",BBDD_Usiarios_Netflix[[#This Row],[Año Último Pago]]))</f>
        <v>45478</v>
      </c>
      <c r="M1385" s="4">
        <f>DATEDIF(BBDD_Usiarios_Netflix[[#This Row],[Fecha Suscripción]],BBDD_Usiarios_Netflix[[#This Row],[Fecha Último Pago]],"M")+1</f>
        <v>11</v>
      </c>
      <c r="N1385" s="4">
        <f>BBDD_Usiarios_Netflix[[#This Row],[Ingresos Mensuales]]*BBDD_Usiarios_Netflix[[#This Row],[Meses contratados]]</f>
        <v>132</v>
      </c>
      <c r="O1385" t="s">
        <v>24</v>
      </c>
      <c r="P1385" t="str">
        <f>IF(BBDD_Usiarios_Netflix[[#This Row],[País]]="","Desconocido",BBDD_Usiarios_Netflix[[#This Row],[País]])</f>
        <v>Australia</v>
      </c>
      <c r="Q1385">
        <v>33</v>
      </c>
      <c r="R1385" t="s">
        <v>25</v>
      </c>
      <c r="S1385" t="s">
        <v>34</v>
      </c>
      <c r="T1385" t="s">
        <v>27</v>
      </c>
      <c r="U1385">
        <f>IF(IFERROR(VLOOKUP(BBDD_Usiarios_Netflix[[#This Row],[Identificador Usuario]],A1386:$A$5870,1,FALSE),0)&lt;&gt;0,1,0)</f>
        <v>0</v>
      </c>
      <c r="V1385" s="6" t="str">
        <f>IF(BBDD_Usiarios_Netflix[[#This Row],[Duración Plan]]="12 Meses",LEFT(BBDD_Usiarios_Netflix[[#This Row],[Duración Plan]],2),LEFT(BBDD_Usiarios_Netflix[[#This Row],[Duración Plan]],1))</f>
        <v>1</v>
      </c>
      <c r="W13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86" spans="1:23" x14ac:dyDescent="0.25">
      <c r="A1386">
        <v>1385</v>
      </c>
      <c r="B1386" t="s">
        <v>23</v>
      </c>
      <c r="C1386">
        <v>10</v>
      </c>
      <c r="D1386" s="3">
        <v>20</v>
      </c>
      <c r="E1386" s="3">
        <v>8</v>
      </c>
      <c r="F1386">
        <v>23</v>
      </c>
      <c r="G1386" s="1">
        <f>DATEVALUE(_xlfn.CONCAT(BBDD_Usiarios_Netflix[[#This Row],[Día Suscripción]],"/",BBDD_Usiarios_Netflix[[#This Row],[Mes Suscripción]],"/",BBDD_Usiarios_Netflix[[#This Row],[Año Suscripción]]))</f>
        <v>45158</v>
      </c>
      <c r="H1386" s="1">
        <v>4</v>
      </c>
      <c r="I1386" s="1">
        <v>7</v>
      </c>
      <c r="J1386" s="1">
        <v>24</v>
      </c>
      <c r="K1386" s="1" t="str">
        <f>TEXT(BBDD_Usiarios_Netflix[[#This Row],[Fecha Suscripción]],"dddd")</f>
        <v>domingo</v>
      </c>
      <c r="L1386" s="1">
        <f>DATEVALUE(_xlfn.CONCAT(BBDD_Usiarios_Netflix[[#This Row],[Día Último Pago]],"/",BBDD_Usiarios_Netflix[[#This Row],[Mes Último Pago]],"/",BBDD_Usiarios_Netflix[[#This Row],[Año Último Pago]]))</f>
        <v>45477</v>
      </c>
      <c r="M1386" s="4">
        <f>DATEDIF(BBDD_Usiarios_Netflix[[#This Row],[Fecha Suscripción]],BBDD_Usiarios_Netflix[[#This Row],[Fecha Último Pago]],"M")+1</f>
        <v>11</v>
      </c>
      <c r="N1386" s="4">
        <f>BBDD_Usiarios_Netflix[[#This Row],[Ingresos Mensuales]]*BBDD_Usiarios_Netflix[[#This Row],[Meses contratados]]</f>
        <v>110</v>
      </c>
      <c r="O1386" t="s">
        <v>24</v>
      </c>
      <c r="P1386" t="str">
        <f>IF(BBDD_Usiarios_Netflix[[#This Row],[País]]="","Desconocido",BBDD_Usiarios_Netflix[[#This Row],[País]])</f>
        <v>Australia</v>
      </c>
      <c r="Q1386">
        <v>43</v>
      </c>
      <c r="R1386" t="s">
        <v>25</v>
      </c>
      <c r="S1386" t="s">
        <v>26</v>
      </c>
      <c r="T1386" t="s">
        <v>38</v>
      </c>
      <c r="U1386">
        <f>IF(IFERROR(VLOOKUP(BBDD_Usiarios_Netflix[[#This Row],[Identificador Usuario]],A1387:$A$5870,1,FALSE),0)&lt;&gt;0,1,0)</f>
        <v>0</v>
      </c>
      <c r="V1386" s="6" t="str">
        <f>IF(BBDD_Usiarios_Netflix[[#This Row],[Duración Plan]]="12 Meses",LEFT(BBDD_Usiarios_Netflix[[#This Row],[Duración Plan]],2),LEFT(BBDD_Usiarios_Netflix[[#This Row],[Duración Plan]],1))</f>
        <v>3</v>
      </c>
      <c r="W13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87" spans="1:23" x14ac:dyDescent="0.25">
      <c r="A1387">
        <v>1386</v>
      </c>
      <c r="B1387" t="s">
        <v>28</v>
      </c>
      <c r="C1387">
        <v>14</v>
      </c>
      <c r="D1387" s="3">
        <v>28</v>
      </c>
      <c r="E1387" s="3">
        <v>8</v>
      </c>
      <c r="F1387">
        <v>23</v>
      </c>
      <c r="G1387" s="1">
        <f>DATEVALUE(_xlfn.CONCAT(BBDD_Usiarios_Netflix[[#This Row],[Día Suscripción]],"/",BBDD_Usiarios_Netflix[[#This Row],[Mes Suscripción]],"/",BBDD_Usiarios_Netflix[[#This Row],[Año Suscripción]]))</f>
        <v>45166</v>
      </c>
      <c r="H1387" s="1">
        <v>6</v>
      </c>
      <c r="I1387" s="1">
        <v>7</v>
      </c>
      <c r="J1387" s="1">
        <v>24</v>
      </c>
      <c r="K1387" s="1" t="str">
        <f>TEXT(BBDD_Usiarios_Netflix[[#This Row],[Fecha Suscripción]],"dddd")</f>
        <v>lunes</v>
      </c>
      <c r="L1387" s="1">
        <f>DATEVALUE(_xlfn.CONCAT(BBDD_Usiarios_Netflix[[#This Row],[Día Último Pago]],"/",BBDD_Usiarios_Netflix[[#This Row],[Mes Último Pago]],"/",BBDD_Usiarios_Netflix[[#This Row],[Año Último Pago]]))</f>
        <v>45479</v>
      </c>
      <c r="M1387" s="4">
        <f>DATEDIF(BBDD_Usiarios_Netflix[[#This Row],[Fecha Suscripción]],BBDD_Usiarios_Netflix[[#This Row],[Fecha Último Pago]],"M")+1</f>
        <v>11</v>
      </c>
      <c r="N1387" s="4">
        <f>BBDD_Usiarios_Netflix[[#This Row],[Ingresos Mensuales]]*BBDD_Usiarios_Netflix[[#This Row],[Meses contratados]]</f>
        <v>154</v>
      </c>
      <c r="O1387" t="s">
        <v>33</v>
      </c>
      <c r="P1387" t="str">
        <f>IF(BBDD_Usiarios_Netflix[[#This Row],[País]]="","Desconocido",BBDD_Usiarios_Netflix[[#This Row],[País]])</f>
        <v>Francia</v>
      </c>
      <c r="Q1387">
        <v>43</v>
      </c>
      <c r="R1387" t="s">
        <v>30</v>
      </c>
      <c r="S1387" t="s">
        <v>34</v>
      </c>
      <c r="T1387" t="s">
        <v>41</v>
      </c>
      <c r="U1387">
        <f>IF(IFERROR(VLOOKUP(BBDD_Usiarios_Netflix[[#This Row],[Identificador Usuario]],A1388:$A$5870,1,FALSE),0)&lt;&gt;0,1,0)</f>
        <v>0</v>
      </c>
      <c r="V1387" s="6" t="str">
        <f>IF(BBDD_Usiarios_Netflix[[#This Row],[Duración Plan]]="12 Meses",LEFT(BBDD_Usiarios_Netflix[[#This Row],[Duración Plan]],2),LEFT(BBDD_Usiarios_Netflix[[#This Row],[Duración Plan]],1))</f>
        <v>12</v>
      </c>
      <c r="W13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88" spans="1:23" x14ac:dyDescent="0.25">
      <c r="A1388">
        <v>1387</v>
      </c>
      <c r="B1388" t="s">
        <v>23</v>
      </c>
      <c r="C1388">
        <v>10</v>
      </c>
      <c r="D1388" s="3">
        <v>29</v>
      </c>
      <c r="E1388" s="3">
        <v>8</v>
      </c>
      <c r="F1388">
        <v>23</v>
      </c>
      <c r="G1388" s="1">
        <f>DATEVALUE(_xlfn.CONCAT(BBDD_Usiarios_Netflix[[#This Row],[Día Suscripción]],"/",BBDD_Usiarios_Netflix[[#This Row],[Mes Suscripción]],"/",BBDD_Usiarios_Netflix[[#This Row],[Año Suscripción]]))</f>
        <v>45167</v>
      </c>
      <c r="H1388" s="1">
        <v>4</v>
      </c>
      <c r="I1388" s="1">
        <v>7</v>
      </c>
      <c r="J1388" s="1">
        <v>24</v>
      </c>
      <c r="K1388" s="1" t="str">
        <f>TEXT(BBDD_Usiarios_Netflix[[#This Row],[Fecha Suscripción]],"dddd")</f>
        <v>martes</v>
      </c>
      <c r="L1388" s="1">
        <f>DATEVALUE(_xlfn.CONCAT(BBDD_Usiarios_Netflix[[#This Row],[Día Último Pago]],"/",BBDD_Usiarios_Netflix[[#This Row],[Mes Último Pago]],"/",BBDD_Usiarios_Netflix[[#This Row],[Año Último Pago]]))</f>
        <v>45477</v>
      </c>
      <c r="M1388" s="4">
        <f>DATEDIF(BBDD_Usiarios_Netflix[[#This Row],[Fecha Suscripción]],BBDD_Usiarios_Netflix[[#This Row],[Fecha Último Pago]],"M")+1</f>
        <v>11</v>
      </c>
      <c r="N1388" s="4">
        <f>BBDD_Usiarios_Netflix[[#This Row],[Ingresos Mensuales]]*BBDD_Usiarios_Netflix[[#This Row],[Meses contratados]]</f>
        <v>110</v>
      </c>
      <c r="O1388" t="s">
        <v>40</v>
      </c>
      <c r="P1388" t="str">
        <f>IF(BBDD_Usiarios_Netflix[[#This Row],[País]]="","Desconocido",BBDD_Usiarios_Netflix[[#This Row],[País]])</f>
        <v>Italia</v>
      </c>
      <c r="Q1388">
        <v>42</v>
      </c>
      <c r="R1388" t="s">
        <v>25</v>
      </c>
      <c r="S1388" t="s">
        <v>34</v>
      </c>
      <c r="T1388" t="s">
        <v>35</v>
      </c>
      <c r="U1388">
        <f>IF(IFERROR(VLOOKUP(BBDD_Usiarios_Netflix[[#This Row],[Identificador Usuario]],A1389:$A$5870,1,FALSE),0)&lt;&gt;0,1,0)</f>
        <v>0</v>
      </c>
      <c r="V1388" s="6" t="str">
        <f>IF(BBDD_Usiarios_Netflix[[#This Row],[Duración Plan]]="12 Meses",LEFT(BBDD_Usiarios_Netflix[[#This Row],[Duración Plan]],2),LEFT(BBDD_Usiarios_Netflix[[#This Row],[Duración Plan]],1))</f>
        <v>6</v>
      </c>
      <c r="W13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89" spans="1:23" x14ac:dyDescent="0.25">
      <c r="A1389">
        <v>1388</v>
      </c>
      <c r="B1389" t="s">
        <v>32</v>
      </c>
      <c r="C1389">
        <v>12</v>
      </c>
      <c r="D1389" s="3">
        <v>3</v>
      </c>
      <c r="E1389" s="3">
        <v>9</v>
      </c>
      <c r="F1389">
        <v>23</v>
      </c>
      <c r="G1389" s="1">
        <f>DATEVALUE(_xlfn.CONCAT(BBDD_Usiarios_Netflix[[#This Row],[Día Suscripción]],"/",BBDD_Usiarios_Netflix[[#This Row],[Mes Suscripción]],"/",BBDD_Usiarios_Netflix[[#This Row],[Año Suscripción]]))</f>
        <v>45172</v>
      </c>
      <c r="H1389" s="1">
        <v>5</v>
      </c>
      <c r="I1389" s="1">
        <v>7</v>
      </c>
      <c r="J1389" s="1">
        <v>24</v>
      </c>
      <c r="K1389" s="1" t="str">
        <f>TEXT(BBDD_Usiarios_Netflix[[#This Row],[Fecha Suscripción]],"dddd")</f>
        <v>domingo</v>
      </c>
      <c r="L1389" s="1">
        <f>DATEVALUE(_xlfn.CONCAT(BBDD_Usiarios_Netflix[[#This Row],[Día Último Pago]],"/",BBDD_Usiarios_Netflix[[#This Row],[Mes Último Pago]],"/",BBDD_Usiarios_Netflix[[#This Row],[Año Último Pago]]))</f>
        <v>45478</v>
      </c>
      <c r="M1389" s="4">
        <f>DATEDIF(BBDD_Usiarios_Netflix[[#This Row],[Fecha Suscripción]],BBDD_Usiarios_Netflix[[#This Row],[Fecha Último Pago]],"M")+1</f>
        <v>11</v>
      </c>
      <c r="N1389" s="4">
        <f>BBDD_Usiarios_Netflix[[#This Row],[Ingresos Mensuales]]*BBDD_Usiarios_Netflix[[#This Row],[Meses contratados]]</f>
        <v>132</v>
      </c>
      <c r="O1389" t="s">
        <v>33</v>
      </c>
      <c r="P1389" t="str">
        <f>IF(BBDD_Usiarios_Netflix[[#This Row],[País]]="","Desconocido",BBDD_Usiarios_Netflix[[#This Row],[País]])</f>
        <v>Francia</v>
      </c>
      <c r="Q1389">
        <v>30</v>
      </c>
      <c r="R1389" t="s">
        <v>25</v>
      </c>
      <c r="S1389" t="s">
        <v>26</v>
      </c>
      <c r="T1389" t="s">
        <v>35</v>
      </c>
      <c r="U1389">
        <f>IF(IFERROR(VLOOKUP(BBDD_Usiarios_Netflix[[#This Row],[Identificador Usuario]],A1390:$A$5870,1,FALSE),0)&lt;&gt;0,1,0)</f>
        <v>0</v>
      </c>
      <c r="V1389" s="6" t="str">
        <f>IF(BBDD_Usiarios_Netflix[[#This Row],[Duración Plan]]="12 Meses",LEFT(BBDD_Usiarios_Netflix[[#This Row],[Duración Plan]],2),LEFT(BBDD_Usiarios_Netflix[[#This Row],[Duración Plan]],1))</f>
        <v>6</v>
      </c>
      <c r="W13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90" spans="1:23" x14ac:dyDescent="0.25">
      <c r="A1390">
        <v>1389</v>
      </c>
      <c r="B1390" t="s">
        <v>28</v>
      </c>
      <c r="C1390">
        <v>14</v>
      </c>
      <c r="D1390" s="3">
        <v>10</v>
      </c>
      <c r="E1390" s="3">
        <v>9</v>
      </c>
      <c r="F1390">
        <v>23</v>
      </c>
      <c r="G1390" s="1">
        <f>DATEVALUE(_xlfn.CONCAT(BBDD_Usiarios_Netflix[[#This Row],[Día Suscripción]],"/",BBDD_Usiarios_Netflix[[#This Row],[Mes Suscripción]],"/",BBDD_Usiarios_Netflix[[#This Row],[Año Suscripción]]))</f>
        <v>45179</v>
      </c>
      <c r="H1390" s="1">
        <v>3</v>
      </c>
      <c r="I1390" s="1">
        <v>7</v>
      </c>
      <c r="J1390" s="1">
        <v>24</v>
      </c>
      <c r="K1390" s="1" t="str">
        <f>TEXT(BBDD_Usiarios_Netflix[[#This Row],[Fecha Suscripción]],"dddd")</f>
        <v>domingo</v>
      </c>
      <c r="L1390" s="1">
        <f>DATEVALUE(_xlfn.CONCAT(BBDD_Usiarios_Netflix[[#This Row],[Día Último Pago]],"/",BBDD_Usiarios_Netflix[[#This Row],[Mes Último Pago]],"/",BBDD_Usiarios_Netflix[[#This Row],[Año Último Pago]]))</f>
        <v>45476</v>
      </c>
      <c r="M1390" s="4">
        <f>DATEDIF(BBDD_Usiarios_Netflix[[#This Row],[Fecha Suscripción]],BBDD_Usiarios_Netflix[[#This Row],[Fecha Último Pago]],"M")+1</f>
        <v>10</v>
      </c>
      <c r="N1390" s="4">
        <f>BBDD_Usiarios_Netflix[[#This Row],[Ingresos Mensuales]]*BBDD_Usiarios_Netflix[[#This Row],[Meses contratados]]</f>
        <v>140</v>
      </c>
      <c r="O1390" t="s">
        <v>24</v>
      </c>
      <c r="P1390" t="str">
        <f>IF(BBDD_Usiarios_Netflix[[#This Row],[País]]="","Desconocido",BBDD_Usiarios_Netflix[[#This Row],[País]])</f>
        <v>Australia</v>
      </c>
      <c r="Q1390">
        <v>50</v>
      </c>
      <c r="R1390" t="s">
        <v>25</v>
      </c>
      <c r="S1390" t="s">
        <v>26</v>
      </c>
      <c r="T1390" t="s">
        <v>27</v>
      </c>
      <c r="U1390">
        <f>IF(IFERROR(VLOOKUP(BBDD_Usiarios_Netflix[[#This Row],[Identificador Usuario]],A1391:$A$5870,1,FALSE),0)&lt;&gt;0,1,0)</f>
        <v>0</v>
      </c>
      <c r="V1390" s="6" t="str">
        <f>IF(BBDD_Usiarios_Netflix[[#This Row],[Duración Plan]]="12 Meses",LEFT(BBDD_Usiarios_Netflix[[#This Row],[Duración Plan]],2),LEFT(BBDD_Usiarios_Netflix[[#This Row],[Duración Plan]],1))</f>
        <v>1</v>
      </c>
      <c r="W13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91" spans="1:23" x14ac:dyDescent="0.25">
      <c r="A1391">
        <v>1390</v>
      </c>
      <c r="B1391" t="s">
        <v>23</v>
      </c>
      <c r="C1391">
        <v>10</v>
      </c>
      <c r="D1391" s="3">
        <v>13</v>
      </c>
      <c r="E1391" s="3">
        <v>9</v>
      </c>
      <c r="F1391">
        <v>23</v>
      </c>
      <c r="G1391" s="1">
        <f>DATEVALUE(_xlfn.CONCAT(BBDD_Usiarios_Netflix[[#This Row],[Día Suscripción]],"/",BBDD_Usiarios_Netflix[[#This Row],[Mes Suscripción]],"/",BBDD_Usiarios_Netflix[[#This Row],[Año Suscripción]]))</f>
        <v>45182</v>
      </c>
      <c r="H1391" s="1">
        <v>5</v>
      </c>
      <c r="I1391" s="1">
        <v>7</v>
      </c>
      <c r="J1391" s="1">
        <v>24</v>
      </c>
      <c r="K1391" s="1" t="str">
        <f>TEXT(BBDD_Usiarios_Netflix[[#This Row],[Fecha Suscripción]],"dddd")</f>
        <v>miércoles</v>
      </c>
      <c r="L1391" s="1">
        <f>DATEVALUE(_xlfn.CONCAT(BBDD_Usiarios_Netflix[[#This Row],[Día Último Pago]],"/",BBDD_Usiarios_Netflix[[#This Row],[Mes Último Pago]],"/",BBDD_Usiarios_Netflix[[#This Row],[Año Último Pago]]))</f>
        <v>45478</v>
      </c>
      <c r="M1391" s="4">
        <f>DATEDIF(BBDD_Usiarios_Netflix[[#This Row],[Fecha Suscripción]],BBDD_Usiarios_Netflix[[#This Row],[Fecha Último Pago]],"M")+1</f>
        <v>10</v>
      </c>
      <c r="N1391" s="4">
        <f>BBDD_Usiarios_Netflix[[#This Row],[Ingresos Mensuales]]*BBDD_Usiarios_Netflix[[#This Row],[Meses contratados]]</f>
        <v>100</v>
      </c>
      <c r="O1391" t="s">
        <v>44</v>
      </c>
      <c r="P1391" t="str">
        <f>IF(BBDD_Usiarios_Netflix[[#This Row],[País]]="","Desconocido",BBDD_Usiarios_Netflix[[#This Row],[País]])</f>
        <v>Desconocido</v>
      </c>
      <c r="Q1391">
        <v>51</v>
      </c>
      <c r="R1391" t="s">
        <v>30</v>
      </c>
      <c r="S1391" t="s">
        <v>36</v>
      </c>
      <c r="T1391" t="s">
        <v>38</v>
      </c>
      <c r="U1391">
        <f>IF(IFERROR(VLOOKUP(BBDD_Usiarios_Netflix[[#This Row],[Identificador Usuario]],A1392:$A$5870,1,FALSE),0)&lt;&gt;0,1,0)</f>
        <v>0</v>
      </c>
      <c r="V1391" s="6" t="str">
        <f>IF(BBDD_Usiarios_Netflix[[#This Row],[Duración Plan]]="12 Meses",LEFT(BBDD_Usiarios_Netflix[[#This Row],[Duración Plan]],2),LEFT(BBDD_Usiarios_Netflix[[#This Row],[Duración Plan]],1))</f>
        <v>3</v>
      </c>
      <c r="W13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92" spans="1:23" x14ac:dyDescent="0.25">
      <c r="A1392">
        <v>1391</v>
      </c>
      <c r="B1392" t="s">
        <v>28</v>
      </c>
      <c r="C1392">
        <v>14</v>
      </c>
      <c r="D1392" s="3">
        <v>15</v>
      </c>
      <c r="E1392" s="3">
        <v>9</v>
      </c>
      <c r="F1392">
        <v>23</v>
      </c>
      <c r="G1392" s="1">
        <f>DATEVALUE(_xlfn.CONCAT(BBDD_Usiarios_Netflix[[#This Row],[Día Suscripción]],"/",BBDD_Usiarios_Netflix[[#This Row],[Mes Suscripción]],"/",BBDD_Usiarios_Netflix[[#This Row],[Año Suscripción]]))</f>
        <v>45184</v>
      </c>
      <c r="H1392" s="1">
        <v>4</v>
      </c>
      <c r="I1392" s="1">
        <v>7</v>
      </c>
      <c r="J1392" s="1">
        <v>24</v>
      </c>
      <c r="K1392" s="1" t="str">
        <f>TEXT(BBDD_Usiarios_Netflix[[#This Row],[Fecha Suscripción]],"dddd")</f>
        <v>viernes</v>
      </c>
      <c r="L1392" s="1">
        <f>DATEVALUE(_xlfn.CONCAT(BBDD_Usiarios_Netflix[[#This Row],[Día Último Pago]],"/",BBDD_Usiarios_Netflix[[#This Row],[Mes Último Pago]],"/",BBDD_Usiarios_Netflix[[#This Row],[Año Último Pago]]))</f>
        <v>45477</v>
      </c>
      <c r="M1392" s="4">
        <f>DATEDIF(BBDD_Usiarios_Netflix[[#This Row],[Fecha Suscripción]],BBDD_Usiarios_Netflix[[#This Row],[Fecha Último Pago]],"M")+1</f>
        <v>10</v>
      </c>
      <c r="N1392" s="4">
        <f>BBDD_Usiarios_Netflix[[#This Row],[Ingresos Mensuales]]*BBDD_Usiarios_Netflix[[#This Row],[Meses contratados]]</f>
        <v>140</v>
      </c>
      <c r="O1392" t="s">
        <v>43</v>
      </c>
      <c r="P1392" t="str">
        <f>IF(BBDD_Usiarios_Netflix[[#This Row],[País]]="","Desconocido",BBDD_Usiarios_Netflix[[#This Row],[País]])</f>
        <v>Alemania</v>
      </c>
      <c r="Q1392">
        <v>36</v>
      </c>
      <c r="R1392" t="s">
        <v>30</v>
      </c>
      <c r="S1392" t="s">
        <v>31</v>
      </c>
      <c r="T1392" t="s">
        <v>35</v>
      </c>
      <c r="U1392">
        <f>IF(IFERROR(VLOOKUP(BBDD_Usiarios_Netflix[[#This Row],[Identificador Usuario]],A1393:$A$5870,1,FALSE),0)&lt;&gt;0,1,0)</f>
        <v>0</v>
      </c>
      <c r="V1392" s="6" t="str">
        <f>IF(BBDD_Usiarios_Netflix[[#This Row],[Duración Plan]]="12 Meses",LEFT(BBDD_Usiarios_Netflix[[#This Row],[Duración Plan]],2),LEFT(BBDD_Usiarios_Netflix[[#This Row],[Duración Plan]],1))</f>
        <v>6</v>
      </c>
      <c r="W13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393" spans="1:23" x14ac:dyDescent="0.25">
      <c r="A1393">
        <v>1392</v>
      </c>
      <c r="B1393" t="s">
        <v>23</v>
      </c>
      <c r="C1393">
        <v>10</v>
      </c>
      <c r="D1393" s="3">
        <v>25</v>
      </c>
      <c r="E1393" s="3">
        <v>9</v>
      </c>
      <c r="F1393">
        <v>23</v>
      </c>
      <c r="G1393" s="1">
        <f>DATEVALUE(_xlfn.CONCAT(BBDD_Usiarios_Netflix[[#This Row],[Día Suscripción]],"/",BBDD_Usiarios_Netflix[[#This Row],[Mes Suscripción]],"/",BBDD_Usiarios_Netflix[[#This Row],[Año Suscripción]]))</f>
        <v>45194</v>
      </c>
      <c r="H1393" s="1">
        <v>6</v>
      </c>
      <c r="I1393" s="1">
        <v>7</v>
      </c>
      <c r="J1393" s="1">
        <v>24</v>
      </c>
      <c r="K1393" s="1" t="str">
        <f>TEXT(BBDD_Usiarios_Netflix[[#This Row],[Fecha Suscripción]],"dddd")</f>
        <v>lunes</v>
      </c>
      <c r="L1393" s="1">
        <f>DATEVALUE(_xlfn.CONCAT(BBDD_Usiarios_Netflix[[#This Row],[Día Último Pago]],"/",BBDD_Usiarios_Netflix[[#This Row],[Mes Último Pago]],"/",BBDD_Usiarios_Netflix[[#This Row],[Año Último Pago]]))</f>
        <v>45479</v>
      </c>
      <c r="M1393" s="4">
        <f>DATEDIF(BBDD_Usiarios_Netflix[[#This Row],[Fecha Suscripción]],BBDD_Usiarios_Netflix[[#This Row],[Fecha Último Pago]],"M")+1</f>
        <v>10</v>
      </c>
      <c r="N1393" s="4">
        <f>BBDD_Usiarios_Netflix[[#This Row],[Ingresos Mensuales]]*BBDD_Usiarios_Netflix[[#This Row],[Meses contratados]]</f>
        <v>100</v>
      </c>
      <c r="O1393" t="s">
        <v>29</v>
      </c>
      <c r="P1393" t="str">
        <f>IF(BBDD_Usiarios_Netflix[[#This Row],[País]]="","Desconocido",BBDD_Usiarios_Netflix[[#This Row],[País]])</f>
        <v>EEUU</v>
      </c>
      <c r="Q1393">
        <v>41</v>
      </c>
      <c r="R1393" t="s">
        <v>30</v>
      </c>
      <c r="S1393" t="s">
        <v>31</v>
      </c>
      <c r="T1393" t="s">
        <v>41</v>
      </c>
      <c r="U1393">
        <f>IF(IFERROR(VLOOKUP(BBDD_Usiarios_Netflix[[#This Row],[Identificador Usuario]],A1394:$A$5870,1,FALSE),0)&lt;&gt;0,1,0)</f>
        <v>0</v>
      </c>
      <c r="V1393" s="6" t="str">
        <f>IF(BBDD_Usiarios_Netflix[[#This Row],[Duración Plan]]="12 Meses",LEFT(BBDD_Usiarios_Netflix[[#This Row],[Duración Plan]],2),LEFT(BBDD_Usiarios_Netflix[[#This Row],[Duración Plan]],1))</f>
        <v>12</v>
      </c>
      <c r="W13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94" spans="1:23" x14ac:dyDescent="0.25">
      <c r="A1394">
        <v>1393</v>
      </c>
      <c r="B1394" t="s">
        <v>32</v>
      </c>
      <c r="C1394">
        <v>12</v>
      </c>
      <c r="D1394" s="3">
        <v>1</v>
      </c>
      <c r="E1394" s="3">
        <v>10</v>
      </c>
      <c r="F1394">
        <v>23</v>
      </c>
      <c r="G1394" s="1">
        <f>DATEVALUE(_xlfn.CONCAT(BBDD_Usiarios_Netflix[[#This Row],[Día Suscripción]],"/",BBDD_Usiarios_Netflix[[#This Row],[Mes Suscripción]],"/",BBDD_Usiarios_Netflix[[#This Row],[Año Suscripción]]))</f>
        <v>45200</v>
      </c>
      <c r="H1394" s="1">
        <v>3</v>
      </c>
      <c r="I1394" s="1">
        <v>7</v>
      </c>
      <c r="J1394" s="1">
        <v>24</v>
      </c>
      <c r="K1394" s="1" t="str">
        <f>TEXT(BBDD_Usiarios_Netflix[[#This Row],[Fecha Suscripción]],"dddd")</f>
        <v>domingo</v>
      </c>
      <c r="L1394" s="1">
        <f>DATEVALUE(_xlfn.CONCAT(BBDD_Usiarios_Netflix[[#This Row],[Día Último Pago]],"/",BBDD_Usiarios_Netflix[[#This Row],[Mes Último Pago]],"/",BBDD_Usiarios_Netflix[[#This Row],[Año Último Pago]]))</f>
        <v>45476</v>
      </c>
      <c r="M1394" s="4">
        <f>DATEDIF(BBDD_Usiarios_Netflix[[#This Row],[Fecha Suscripción]],BBDD_Usiarios_Netflix[[#This Row],[Fecha Último Pago]],"M")+1</f>
        <v>10</v>
      </c>
      <c r="N1394" s="4">
        <f>BBDD_Usiarios_Netflix[[#This Row],[Ingresos Mensuales]]*BBDD_Usiarios_Netflix[[#This Row],[Meses contratados]]</f>
        <v>120</v>
      </c>
      <c r="O1394" t="s">
        <v>33</v>
      </c>
      <c r="P1394" t="str">
        <f>IF(BBDD_Usiarios_Netflix[[#This Row],[País]]="","Desconocido",BBDD_Usiarios_Netflix[[#This Row],[País]])</f>
        <v>Francia</v>
      </c>
      <c r="Q1394">
        <v>37</v>
      </c>
      <c r="R1394" t="s">
        <v>25</v>
      </c>
      <c r="S1394" t="s">
        <v>34</v>
      </c>
      <c r="T1394" t="s">
        <v>38</v>
      </c>
      <c r="U1394">
        <f>IF(IFERROR(VLOOKUP(BBDD_Usiarios_Netflix[[#This Row],[Identificador Usuario]],A1395:$A$5870,1,FALSE),0)&lt;&gt;0,1,0)</f>
        <v>0</v>
      </c>
      <c r="V1394" s="6" t="str">
        <f>IF(BBDD_Usiarios_Netflix[[#This Row],[Duración Plan]]="12 Meses",LEFT(BBDD_Usiarios_Netflix[[#This Row],[Duración Plan]],2),LEFT(BBDD_Usiarios_Netflix[[#This Row],[Duración Plan]],1))</f>
        <v>3</v>
      </c>
      <c r="W13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95" spans="1:23" x14ac:dyDescent="0.25">
      <c r="A1395">
        <v>1394</v>
      </c>
      <c r="B1395" t="s">
        <v>32</v>
      </c>
      <c r="C1395">
        <v>12</v>
      </c>
      <c r="D1395" s="3">
        <v>2</v>
      </c>
      <c r="E1395" s="3">
        <v>10</v>
      </c>
      <c r="F1395">
        <v>23</v>
      </c>
      <c r="G1395" s="1">
        <f>DATEVALUE(_xlfn.CONCAT(BBDD_Usiarios_Netflix[[#This Row],[Día Suscripción]],"/",BBDD_Usiarios_Netflix[[#This Row],[Mes Suscripción]],"/",BBDD_Usiarios_Netflix[[#This Row],[Año Suscripción]]))</f>
        <v>45201</v>
      </c>
      <c r="H1395" s="1">
        <v>4</v>
      </c>
      <c r="I1395" s="1">
        <v>7</v>
      </c>
      <c r="J1395" s="1">
        <v>24</v>
      </c>
      <c r="K1395" s="1" t="str">
        <f>TEXT(BBDD_Usiarios_Netflix[[#This Row],[Fecha Suscripción]],"dddd")</f>
        <v>lunes</v>
      </c>
      <c r="L1395" s="1">
        <f>DATEVALUE(_xlfn.CONCAT(BBDD_Usiarios_Netflix[[#This Row],[Día Último Pago]],"/",BBDD_Usiarios_Netflix[[#This Row],[Mes Último Pago]],"/",BBDD_Usiarios_Netflix[[#This Row],[Año Último Pago]]))</f>
        <v>45477</v>
      </c>
      <c r="M1395" s="4">
        <f>DATEDIF(BBDD_Usiarios_Netflix[[#This Row],[Fecha Suscripción]],BBDD_Usiarios_Netflix[[#This Row],[Fecha Último Pago]],"M")+1</f>
        <v>10</v>
      </c>
      <c r="N1395" s="4">
        <f>BBDD_Usiarios_Netflix[[#This Row],[Ingresos Mensuales]]*BBDD_Usiarios_Netflix[[#This Row],[Meses contratados]]</f>
        <v>120</v>
      </c>
      <c r="O1395" t="s">
        <v>33</v>
      </c>
      <c r="P1395" t="str">
        <f>IF(BBDD_Usiarios_Netflix[[#This Row],[País]]="","Desconocido",BBDD_Usiarios_Netflix[[#This Row],[País]])</f>
        <v>Francia</v>
      </c>
      <c r="Q1395">
        <v>30</v>
      </c>
      <c r="R1395" t="s">
        <v>30</v>
      </c>
      <c r="S1395" t="s">
        <v>31</v>
      </c>
      <c r="T1395" t="s">
        <v>41</v>
      </c>
      <c r="U1395">
        <f>IF(IFERROR(VLOOKUP(BBDD_Usiarios_Netflix[[#This Row],[Identificador Usuario]],A1396:$A$5870,1,FALSE),0)&lt;&gt;0,1,0)</f>
        <v>0</v>
      </c>
      <c r="V1395" s="6" t="str">
        <f>IF(BBDD_Usiarios_Netflix[[#This Row],[Duración Plan]]="12 Meses",LEFT(BBDD_Usiarios_Netflix[[#This Row],[Duración Plan]],2),LEFT(BBDD_Usiarios_Netflix[[#This Row],[Duración Plan]],1))</f>
        <v>12</v>
      </c>
      <c r="W13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396" spans="1:23" x14ac:dyDescent="0.25">
      <c r="A1396">
        <v>1395</v>
      </c>
      <c r="B1396" t="s">
        <v>23</v>
      </c>
      <c r="C1396">
        <v>10</v>
      </c>
      <c r="D1396" s="3">
        <v>5</v>
      </c>
      <c r="E1396" s="3">
        <v>10</v>
      </c>
      <c r="F1396">
        <v>23</v>
      </c>
      <c r="G1396" s="1">
        <f>DATEVALUE(_xlfn.CONCAT(BBDD_Usiarios_Netflix[[#This Row],[Día Suscripción]],"/",BBDD_Usiarios_Netflix[[#This Row],[Mes Suscripción]],"/",BBDD_Usiarios_Netflix[[#This Row],[Año Suscripción]]))</f>
        <v>45204</v>
      </c>
      <c r="H1396" s="1">
        <v>4</v>
      </c>
      <c r="I1396" s="1">
        <v>7</v>
      </c>
      <c r="J1396" s="1">
        <v>24</v>
      </c>
      <c r="K1396" s="1" t="str">
        <f>TEXT(BBDD_Usiarios_Netflix[[#This Row],[Fecha Suscripción]],"dddd")</f>
        <v>jueves</v>
      </c>
      <c r="L1396" s="1">
        <f>DATEVALUE(_xlfn.CONCAT(BBDD_Usiarios_Netflix[[#This Row],[Día Último Pago]],"/",BBDD_Usiarios_Netflix[[#This Row],[Mes Último Pago]],"/",BBDD_Usiarios_Netflix[[#This Row],[Año Último Pago]]))</f>
        <v>45477</v>
      </c>
      <c r="M1396" s="4">
        <f>DATEDIF(BBDD_Usiarios_Netflix[[#This Row],[Fecha Suscripción]],BBDD_Usiarios_Netflix[[#This Row],[Fecha Último Pago]],"M")+1</f>
        <v>9</v>
      </c>
      <c r="N1396" s="4">
        <f>BBDD_Usiarios_Netflix[[#This Row],[Ingresos Mensuales]]*BBDD_Usiarios_Netflix[[#This Row],[Meses contratados]]</f>
        <v>90</v>
      </c>
      <c r="O1396" t="s">
        <v>39</v>
      </c>
      <c r="P1396" t="str">
        <f>IF(BBDD_Usiarios_Netflix[[#This Row],[País]]="","Desconocido",BBDD_Usiarios_Netflix[[#This Row],[País]])</f>
        <v>Canadá</v>
      </c>
      <c r="Q1396">
        <v>50</v>
      </c>
      <c r="R1396" t="s">
        <v>30</v>
      </c>
      <c r="S1396" t="s">
        <v>31</v>
      </c>
      <c r="T1396" t="s">
        <v>27</v>
      </c>
      <c r="U1396">
        <f>IF(IFERROR(VLOOKUP(BBDD_Usiarios_Netflix[[#This Row],[Identificador Usuario]],A1397:$A$5870,1,FALSE),0)&lt;&gt;0,1,0)</f>
        <v>0</v>
      </c>
      <c r="V1396" s="6" t="str">
        <f>IF(BBDD_Usiarios_Netflix[[#This Row],[Duración Plan]]="12 Meses",LEFT(BBDD_Usiarios_Netflix[[#This Row],[Duración Plan]],2),LEFT(BBDD_Usiarios_Netflix[[#This Row],[Duración Plan]],1))</f>
        <v>1</v>
      </c>
      <c r="W13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97" spans="1:23" x14ac:dyDescent="0.25">
      <c r="A1397">
        <v>1396</v>
      </c>
      <c r="B1397" t="s">
        <v>28</v>
      </c>
      <c r="C1397">
        <v>14</v>
      </c>
      <c r="D1397" s="3">
        <v>6</v>
      </c>
      <c r="E1397" s="3">
        <v>10</v>
      </c>
      <c r="F1397">
        <v>23</v>
      </c>
      <c r="G1397" s="1">
        <f>DATEVALUE(_xlfn.CONCAT(BBDD_Usiarios_Netflix[[#This Row],[Día Suscripción]],"/",BBDD_Usiarios_Netflix[[#This Row],[Mes Suscripción]],"/",BBDD_Usiarios_Netflix[[#This Row],[Año Suscripción]]))</f>
        <v>45205</v>
      </c>
      <c r="H1397" s="1">
        <v>5</v>
      </c>
      <c r="I1397" s="1">
        <v>7</v>
      </c>
      <c r="J1397" s="1">
        <v>24</v>
      </c>
      <c r="K1397" s="1" t="str">
        <f>TEXT(BBDD_Usiarios_Netflix[[#This Row],[Fecha Suscripción]],"dddd")</f>
        <v>viernes</v>
      </c>
      <c r="L1397" s="1">
        <f>DATEVALUE(_xlfn.CONCAT(BBDD_Usiarios_Netflix[[#This Row],[Día Último Pago]],"/",BBDD_Usiarios_Netflix[[#This Row],[Mes Último Pago]],"/",BBDD_Usiarios_Netflix[[#This Row],[Año Último Pago]]))</f>
        <v>45478</v>
      </c>
      <c r="M1397" s="4">
        <f>DATEDIF(BBDD_Usiarios_Netflix[[#This Row],[Fecha Suscripción]],BBDD_Usiarios_Netflix[[#This Row],[Fecha Último Pago]],"M")+1</f>
        <v>9</v>
      </c>
      <c r="N1397" s="4">
        <f>BBDD_Usiarios_Netflix[[#This Row],[Ingresos Mensuales]]*BBDD_Usiarios_Netflix[[#This Row],[Meses contratados]]</f>
        <v>126</v>
      </c>
      <c r="O1397" t="s">
        <v>29</v>
      </c>
      <c r="P1397" t="str">
        <f>IF(BBDD_Usiarios_Netflix[[#This Row],[País]]="","Desconocido",BBDD_Usiarios_Netflix[[#This Row],[País]])</f>
        <v>EEUU</v>
      </c>
      <c r="Q1397">
        <v>41</v>
      </c>
      <c r="R1397" t="s">
        <v>30</v>
      </c>
      <c r="S1397" t="s">
        <v>34</v>
      </c>
      <c r="T1397" t="s">
        <v>38</v>
      </c>
      <c r="U1397">
        <f>IF(IFERROR(VLOOKUP(BBDD_Usiarios_Netflix[[#This Row],[Identificador Usuario]],A1398:$A$5870,1,FALSE),0)&lt;&gt;0,1,0)</f>
        <v>0</v>
      </c>
      <c r="V1397" s="6" t="str">
        <f>IF(BBDD_Usiarios_Netflix[[#This Row],[Duración Plan]]="12 Meses",LEFT(BBDD_Usiarios_Netflix[[#This Row],[Duración Plan]],2),LEFT(BBDD_Usiarios_Netflix[[#This Row],[Duración Plan]],1))</f>
        <v>3</v>
      </c>
      <c r="W13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398" spans="1:23" x14ac:dyDescent="0.25">
      <c r="A1398">
        <v>1397</v>
      </c>
      <c r="B1398" t="s">
        <v>23</v>
      </c>
      <c r="C1398">
        <v>10</v>
      </c>
      <c r="D1398" s="3">
        <v>7</v>
      </c>
      <c r="E1398" s="3">
        <v>10</v>
      </c>
      <c r="F1398">
        <v>23</v>
      </c>
      <c r="G1398" s="1">
        <f>DATEVALUE(_xlfn.CONCAT(BBDD_Usiarios_Netflix[[#This Row],[Día Suscripción]],"/",BBDD_Usiarios_Netflix[[#This Row],[Mes Suscripción]],"/",BBDD_Usiarios_Netflix[[#This Row],[Año Suscripción]]))</f>
        <v>45206</v>
      </c>
      <c r="H1398" s="1">
        <v>3</v>
      </c>
      <c r="I1398" s="1">
        <v>7</v>
      </c>
      <c r="J1398" s="1">
        <v>24</v>
      </c>
      <c r="K1398" s="1" t="str">
        <f>TEXT(BBDD_Usiarios_Netflix[[#This Row],[Fecha Suscripción]],"dddd")</f>
        <v>sábado</v>
      </c>
      <c r="L1398" s="1">
        <f>DATEVALUE(_xlfn.CONCAT(BBDD_Usiarios_Netflix[[#This Row],[Día Último Pago]],"/",BBDD_Usiarios_Netflix[[#This Row],[Mes Último Pago]],"/",BBDD_Usiarios_Netflix[[#This Row],[Año Último Pago]]))</f>
        <v>45476</v>
      </c>
      <c r="M1398" s="4">
        <f>DATEDIF(BBDD_Usiarios_Netflix[[#This Row],[Fecha Suscripción]],BBDD_Usiarios_Netflix[[#This Row],[Fecha Último Pago]],"M")+1</f>
        <v>9</v>
      </c>
      <c r="N1398" s="4">
        <f>BBDD_Usiarios_Netflix[[#This Row],[Ingresos Mensuales]]*BBDD_Usiarios_Netflix[[#This Row],[Meses contratados]]</f>
        <v>90</v>
      </c>
      <c r="O1398" t="s">
        <v>33</v>
      </c>
      <c r="P1398" t="str">
        <f>IF(BBDD_Usiarios_Netflix[[#This Row],[País]]="","Desconocido",BBDD_Usiarios_Netflix[[#This Row],[País]])</f>
        <v>Francia</v>
      </c>
      <c r="Q1398">
        <v>29</v>
      </c>
      <c r="R1398" t="s">
        <v>30</v>
      </c>
      <c r="S1398" t="s">
        <v>36</v>
      </c>
      <c r="T1398" t="s">
        <v>27</v>
      </c>
      <c r="U1398">
        <f>IF(IFERROR(VLOOKUP(BBDD_Usiarios_Netflix[[#This Row],[Identificador Usuario]],A1399:$A$5870,1,FALSE),0)&lt;&gt;0,1,0)</f>
        <v>0</v>
      </c>
      <c r="V1398" s="6" t="str">
        <f>IF(BBDD_Usiarios_Netflix[[#This Row],[Duración Plan]]="12 Meses",LEFT(BBDD_Usiarios_Netflix[[#This Row],[Duración Plan]],2),LEFT(BBDD_Usiarios_Netflix[[#This Row],[Duración Plan]],1))</f>
        <v>1</v>
      </c>
      <c r="W13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399" spans="1:23" x14ac:dyDescent="0.25">
      <c r="A1399">
        <v>1398</v>
      </c>
      <c r="B1399" t="s">
        <v>32</v>
      </c>
      <c r="C1399">
        <v>12</v>
      </c>
      <c r="D1399" s="3">
        <v>10</v>
      </c>
      <c r="E1399" s="3">
        <v>10</v>
      </c>
      <c r="F1399">
        <v>23</v>
      </c>
      <c r="G1399" s="1">
        <f>DATEVALUE(_xlfn.CONCAT(BBDD_Usiarios_Netflix[[#This Row],[Día Suscripción]],"/",BBDD_Usiarios_Netflix[[#This Row],[Mes Suscripción]],"/",BBDD_Usiarios_Netflix[[#This Row],[Año Suscripción]]))</f>
        <v>45209</v>
      </c>
      <c r="H1399" s="1">
        <v>4</v>
      </c>
      <c r="I1399" s="1">
        <v>7</v>
      </c>
      <c r="J1399" s="1">
        <v>24</v>
      </c>
      <c r="K1399" s="1" t="str">
        <f>TEXT(BBDD_Usiarios_Netflix[[#This Row],[Fecha Suscripción]],"dddd")</f>
        <v>martes</v>
      </c>
      <c r="L1399" s="1">
        <f>DATEVALUE(_xlfn.CONCAT(BBDD_Usiarios_Netflix[[#This Row],[Día Último Pago]],"/",BBDD_Usiarios_Netflix[[#This Row],[Mes Último Pago]],"/",BBDD_Usiarios_Netflix[[#This Row],[Año Último Pago]]))</f>
        <v>45477</v>
      </c>
      <c r="M1399" s="4">
        <f>DATEDIF(BBDD_Usiarios_Netflix[[#This Row],[Fecha Suscripción]],BBDD_Usiarios_Netflix[[#This Row],[Fecha Último Pago]],"M")+1</f>
        <v>9</v>
      </c>
      <c r="N1399" s="4">
        <f>BBDD_Usiarios_Netflix[[#This Row],[Ingresos Mensuales]]*BBDD_Usiarios_Netflix[[#This Row],[Meses contratados]]</f>
        <v>108</v>
      </c>
      <c r="O1399" t="s">
        <v>39</v>
      </c>
      <c r="P1399" t="str">
        <f>IF(BBDD_Usiarios_Netflix[[#This Row],[País]]="","Desconocido",BBDD_Usiarios_Netflix[[#This Row],[País]])</f>
        <v>Canadá</v>
      </c>
      <c r="Q1399">
        <v>43</v>
      </c>
      <c r="R1399" t="s">
        <v>25</v>
      </c>
      <c r="S1399" t="s">
        <v>34</v>
      </c>
      <c r="T1399" t="s">
        <v>27</v>
      </c>
      <c r="U1399">
        <f>IF(IFERROR(VLOOKUP(BBDD_Usiarios_Netflix[[#This Row],[Identificador Usuario]],A1400:$A$5870,1,FALSE),0)&lt;&gt;0,1,0)</f>
        <v>0</v>
      </c>
      <c r="V1399" s="6" t="str">
        <f>IF(BBDD_Usiarios_Netflix[[#This Row],[Duración Plan]]="12 Meses",LEFT(BBDD_Usiarios_Netflix[[#This Row],[Duración Plan]],2),LEFT(BBDD_Usiarios_Netflix[[#This Row],[Duración Plan]],1))</f>
        <v>1</v>
      </c>
      <c r="W13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00" spans="1:23" x14ac:dyDescent="0.25">
      <c r="A1400">
        <v>1399</v>
      </c>
      <c r="B1400" t="s">
        <v>28</v>
      </c>
      <c r="C1400">
        <v>14</v>
      </c>
      <c r="D1400" s="3">
        <v>12</v>
      </c>
      <c r="E1400" s="3">
        <v>10</v>
      </c>
      <c r="F1400">
        <v>23</v>
      </c>
      <c r="G1400" s="1">
        <f>DATEVALUE(_xlfn.CONCAT(BBDD_Usiarios_Netflix[[#This Row],[Día Suscripción]],"/",BBDD_Usiarios_Netflix[[#This Row],[Mes Suscripción]],"/",BBDD_Usiarios_Netflix[[#This Row],[Año Suscripción]]))</f>
        <v>45211</v>
      </c>
      <c r="H1400" s="1">
        <v>4</v>
      </c>
      <c r="I1400" s="1">
        <v>7</v>
      </c>
      <c r="J1400" s="1">
        <v>24</v>
      </c>
      <c r="K1400" s="1" t="str">
        <f>TEXT(BBDD_Usiarios_Netflix[[#This Row],[Fecha Suscripción]],"dddd")</f>
        <v>jueves</v>
      </c>
      <c r="L1400" s="1">
        <f>DATEVALUE(_xlfn.CONCAT(BBDD_Usiarios_Netflix[[#This Row],[Día Último Pago]],"/",BBDD_Usiarios_Netflix[[#This Row],[Mes Último Pago]],"/",BBDD_Usiarios_Netflix[[#This Row],[Año Último Pago]]))</f>
        <v>45477</v>
      </c>
      <c r="M1400" s="4">
        <f>DATEDIF(BBDD_Usiarios_Netflix[[#This Row],[Fecha Suscripción]],BBDD_Usiarios_Netflix[[#This Row],[Fecha Último Pago]],"M")+1</f>
        <v>9</v>
      </c>
      <c r="N1400" s="4">
        <f>BBDD_Usiarios_Netflix[[#This Row],[Ingresos Mensuales]]*BBDD_Usiarios_Netflix[[#This Row],[Meses contratados]]</f>
        <v>126</v>
      </c>
      <c r="O1400" t="s">
        <v>45</v>
      </c>
      <c r="P1400" t="str">
        <f>IF(BBDD_Usiarios_Netflix[[#This Row],[País]]="","Desconocido",BBDD_Usiarios_Netflix[[#This Row],[País]])</f>
        <v>España</v>
      </c>
      <c r="Q1400">
        <v>31</v>
      </c>
      <c r="R1400" t="s">
        <v>30</v>
      </c>
      <c r="S1400" t="s">
        <v>34</v>
      </c>
      <c r="T1400" t="s">
        <v>27</v>
      </c>
      <c r="U1400">
        <f>IF(IFERROR(VLOOKUP(BBDD_Usiarios_Netflix[[#This Row],[Identificador Usuario]],A1401:$A$5870,1,FALSE),0)&lt;&gt;0,1,0)</f>
        <v>0</v>
      </c>
      <c r="V1400" s="6" t="str">
        <f>IF(BBDD_Usiarios_Netflix[[#This Row],[Duración Plan]]="12 Meses",LEFT(BBDD_Usiarios_Netflix[[#This Row],[Duración Plan]],2),LEFT(BBDD_Usiarios_Netflix[[#This Row],[Duración Plan]],1))</f>
        <v>1</v>
      </c>
      <c r="W14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01" spans="1:23" x14ac:dyDescent="0.25">
      <c r="A1401">
        <v>1400</v>
      </c>
      <c r="B1401" t="s">
        <v>23</v>
      </c>
      <c r="C1401">
        <v>10</v>
      </c>
      <c r="D1401" s="3">
        <v>15</v>
      </c>
      <c r="E1401" s="3">
        <v>10</v>
      </c>
      <c r="F1401">
        <v>23</v>
      </c>
      <c r="G1401" s="1">
        <f>DATEVALUE(_xlfn.CONCAT(BBDD_Usiarios_Netflix[[#This Row],[Día Suscripción]],"/",BBDD_Usiarios_Netflix[[#This Row],[Mes Suscripción]],"/",BBDD_Usiarios_Netflix[[#This Row],[Año Suscripción]]))</f>
        <v>45214</v>
      </c>
      <c r="H1401" s="1">
        <v>6</v>
      </c>
      <c r="I1401" s="1">
        <v>7</v>
      </c>
      <c r="J1401" s="1">
        <v>24</v>
      </c>
      <c r="K1401" s="1" t="str">
        <f>TEXT(BBDD_Usiarios_Netflix[[#This Row],[Fecha Suscripción]],"dddd")</f>
        <v>domingo</v>
      </c>
      <c r="L1401" s="1">
        <f>DATEVALUE(_xlfn.CONCAT(BBDD_Usiarios_Netflix[[#This Row],[Día Último Pago]],"/",BBDD_Usiarios_Netflix[[#This Row],[Mes Último Pago]],"/",BBDD_Usiarios_Netflix[[#This Row],[Año Último Pago]]))</f>
        <v>45479</v>
      </c>
      <c r="M1401" s="4">
        <f>DATEDIF(BBDD_Usiarios_Netflix[[#This Row],[Fecha Suscripción]],BBDD_Usiarios_Netflix[[#This Row],[Fecha Último Pago]],"M")+1</f>
        <v>9</v>
      </c>
      <c r="N1401" s="4">
        <f>BBDD_Usiarios_Netflix[[#This Row],[Ingresos Mensuales]]*BBDD_Usiarios_Netflix[[#This Row],[Meses contratados]]</f>
        <v>90</v>
      </c>
      <c r="O1401" t="s">
        <v>43</v>
      </c>
      <c r="P1401" t="str">
        <f>IF(BBDD_Usiarios_Netflix[[#This Row],[País]]="","Desconocido",BBDD_Usiarios_Netflix[[#This Row],[País]])</f>
        <v>Alemania</v>
      </c>
      <c r="Q1401">
        <v>40</v>
      </c>
      <c r="R1401" t="s">
        <v>25</v>
      </c>
      <c r="S1401" t="s">
        <v>36</v>
      </c>
      <c r="T1401" t="s">
        <v>27</v>
      </c>
      <c r="U1401">
        <f>IF(IFERROR(VLOOKUP(BBDD_Usiarios_Netflix[[#This Row],[Identificador Usuario]],A1402:$A$5870,1,FALSE),0)&lt;&gt;0,1,0)</f>
        <v>0</v>
      </c>
      <c r="V1401" s="6" t="str">
        <f>IF(BBDD_Usiarios_Netflix[[#This Row],[Duración Plan]]="12 Meses",LEFT(BBDD_Usiarios_Netflix[[#This Row],[Duración Plan]],2),LEFT(BBDD_Usiarios_Netflix[[#This Row],[Duración Plan]],1))</f>
        <v>1</v>
      </c>
      <c r="W14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02" spans="1:23" x14ac:dyDescent="0.25">
      <c r="A1402">
        <v>1401</v>
      </c>
      <c r="B1402" t="s">
        <v>28</v>
      </c>
      <c r="C1402">
        <v>14</v>
      </c>
      <c r="D1402" s="3">
        <v>17</v>
      </c>
      <c r="E1402" s="3">
        <v>10</v>
      </c>
      <c r="F1402">
        <v>23</v>
      </c>
      <c r="G1402" s="1">
        <f>DATEVALUE(_xlfn.CONCAT(BBDD_Usiarios_Netflix[[#This Row],[Día Suscripción]],"/",BBDD_Usiarios_Netflix[[#This Row],[Mes Suscripción]],"/",BBDD_Usiarios_Netflix[[#This Row],[Año Suscripción]]))</f>
        <v>45216</v>
      </c>
      <c r="H1402" s="1">
        <v>5</v>
      </c>
      <c r="I1402" s="1">
        <v>7</v>
      </c>
      <c r="J1402" s="1">
        <v>24</v>
      </c>
      <c r="K1402" s="1" t="str">
        <f>TEXT(BBDD_Usiarios_Netflix[[#This Row],[Fecha Suscripción]],"dddd")</f>
        <v>martes</v>
      </c>
      <c r="L1402" s="1">
        <f>DATEVALUE(_xlfn.CONCAT(BBDD_Usiarios_Netflix[[#This Row],[Día Último Pago]],"/",BBDD_Usiarios_Netflix[[#This Row],[Mes Último Pago]],"/",BBDD_Usiarios_Netflix[[#This Row],[Año Último Pago]]))</f>
        <v>45478</v>
      </c>
      <c r="M1402" s="4">
        <f>DATEDIF(BBDD_Usiarios_Netflix[[#This Row],[Fecha Suscripción]],BBDD_Usiarios_Netflix[[#This Row],[Fecha Último Pago]],"M")+1</f>
        <v>9</v>
      </c>
      <c r="N1402" s="4">
        <f>BBDD_Usiarios_Netflix[[#This Row],[Ingresos Mensuales]]*BBDD_Usiarios_Netflix[[#This Row],[Meses contratados]]</f>
        <v>126</v>
      </c>
      <c r="O1402" t="s">
        <v>40</v>
      </c>
      <c r="P1402" t="str">
        <f>IF(BBDD_Usiarios_Netflix[[#This Row],[País]]="","Desconocido",BBDD_Usiarios_Netflix[[#This Row],[País]])</f>
        <v>Italia</v>
      </c>
      <c r="Q1402">
        <v>35</v>
      </c>
      <c r="R1402" t="s">
        <v>30</v>
      </c>
      <c r="S1402" t="s">
        <v>34</v>
      </c>
      <c r="T1402" t="s">
        <v>27</v>
      </c>
      <c r="U1402">
        <f>IF(IFERROR(VLOOKUP(BBDD_Usiarios_Netflix[[#This Row],[Identificador Usuario]],A1403:$A$5870,1,FALSE),0)&lt;&gt;0,1,0)</f>
        <v>0</v>
      </c>
      <c r="V1402" s="6" t="str">
        <f>IF(BBDD_Usiarios_Netflix[[#This Row],[Duración Plan]]="12 Meses",LEFT(BBDD_Usiarios_Netflix[[#This Row],[Duración Plan]],2),LEFT(BBDD_Usiarios_Netflix[[#This Row],[Duración Plan]],1))</f>
        <v>1</v>
      </c>
      <c r="W14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03" spans="1:23" x14ac:dyDescent="0.25">
      <c r="A1403">
        <v>1402</v>
      </c>
      <c r="B1403" t="s">
        <v>23</v>
      </c>
      <c r="C1403">
        <v>10</v>
      </c>
      <c r="D1403" s="3">
        <v>21</v>
      </c>
      <c r="E1403" s="3">
        <v>10</v>
      </c>
      <c r="F1403">
        <v>23</v>
      </c>
      <c r="G1403" s="1">
        <f>DATEVALUE(_xlfn.CONCAT(BBDD_Usiarios_Netflix[[#This Row],[Día Suscripción]],"/",BBDD_Usiarios_Netflix[[#This Row],[Mes Suscripción]],"/",BBDD_Usiarios_Netflix[[#This Row],[Año Suscripción]]))</f>
        <v>45220</v>
      </c>
      <c r="H1403" s="1">
        <v>4</v>
      </c>
      <c r="I1403" s="1">
        <v>7</v>
      </c>
      <c r="J1403" s="1">
        <v>24</v>
      </c>
      <c r="K1403" s="1" t="str">
        <f>TEXT(BBDD_Usiarios_Netflix[[#This Row],[Fecha Suscripción]],"dddd")</f>
        <v>sábado</v>
      </c>
      <c r="L1403" s="1">
        <f>DATEVALUE(_xlfn.CONCAT(BBDD_Usiarios_Netflix[[#This Row],[Día Último Pago]],"/",BBDD_Usiarios_Netflix[[#This Row],[Mes Último Pago]],"/",BBDD_Usiarios_Netflix[[#This Row],[Año Último Pago]]))</f>
        <v>45477</v>
      </c>
      <c r="M1403" s="4">
        <f>DATEDIF(BBDD_Usiarios_Netflix[[#This Row],[Fecha Suscripción]],BBDD_Usiarios_Netflix[[#This Row],[Fecha Último Pago]],"M")+1</f>
        <v>9</v>
      </c>
      <c r="N1403" s="4">
        <f>BBDD_Usiarios_Netflix[[#This Row],[Ingresos Mensuales]]*BBDD_Usiarios_Netflix[[#This Row],[Meses contratados]]</f>
        <v>90</v>
      </c>
      <c r="O1403" t="s">
        <v>24</v>
      </c>
      <c r="P1403" t="str">
        <f>IF(BBDD_Usiarios_Netflix[[#This Row],[País]]="","Desconocido",BBDD_Usiarios_Netflix[[#This Row],[País]])</f>
        <v>Australia</v>
      </c>
      <c r="Q1403">
        <v>39</v>
      </c>
      <c r="R1403" t="s">
        <v>30</v>
      </c>
      <c r="S1403" t="s">
        <v>36</v>
      </c>
      <c r="T1403" t="s">
        <v>41</v>
      </c>
      <c r="U1403">
        <f>IF(IFERROR(VLOOKUP(BBDD_Usiarios_Netflix[[#This Row],[Identificador Usuario]],A1404:$A$5870,1,FALSE),0)&lt;&gt;0,1,0)</f>
        <v>0</v>
      </c>
      <c r="V1403" s="6" t="str">
        <f>IF(BBDD_Usiarios_Netflix[[#This Row],[Duración Plan]]="12 Meses",LEFT(BBDD_Usiarios_Netflix[[#This Row],[Duración Plan]],2),LEFT(BBDD_Usiarios_Netflix[[#This Row],[Duración Plan]],1))</f>
        <v>12</v>
      </c>
      <c r="W14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04" spans="1:23" x14ac:dyDescent="0.25">
      <c r="A1404">
        <v>1403</v>
      </c>
      <c r="B1404" t="s">
        <v>32</v>
      </c>
      <c r="C1404">
        <v>12</v>
      </c>
      <c r="D1404" s="3">
        <v>23</v>
      </c>
      <c r="E1404" s="3">
        <v>10</v>
      </c>
      <c r="F1404">
        <v>23</v>
      </c>
      <c r="G1404" s="1">
        <f>DATEVALUE(_xlfn.CONCAT(BBDD_Usiarios_Netflix[[#This Row],[Día Suscripción]],"/",BBDD_Usiarios_Netflix[[#This Row],[Mes Suscripción]],"/",BBDD_Usiarios_Netflix[[#This Row],[Año Suscripción]]))</f>
        <v>45222</v>
      </c>
      <c r="H1404" s="1">
        <v>5</v>
      </c>
      <c r="I1404" s="1">
        <v>7</v>
      </c>
      <c r="J1404" s="1">
        <v>24</v>
      </c>
      <c r="K1404" s="1" t="str">
        <f>TEXT(BBDD_Usiarios_Netflix[[#This Row],[Fecha Suscripción]],"dddd")</f>
        <v>lunes</v>
      </c>
      <c r="L1404" s="1">
        <f>DATEVALUE(_xlfn.CONCAT(BBDD_Usiarios_Netflix[[#This Row],[Día Último Pago]],"/",BBDD_Usiarios_Netflix[[#This Row],[Mes Último Pago]],"/",BBDD_Usiarios_Netflix[[#This Row],[Año Último Pago]]))</f>
        <v>45478</v>
      </c>
      <c r="M1404" s="4">
        <f>DATEDIF(BBDD_Usiarios_Netflix[[#This Row],[Fecha Suscripción]],BBDD_Usiarios_Netflix[[#This Row],[Fecha Último Pago]],"M")+1</f>
        <v>9</v>
      </c>
      <c r="N1404" s="4">
        <f>BBDD_Usiarios_Netflix[[#This Row],[Ingresos Mensuales]]*BBDD_Usiarios_Netflix[[#This Row],[Meses contratados]]</f>
        <v>108</v>
      </c>
      <c r="O1404" t="s">
        <v>24</v>
      </c>
      <c r="P1404" t="str">
        <f>IF(BBDD_Usiarios_Netflix[[#This Row],[País]]="","Desconocido",BBDD_Usiarios_Netflix[[#This Row],[País]])</f>
        <v>Australia</v>
      </c>
      <c r="Q1404">
        <v>48</v>
      </c>
      <c r="R1404" t="s">
        <v>25</v>
      </c>
      <c r="S1404" t="s">
        <v>36</v>
      </c>
      <c r="T1404" t="s">
        <v>38</v>
      </c>
      <c r="U1404">
        <f>IF(IFERROR(VLOOKUP(BBDD_Usiarios_Netflix[[#This Row],[Identificador Usuario]],A1405:$A$5870,1,FALSE),0)&lt;&gt;0,1,0)</f>
        <v>0</v>
      </c>
      <c r="V1404" s="6" t="str">
        <f>IF(BBDD_Usiarios_Netflix[[#This Row],[Duración Plan]]="12 Meses",LEFT(BBDD_Usiarios_Netflix[[#This Row],[Duración Plan]],2),LEFT(BBDD_Usiarios_Netflix[[#This Row],[Duración Plan]],1))</f>
        <v>3</v>
      </c>
      <c r="W14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05" spans="1:23" x14ac:dyDescent="0.25">
      <c r="A1405">
        <v>1404</v>
      </c>
      <c r="B1405" t="s">
        <v>32</v>
      </c>
      <c r="C1405">
        <v>12</v>
      </c>
      <c r="D1405" s="3">
        <v>24</v>
      </c>
      <c r="E1405" s="3">
        <v>10</v>
      </c>
      <c r="F1405">
        <v>23</v>
      </c>
      <c r="G1405" s="1">
        <f>DATEVALUE(_xlfn.CONCAT(BBDD_Usiarios_Netflix[[#This Row],[Día Suscripción]],"/",BBDD_Usiarios_Netflix[[#This Row],[Mes Suscripción]],"/",BBDD_Usiarios_Netflix[[#This Row],[Año Suscripción]]))</f>
        <v>45223</v>
      </c>
      <c r="H1405" s="1">
        <v>5</v>
      </c>
      <c r="I1405" s="1">
        <v>7</v>
      </c>
      <c r="J1405" s="1">
        <v>24</v>
      </c>
      <c r="K1405" s="1" t="str">
        <f>TEXT(BBDD_Usiarios_Netflix[[#This Row],[Fecha Suscripción]],"dddd")</f>
        <v>martes</v>
      </c>
      <c r="L1405" s="1">
        <f>DATEVALUE(_xlfn.CONCAT(BBDD_Usiarios_Netflix[[#This Row],[Día Último Pago]],"/",BBDD_Usiarios_Netflix[[#This Row],[Mes Último Pago]],"/",BBDD_Usiarios_Netflix[[#This Row],[Año Último Pago]]))</f>
        <v>45478</v>
      </c>
      <c r="M1405" s="4">
        <f>DATEDIF(BBDD_Usiarios_Netflix[[#This Row],[Fecha Suscripción]],BBDD_Usiarios_Netflix[[#This Row],[Fecha Último Pago]],"M")+1</f>
        <v>9</v>
      </c>
      <c r="N1405" s="4">
        <f>BBDD_Usiarios_Netflix[[#This Row],[Ingresos Mensuales]]*BBDD_Usiarios_Netflix[[#This Row],[Meses contratados]]</f>
        <v>108</v>
      </c>
      <c r="O1405" t="s">
        <v>33</v>
      </c>
      <c r="P1405" t="str">
        <f>IF(BBDD_Usiarios_Netflix[[#This Row],[País]]="","Desconocido",BBDD_Usiarios_Netflix[[#This Row],[País]])</f>
        <v>Francia</v>
      </c>
      <c r="Q1405">
        <v>42</v>
      </c>
      <c r="R1405" t="s">
        <v>30</v>
      </c>
      <c r="S1405" t="s">
        <v>31</v>
      </c>
      <c r="T1405" t="s">
        <v>38</v>
      </c>
      <c r="U1405">
        <f>IF(IFERROR(VLOOKUP(BBDD_Usiarios_Netflix[[#This Row],[Identificador Usuario]],A1406:$A$5870,1,FALSE),0)&lt;&gt;0,1,0)</f>
        <v>0</v>
      </c>
      <c r="V1405" s="6" t="str">
        <f>IF(BBDD_Usiarios_Netflix[[#This Row],[Duración Plan]]="12 Meses",LEFT(BBDD_Usiarios_Netflix[[#This Row],[Duración Plan]],2),LEFT(BBDD_Usiarios_Netflix[[#This Row],[Duración Plan]],1))</f>
        <v>3</v>
      </c>
      <c r="W14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06" spans="1:23" x14ac:dyDescent="0.25">
      <c r="A1406">
        <v>1405</v>
      </c>
      <c r="B1406" t="s">
        <v>23</v>
      </c>
      <c r="C1406">
        <v>10</v>
      </c>
      <c r="D1406" s="3">
        <v>27</v>
      </c>
      <c r="E1406" s="3">
        <v>10</v>
      </c>
      <c r="F1406">
        <v>23</v>
      </c>
      <c r="G1406" s="1">
        <f>DATEVALUE(_xlfn.CONCAT(BBDD_Usiarios_Netflix[[#This Row],[Día Suscripción]],"/",BBDD_Usiarios_Netflix[[#This Row],[Mes Suscripción]],"/",BBDD_Usiarios_Netflix[[#This Row],[Año Suscripción]]))</f>
        <v>45226</v>
      </c>
      <c r="H1406" s="1">
        <v>6</v>
      </c>
      <c r="I1406" s="1">
        <v>7</v>
      </c>
      <c r="J1406" s="1">
        <v>24</v>
      </c>
      <c r="K1406" s="1" t="str">
        <f>TEXT(BBDD_Usiarios_Netflix[[#This Row],[Fecha Suscripción]],"dddd")</f>
        <v>viernes</v>
      </c>
      <c r="L1406" s="1">
        <f>DATEVALUE(_xlfn.CONCAT(BBDD_Usiarios_Netflix[[#This Row],[Día Último Pago]],"/",BBDD_Usiarios_Netflix[[#This Row],[Mes Último Pago]],"/",BBDD_Usiarios_Netflix[[#This Row],[Año Último Pago]]))</f>
        <v>45479</v>
      </c>
      <c r="M1406" s="4">
        <f>DATEDIF(BBDD_Usiarios_Netflix[[#This Row],[Fecha Suscripción]],BBDD_Usiarios_Netflix[[#This Row],[Fecha Último Pago]],"M")+1</f>
        <v>9</v>
      </c>
      <c r="N1406" s="4">
        <f>BBDD_Usiarios_Netflix[[#This Row],[Ingresos Mensuales]]*BBDD_Usiarios_Netflix[[#This Row],[Meses contratados]]</f>
        <v>90</v>
      </c>
      <c r="O1406" t="s">
        <v>24</v>
      </c>
      <c r="P1406" t="str">
        <f>IF(BBDD_Usiarios_Netflix[[#This Row],[País]]="","Desconocido",BBDD_Usiarios_Netflix[[#This Row],[País]])</f>
        <v>Australia</v>
      </c>
      <c r="Q1406">
        <v>48</v>
      </c>
      <c r="R1406" t="s">
        <v>30</v>
      </c>
      <c r="S1406" t="s">
        <v>34</v>
      </c>
      <c r="T1406" t="s">
        <v>27</v>
      </c>
      <c r="U1406">
        <f>IF(IFERROR(VLOOKUP(BBDD_Usiarios_Netflix[[#This Row],[Identificador Usuario]],A1407:$A$5870,1,FALSE),0)&lt;&gt;0,1,0)</f>
        <v>0</v>
      </c>
      <c r="V1406" s="6" t="str">
        <f>IF(BBDD_Usiarios_Netflix[[#This Row],[Duración Plan]]="12 Meses",LEFT(BBDD_Usiarios_Netflix[[#This Row],[Duración Plan]],2),LEFT(BBDD_Usiarios_Netflix[[#This Row],[Duración Plan]],1))</f>
        <v>1</v>
      </c>
      <c r="W14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07" spans="1:23" x14ac:dyDescent="0.25">
      <c r="A1407">
        <v>1406</v>
      </c>
      <c r="B1407" t="s">
        <v>28</v>
      </c>
      <c r="C1407">
        <v>14</v>
      </c>
      <c r="D1407" s="3">
        <v>30</v>
      </c>
      <c r="E1407" s="3">
        <v>10</v>
      </c>
      <c r="F1407">
        <v>23</v>
      </c>
      <c r="G1407" s="1">
        <f>DATEVALUE(_xlfn.CONCAT(BBDD_Usiarios_Netflix[[#This Row],[Día Suscripción]],"/",BBDD_Usiarios_Netflix[[#This Row],[Mes Suscripción]],"/",BBDD_Usiarios_Netflix[[#This Row],[Año Suscripción]]))</f>
        <v>45229</v>
      </c>
      <c r="H1407" s="1">
        <v>7</v>
      </c>
      <c r="I1407" s="1">
        <v>7</v>
      </c>
      <c r="J1407" s="1">
        <v>24</v>
      </c>
      <c r="K1407" s="1" t="str">
        <f>TEXT(BBDD_Usiarios_Netflix[[#This Row],[Fecha Suscripción]],"dddd")</f>
        <v>lunes</v>
      </c>
      <c r="L1407" s="1">
        <f>DATEVALUE(_xlfn.CONCAT(BBDD_Usiarios_Netflix[[#This Row],[Día Último Pago]],"/",BBDD_Usiarios_Netflix[[#This Row],[Mes Último Pago]],"/",BBDD_Usiarios_Netflix[[#This Row],[Año Último Pago]]))</f>
        <v>45480</v>
      </c>
      <c r="M1407" s="4">
        <f>DATEDIF(BBDD_Usiarios_Netflix[[#This Row],[Fecha Suscripción]],BBDD_Usiarios_Netflix[[#This Row],[Fecha Último Pago]],"M")+1</f>
        <v>9</v>
      </c>
      <c r="N1407" s="4">
        <f>BBDD_Usiarios_Netflix[[#This Row],[Ingresos Mensuales]]*BBDD_Usiarios_Netflix[[#This Row],[Meses contratados]]</f>
        <v>126</v>
      </c>
      <c r="O1407" t="s">
        <v>29</v>
      </c>
      <c r="P1407" t="str">
        <f>IF(BBDD_Usiarios_Netflix[[#This Row],[País]]="","Desconocido",BBDD_Usiarios_Netflix[[#This Row],[País]])</f>
        <v>EEUU</v>
      </c>
      <c r="Q1407">
        <v>33</v>
      </c>
      <c r="R1407" t="s">
        <v>30</v>
      </c>
      <c r="S1407" t="s">
        <v>34</v>
      </c>
      <c r="T1407" t="s">
        <v>27</v>
      </c>
      <c r="U1407">
        <f>IF(IFERROR(VLOOKUP(BBDD_Usiarios_Netflix[[#This Row],[Identificador Usuario]],A1408:$A$5870,1,FALSE),0)&lt;&gt;0,1,0)</f>
        <v>0</v>
      </c>
      <c r="V1407" s="6" t="str">
        <f>IF(BBDD_Usiarios_Netflix[[#This Row],[Duración Plan]]="12 Meses",LEFT(BBDD_Usiarios_Netflix[[#This Row],[Duración Plan]],2),LEFT(BBDD_Usiarios_Netflix[[#This Row],[Duración Plan]],1))</f>
        <v>1</v>
      </c>
      <c r="W14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08" spans="1:23" x14ac:dyDescent="0.25">
      <c r="A1408">
        <v>1407</v>
      </c>
      <c r="B1408" t="s">
        <v>23</v>
      </c>
      <c r="C1408">
        <v>10</v>
      </c>
      <c r="D1408" s="3">
        <v>31</v>
      </c>
      <c r="E1408" s="3">
        <v>10</v>
      </c>
      <c r="F1408">
        <v>23</v>
      </c>
      <c r="G1408" s="1">
        <f>DATEVALUE(_xlfn.CONCAT(BBDD_Usiarios_Netflix[[#This Row],[Día Suscripción]],"/",BBDD_Usiarios_Netflix[[#This Row],[Mes Suscripción]],"/",BBDD_Usiarios_Netflix[[#This Row],[Año Suscripción]]))</f>
        <v>45230</v>
      </c>
      <c r="H1408" s="1">
        <v>4</v>
      </c>
      <c r="I1408" s="1">
        <v>7</v>
      </c>
      <c r="J1408" s="1">
        <v>24</v>
      </c>
      <c r="K1408" s="1" t="str">
        <f>TEXT(BBDD_Usiarios_Netflix[[#This Row],[Fecha Suscripción]],"dddd")</f>
        <v>martes</v>
      </c>
      <c r="L1408" s="1">
        <f>DATEVALUE(_xlfn.CONCAT(BBDD_Usiarios_Netflix[[#This Row],[Día Último Pago]],"/",BBDD_Usiarios_Netflix[[#This Row],[Mes Último Pago]],"/",BBDD_Usiarios_Netflix[[#This Row],[Año Último Pago]]))</f>
        <v>45477</v>
      </c>
      <c r="M1408" s="4">
        <f>DATEDIF(BBDD_Usiarios_Netflix[[#This Row],[Fecha Suscripción]],BBDD_Usiarios_Netflix[[#This Row],[Fecha Último Pago]],"M")+1</f>
        <v>9</v>
      </c>
      <c r="N1408" s="4">
        <f>BBDD_Usiarios_Netflix[[#This Row],[Ingresos Mensuales]]*BBDD_Usiarios_Netflix[[#This Row],[Meses contratados]]</f>
        <v>90</v>
      </c>
      <c r="O1408" t="s">
        <v>33</v>
      </c>
      <c r="P1408" t="str">
        <f>IF(BBDD_Usiarios_Netflix[[#This Row],[País]]="","Desconocido",BBDD_Usiarios_Netflix[[#This Row],[País]])</f>
        <v>Francia</v>
      </c>
      <c r="Q1408">
        <v>45</v>
      </c>
      <c r="R1408" t="s">
        <v>30</v>
      </c>
      <c r="S1408" t="s">
        <v>34</v>
      </c>
      <c r="T1408" t="s">
        <v>35</v>
      </c>
      <c r="U1408">
        <f>IF(IFERROR(VLOOKUP(BBDD_Usiarios_Netflix[[#This Row],[Identificador Usuario]],A1409:$A$5870,1,FALSE),0)&lt;&gt;0,1,0)</f>
        <v>0</v>
      </c>
      <c r="V1408" s="6" t="str">
        <f>IF(BBDD_Usiarios_Netflix[[#This Row],[Duración Plan]]="12 Meses",LEFT(BBDD_Usiarios_Netflix[[#This Row],[Duración Plan]],2),LEFT(BBDD_Usiarios_Netflix[[#This Row],[Duración Plan]],1))</f>
        <v>6</v>
      </c>
      <c r="W14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09" spans="1:23" x14ac:dyDescent="0.25">
      <c r="A1409">
        <v>1408</v>
      </c>
      <c r="B1409" t="s">
        <v>32</v>
      </c>
      <c r="C1409">
        <v>12</v>
      </c>
      <c r="D1409" s="3">
        <v>3</v>
      </c>
      <c r="E1409" s="3">
        <v>11</v>
      </c>
      <c r="F1409">
        <v>23</v>
      </c>
      <c r="G1409" s="1">
        <f>DATEVALUE(_xlfn.CONCAT(BBDD_Usiarios_Netflix[[#This Row],[Día Suscripción]],"/",BBDD_Usiarios_Netflix[[#This Row],[Mes Suscripción]],"/",BBDD_Usiarios_Netflix[[#This Row],[Año Suscripción]]))</f>
        <v>45233</v>
      </c>
      <c r="H1409" s="1">
        <v>4</v>
      </c>
      <c r="I1409" s="1">
        <v>7</v>
      </c>
      <c r="J1409" s="1">
        <v>24</v>
      </c>
      <c r="K1409" s="1" t="str">
        <f>TEXT(BBDD_Usiarios_Netflix[[#This Row],[Fecha Suscripción]],"dddd")</f>
        <v>viernes</v>
      </c>
      <c r="L1409" s="1">
        <f>DATEVALUE(_xlfn.CONCAT(BBDD_Usiarios_Netflix[[#This Row],[Día Último Pago]],"/",BBDD_Usiarios_Netflix[[#This Row],[Mes Último Pago]],"/",BBDD_Usiarios_Netflix[[#This Row],[Año Último Pago]]))</f>
        <v>45477</v>
      </c>
      <c r="M1409" s="4">
        <f>DATEDIF(BBDD_Usiarios_Netflix[[#This Row],[Fecha Suscripción]],BBDD_Usiarios_Netflix[[#This Row],[Fecha Último Pago]],"M")+1</f>
        <v>9</v>
      </c>
      <c r="N1409" s="4">
        <f>BBDD_Usiarios_Netflix[[#This Row],[Ingresos Mensuales]]*BBDD_Usiarios_Netflix[[#This Row],[Meses contratados]]</f>
        <v>108</v>
      </c>
      <c r="O1409" t="s">
        <v>42</v>
      </c>
      <c r="P1409" t="str">
        <f>IF(BBDD_Usiarios_Netflix[[#This Row],[País]]="","Desconocido",BBDD_Usiarios_Netflix[[#This Row],[País]])</f>
        <v>Reino Unido</v>
      </c>
      <c r="Q1409">
        <v>40</v>
      </c>
      <c r="R1409" t="s">
        <v>30</v>
      </c>
      <c r="S1409" t="s">
        <v>34</v>
      </c>
      <c r="T1409" t="s">
        <v>41</v>
      </c>
      <c r="U1409">
        <f>IF(IFERROR(VLOOKUP(BBDD_Usiarios_Netflix[[#This Row],[Identificador Usuario]],A1410:$A$5870,1,FALSE),0)&lt;&gt;0,1,0)</f>
        <v>0</v>
      </c>
      <c r="V1409" s="6" t="str">
        <f>IF(BBDD_Usiarios_Netflix[[#This Row],[Duración Plan]]="12 Meses",LEFT(BBDD_Usiarios_Netflix[[#This Row],[Duración Plan]],2),LEFT(BBDD_Usiarios_Netflix[[#This Row],[Duración Plan]],1))</f>
        <v>12</v>
      </c>
      <c r="W14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10" spans="1:23" x14ac:dyDescent="0.25">
      <c r="A1410">
        <v>1409</v>
      </c>
      <c r="B1410" t="s">
        <v>28</v>
      </c>
      <c r="C1410">
        <v>14</v>
      </c>
      <c r="D1410" s="3">
        <v>5</v>
      </c>
      <c r="E1410" s="3">
        <v>11</v>
      </c>
      <c r="F1410">
        <v>23</v>
      </c>
      <c r="G1410" s="1">
        <f>DATEVALUE(_xlfn.CONCAT(BBDD_Usiarios_Netflix[[#This Row],[Día Suscripción]],"/",BBDD_Usiarios_Netflix[[#This Row],[Mes Suscripción]],"/",BBDD_Usiarios_Netflix[[#This Row],[Año Suscripción]]))</f>
        <v>45235</v>
      </c>
      <c r="H1410" s="1">
        <v>6</v>
      </c>
      <c r="I1410" s="1">
        <v>7</v>
      </c>
      <c r="J1410" s="1">
        <v>24</v>
      </c>
      <c r="K1410" s="1" t="str">
        <f>TEXT(BBDD_Usiarios_Netflix[[#This Row],[Fecha Suscripción]],"dddd")</f>
        <v>domingo</v>
      </c>
      <c r="L1410" s="1">
        <f>DATEVALUE(_xlfn.CONCAT(BBDD_Usiarios_Netflix[[#This Row],[Día Último Pago]],"/",BBDD_Usiarios_Netflix[[#This Row],[Mes Último Pago]],"/",BBDD_Usiarios_Netflix[[#This Row],[Año Último Pago]]))</f>
        <v>45479</v>
      </c>
      <c r="M1410" s="4">
        <f>DATEDIF(BBDD_Usiarios_Netflix[[#This Row],[Fecha Suscripción]],BBDD_Usiarios_Netflix[[#This Row],[Fecha Último Pago]],"M")+1</f>
        <v>9</v>
      </c>
      <c r="N1410" s="4">
        <f>BBDD_Usiarios_Netflix[[#This Row],[Ingresos Mensuales]]*BBDD_Usiarios_Netflix[[#This Row],[Meses contratados]]</f>
        <v>126</v>
      </c>
      <c r="O1410" t="s">
        <v>40</v>
      </c>
      <c r="P1410" t="str">
        <f>IF(BBDD_Usiarios_Netflix[[#This Row],[País]]="","Desconocido",BBDD_Usiarios_Netflix[[#This Row],[País]])</f>
        <v>Italia</v>
      </c>
      <c r="Q1410">
        <v>38</v>
      </c>
      <c r="R1410" t="s">
        <v>25</v>
      </c>
      <c r="S1410" t="s">
        <v>31</v>
      </c>
      <c r="T1410" t="s">
        <v>27</v>
      </c>
      <c r="U1410">
        <f>IF(IFERROR(VLOOKUP(BBDD_Usiarios_Netflix[[#This Row],[Identificador Usuario]],A1411:$A$5870,1,FALSE),0)&lt;&gt;0,1,0)</f>
        <v>0</v>
      </c>
      <c r="V1410" s="6" t="str">
        <f>IF(BBDD_Usiarios_Netflix[[#This Row],[Duración Plan]]="12 Meses",LEFT(BBDD_Usiarios_Netflix[[#This Row],[Duración Plan]],2),LEFT(BBDD_Usiarios_Netflix[[#This Row],[Duración Plan]],1))</f>
        <v>1</v>
      </c>
      <c r="W14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11" spans="1:23" x14ac:dyDescent="0.25">
      <c r="A1411">
        <v>1410</v>
      </c>
      <c r="B1411" t="s">
        <v>23</v>
      </c>
      <c r="C1411">
        <v>10</v>
      </c>
      <c r="D1411" s="3">
        <v>6</v>
      </c>
      <c r="E1411" s="3">
        <v>11</v>
      </c>
      <c r="F1411">
        <v>23</v>
      </c>
      <c r="G1411" s="1">
        <f>DATEVALUE(_xlfn.CONCAT(BBDD_Usiarios_Netflix[[#This Row],[Día Suscripción]],"/",BBDD_Usiarios_Netflix[[#This Row],[Mes Suscripción]],"/",BBDD_Usiarios_Netflix[[#This Row],[Año Suscripción]]))</f>
        <v>45236</v>
      </c>
      <c r="H1411" s="1">
        <v>6</v>
      </c>
      <c r="I1411" s="1">
        <v>7</v>
      </c>
      <c r="J1411" s="1">
        <v>24</v>
      </c>
      <c r="K1411" s="1" t="str">
        <f>TEXT(BBDD_Usiarios_Netflix[[#This Row],[Fecha Suscripción]],"dddd")</f>
        <v>lunes</v>
      </c>
      <c r="L1411" s="1">
        <f>DATEVALUE(_xlfn.CONCAT(BBDD_Usiarios_Netflix[[#This Row],[Día Último Pago]],"/",BBDD_Usiarios_Netflix[[#This Row],[Mes Último Pago]],"/",BBDD_Usiarios_Netflix[[#This Row],[Año Último Pago]]))</f>
        <v>45479</v>
      </c>
      <c r="M1411" s="4">
        <f>DATEDIF(BBDD_Usiarios_Netflix[[#This Row],[Fecha Suscripción]],BBDD_Usiarios_Netflix[[#This Row],[Fecha Último Pago]],"M")+1</f>
        <v>9</v>
      </c>
      <c r="N1411" s="4">
        <f>BBDD_Usiarios_Netflix[[#This Row],[Ingresos Mensuales]]*BBDD_Usiarios_Netflix[[#This Row],[Meses contratados]]</f>
        <v>90</v>
      </c>
      <c r="O1411" t="s">
        <v>33</v>
      </c>
      <c r="P1411" t="str">
        <f>IF(BBDD_Usiarios_Netflix[[#This Row],[País]]="","Desconocido",BBDD_Usiarios_Netflix[[#This Row],[País]])</f>
        <v>Francia</v>
      </c>
      <c r="Q1411">
        <v>31</v>
      </c>
      <c r="R1411" t="s">
        <v>30</v>
      </c>
      <c r="S1411" t="s">
        <v>31</v>
      </c>
      <c r="T1411" t="s">
        <v>38</v>
      </c>
      <c r="U1411">
        <f>IF(IFERROR(VLOOKUP(BBDD_Usiarios_Netflix[[#This Row],[Identificador Usuario]],A1412:$A$5870,1,FALSE),0)&lt;&gt;0,1,0)</f>
        <v>0</v>
      </c>
      <c r="V1411" s="6" t="str">
        <f>IF(BBDD_Usiarios_Netflix[[#This Row],[Duración Plan]]="12 Meses",LEFT(BBDD_Usiarios_Netflix[[#This Row],[Duración Plan]],2),LEFT(BBDD_Usiarios_Netflix[[#This Row],[Duración Plan]],1))</f>
        <v>3</v>
      </c>
      <c r="W14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12" spans="1:23" x14ac:dyDescent="0.25">
      <c r="A1412">
        <v>1411</v>
      </c>
      <c r="B1412" t="s">
        <v>28</v>
      </c>
      <c r="C1412">
        <v>14</v>
      </c>
      <c r="D1412" s="3">
        <v>1</v>
      </c>
      <c r="E1412" s="3">
        <v>11</v>
      </c>
      <c r="F1412">
        <v>23</v>
      </c>
      <c r="G1412" s="1">
        <f>DATEVALUE(_xlfn.CONCAT(BBDD_Usiarios_Netflix[[#This Row],[Día Suscripción]],"/",BBDD_Usiarios_Netflix[[#This Row],[Mes Suscripción]],"/",BBDD_Usiarios_Netflix[[#This Row],[Año Suscripción]]))</f>
        <v>45231</v>
      </c>
      <c r="H1412" s="1">
        <v>4</v>
      </c>
      <c r="I1412" s="1">
        <v>7</v>
      </c>
      <c r="J1412" s="1">
        <v>24</v>
      </c>
      <c r="K1412" s="1" t="str">
        <f>TEXT(BBDD_Usiarios_Netflix[[#This Row],[Fecha Suscripción]],"dddd")</f>
        <v>miércoles</v>
      </c>
      <c r="L1412" s="1">
        <f>DATEVALUE(_xlfn.CONCAT(BBDD_Usiarios_Netflix[[#This Row],[Día Último Pago]],"/",BBDD_Usiarios_Netflix[[#This Row],[Mes Último Pago]],"/",BBDD_Usiarios_Netflix[[#This Row],[Año Último Pago]]))</f>
        <v>45477</v>
      </c>
      <c r="M1412" s="4">
        <f>DATEDIF(BBDD_Usiarios_Netflix[[#This Row],[Fecha Suscripción]],BBDD_Usiarios_Netflix[[#This Row],[Fecha Último Pago]],"M")+1</f>
        <v>9</v>
      </c>
      <c r="N1412" s="4">
        <f>BBDD_Usiarios_Netflix[[#This Row],[Ingresos Mensuales]]*BBDD_Usiarios_Netflix[[#This Row],[Meses contratados]]</f>
        <v>126</v>
      </c>
      <c r="O1412" t="s">
        <v>33</v>
      </c>
      <c r="P1412" t="str">
        <f>IF(BBDD_Usiarios_Netflix[[#This Row],[País]]="","Desconocido",BBDD_Usiarios_Netflix[[#This Row],[País]])</f>
        <v>Francia</v>
      </c>
      <c r="Q1412">
        <v>33</v>
      </c>
      <c r="R1412" t="s">
        <v>30</v>
      </c>
      <c r="S1412" t="s">
        <v>34</v>
      </c>
      <c r="T1412" t="s">
        <v>35</v>
      </c>
      <c r="U1412">
        <f>IF(IFERROR(VLOOKUP(BBDD_Usiarios_Netflix[[#This Row],[Identificador Usuario]],A1413:$A$5870,1,FALSE),0)&lt;&gt;0,1,0)</f>
        <v>0</v>
      </c>
      <c r="V1412" s="6" t="str">
        <f>IF(BBDD_Usiarios_Netflix[[#This Row],[Duración Plan]]="12 Meses",LEFT(BBDD_Usiarios_Netflix[[#This Row],[Duración Plan]],2),LEFT(BBDD_Usiarios_Netflix[[#This Row],[Duración Plan]],1))</f>
        <v>6</v>
      </c>
      <c r="W14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13" spans="1:23" x14ac:dyDescent="0.25">
      <c r="A1413">
        <v>1412</v>
      </c>
      <c r="B1413" t="s">
        <v>23</v>
      </c>
      <c r="C1413">
        <v>10</v>
      </c>
      <c r="D1413" s="3">
        <v>2</v>
      </c>
      <c r="E1413" s="3">
        <v>11</v>
      </c>
      <c r="F1413">
        <v>23</v>
      </c>
      <c r="G1413" s="1">
        <f>DATEVALUE(_xlfn.CONCAT(BBDD_Usiarios_Netflix[[#This Row],[Día Suscripción]],"/",BBDD_Usiarios_Netflix[[#This Row],[Mes Suscripción]],"/",BBDD_Usiarios_Netflix[[#This Row],[Año Suscripción]]))</f>
        <v>45232</v>
      </c>
      <c r="H1413" s="1">
        <v>5</v>
      </c>
      <c r="I1413" s="1">
        <v>7</v>
      </c>
      <c r="J1413" s="1">
        <v>24</v>
      </c>
      <c r="K1413" s="1" t="str">
        <f>TEXT(BBDD_Usiarios_Netflix[[#This Row],[Fecha Suscripción]],"dddd")</f>
        <v>jueves</v>
      </c>
      <c r="L1413" s="1">
        <f>DATEVALUE(_xlfn.CONCAT(BBDD_Usiarios_Netflix[[#This Row],[Día Último Pago]],"/",BBDD_Usiarios_Netflix[[#This Row],[Mes Último Pago]],"/",BBDD_Usiarios_Netflix[[#This Row],[Año Último Pago]]))</f>
        <v>45478</v>
      </c>
      <c r="M1413" s="4">
        <f>DATEDIF(BBDD_Usiarios_Netflix[[#This Row],[Fecha Suscripción]],BBDD_Usiarios_Netflix[[#This Row],[Fecha Último Pago]],"M")+1</f>
        <v>9</v>
      </c>
      <c r="N1413" s="4">
        <f>BBDD_Usiarios_Netflix[[#This Row],[Ingresos Mensuales]]*BBDD_Usiarios_Netflix[[#This Row],[Meses contratados]]</f>
        <v>90</v>
      </c>
      <c r="O1413" t="s">
        <v>39</v>
      </c>
      <c r="P1413" t="str">
        <f>IF(BBDD_Usiarios_Netflix[[#This Row],[País]]="","Desconocido",BBDD_Usiarios_Netflix[[#This Row],[País]])</f>
        <v>Canadá</v>
      </c>
      <c r="Q1413">
        <v>27</v>
      </c>
      <c r="R1413" t="s">
        <v>25</v>
      </c>
      <c r="S1413" t="s">
        <v>36</v>
      </c>
      <c r="T1413" t="s">
        <v>27</v>
      </c>
      <c r="U1413">
        <f>IF(IFERROR(VLOOKUP(BBDD_Usiarios_Netflix[[#This Row],[Identificador Usuario]],A1414:$A$5870,1,FALSE),0)&lt;&gt;0,1,0)</f>
        <v>0</v>
      </c>
      <c r="V1413" s="6" t="str">
        <f>IF(BBDD_Usiarios_Netflix[[#This Row],[Duración Plan]]="12 Meses",LEFT(BBDD_Usiarios_Netflix[[#This Row],[Duración Plan]],2),LEFT(BBDD_Usiarios_Netflix[[#This Row],[Duración Plan]],1))</f>
        <v>1</v>
      </c>
      <c r="W14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14" spans="1:23" x14ac:dyDescent="0.25">
      <c r="A1414">
        <v>1413</v>
      </c>
      <c r="B1414" t="s">
        <v>32</v>
      </c>
      <c r="C1414">
        <v>12</v>
      </c>
      <c r="D1414" s="3">
        <v>2</v>
      </c>
      <c r="E1414" s="3">
        <v>11</v>
      </c>
      <c r="F1414">
        <v>23</v>
      </c>
      <c r="G1414" s="1">
        <f>DATEVALUE(_xlfn.CONCAT(BBDD_Usiarios_Netflix[[#This Row],[Día Suscripción]],"/",BBDD_Usiarios_Netflix[[#This Row],[Mes Suscripción]],"/",BBDD_Usiarios_Netflix[[#This Row],[Año Suscripción]]))</f>
        <v>45232</v>
      </c>
      <c r="H1414" s="1">
        <v>5</v>
      </c>
      <c r="I1414" s="1">
        <v>7</v>
      </c>
      <c r="J1414" s="1">
        <v>24</v>
      </c>
      <c r="K1414" s="1" t="str">
        <f>TEXT(BBDD_Usiarios_Netflix[[#This Row],[Fecha Suscripción]],"dddd")</f>
        <v>jueves</v>
      </c>
      <c r="L1414" s="1">
        <f>DATEVALUE(_xlfn.CONCAT(BBDD_Usiarios_Netflix[[#This Row],[Día Último Pago]],"/",BBDD_Usiarios_Netflix[[#This Row],[Mes Último Pago]],"/",BBDD_Usiarios_Netflix[[#This Row],[Año Último Pago]]))</f>
        <v>45478</v>
      </c>
      <c r="M1414" s="4">
        <f>DATEDIF(BBDD_Usiarios_Netflix[[#This Row],[Fecha Suscripción]],BBDD_Usiarios_Netflix[[#This Row],[Fecha Último Pago]],"M")+1</f>
        <v>9</v>
      </c>
      <c r="N1414" s="4">
        <f>BBDD_Usiarios_Netflix[[#This Row],[Ingresos Mensuales]]*BBDD_Usiarios_Netflix[[#This Row],[Meses contratados]]</f>
        <v>108</v>
      </c>
      <c r="O1414" t="s">
        <v>24</v>
      </c>
      <c r="P1414" t="str">
        <f>IF(BBDD_Usiarios_Netflix[[#This Row],[País]]="","Desconocido",BBDD_Usiarios_Netflix[[#This Row],[País]])</f>
        <v>Australia</v>
      </c>
      <c r="Q1414">
        <v>47</v>
      </c>
      <c r="R1414" t="s">
        <v>25</v>
      </c>
      <c r="S1414" t="s">
        <v>26</v>
      </c>
      <c r="T1414" t="s">
        <v>27</v>
      </c>
      <c r="U1414">
        <f>IF(IFERROR(VLOOKUP(BBDD_Usiarios_Netflix[[#This Row],[Identificador Usuario]],A1415:$A$5870,1,FALSE),0)&lt;&gt;0,1,0)</f>
        <v>0</v>
      </c>
      <c r="V1414" s="6" t="str">
        <f>IF(BBDD_Usiarios_Netflix[[#This Row],[Duración Plan]]="12 Meses",LEFT(BBDD_Usiarios_Netflix[[#This Row],[Duración Plan]],2),LEFT(BBDD_Usiarios_Netflix[[#This Row],[Duración Plan]],1))</f>
        <v>1</v>
      </c>
      <c r="W14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15" spans="1:23" x14ac:dyDescent="0.25">
      <c r="A1415">
        <v>1414</v>
      </c>
      <c r="B1415" t="s">
        <v>32</v>
      </c>
      <c r="C1415">
        <v>12</v>
      </c>
      <c r="D1415" s="3">
        <v>1</v>
      </c>
      <c r="E1415" s="3">
        <v>11</v>
      </c>
      <c r="F1415">
        <v>23</v>
      </c>
      <c r="G1415" s="1">
        <f>DATEVALUE(_xlfn.CONCAT(BBDD_Usiarios_Netflix[[#This Row],[Día Suscripción]],"/",BBDD_Usiarios_Netflix[[#This Row],[Mes Suscripción]],"/",BBDD_Usiarios_Netflix[[#This Row],[Año Suscripción]]))</f>
        <v>45231</v>
      </c>
      <c r="H1415" s="1">
        <v>6</v>
      </c>
      <c r="I1415" s="1">
        <v>7</v>
      </c>
      <c r="J1415" s="1">
        <v>24</v>
      </c>
      <c r="K1415" s="1" t="str">
        <f>TEXT(BBDD_Usiarios_Netflix[[#This Row],[Fecha Suscripción]],"dddd")</f>
        <v>miércoles</v>
      </c>
      <c r="L1415" s="1">
        <f>DATEVALUE(_xlfn.CONCAT(BBDD_Usiarios_Netflix[[#This Row],[Día Último Pago]],"/",BBDD_Usiarios_Netflix[[#This Row],[Mes Último Pago]],"/",BBDD_Usiarios_Netflix[[#This Row],[Año Último Pago]]))</f>
        <v>45479</v>
      </c>
      <c r="M1415" s="4">
        <f>DATEDIF(BBDD_Usiarios_Netflix[[#This Row],[Fecha Suscripción]],BBDD_Usiarios_Netflix[[#This Row],[Fecha Último Pago]],"M")+1</f>
        <v>9</v>
      </c>
      <c r="N1415" s="4">
        <f>BBDD_Usiarios_Netflix[[#This Row],[Ingresos Mensuales]]*BBDD_Usiarios_Netflix[[#This Row],[Meses contratados]]</f>
        <v>108</v>
      </c>
      <c r="O1415" t="s">
        <v>29</v>
      </c>
      <c r="P1415" t="str">
        <f>IF(BBDD_Usiarios_Netflix[[#This Row],[País]]="","Desconocido",BBDD_Usiarios_Netflix[[#This Row],[País]])</f>
        <v>EEUU</v>
      </c>
      <c r="Q1415">
        <v>41</v>
      </c>
      <c r="R1415" t="s">
        <v>25</v>
      </c>
      <c r="S1415" t="s">
        <v>31</v>
      </c>
      <c r="T1415" t="s">
        <v>27</v>
      </c>
      <c r="U1415">
        <f>IF(IFERROR(VLOOKUP(BBDD_Usiarios_Netflix[[#This Row],[Identificador Usuario]],A1416:$A$5870,1,FALSE),0)&lt;&gt;0,1,0)</f>
        <v>0</v>
      </c>
      <c r="V1415" s="6" t="str">
        <f>IF(BBDD_Usiarios_Netflix[[#This Row],[Duración Plan]]="12 Meses",LEFT(BBDD_Usiarios_Netflix[[#This Row],[Duración Plan]],2),LEFT(BBDD_Usiarios_Netflix[[#This Row],[Duración Plan]],1))</f>
        <v>1</v>
      </c>
      <c r="W14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16" spans="1:23" x14ac:dyDescent="0.25">
      <c r="A1416">
        <v>1415</v>
      </c>
      <c r="B1416" t="s">
        <v>23</v>
      </c>
      <c r="C1416">
        <v>10</v>
      </c>
      <c r="D1416" s="3">
        <v>17</v>
      </c>
      <c r="E1416" s="3">
        <v>10</v>
      </c>
      <c r="F1416">
        <v>23</v>
      </c>
      <c r="G1416" s="1">
        <f>DATEVALUE(_xlfn.CONCAT(BBDD_Usiarios_Netflix[[#This Row],[Día Suscripción]],"/",BBDD_Usiarios_Netflix[[#This Row],[Mes Suscripción]],"/",BBDD_Usiarios_Netflix[[#This Row],[Año Suscripción]]))</f>
        <v>45216</v>
      </c>
      <c r="H1416" s="1">
        <v>3</v>
      </c>
      <c r="I1416" s="1">
        <v>7</v>
      </c>
      <c r="J1416" s="1">
        <v>24</v>
      </c>
      <c r="K1416" s="1" t="str">
        <f>TEXT(BBDD_Usiarios_Netflix[[#This Row],[Fecha Suscripción]],"dddd")</f>
        <v>martes</v>
      </c>
      <c r="L1416" s="1">
        <f>DATEVALUE(_xlfn.CONCAT(BBDD_Usiarios_Netflix[[#This Row],[Día Último Pago]],"/",BBDD_Usiarios_Netflix[[#This Row],[Mes Último Pago]],"/",BBDD_Usiarios_Netflix[[#This Row],[Año Último Pago]]))</f>
        <v>45476</v>
      </c>
      <c r="M1416" s="4">
        <f>DATEDIF(BBDD_Usiarios_Netflix[[#This Row],[Fecha Suscripción]],BBDD_Usiarios_Netflix[[#This Row],[Fecha Último Pago]],"M")+1</f>
        <v>9</v>
      </c>
      <c r="N1416" s="4">
        <f>BBDD_Usiarios_Netflix[[#This Row],[Ingresos Mensuales]]*BBDD_Usiarios_Netflix[[#This Row],[Meses contratados]]</f>
        <v>90</v>
      </c>
      <c r="O1416" t="s">
        <v>24</v>
      </c>
      <c r="P1416" t="str">
        <f>IF(BBDD_Usiarios_Netflix[[#This Row],[País]]="","Desconocido",BBDD_Usiarios_Netflix[[#This Row],[País]])</f>
        <v>Australia</v>
      </c>
      <c r="Q1416">
        <v>32</v>
      </c>
      <c r="R1416" t="s">
        <v>30</v>
      </c>
      <c r="S1416" t="s">
        <v>34</v>
      </c>
      <c r="T1416" t="s">
        <v>41</v>
      </c>
      <c r="U1416">
        <f>IF(IFERROR(VLOOKUP(BBDD_Usiarios_Netflix[[#This Row],[Identificador Usuario]],A1417:$A$5870,1,FALSE),0)&lt;&gt;0,1,0)</f>
        <v>0</v>
      </c>
      <c r="V1416" s="6" t="str">
        <f>IF(BBDD_Usiarios_Netflix[[#This Row],[Duración Plan]]="12 Meses",LEFT(BBDD_Usiarios_Netflix[[#This Row],[Duración Plan]],2),LEFT(BBDD_Usiarios_Netflix[[#This Row],[Duración Plan]],1))</f>
        <v>12</v>
      </c>
      <c r="W14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17" spans="1:23" x14ac:dyDescent="0.25">
      <c r="A1417">
        <v>1416</v>
      </c>
      <c r="B1417" t="s">
        <v>28</v>
      </c>
      <c r="C1417">
        <v>14</v>
      </c>
      <c r="D1417" s="3">
        <v>18</v>
      </c>
      <c r="E1417" s="3">
        <v>10</v>
      </c>
      <c r="F1417">
        <v>23</v>
      </c>
      <c r="G1417" s="1">
        <f>DATEVALUE(_xlfn.CONCAT(BBDD_Usiarios_Netflix[[#This Row],[Día Suscripción]],"/",BBDD_Usiarios_Netflix[[#This Row],[Mes Suscripción]],"/",BBDD_Usiarios_Netflix[[#This Row],[Año Suscripción]]))</f>
        <v>45217</v>
      </c>
      <c r="H1417" s="1">
        <v>5</v>
      </c>
      <c r="I1417" s="1">
        <v>7</v>
      </c>
      <c r="J1417" s="1">
        <v>24</v>
      </c>
      <c r="K1417" s="1" t="str">
        <f>TEXT(BBDD_Usiarios_Netflix[[#This Row],[Fecha Suscripción]],"dddd")</f>
        <v>miércoles</v>
      </c>
      <c r="L1417" s="1">
        <f>DATEVALUE(_xlfn.CONCAT(BBDD_Usiarios_Netflix[[#This Row],[Día Último Pago]],"/",BBDD_Usiarios_Netflix[[#This Row],[Mes Último Pago]],"/",BBDD_Usiarios_Netflix[[#This Row],[Año Último Pago]]))</f>
        <v>45478</v>
      </c>
      <c r="M1417" s="4">
        <f>DATEDIF(BBDD_Usiarios_Netflix[[#This Row],[Fecha Suscripción]],BBDD_Usiarios_Netflix[[#This Row],[Fecha Último Pago]],"M")+1</f>
        <v>9</v>
      </c>
      <c r="N1417" s="4">
        <f>BBDD_Usiarios_Netflix[[#This Row],[Ingresos Mensuales]]*BBDD_Usiarios_Netflix[[#This Row],[Meses contratados]]</f>
        <v>126</v>
      </c>
      <c r="O1417" t="s">
        <v>46</v>
      </c>
      <c r="P1417" t="str">
        <f>IF(BBDD_Usiarios_Netflix[[#This Row],[País]]="","Desconocido",BBDD_Usiarios_Netflix[[#This Row],[País]])</f>
        <v>Méjico</v>
      </c>
      <c r="Q1417">
        <v>31</v>
      </c>
      <c r="R1417" t="s">
        <v>25</v>
      </c>
      <c r="S1417" t="s">
        <v>34</v>
      </c>
      <c r="T1417" t="s">
        <v>27</v>
      </c>
      <c r="U1417">
        <f>IF(IFERROR(VLOOKUP(BBDD_Usiarios_Netflix[[#This Row],[Identificador Usuario]],A1418:$A$5870,1,FALSE),0)&lt;&gt;0,1,0)</f>
        <v>0</v>
      </c>
      <c r="V1417" s="6" t="str">
        <f>IF(BBDD_Usiarios_Netflix[[#This Row],[Duración Plan]]="12 Meses",LEFT(BBDD_Usiarios_Netflix[[#This Row],[Duración Plan]],2),LEFT(BBDD_Usiarios_Netflix[[#This Row],[Duración Plan]],1))</f>
        <v>1</v>
      </c>
      <c r="W14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18" spans="1:23" x14ac:dyDescent="0.25">
      <c r="A1418">
        <v>1417</v>
      </c>
      <c r="B1418" t="s">
        <v>23</v>
      </c>
      <c r="C1418">
        <v>10</v>
      </c>
      <c r="D1418" s="3">
        <v>28</v>
      </c>
      <c r="E1418" s="3">
        <v>9</v>
      </c>
      <c r="F1418">
        <v>23</v>
      </c>
      <c r="G1418" s="1">
        <f>DATEVALUE(_xlfn.CONCAT(BBDD_Usiarios_Netflix[[#This Row],[Día Suscripción]],"/",BBDD_Usiarios_Netflix[[#This Row],[Mes Suscripción]],"/",BBDD_Usiarios_Netflix[[#This Row],[Año Suscripción]]))</f>
        <v>45197</v>
      </c>
      <c r="H1418" s="1">
        <v>5</v>
      </c>
      <c r="I1418" s="1">
        <v>7</v>
      </c>
      <c r="J1418" s="1">
        <v>24</v>
      </c>
      <c r="K1418" s="1" t="str">
        <f>TEXT(BBDD_Usiarios_Netflix[[#This Row],[Fecha Suscripción]],"dddd")</f>
        <v>jueves</v>
      </c>
      <c r="L1418" s="1">
        <f>DATEVALUE(_xlfn.CONCAT(BBDD_Usiarios_Netflix[[#This Row],[Día Último Pago]],"/",BBDD_Usiarios_Netflix[[#This Row],[Mes Último Pago]],"/",BBDD_Usiarios_Netflix[[#This Row],[Año Último Pago]]))</f>
        <v>45478</v>
      </c>
      <c r="M1418" s="4">
        <f>DATEDIF(BBDD_Usiarios_Netflix[[#This Row],[Fecha Suscripción]],BBDD_Usiarios_Netflix[[#This Row],[Fecha Último Pago]],"M")+1</f>
        <v>10</v>
      </c>
      <c r="N1418" s="4">
        <f>BBDD_Usiarios_Netflix[[#This Row],[Ingresos Mensuales]]*BBDD_Usiarios_Netflix[[#This Row],[Meses contratados]]</f>
        <v>100</v>
      </c>
      <c r="O1418" t="s">
        <v>42</v>
      </c>
      <c r="P1418" t="str">
        <f>IF(BBDD_Usiarios_Netflix[[#This Row],[País]]="","Desconocido",BBDD_Usiarios_Netflix[[#This Row],[País]])</f>
        <v>Reino Unido</v>
      </c>
      <c r="Q1418">
        <v>43</v>
      </c>
      <c r="R1418" t="s">
        <v>30</v>
      </c>
      <c r="S1418" t="s">
        <v>31</v>
      </c>
      <c r="T1418" t="s">
        <v>41</v>
      </c>
      <c r="U1418">
        <f>IF(IFERROR(VLOOKUP(BBDD_Usiarios_Netflix[[#This Row],[Identificador Usuario]],A1419:$A$5870,1,FALSE),0)&lt;&gt;0,1,0)</f>
        <v>0</v>
      </c>
      <c r="V1418" s="6" t="str">
        <f>IF(BBDD_Usiarios_Netflix[[#This Row],[Duración Plan]]="12 Meses",LEFT(BBDD_Usiarios_Netflix[[#This Row],[Duración Plan]],2),LEFT(BBDD_Usiarios_Netflix[[#This Row],[Duración Plan]],1))</f>
        <v>12</v>
      </c>
      <c r="W14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19" spans="1:23" x14ac:dyDescent="0.25">
      <c r="A1419">
        <v>1418</v>
      </c>
      <c r="B1419" t="s">
        <v>32</v>
      </c>
      <c r="C1419">
        <v>12</v>
      </c>
      <c r="D1419" s="3">
        <v>23</v>
      </c>
      <c r="E1419" s="3">
        <v>9</v>
      </c>
      <c r="F1419">
        <v>23</v>
      </c>
      <c r="G1419" s="1">
        <f>DATEVALUE(_xlfn.CONCAT(BBDD_Usiarios_Netflix[[#This Row],[Día Suscripción]],"/",BBDD_Usiarios_Netflix[[#This Row],[Mes Suscripción]],"/",BBDD_Usiarios_Netflix[[#This Row],[Año Suscripción]]))</f>
        <v>45192</v>
      </c>
      <c r="H1419" s="1">
        <v>5</v>
      </c>
      <c r="I1419" s="1">
        <v>7</v>
      </c>
      <c r="J1419" s="1">
        <v>24</v>
      </c>
      <c r="K1419" s="1" t="str">
        <f>TEXT(BBDD_Usiarios_Netflix[[#This Row],[Fecha Suscripción]],"dddd")</f>
        <v>sábado</v>
      </c>
      <c r="L1419" s="1">
        <f>DATEVALUE(_xlfn.CONCAT(BBDD_Usiarios_Netflix[[#This Row],[Día Último Pago]],"/",BBDD_Usiarios_Netflix[[#This Row],[Mes Último Pago]],"/",BBDD_Usiarios_Netflix[[#This Row],[Año Último Pago]]))</f>
        <v>45478</v>
      </c>
      <c r="M1419" s="4">
        <f>DATEDIF(BBDD_Usiarios_Netflix[[#This Row],[Fecha Suscripción]],BBDD_Usiarios_Netflix[[#This Row],[Fecha Último Pago]],"M")+1</f>
        <v>10</v>
      </c>
      <c r="N1419" s="4">
        <f>BBDD_Usiarios_Netflix[[#This Row],[Ingresos Mensuales]]*BBDD_Usiarios_Netflix[[#This Row],[Meses contratados]]</f>
        <v>120</v>
      </c>
      <c r="O1419" t="s">
        <v>43</v>
      </c>
      <c r="P1419" t="str">
        <f>IF(BBDD_Usiarios_Netflix[[#This Row],[País]]="","Desconocido",BBDD_Usiarios_Netflix[[#This Row],[País]])</f>
        <v>Alemania</v>
      </c>
      <c r="Q1419">
        <v>42</v>
      </c>
      <c r="R1419" t="s">
        <v>30</v>
      </c>
      <c r="S1419" t="s">
        <v>34</v>
      </c>
      <c r="T1419" t="s">
        <v>38</v>
      </c>
      <c r="U1419">
        <f>IF(IFERROR(VLOOKUP(BBDD_Usiarios_Netflix[[#This Row],[Identificador Usuario]],A1420:$A$5870,1,FALSE),0)&lt;&gt;0,1,0)</f>
        <v>0</v>
      </c>
      <c r="V1419" s="6" t="str">
        <f>IF(BBDD_Usiarios_Netflix[[#This Row],[Duración Plan]]="12 Meses",LEFT(BBDD_Usiarios_Netflix[[#This Row],[Duración Plan]],2),LEFT(BBDD_Usiarios_Netflix[[#This Row],[Duración Plan]],1))</f>
        <v>3</v>
      </c>
      <c r="W14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20" spans="1:23" x14ac:dyDescent="0.25">
      <c r="A1420">
        <v>1419</v>
      </c>
      <c r="B1420" t="s">
        <v>28</v>
      </c>
      <c r="C1420">
        <v>14</v>
      </c>
      <c r="D1420" s="3">
        <v>22</v>
      </c>
      <c r="E1420" s="3">
        <v>9</v>
      </c>
      <c r="F1420">
        <v>23</v>
      </c>
      <c r="G1420" s="1">
        <f>DATEVALUE(_xlfn.CONCAT(BBDD_Usiarios_Netflix[[#This Row],[Día Suscripción]],"/",BBDD_Usiarios_Netflix[[#This Row],[Mes Suscripción]],"/",BBDD_Usiarios_Netflix[[#This Row],[Año Suscripción]]))</f>
        <v>45191</v>
      </c>
      <c r="H1420" s="1">
        <v>3</v>
      </c>
      <c r="I1420" s="1">
        <v>7</v>
      </c>
      <c r="J1420" s="1">
        <v>24</v>
      </c>
      <c r="K1420" s="1" t="str">
        <f>TEXT(BBDD_Usiarios_Netflix[[#This Row],[Fecha Suscripción]],"dddd")</f>
        <v>viernes</v>
      </c>
      <c r="L1420" s="1">
        <f>DATEVALUE(_xlfn.CONCAT(BBDD_Usiarios_Netflix[[#This Row],[Día Último Pago]],"/",BBDD_Usiarios_Netflix[[#This Row],[Mes Último Pago]],"/",BBDD_Usiarios_Netflix[[#This Row],[Año Último Pago]]))</f>
        <v>45476</v>
      </c>
      <c r="M1420" s="4">
        <f>DATEDIF(BBDD_Usiarios_Netflix[[#This Row],[Fecha Suscripción]],BBDD_Usiarios_Netflix[[#This Row],[Fecha Último Pago]],"M")+1</f>
        <v>10</v>
      </c>
      <c r="N1420" s="4">
        <f>BBDD_Usiarios_Netflix[[#This Row],[Ingresos Mensuales]]*BBDD_Usiarios_Netflix[[#This Row],[Meses contratados]]</f>
        <v>140</v>
      </c>
      <c r="O1420" t="s">
        <v>29</v>
      </c>
      <c r="P1420" t="str">
        <f>IF(BBDD_Usiarios_Netflix[[#This Row],[País]]="","Desconocido",BBDD_Usiarios_Netflix[[#This Row],[País]])</f>
        <v>EEUU</v>
      </c>
      <c r="Q1420">
        <v>46</v>
      </c>
      <c r="R1420" t="s">
        <v>25</v>
      </c>
      <c r="S1420" t="s">
        <v>26</v>
      </c>
      <c r="T1420" t="s">
        <v>27</v>
      </c>
      <c r="U1420">
        <f>IF(IFERROR(VLOOKUP(BBDD_Usiarios_Netflix[[#This Row],[Identificador Usuario]],A1421:$A$5870,1,FALSE),0)&lt;&gt;0,1,0)</f>
        <v>0</v>
      </c>
      <c r="V1420" s="6" t="str">
        <f>IF(BBDD_Usiarios_Netflix[[#This Row],[Duración Plan]]="12 Meses",LEFT(BBDD_Usiarios_Netflix[[#This Row],[Duración Plan]],2),LEFT(BBDD_Usiarios_Netflix[[#This Row],[Duración Plan]],1))</f>
        <v>1</v>
      </c>
      <c r="W14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21" spans="1:23" x14ac:dyDescent="0.25">
      <c r="A1421">
        <v>1420</v>
      </c>
      <c r="B1421" t="s">
        <v>23</v>
      </c>
      <c r="C1421">
        <v>10</v>
      </c>
      <c r="D1421" s="3">
        <v>31</v>
      </c>
      <c r="E1421" s="3">
        <v>8</v>
      </c>
      <c r="F1421">
        <v>23</v>
      </c>
      <c r="G1421" s="1">
        <f>DATEVALUE(_xlfn.CONCAT(BBDD_Usiarios_Netflix[[#This Row],[Día Suscripción]],"/",BBDD_Usiarios_Netflix[[#This Row],[Mes Suscripción]],"/",BBDD_Usiarios_Netflix[[#This Row],[Año Suscripción]]))</f>
        <v>45169</v>
      </c>
      <c r="H1421" s="1">
        <v>4</v>
      </c>
      <c r="I1421" s="1">
        <v>7</v>
      </c>
      <c r="J1421" s="1">
        <v>24</v>
      </c>
      <c r="K1421" s="1" t="str">
        <f>TEXT(BBDD_Usiarios_Netflix[[#This Row],[Fecha Suscripción]],"dddd")</f>
        <v>jueves</v>
      </c>
      <c r="L1421" s="1">
        <f>DATEVALUE(_xlfn.CONCAT(BBDD_Usiarios_Netflix[[#This Row],[Día Último Pago]],"/",BBDD_Usiarios_Netflix[[#This Row],[Mes Último Pago]],"/",BBDD_Usiarios_Netflix[[#This Row],[Año Último Pago]]))</f>
        <v>45477</v>
      </c>
      <c r="M1421" s="4">
        <f>DATEDIF(BBDD_Usiarios_Netflix[[#This Row],[Fecha Suscripción]],BBDD_Usiarios_Netflix[[#This Row],[Fecha Último Pago]],"M")+1</f>
        <v>11</v>
      </c>
      <c r="N1421" s="4">
        <f>BBDD_Usiarios_Netflix[[#This Row],[Ingresos Mensuales]]*BBDD_Usiarios_Netflix[[#This Row],[Meses contratados]]</f>
        <v>110</v>
      </c>
      <c r="O1421" t="s">
        <v>42</v>
      </c>
      <c r="P1421" t="str">
        <f>IF(BBDD_Usiarios_Netflix[[#This Row],[País]]="","Desconocido",BBDD_Usiarios_Netflix[[#This Row],[País]])</f>
        <v>Reino Unido</v>
      </c>
      <c r="Q1421">
        <v>27</v>
      </c>
      <c r="R1421" t="s">
        <v>30</v>
      </c>
      <c r="S1421" t="s">
        <v>26</v>
      </c>
      <c r="T1421" t="s">
        <v>27</v>
      </c>
      <c r="U1421">
        <f>IF(IFERROR(VLOOKUP(BBDD_Usiarios_Netflix[[#This Row],[Identificador Usuario]],A1422:$A$5870,1,FALSE),0)&lt;&gt;0,1,0)</f>
        <v>0</v>
      </c>
      <c r="V1421" s="6" t="str">
        <f>IF(BBDD_Usiarios_Netflix[[#This Row],[Duración Plan]]="12 Meses",LEFT(BBDD_Usiarios_Netflix[[#This Row],[Duración Plan]],2),LEFT(BBDD_Usiarios_Netflix[[#This Row],[Duración Plan]],1))</f>
        <v>1</v>
      </c>
      <c r="W14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22" spans="1:23" x14ac:dyDescent="0.25">
      <c r="A1422">
        <v>1421</v>
      </c>
      <c r="B1422" t="s">
        <v>23</v>
      </c>
      <c r="C1422">
        <v>10</v>
      </c>
      <c r="D1422" s="3">
        <v>28</v>
      </c>
      <c r="E1422" s="3">
        <v>8</v>
      </c>
      <c r="F1422">
        <v>23</v>
      </c>
      <c r="G1422" s="1">
        <f>DATEVALUE(_xlfn.CONCAT(BBDD_Usiarios_Netflix[[#This Row],[Día Suscripción]],"/",BBDD_Usiarios_Netflix[[#This Row],[Mes Suscripción]],"/",BBDD_Usiarios_Netflix[[#This Row],[Año Suscripción]]))</f>
        <v>45166</v>
      </c>
      <c r="H1422" s="1">
        <v>5</v>
      </c>
      <c r="I1422" s="1">
        <v>7</v>
      </c>
      <c r="J1422" s="1">
        <v>24</v>
      </c>
      <c r="K1422" s="1" t="str">
        <f>TEXT(BBDD_Usiarios_Netflix[[#This Row],[Fecha Suscripción]],"dddd")</f>
        <v>lunes</v>
      </c>
      <c r="L1422" s="1">
        <f>DATEVALUE(_xlfn.CONCAT(BBDD_Usiarios_Netflix[[#This Row],[Día Último Pago]],"/",BBDD_Usiarios_Netflix[[#This Row],[Mes Último Pago]],"/",BBDD_Usiarios_Netflix[[#This Row],[Año Último Pago]]))</f>
        <v>45478</v>
      </c>
      <c r="M1422" s="4">
        <f>DATEDIF(BBDD_Usiarios_Netflix[[#This Row],[Fecha Suscripción]],BBDD_Usiarios_Netflix[[#This Row],[Fecha Último Pago]],"M")+1</f>
        <v>11</v>
      </c>
      <c r="N1422" s="4">
        <f>BBDD_Usiarios_Netflix[[#This Row],[Ingresos Mensuales]]*BBDD_Usiarios_Netflix[[#This Row],[Meses contratados]]</f>
        <v>110</v>
      </c>
      <c r="O1422" t="s">
        <v>24</v>
      </c>
      <c r="P1422" t="str">
        <f>IF(BBDD_Usiarios_Netflix[[#This Row],[País]]="","Desconocido",BBDD_Usiarios_Netflix[[#This Row],[País]])</f>
        <v>Australia</v>
      </c>
      <c r="Q1422">
        <v>48</v>
      </c>
      <c r="R1422" t="s">
        <v>30</v>
      </c>
      <c r="S1422" t="s">
        <v>34</v>
      </c>
      <c r="T1422" t="s">
        <v>27</v>
      </c>
      <c r="U1422">
        <f>IF(IFERROR(VLOOKUP(BBDD_Usiarios_Netflix[[#This Row],[Identificador Usuario]],A1423:$A$5870,1,FALSE),0)&lt;&gt;0,1,0)</f>
        <v>0</v>
      </c>
      <c r="V1422" s="6" t="str">
        <f>IF(BBDD_Usiarios_Netflix[[#This Row],[Duración Plan]]="12 Meses",LEFT(BBDD_Usiarios_Netflix[[#This Row],[Duración Plan]],2),LEFT(BBDD_Usiarios_Netflix[[#This Row],[Duración Plan]],1))</f>
        <v>1</v>
      </c>
      <c r="W14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23" spans="1:23" x14ac:dyDescent="0.25">
      <c r="A1423">
        <v>1422</v>
      </c>
      <c r="B1423" t="s">
        <v>23</v>
      </c>
      <c r="C1423">
        <v>10</v>
      </c>
      <c r="D1423" s="3">
        <v>27</v>
      </c>
      <c r="E1423" s="3">
        <v>8</v>
      </c>
      <c r="F1423">
        <v>23</v>
      </c>
      <c r="G1423" s="1">
        <f>DATEVALUE(_xlfn.CONCAT(BBDD_Usiarios_Netflix[[#This Row],[Día Suscripción]],"/",BBDD_Usiarios_Netflix[[#This Row],[Mes Suscripción]],"/",BBDD_Usiarios_Netflix[[#This Row],[Año Suscripción]]))</f>
        <v>45165</v>
      </c>
      <c r="H1423" s="1">
        <v>5</v>
      </c>
      <c r="I1423" s="1">
        <v>7</v>
      </c>
      <c r="J1423" s="1">
        <v>24</v>
      </c>
      <c r="K1423" s="1" t="str">
        <f>TEXT(BBDD_Usiarios_Netflix[[#This Row],[Fecha Suscripción]],"dddd")</f>
        <v>domingo</v>
      </c>
      <c r="L1423" s="1">
        <f>DATEVALUE(_xlfn.CONCAT(BBDD_Usiarios_Netflix[[#This Row],[Día Último Pago]],"/",BBDD_Usiarios_Netflix[[#This Row],[Mes Último Pago]],"/",BBDD_Usiarios_Netflix[[#This Row],[Año Último Pago]]))</f>
        <v>45478</v>
      </c>
      <c r="M1423" s="4">
        <f>DATEDIF(BBDD_Usiarios_Netflix[[#This Row],[Fecha Suscripción]],BBDD_Usiarios_Netflix[[#This Row],[Fecha Último Pago]],"M")+1</f>
        <v>11</v>
      </c>
      <c r="N1423" s="4">
        <f>BBDD_Usiarios_Netflix[[#This Row],[Ingresos Mensuales]]*BBDD_Usiarios_Netflix[[#This Row],[Meses contratados]]</f>
        <v>110</v>
      </c>
      <c r="O1423" t="s">
        <v>42</v>
      </c>
      <c r="P1423" t="str">
        <f>IF(BBDD_Usiarios_Netflix[[#This Row],[País]]="","Desconocido",BBDD_Usiarios_Netflix[[#This Row],[País]])</f>
        <v>Reino Unido</v>
      </c>
      <c r="Q1423">
        <v>49</v>
      </c>
      <c r="R1423" t="s">
        <v>25</v>
      </c>
      <c r="S1423" t="s">
        <v>36</v>
      </c>
      <c r="T1423" t="s">
        <v>35</v>
      </c>
      <c r="U1423">
        <f>IF(IFERROR(VLOOKUP(BBDD_Usiarios_Netflix[[#This Row],[Identificador Usuario]],A1424:$A$5870,1,FALSE),0)&lt;&gt;0,1,0)</f>
        <v>0</v>
      </c>
      <c r="V1423" s="6" t="str">
        <f>IF(BBDD_Usiarios_Netflix[[#This Row],[Duración Plan]]="12 Meses",LEFT(BBDD_Usiarios_Netflix[[#This Row],[Duración Plan]],2),LEFT(BBDD_Usiarios_Netflix[[#This Row],[Duración Plan]],1))</f>
        <v>6</v>
      </c>
      <c r="W14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24" spans="1:23" x14ac:dyDescent="0.25">
      <c r="A1424">
        <v>1423</v>
      </c>
      <c r="B1424" t="s">
        <v>32</v>
      </c>
      <c r="C1424">
        <v>12</v>
      </c>
      <c r="D1424" s="3">
        <v>17</v>
      </c>
      <c r="E1424" s="3">
        <v>8</v>
      </c>
      <c r="F1424">
        <v>23</v>
      </c>
      <c r="G1424" s="1">
        <f>DATEVALUE(_xlfn.CONCAT(BBDD_Usiarios_Netflix[[#This Row],[Día Suscripción]],"/",BBDD_Usiarios_Netflix[[#This Row],[Mes Suscripción]],"/",BBDD_Usiarios_Netflix[[#This Row],[Año Suscripción]]))</f>
        <v>45155</v>
      </c>
      <c r="H1424" s="1">
        <v>3</v>
      </c>
      <c r="I1424" s="1">
        <v>7</v>
      </c>
      <c r="J1424" s="1">
        <v>24</v>
      </c>
      <c r="K1424" s="1" t="str">
        <f>TEXT(BBDD_Usiarios_Netflix[[#This Row],[Fecha Suscripción]],"dddd")</f>
        <v>jueves</v>
      </c>
      <c r="L1424" s="1">
        <f>DATEVALUE(_xlfn.CONCAT(BBDD_Usiarios_Netflix[[#This Row],[Día Último Pago]],"/",BBDD_Usiarios_Netflix[[#This Row],[Mes Último Pago]],"/",BBDD_Usiarios_Netflix[[#This Row],[Año Último Pago]]))</f>
        <v>45476</v>
      </c>
      <c r="M1424" s="4">
        <f>DATEDIF(BBDD_Usiarios_Netflix[[#This Row],[Fecha Suscripción]],BBDD_Usiarios_Netflix[[#This Row],[Fecha Último Pago]],"M")+1</f>
        <v>11</v>
      </c>
      <c r="N1424" s="4">
        <f>BBDD_Usiarios_Netflix[[#This Row],[Ingresos Mensuales]]*BBDD_Usiarios_Netflix[[#This Row],[Meses contratados]]</f>
        <v>132</v>
      </c>
      <c r="O1424" t="s">
        <v>42</v>
      </c>
      <c r="P1424" t="str">
        <f>IF(BBDD_Usiarios_Netflix[[#This Row],[País]]="","Desconocido",BBDD_Usiarios_Netflix[[#This Row],[País]])</f>
        <v>Reino Unido</v>
      </c>
      <c r="Q1424">
        <v>43</v>
      </c>
      <c r="R1424" t="s">
        <v>25</v>
      </c>
      <c r="S1424" t="s">
        <v>34</v>
      </c>
      <c r="T1424" t="s">
        <v>35</v>
      </c>
      <c r="U1424">
        <f>IF(IFERROR(VLOOKUP(BBDD_Usiarios_Netflix[[#This Row],[Identificador Usuario]],A1425:$A$5870,1,FALSE),0)&lt;&gt;0,1,0)</f>
        <v>0</v>
      </c>
      <c r="V1424" s="6" t="str">
        <f>IF(BBDD_Usiarios_Netflix[[#This Row],[Duración Plan]]="12 Meses",LEFT(BBDD_Usiarios_Netflix[[#This Row],[Duración Plan]],2),LEFT(BBDD_Usiarios_Netflix[[#This Row],[Duración Plan]],1))</f>
        <v>6</v>
      </c>
      <c r="W14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25" spans="1:23" x14ac:dyDescent="0.25">
      <c r="A1425">
        <v>1424</v>
      </c>
      <c r="B1425" t="s">
        <v>28</v>
      </c>
      <c r="C1425">
        <v>14</v>
      </c>
      <c r="D1425" s="3">
        <v>9</v>
      </c>
      <c r="E1425" s="3">
        <v>8</v>
      </c>
      <c r="F1425">
        <v>23</v>
      </c>
      <c r="G1425" s="1">
        <f>DATEVALUE(_xlfn.CONCAT(BBDD_Usiarios_Netflix[[#This Row],[Día Suscripción]],"/",BBDD_Usiarios_Netflix[[#This Row],[Mes Suscripción]],"/",BBDD_Usiarios_Netflix[[#This Row],[Año Suscripción]]))</f>
        <v>45147</v>
      </c>
      <c r="H1425" s="1">
        <v>4</v>
      </c>
      <c r="I1425" s="1">
        <v>7</v>
      </c>
      <c r="J1425" s="1">
        <v>24</v>
      </c>
      <c r="K1425" s="1" t="str">
        <f>TEXT(BBDD_Usiarios_Netflix[[#This Row],[Fecha Suscripción]],"dddd")</f>
        <v>miércoles</v>
      </c>
      <c r="L1425" s="1">
        <f>DATEVALUE(_xlfn.CONCAT(BBDD_Usiarios_Netflix[[#This Row],[Día Último Pago]],"/",BBDD_Usiarios_Netflix[[#This Row],[Mes Último Pago]],"/",BBDD_Usiarios_Netflix[[#This Row],[Año Último Pago]]))</f>
        <v>45477</v>
      </c>
      <c r="M1425" s="4">
        <f>DATEDIF(BBDD_Usiarios_Netflix[[#This Row],[Fecha Suscripción]],BBDD_Usiarios_Netflix[[#This Row],[Fecha Último Pago]],"M")+1</f>
        <v>11</v>
      </c>
      <c r="N1425" s="4">
        <f>BBDD_Usiarios_Netflix[[#This Row],[Ingresos Mensuales]]*BBDD_Usiarios_Netflix[[#This Row],[Meses contratados]]</f>
        <v>154</v>
      </c>
      <c r="O1425" t="s">
        <v>29</v>
      </c>
      <c r="P1425" t="str">
        <f>IF(BBDD_Usiarios_Netflix[[#This Row],[País]]="","Desconocido",BBDD_Usiarios_Netflix[[#This Row],[País]])</f>
        <v>EEUU</v>
      </c>
      <c r="Q1425">
        <v>38</v>
      </c>
      <c r="R1425" t="s">
        <v>25</v>
      </c>
      <c r="S1425" t="s">
        <v>36</v>
      </c>
      <c r="T1425" t="s">
        <v>27</v>
      </c>
      <c r="U1425">
        <f>IF(IFERROR(VLOOKUP(BBDD_Usiarios_Netflix[[#This Row],[Identificador Usuario]],A1426:$A$5870,1,FALSE),0)&lt;&gt;0,1,0)</f>
        <v>0</v>
      </c>
      <c r="V1425" s="6" t="str">
        <f>IF(BBDD_Usiarios_Netflix[[#This Row],[Duración Plan]]="12 Meses",LEFT(BBDD_Usiarios_Netflix[[#This Row],[Duración Plan]],2),LEFT(BBDD_Usiarios_Netflix[[#This Row],[Duración Plan]],1))</f>
        <v>1</v>
      </c>
      <c r="W14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26" spans="1:23" x14ac:dyDescent="0.25">
      <c r="A1426">
        <v>1425</v>
      </c>
      <c r="B1426" t="s">
        <v>23</v>
      </c>
      <c r="C1426">
        <v>10</v>
      </c>
      <c r="D1426" s="3">
        <v>24</v>
      </c>
      <c r="E1426" s="3">
        <v>7</v>
      </c>
      <c r="F1426">
        <v>23</v>
      </c>
      <c r="G1426" s="1">
        <f>DATEVALUE(_xlfn.CONCAT(BBDD_Usiarios_Netflix[[#This Row],[Día Suscripción]],"/",BBDD_Usiarios_Netflix[[#This Row],[Mes Suscripción]],"/",BBDD_Usiarios_Netflix[[#This Row],[Año Suscripción]]))</f>
        <v>45131</v>
      </c>
      <c r="H1426" s="1">
        <v>5</v>
      </c>
      <c r="I1426" s="1">
        <v>7</v>
      </c>
      <c r="J1426" s="1">
        <v>24</v>
      </c>
      <c r="K1426" s="1" t="str">
        <f>TEXT(BBDD_Usiarios_Netflix[[#This Row],[Fecha Suscripción]],"dddd")</f>
        <v>lunes</v>
      </c>
      <c r="L1426" s="1">
        <f>DATEVALUE(_xlfn.CONCAT(BBDD_Usiarios_Netflix[[#This Row],[Día Último Pago]],"/",BBDD_Usiarios_Netflix[[#This Row],[Mes Último Pago]],"/",BBDD_Usiarios_Netflix[[#This Row],[Año Último Pago]]))</f>
        <v>45478</v>
      </c>
      <c r="M1426" s="4">
        <f>DATEDIF(BBDD_Usiarios_Netflix[[#This Row],[Fecha Suscripción]],BBDD_Usiarios_Netflix[[#This Row],[Fecha Último Pago]],"M")+1</f>
        <v>12</v>
      </c>
      <c r="N1426" s="4">
        <f>BBDD_Usiarios_Netflix[[#This Row],[Ingresos Mensuales]]*BBDD_Usiarios_Netflix[[#This Row],[Meses contratados]]</f>
        <v>120</v>
      </c>
      <c r="O1426" t="s">
        <v>33</v>
      </c>
      <c r="P1426" t="str">
        <f>IF(BBDD_Usiarios_Netflix[[#This Row],[País]]="","Desconocido",BBDD_Usiarios_Netflix[[#This Row],[País]])</f>
        <v>Francia</v>
      </c>
      <c r="Q1426">
        <v>37</v>
      </c>
      <c r="R1426" t="s">
        <v>25</v>
      </c>
      <c r="S1426" t="s">
        <v>26</v>
      </c>
      <c r="T1426" t="s">
        <v>27</v>
      </c>
      <c r="U1426">
        <f>IF(IFERROR(VLOOKUP(BBDD_Usiarios_Netflix[[#This Row],[Identificador Usuario]],A1427:$A$5870,1,FALSE),0)&lt;&gt;0,1,0)</f>
        <v>0</v>
      </c>
      <c r="V1426" s="6" t="str">
        <f>IF(BBDD_Usiarios_Netflix[[#This Row],[Duración Plan]]="12 Meses",LEFT(BBDD_Usiarios_Netflix[[#This Row],[Duración Plan]],2),LEFT(BBDD_Usiarios_Netflix[[#This Row],[Duración Plan]],1))</f>
        <v>1</v>
      </c>
      <c r="W14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27" spans="1:23" x14ac:dyDescent="0.25">
      <c r="A1427">
        <v>1426</v>
      </c>
      <c r="B1427" t="s">
        <v>23</v>
      </c>
      <c r="C1427">
        <v>10</v>
      </c>
      <c r="D1427" s="3">
        <v>16</v>
      </c>
      <c r="E1427" s="3">
        <v>7</v>
      </c>
      <c r="F1427">
        <v>23</v>
      </c>
      <c r="G1427" s="1">
        <f>DATEVALUE(_xlfn.CONCAT(BBDD_Usiarios_Netflix[[#This Row],[Día Suscripción]],"/",BBDD_Usiarios_Netflix[[#This Row],[Mes Suscripción]],"/",BBDD_Usiarios_Netflix[[#This Row],[Año Suscripción]]))</f>
        <v>45123</v>
      </c>
      <c r="H1427" s="1">
        <v>4</v>
      </c>
      <c r="I1427" s="1">
        <v>7</v>
      </c>
      <c r="J1427" s="1">
        <v>24</v>
      </c>
      <c r="K1427" s="1" t="str">
        <f>TEXT(BBDD_Usiarios_Netflix[[#This Row],[Fecha Suscripción]],"dddd")</f>
        <v>domingo</v>
      </c>
      <c r="L1427" s="1">
        <f>DATEVALUE(_xlfn.CONCAT(BBDD_Usiarios_Netflix[[#This Row],[Día Último Pago]],"/",BBDD_Usiarios_Netflix[[#This Row],[Mes Último Pago]],"/",BBDD_Usiarios_Netflix[[#This Row],[Año Último Pago]]))</f>
        <v>45477</v>
      </c>
      <c r="M1427" s="4">
        <f>DATEDIF(BBDD_Usiarios_Netflix[[#This Row],[Fecha Suscripción]],BBDD_Usiarios_Netflix[[#This Row],[Fecha Último Pago]],"M")+1</f>
        <v>12</v>
      </c>
      <c r="N1427" s="4">
        <f>BBDD_Usiarios_Netflix[[#This Row],[Ingresos Mensuales]]*BBDD_Usiarios_Netflix[[#This Row],[Meses contratados]]</f>
        <v>120</v>
      </c>
      <c r="O1427" t="s">
        <v>29</v>
      </c>
      <c r="P1427" t="str">
        <f>IF(BBDD_Usiarios_Netflix[[#This Row],[País]]="","Desconocido",BBDD_Usiarios_Netflix[[#This Row],[País]])</f>
        <v>EEUU</v>
      </c>
      <c r="Q1427">
        <v>39</v>
      </c>
      <c r="R1427" t="s">
        <v>30</v>
      </c>
      <c r="S1427" t="s">
        <v>34</v>
      </c>
      <c r="T1427" t="s">
        <v>38</v>
      </c>
      <c r="U1427">
        <f>IF(IFERROR(VLOOKUP(BBDD_Usiarios_Netflix[[#This Row],[Identificador Usuario]],A1428:$A$5870,1,FALSE),0)&lt;&gt;0,1,0)</f>
        <v>0</v>
      </c>
      <c r="V1427" s="6" t="str">
        <f>IF(BBDD_Usiarios_Netflix[[#This Row],[Duración Plan]]="12 Meses",LEFT(BBDD_Usiarios_Netflix[[#This Row],[Duración Plan]],2),LEFT(BBDD_Usiarios_Netflix[[#This Row],[Duración Plan]],1))</f>
        <v>3</v>
      </c>
      <c r="W14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28" spans="1:23" x14ac:dyDescent="0.25">
      <c r="A1428">
        <v>1427</v>
      </c>
      <c r="B1428" t="s">
        <v>28</v>
      </c>
      <c r="C1428">
        <v>14</v>
      </c>
      <c r="D1428" s="3">
        <v>15</v>
      </c>
      <c r="E1428" s="3">
        <v>7</v>
      </c>
      <c r="F1428">
        <v>23</v>
      </c>
      <c r="G1428" s="1">
        <f>DATEVALUE(_xlfn.CONCAT(BBDD_Usiarios_Netflix[[#This Row],[Día Suscripción]],"/",BBDD_Usiarios_Netflix[[#This Row],[Mes Suscripción]],"/",BBDD_Usiarios_Netflix[[#This Row],[Año Suscripción]]))</f>
        <v>45122</v>
      </c>
      <c r="H1428" s="1">
        <v>3</v>
      </c>
      <c r="I1428" s="1">
        <v>7</v>
      </c>
      <c r="J1428" s="1">
        <v>24</v>
      </c>
      <c r="K1428" s="1" t="str">
        <f>TEXT(BBDD_Usiarios_Netflix[[#This Row],[Fecha Suscripción]],"dddd")</f>
        <v>sábado</v>
      </c>
      <c r="L1428" s="1">
        <f>DATEVALUE(_xlfn.CONCAT(BBDD_Usiarios_Netflix[[#This Row],[Día Último Pago]],"/",BBDD_Usiarios_Netflix[[#This Row],[Mes Último Pago]],"/",BBDD_Usiarios_Netflix[[#This Row],[Año Último Pago]]))</f>
        <v>45476</v>
      </c>
      <c r="M1428" s="4">
        <f>DATEDIF(BBDD_Usiarios_Netflix[[#This Row],[Fecha Suscripción]],BBDD_Usiarios_Netflix[[#This Row],[Fecha Último Pago]],"M")+1</f>
        <v>12</v>
      </c>
      <c r="N1428" s="4">
        <f>BBDD_Usiarios_Netflix[[#This Row],[Ingresos Mensuales]]*BBDD_Usiarios_Netflix[[#This Row],[Meses contratados]]</f>
        <v>168</v>
      </c>
      <c r="O1428" t="s">
        <v>33</v>
      </c>
      <c r="P1428" t="str">
        <f>IF(BBDD_Usiarios_Netflix[[#This Row],[País]]="","Desconocido",BBDD_Usiarios_Netflix[[#This Row],[País]])</f>
        <v>Francia</v>
      </c>
      <c r="Q1428">
        <v>40</v>
      </c>
      <c r="R1428" t="s">
        <v>25</v>
      </c>
      <c r="S1428" t="s">
        <v>31</v>
      </c>
      <c r="T1428" t="s">
        <v>27</v>
      </c>
      <c r="U1428">
        <f>IF(IFERROR(VLOOKUP(BBDD_Usiarios_Netflix[[#This Row],[Identificador Usuario]],A1429:$A$5870,1,FALSE),0)&lt;&gt;0,1,0)</f>
        <v>0</v>
      </c>
      <c r="V1428" s="6" t="str">
        <f>IF(BBDD_Usiarios_Netflix[[#This Row],[Duración Plan]]="12 Meses",LEFT(BBDD_Usiarios_Netflix[[#This Row],[Duración Plan]],2),LEFT(BBDD_Usiarios_Netflix[[#This Row],[Duración Plan]],1))</f>
        <v>1</v>
      </c>
      <c r="W14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29" spans="1:23" x14ac:dyDescent="0.25">
      <c r="A1429">
        <v>1428</v>
      </c>
      <c r="B1429" t="s">
        <v>32</v>
      </c>
      <c r="C1429">
        <v>12</v>
      </c>
      <c r="D1429" s="3">
        <v>12</v>
      </c>
      <c r="E1429" s="3">
        <v>7</v>
      </c>
      <c r="F1429">
        <v>23</v>
      </c>
      <c r="G1429" s="1">
        <f>DATEVALUE(_xlfn.CONCAT(BBDD_Usiarios_Netflix[[#This Row],[Día Suscripción]],"/",BBDD_Usiarios_Netflix[[#This Row],[Mes Suscripción]],"/",BBDD_Usiarios_Netflix[[#This Row],[Año Suscripción]]))</f>
        <v>45119</v>
      </c>
      <c r="H1429" s="1">
        <v>5</v>
      </c>
      <c r="I1429" s="1">
        <v>7</v>
      </c>
      <c r="J1429" s="1">
        <v>24</v>
      </c>
      <c r="K1429" s="1" t="str">
        <f>TEXT(BBDD_Usiarios_Netflix[[#This Row],[Fecha Suscripción]],"dddd")</f>
        <v>miércoles</v>
      </c>
      <c r="L1429" s="1">
        <f>DATEVALUE(_xlfn.CONCAT(BBDD_Usiarios_Netflix[[#This Row],[Día Último Pago]],"/",BBDD_Usiarios_Netflix[[#This Row],[Mes Último Pago]],"/",BBDD_Usiarios_Netflix[[#This Row],[Año Último Pago]]))</f>
        <v>45478</v>
      </c>
      <c r="M1429" s="4">
        <f>DATEDIF(BBDD_Usiarios_Netflix[[#This Row],[Fecha Suscripción]],BBDD_Usiarios_Netflix[[#This Row],[Fecha Último Pago]],"M")+1</f>
        <v>12</v>
      </c>
      <c r="N1429" s="4">
        <f>BBDD_Usiarios_Netflix[[#This Row],[Ingresos Mensuales]]*BBDD_Usiarios_Netflix[[#This Row],[Meses contratados]]</f>
        <v>144</v>
      </c>
      <c r="O1429" t="s">
        <v>29</v>
      </c>
      <c r="P1429" t="str">
        <f>IF(BBDD_Usiarios_Netflix[[#This Row],[País]]="","Desconocido",BBDD_Usiarios_Netflix[[#This Row],[País]])</f>
        <v>EEUU</v>
      </c>
      <c r="Q1429">
        <v>40</v>
      </c>
      <c r="R1429" t="s">
        <v>25</v>
      </c>
      <c r="S1429" t="s">
        <v>34</v>
      </c>
      <c r="T1429" t="s">
        <v>27</v>
      </c>
      <c r="U1429">
        <f>IF(IFERROR(VLOOKUP(BBDD_Usiarios_Netflix[[#This Row],[Identificador Usuario]],A1430:$A$5870,1,FALSE),0)&lt;&gt;0,1,0)</f>
        <v>0</v>
      </c>
      <c r="V1429" s="6" t="str">
        <f>IF(BBDD_Usiarios_Netflix[[#This Row],[Duración Plan]]="12 Meses",LEFT(BBDD_Usiarios_Netflix[[#This Row],[Duración Plan]],2),LEFT(BBDD_Usiarios_Netflix[[#This Row],[Duración Plan]],1))</f>
        <v>1</v>
      </c>
      <c r="W14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30" spans="1:23" x14ac:dyDescent="0.25">
      <c r="A1430">
        <v>1429</v>
      </c>
      <c r="B1430" t="s">
        <v>32</v>
      </c>
      <c r="C1430">
        <v>12</v>
      </c>
      <c r="D1430" s="3">
        <v>12</v>
      </c>
      <c r="E1430" s="3">
        <v>7</v>
      </c>
      <c r="F1430">
        <v>23</v>
      </c>
      <c r="G1430" s="1">
        <f>DATEVALUE(_xlfn.CONCAT(BBDD_Usiarios_Netflix[[#This Row],[Día Suscripción]],"/",BBDD_Usiarios_Netflix[[#This Row],[Mes Suscripción]],"/",BBDD_Usiarios_Netflix[[#This Row],[Año Suscripción]]))</f>
        <v>45119</v>
      </c>
      <c r="H1430" s="1">
        <v>6</v>
      </c>
      <c r="I1430" s="1">
        <v>7</v>
      </c>
      <c r="J1430" s="1">
        <v>24</v>
      </c>
      <c r="K1430" s="1" t="str">
        <f>TEXT(BBDD_Usiarios_Netflix[[#This Row],[Fecha Suscripción]],"dddd")</f>
        <v>miércoles</v>
      </c>
      <c r="L1430" s="1">
        <f>DATEVALUE(_xlfn.CONCAT(BBDD_Usiarios_Netflix[[#This Row],[Día Último Pago]],"/",BBDD_Usiarios_Netflix[[#This Row],[Mes Último Pago]],"/",BBDD_Usiarios_Netflix[[#This Row],[Año Último Pago]]))</f>
        <v>45479</v>
      </c>
      <c r="M1430" s="4">
        <f>DATEDIF(BBDD_Usiarios_Netflix[[#This Row],[Fecha Suscripción]],BBDD_Usiarios_Netflix[[#This Row],[Fecha Último Pago]],"M")+1</f>
        <v>12</v>
      </c>
      <c r="N1430" s="4">
        <f>BBDD_Usiarios_Netflix[[#This Row],[Ingresos Mensuales]]*BBDD_Usiarios_Netflix[[#This Row],[Meses contratados]]</f>
        <v>144</v>
      </c>
      <c r="O1430" t="s">
        <v>29</v>
      </c>
      <c r="P1430" t="str">
        <f>IF(BBDD_Usiarios_Netflix[[#This Row],[País]]="","Desconocido",BBDD_Usiarios_Netflix[[#This Row],[País]])</f>
        <v>EEUU</v>
      </c>
      <c r="Q1430">
        <v>48</v>
      </c>
      <c r="R1430" t="s">
        <v>25</v>
      </c>
      <c r="S1430" t="s">
        <v>36</v>
      </c>
      <c r="T1430" t="s">
        <v>27</v>
      </c>
      <c r="U1430">
        <f>IF(IFERROR(VLOOKUP(BBDD_Usiarios_Netflix[[#This Row],[Identificador Usuario]],A1431:$A$5870,1,FALSE),0)&lt;&gt;0,1,0)</f>
        <v>0</v>
      </c>
      <c r="V1430" s="6" t="str">
        <f>IF(BBDD_Usiarios_Netflix[[#This Row],[Duración Plan]]="12 Meses",LEFT(BBDD_Usiarios_Netflix[[#This Row],[Duración Plan]],2),LEFT(BBDD_Usiarios_Netflix[[#This Row],[Duración Plan]],1))</f>
        <v>1</v>
      </c>
      <c r="W14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31" spans="1:23" x14ac:dyDescent="0.25">
      <c r="A1431">
        <v>1430</v>
      </c>
      <c r="B1431" t="s">
        <v>23</v>
      </c>
      <c r="C1431">
        <v>10</v>
      </c>
      <c r="D1431" s="3">
        <v>9</v>
      </c>
      <c r="E1431" s="3">
        <v>7</v>
      </c>
      <c r="F1431">
        <v>23</v>
      </c>
      <c r="G1431" s="1">
        <f>DATEVALUE(_xlfn.CONCAT(BBDD_Usiarios_Netflix[[#This Row],[Día Suscripción]],"/",BBDD_Usiarios_Netflix[[#This Row],[Mes Suscripción]],"/",BBDD_Usiarios_Netflix[[#This Row],[Año Suscripción]]))</f>
        <v>45116</v>
      </c>
      <c r="H1431" s="1">
        <v>5</v>
      </c>
      <c r="I1431" s="1">
        <v>7</v>
      </c>
      <c r="J1431" s="1">
        <v>24</v>
      </c>
      <c r="K1431" s="1" t="str">
        <f>TEXT(BBDD_Usiarios_Netflix[[#This Row],[Fecha Suscripción]],"dddd")</f>
        <v>domingo</v>
      </c>
      <c r="L1431" s="1">
        <f>DATEVALUE(_xlfn.CONCAT(BBDD_Usiarios_Netflix[[#This Row],[Día Último Pago]],"/",BBDD_Usiarios_Netflix[[#This Row],[Mes Último Pago]],"/",BBDD_Usiarios_Netflix[[#This Row],[Año Último Pago]]))</f>
        <v>45478</v>
      </c>
      <c r="M1431" s="4">
        <f>DATEDIF(BBDD_Usiarios_Netflix[[#This Row],[Fecha Suscripción]],BBDD_Usiarios_Netflix[[#This Row],[Fecha Último Pago]],"M")+1</f>
        <v>12</v>
      </c>
      <c r="N1431" s="4">
        <f>BBDD_Usiarios_Netflix[[#This Row],[Ingresos Mensuales]]*BBDD_Usiarios_Netflix[[#This Row],[Meses contratados]]</f>
        <v>120</v>
      </c>
      <c r="O1431" t="s">
        <v>40</v>
      </c>
      <c r="P1431" t="str">
        <f>IF(BBDD_Usiarios_Netflix[[#This Row],[País]]="","Desconocido",BBDD_Usiarios_Netflix[[#This Row],[País]])</f>
        <v>Italia</v>
      </c>
      <c r="Q1431">
        <v>43</v>
      </c>
      <c r="R1431" t="s">
        <v>30</v>
      </c>
      <c r="S1431" t="s">
        <v>34</v>
      </c>
      <c r="T1431" t="s">
        <v>38</v>
      </c>
      <c r="U1431">
        <f>IF(IFERROR(VLOOKUP(BBDD_Usiarios_Netflix[[#This Row],[Identificador Usuario]],A1432:$A$5870,1,FALSE),0)&lt;&gt;0,1,0)</f>
        <v>0</v>
      </c>
      <c r="V1431" s="6" t="str">
        <f>IF(BBDD_Usiarios_Netflix[[#This Row],[Duración Plan]]="12 Meses",LEFT(BBDD_Usiarios_Netflix[[#This Row],[Duración Plan]],2),LEFT(BBDD_Usiarios_Netflix[[#This Row],[Duración Plan]],1))</f>
        <v>3</v>
      </c>
      <c r="W14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32" spans="1:23" x14ac:dyDescent="0.25">
      <c r="A1432">
        <v>1431</v>
      </c>
      <c r="B1432" t="s">
        <v>28</v>
      </c>
      <c r="C1432">
        <v>14</v>
      </c>
      <c r="D1432" s="3">
        <v>5</v>
      </c>
      <c r="E1432" s="3">
        <v>7</v>
      </c>
      <c r="F1432">
        <v>23</v>
      </c>
      <c r="G1432" s="1">
        <f>DATEVALUE(_xlfn.CONCAT(BBDD_Usiarios_Netflix[[#This Row],[Día Suscripción]],"/",BBDD_Usiarios_Netflix[[#This Row],[Mes Suscripción]],"/",BBDD_Usiarios_Netflix[[#This Row],[Año Suscripción]]))</f>
        <v>45112</v>
      </c>
      <c r="H1432" s="1">
        <v>2</v>
      </c>
      <c r="I1432" s="1">
        <v>7</v>
      </c>
      <c r="J1432" s="1">
        <v>24</v>
      </c>
      <c r="K1432" s="1" t="str">
        <f>TEXT(BBDD_Usiarios_Netflix[[#This Row],[Fecha Suscripción]],"dddd")</f>
        <v>miércoles</v>
      </c>
      <c r="L1432" s="1">
        <f>DATEVALUE(_xlfn.CONCAT(BBDD_Usiarios_Netflix[[#This Row],[Día Último Pago]],"/",BBDD_Usiarios_Netflix[[#This Row],[Mes Último Pago]],"/",BBDD_Usiarios_Netflix[[#This Row],[Año Último Pago]]))</f>
        <v>45475</v>
      </c>
      <c r="M1432" s="4">
        <f>DATEDIF(BBDD_Usiarios_Netflix[[#This Row],[Fecha Suscripción]],BBDD_Usiarios_Netflix[[#This Row],[Fecha Último Pago]],"M")+1</f>
        <v>12</v>
      </c>
      <c r="N1432" s="4">
        <f>BBDD_Usiarios_Netflix[[#This Row],[Ingresos Mensuales]]*BBDD_Usiarios_Netflix[[#This Row],[Meses contratados]]</f>
        <v>168</v>
      </c>
      <c r="O1432" t="s">
        <v>29</v>
      </c>
      <c r="P1432" t="str">
        <f>IF(BBDD_Usiarios_Netflix[[#This Row],[País]]="","Desconocido",BBDD_Usiarios_Netflix[[#This Row],[País]])</f>
        <v>EEUU</v>
      </c>
      <c r="Q1432">
        <v>46</v>
      </c>
      <c r="R1432" t="s">
        <v>25</v>
      </c>
      <c r="S1432" t="s">
        <v>36</v>
      </c>
      <c r="T1432" t="s">
        <v>35</v>
      </c>
      <c r="U1432">
        <f>IF(IFERROR(VLOOKUP(BBDD_Usiarios_Netflix[[#This Row],[Identificador Usuario]],A1433:$A$5870,1,FALSE),0)&lt;&gt;0,1,0)</f>
        <v>0</v>
      </c>
      <c r="V1432" s="6" t="str">
        <f>IF(BBDD_Usiarios_Netflix[[#This Row],[Duración Plan]]="12 Meses",LEFT(BBDD_Usiarios_Netflix[[#This Row],[Duración Plan]],2),LEFT(BBDD_Usiarios_Netflix[[#This Row],[Duración Plan]],1))</f>
        <v>6</v>
      </c>
      <c r="W14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33" spans="1:23" x14ac:dyDescent="0.25">
      <c r="A1433">
        <v>1432</v>
      </c>
      <c r="B1433" t="s">
        <v>32</v>
      </c>
      <c r="C1433">
        <v>12</v>
      </c>
      <c r="D1433" s="3">
        <v>5</v>
      </c>
      <c r="E1433" s="3">
        <v>7</v>
      </c>
      <c r="F1433">
        <v>23</v>
      </c>
      <c r="G1433" s="1">
        <f>DATEVALUE(_xlfn.CONCAT(BBDD_Usiarios_Netflix[[#This Row],[Día Suscripción]],"/",BBDD_Usiarios_Netflix[[#This Row],[Mes Suscripción]],"/",BBDD_Usiarios_Netflix[[#This Row],[Año Suscripción]]))</f>
        <v>45112</v>
      </c>
      <c r="H1433" s="1">
        <v>5</v>
      </c>
      <c r="I1433" s="1">
        <v>7</v>
      </c>
      <c r="J1433" s="1">
        <v>24</v>
      </c>
      <c r="K1433" s="1" t="str">
        <f>TEXT(BBDD_Usiarios_Netflix[[#This Row],[Fecha Suscripción]],"dddd")</f>
        <v>miércoles</v>
      </c>
      <c r="L1433" s="1">
        <f>DATEVALUE(_xlfn.CONCAT(BBDD_Usiarios_Netflix[[#This Row],[Día Último Pago]],"/",BBDD_Usiarios_Netflix[[#This Row],[Mes Último Pago]],"/",BBDD_Usiarios_Netflix[[#This Row],[Año Último Pago]]))</f>
        <v>45478</v>
      </c>
      <c r="M1433" s="4">
        <f>DATEDIF(BBDD_Usiarios_Netflix[[#This Row],[Fecha Suscripción]],BBDD_Usiarios_Netflix[[#This Row],[Fecha Último Pago]],"M")+1</f>
        <v>13</v>
      </c>
      <c r="N1433" s="4">
        <f>BBDD_Usiarios_Netflix[[#This Row],[Ingresos Mensuales]]*BBDD_Usiarios_Netflix[[#This Row],[Meses contratados]]</f>
        <v>156</v>
      </c>
      <c r="O1433" t="s">
        <v>29</v>
      </c>
      <c r="P1433" t="str">
        <f>IF(BBDD_Usiarios_Netflix[[#This Row],[País]]="","Desconocido",BBDD_Usiarios_Netflix[[#This Row],[País]])</f>
        <v>EEUU</v>
      </c>
      <c r="Q1433">
        <v>43</v>
      </c>
      <c r="R1433" t="s">
        <v>25</v>
      </c>
      <c r="S1433" t="s">
        <v>26</v>
      </c>
      <c r="T1433" t="s">
        <v>35</v>
      </c>
      <c r="U1433">
        <f>IF(IFERROR(VLOOKUP(BBDD_Usiarios_Netflix[[#This Row],[Identificador Usuario]],A1434:$A$5870,1,FALSE),0)&lt;&gt;0,1,0)</f>
        <v>0</v>
      </c>
      <c r="V1433" s="6" t="str">
        <f>IF(BBDD_Usiarios_Netflix[[#This Row],[Duración Plan]]="12 Meses",LEFT(BBDD_Usiarios_Netflix[[#This Row],[Duración Plan]],2),LEFT(BBDD_Usiarios_Netflix[[#This Row],[Duración Plan]],1))</f>
        <v>6</v>
      </c>
      <c r="W14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34" spans="1:23" x14ac:dyDescent="0.25">
      <c r="A1434">
        <v>1433</v>
      </c>
      <c r="B1434" t="s">
        <v>23</v>
      </c>
      <c r="C1434">
        <v>10</v>
      </c>
      <c r="D1434" s="3">
        <v>3</v>
      </c>
      <c r="E1434" s="3">
        <v>7</v>
      </c>
      <c r="F1434">
        <v>23</v>
      </c>
      <c r="G1434" s="1">
        <f>DATEVALUE(_xlfn.CONCAT(BBDD_Usiarios_Netflix[[#This Row],[Día Suscripción]],"/",BBDD_Usiarios_Netflix[[#This Row],[Mes Suscripción]],"/",BBDD_Usiarios_Netflix[[#This Row],[Año Suscripción]]))</f>
        <v>45110</v>
      </c>
      <c r="H1434" s="1">
        <v>5</v>
      </c>
      <c r="I1434" s="1">
        <v>7</v>
      </c>
      <c r="J1434" s="1">
        <v>24</v>
      </c>
      <c r="K1434" s="1" t="str">
        <f>TEXT(BBDD_Usiarios_Netflix[[#This Row],[Fecha Suscripción]],"dddd")</f>
        <v>lunes</v>
      </c>
      <c r="L1434" s="1">
        <f>DATEVALUE(_xlfn.CONCAT(BBDD_Usiarios_Netflix[[#This Row],[Día Último Pago]],"/",BBDD_Usiarios_Netflix[[#This Row],[Mes Último Pago]],"/",BBDD_Usiarios_Netflix[[#This Row],[Año Último Pago]]))</f>
        <v>45478</v>
      </c>
      <c r="M1434" s="4">
        <f>DATEDIF(BBDD_Usiarios_Netflix[[#This Row],[Fecha Suscripción]],BBDD_Usiarios_Netflix[[#This Row],[Fecha Último Pago]],"M")+1</f>
        <v>13</v>
      </c>
      <c r="N1434" s="4">
        <f>BBDD_Usiarios_Netflix[[#This Row],[Ingresos Mensuales]]*BBDD_Usiarios_Netflix[[#This Row],[Meses contratados]]</f>
        <v>130</v>
      </c>
      <c r="O1434" t="s">
        <v>24</v>
      </c>
      <c r="P1434" t="str">
        <f>IF(BBDD_Usiarios_Netflix[[#This Row],[País]]="","Desconocido",BBDD_Usiarios_Netflix[[#This Row],[País]])</f>
        <v>Australia</v>
      </c>
      <c r="Q1434">
        <v>30</v>
      </c>
      <c r="R1434" t="s">
        <v>30</v>
      </c>
      <c r="S1434" t="s">
        <v>31</v>
      </c>
      <c r="T1434" t="s">
        <v>27</v>
      </c>
      <c r="U1434">
        <f>IF(IFERROR(VLOOKUP(BBDD_Usiarios_Netflix[[#This Row],[Identificador Usuario]],A1435:$A$5870,1,FALSE),0)&lt;&gt;0,1,0)</f>
        <v>0</v>
      </c>
      <c r="V1434" s="6" t="str">
        <f>IF(BBDD_Usiarios_Netflix[[#This Row],[Duración Plan]]="12 Meses",LEFT(BBDD_Usiarios_Netflix[[#This Row],[Duración Plan]],2),LEFT(BBDD_Usiarios_Netflix[[#This Row],[Duración Plan]],1))</f>
        <v>1</v>
      </c>
      <c r="W14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35" spans="1:23" x14ac:dyDescent="0.25">
      <c r="A1435">
        <v>1434</v>
      </c>
      <c r="B1435" t="s">
        <v>32</v>
      </c>
      <c r="C1435">
        <v>12</v>
      </c>
      <c r="D1435" s="3">
        <v>1</v>
      </c>
      <c r="E1435" s="3">
        <v>7</v>
      </c>
      <c r="F1435">
        <v>23</v>
      </c>
      <c r="G1435" s="1">
        <f>DATEVALUE(_xlfn.CONCAT(BBDD_Usiarios_Netflix[[#This Row],[Día Suscripción]],"/",BBDD_Usiarios_Netflix[[#This Row],[Mes Suscripción]],"/",BBDD_Usiarios_Netflix[[#This Row],[Año Suscripción]]))</f>
        <v>45108</v>
      </c>
      <c r="H1435" s="1">
        <v>4</v>
      </c>
      <c r="I1435" s="1">
        <v>7</v>
      </c>
      <c r="J1435" s="1">
        <v>24</v>
      </c>
      <c r="K1435" s="1" t="str">
        <f>TEXT(BBDD_Usiarios_Netflix[[#This Row],[Fecha Suscripción]],"dddd")</f>
        <v>sábado</v>
      </c>
      <c r="L1435" s="1">
        <f>DATEVALUE(_xlfn.CONCAT(BBDD_Usiarios_Netflix[[#This Row],[Día Último Pago]],"/",BBDD_Usiarios_Netflix[[#This Row],[Mes Último Pago]],"/",BBDD_Usiarios_Netflix[[#This Row],[Año Último Pago]]))</f>
        <v>45477</v>
      </c>
      <c r="M1435" s="4">
        <f>DATEDIF(BBDD_Usiarios_Netflix[[#This Row],[Fecha Suscripción]],BBDD_Usiarios_Netflix[[#This Row],[Fecha Último Pago]],"M")+1</f>
        <v>13</v>
      </c>
      <c r="N1435" s="4">
        <f>BBDD_Usiarios_Netflix[[#This Row],[Ingresos Mensuales]]*BBDD_Usiarios_Netflix[[#This Row],[Meses contratados]]</f>
        <v>156</v>
      </c>
      <c r="O1435" t="s">
        <v>45</v>
      </c>
      <c r="P1435" t="str">
        <f>IF(BBDD_Usiarios_Netflix[[#This Row],[País]]="","Desconocido",BBDD_Usiarios_Netflix[[#This Row],[País]])</f>
        <v>España</v>
      </c>
      <c r="Q1435">
        <v>51</v>
      </c>
      <c r="R1435" t="s">
        <v>30</v>
      </c>
      <c r="S1435" t="s">
        <v>36</v>
      </c>
      <c r="T1435" t="s">
        <v>38</v>
      </c>
      <c r="U1435">
        <f>IF(IFERROR(VLOOKUP(BBDD_Usiarios_Netflix[[#This Row],[Identificador Usuario]],A1436:$A$5870,1,FALSE),0)&lt;&gt;0,1,0)</f>
        <v>0</v>
      </c>
      <c r="V1435" s="6" t="str">
        <f>IF(BBDD_Usiarios_Netflix[[#This Row],[Duración Plan]]="12 Meses",LEFT(BBDD_Usiarios_Netflix[[#This Row],[Duración Plan]],2),LEFT(BBDD_Usiarios_Netflix[[#This Row],[Duración Plan]],1))</f>
        <v>3</v>
      </c>
      <c r="W14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36" spans="1:23" x14ac:dyDescent="0.25">
      <c r="A1436">
        <v>1435</v>
      </c>
      <c r="B1436" t="s">
        <v>28</v>
      </c>
      <c r="C1436">
        <v>14</v>
      </c>
      <c r="D1436" s="3">
        <v>30</v>
      </c>
      <c r="E1436" s="3">
        <v>6</v>
      </c>
      <c r="F1436">
        <v>23</v>
      </c>
      <c r="G1436" s="1">
        <f>DATEVALUE(_xlfn.CONCAT(BBDD_Usiarios_Netflix[[#This Row],[Día Suscripción]],"/",BBDD_Usiarios_Netflix[[#This Row],[Mes Suscripción]],"/",BBDD_Usiarios_Netflix[[#This Row],[Año Suscripción]]))</f>
        <v>45107</v>
      </c>
      <c r="H1436" s="1">
        <v>3</v>
      </c>
      <c r="I1436" s="1">
        <v>7</v>
      </c>
      <c r="J1436" s="1">
        <v>24</v>
      </c>
      <c r="K1436" s="1" t="str">
        <f>TEXT(BBDD_Usiarios_Netflix[[#This Row],[Fecha Suscripción]],"dddd")</f>
        <v>viernes</v>
      </c>
      <c r="L1436" s="1">
        <f>DATEVALUE(_xlfn.CONCAT(BBDD_Usiarios_Netflix[[#This Row],[Día Último Pago]],"/",BBDD_Usiarios_Netflix[[#This Row],[Mes Último Pago]],"/",BBDD_Usiarios_Netflix[[#This Row],[Año Último Pago]]))</f>
        <v>45476</v>
      </c>
      <c r="M1436" s="4">
        <f>DATEDIF(BBDD_Usiarios_Netflix[[#This Row],[Fecha Suscripción]],BBDD_Usiarios_Netflix[[#This Row],[Fecha Último Pago]],"M")+1</f>
        <v>13</v>
      </c>
      <c r="N1436" s="4">
        <f>BBDD_Usiarios_Netflix[[#This Row],[Ingresos Mensuales]]*BBDD_Usiarios_Netflix[[#This Row],[Meses contratados]]</f>
        <v>182</v>
      </c>
      <c r="O1436" t="s">
        <v>42</v>
      </c>
      <c r="P1436" t="str">
        <f>IF(BBDD_Usiarios_Netflix[[#This Row],[País]]="","Desconocido",BBDD_Usiarios_Netflix[[#This Row],[País]])</f>
        <v>Reino Unido</v>
      </c>
      <c r="Q1436">
        <v>30</v>
      </c>
      <c r="R1436" t="s">
        <v>25</v>
      </c>
      <c r="S1436" t="s">
        <v>26</v>
      </c>
      <c r="T1436" t="s">
        <v>27</v>
      </c>
      <c r="U1436">
        <f>IF(IFERROR(VLOOKUP(BBDD_Usiarios_Netflix[[#This Row],[Identificador Usuario]],A1437:$A$5870,1,FALSE),0)&lt;&gt;0,1,0)</f>
        <v>0</v>
      </c>
      <c r="V1436" s="6" t="str">
        <f>IF(BBDD_Usiarios_Netflix[[#This Row],[Duración Plan]]="12 Meses",LEFT(BBDD_Usiarios_Netflix[[#This Row],[Duración Plan]],2),LEFT(BBDD_Usiarios_Netflix[[#This Row],[Duración Plan]],1))</f>
        <v>1</v>
      </c>
      <c r="W14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37" spans="1:23" x14ac:dyDescent="0.25">
      <c r="A1437">
        <v>1436</v>
      </c>
      <c r="B1437" t="s">
        <v>23</v>
      </c>
      <c r="C1437">
        <v>10</v>
      </c>
      <c r="D1437" s="3">
        <v>27</v>
      </c>
      <c r="E1437" s="3">
        <v>6</v>
      </c>
      <c r="F1437">
        <v>23</v>
      </c>
      <c r="G1437" s="1">
        <f>DATEVALUE(_xlfn.CONCAT(BBDD_Usiarios_Netflix[[#This Row],[Día Suscripción]],"/",BBDD_Usiarios_Netflix[[#This Row],[Mes Suscripción]],"/",BBDD_Usiarios_Netflix[[#This Row],[Año Suscripción]]))</f>
        <v>45104</v>
      </c>
      <c r="H1437" s="1">
        <v>4</v>
      </c>
      <c r="I1437" s="1">
        <v>7</v>
      </c>
      <c r="J1437" s="1">
        <v>24</v>
      </c>
      <c r="K1437" s="1" t="str">
        <f>TEXT(BBDD_Usiarios_Netflix[[#This Row],[Fecha Suscripción]],"dddd")</f>
        <v>martes</v>
      </c>
      <c r="L1437" s="1">
        <f>DATEVALUE(_xlfn.CONCAT(BBDD_Usiarios_Netflix[[#This Row],[Día Último Pago]],"/",BBDD_Usiarios_Netflix[[#This Row],[Mes Último Pago]],"/",BBDD_Usiarios_Netflix[[#This Row],[Año Último Pago]]))</f>
        <v>45477</v>
      </c>
      <c r="M1437" s="4">
        <f>DATEDIF(BBDD_Usiarios_Netflix[[#This Row],[Fecha Suscripción]],BBDD_Usiarios_Netflix[[#This Row],[Fecha Último Pago]],"M")+1</f>
        <v>13</v>
      </c>
      <c r="N1437" s="4">
        <f>BBDD_Usiarios_Netflix[[#This Row],[Ingresos Mensuales]]*BBDD_Usiarios_Netflix[[#This Row],[Meses contratados]]</f>
        <v>130</v>
      </c>
      <c r="O1437" t="s">
        <v>33</v>
      </c>
      <c r="P1437" t="str">
        <f>IF(BBDD_Usiarios_Netflix[[#This Row],[País]]="","Desconocido",BBDD_Usiarios_Netflix[[#This Row],[País]])</f>
        <v>Francia</v>
      </c>
      <c r="Q1437">
        <v>47</v>
      </c>
      <c r="R1437" t="s">
        <v>30</v>
      </c>
      <c r="S1437" t="s">
        <v>34</v>
      </c>
      <c r="T1437" t="s">
        <v>27</v>
      </c>
      <c r="U1437">
        <f>IF(IFERROR(VLOOKUP(BBDD_Usiarios_Netflix[[#This Row],[Identificador Usuario]],A1438:$A$5870,1,FALSE),0)&lt;&gt;0,1,0)</f>
        <v>0</v>
      </c>
      <c r="V1437" s="6" t="str">
        <f>IF(BBDD_Usiarios_Netflix[[#This Row],[Duración Plan]]="12 Meses",LEFT(BBDD_Usiarios_Netflix[[#This Row],[Duración Plan]],2),LEFT(BBDD_Usiarios_Netflix[[#This Row],[Duración Plan]],1))</f>
        <v>1</v>
      </c>
      <c r="W14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38" spans="1:23" x14ac:dyDescent="0.25">
      <c r="A1438">
        <v>1437</v>
      </c>
      <c r="B1438" t="s">
        <v>28</v>
      </c>
      <c r="C1438">
        <v>14</v>
      </c>
      <c r="D1438" s="3">
        <v>28</v>
      </c>
      <c r="E1438" s="3">
        <v>6</v>
      </c>
      <c r="F1438">
        <v>23</v>
      </c>
      <c r="G1438" s="1">
        <f>DATEVALUE(_xlfn.CONCAT(BBDD_Usiarios_Netflix[[#This Row],[Día Suscripción]],"/",BBDD_Usiarios_Netflix[[#This Row],[Mes Suscripción]],"/",BBDD_Usiarios_Netflix[[#This Row],[Año Suscripción]]))</f>
        <v>45105</v>
      </c>
      <c r="H1438" s="1">
        <v>4</v>
      </c>
      <c r="I1438" s="1">
        <v>7</v>
      </c>
      <c r="J1438" s="1">
        <v>24</v>
      </c>
      <c r="K1438" s="1" t="str">
        <f>TEXT(BBDD_Usiarios_Netflix[[#This Row],[Fecha Suscripción]],"dddd")</f>
        <v>miércoles</v>
      </c>
      <c r="L1438" s="1">
        <f>DATEVALUE(_xlfn.CONCAT(BBDD_Usiarios_Netflix[[#This Row],[Día Último Pago]],"/",BBDD_Usiarios_Netflix[[#This Row],[Mes Último Pago]],"/",BBDD_Usiarios_Netflix[[#This Row],[Año Último Pago]]))</f>
        <v>45477</v>
      </c>
      <c r="M1438" s="4">
        <f>DATEDIF(BBDD_Usiarios_Netflix[[#This Row],[Fecha Suscripción]],BBDD_Usiarios_Netflix[[#This Row],[Fecha Último Pago]],"M")+1</f>
        <v>13</v>
      </c>
      <c r="N1438" s="4">
        <f>BBDD_Usiarios_Netflix[[#This Row],[Ingresos Mensuales]]*BBDD_Usiarios_Netflix[[#This Row],[Meses contratados]]</f>
        <v>182</v>
      </c>
      <c r="O1438" t="s">
        <v>39</v>
      </c>
      <c r="P1438" t="str">
        <f>IF(BBDD_Usiarios_Netflix[[#This Row],[País]]="","Desconocido",BBDD_Usiarios_Netflix[[#This Row],[País]])</f>
        <v>Canadá</v>
      </c>
      <c r="Q1438">
        <v>41</v>
      </c>
      <c r="R1438" t="s">
        <v>25</v>
      </c>
      <c r="S1438" t="s">
        <v>36</v>
      </c>
      <c r="T1438" t="s">
        <v>35</v>
      </c>
      <c r="U1438">
        <f>IF(IFERROR(VLOOKUP(BBDD_Usiarios_Netflix[[#This Row],[Identificador Usuario]],A1439:$A$5870,1,FALSE),0)&lt;&gt;0,1,0)</f>
        <v>0</v>
      </c>
      <c r="V1438" s="6" t="str">
        <f>IF(BBDD_Usiarios_Netflix[[#This Row],[Duración Plan]]="12 Meses",LEFT(BBDD_Usiarios_Netflix[[#This Row],[Duración Plan]],2),LEFT(BBDD_Usiarios_Netflix[[#This Row],[Duración Plan]],1))</f>
        <v>6</v>
      </c>
      <c r="W14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39" spans="1:23" x14ac:dyDescent="0.25">
      <c r="A1439">
        <v>1438</v>
      </c>
      <c r="B1439" t="s">
        <v>32</v>
      </c>
      <c r="C1439">
        <v>12</v>
      </c>
      <c r="D1439" s="3">
        <v>28</v>
      </c>
      <c r="E1439" s="3">
        <v>6</v>
      </c>
      <c r="F1439">
        <v>23</v>
      </c>
      <c r="G1439" s="1">
        <f>DATEVALUE(_xlfn.CONCAT(BBDD_Usiarios_Netflix[[#This Row],[Día Suscripción]],"/",BBDD_Usiarios_Netflix[[#This Row],[Mes Suscripción]],"/",BBDD_Usiarios_Netflix[[#This Row],[Año Suscripción]]))</f>
        <v>45105</v>
      </c>
      <c r="H1439" s="1">
        <v>5</v>
      </c>
      <c r="I1439" s="1">
        <v>7</v>
      </c>
      <c r="J1439" s="1">
        <v>24</v>
      </c>
      <c r="K1439" s="1" t="str">
        <f>TEXT(BBDD_Usiarios_Netflix[[#This Row],[Fecha Suscripción]],"dddd")</f>
        <v>miércoles</v>
      </c>
      <c r="L1439" s="1">
        <f>DATEVALUE(_xlfn.CONCAT(BBDD_Usiarios_Netflix[[#This Row],[Día Último Pago]],"/",BBDD_Usiarios_Netflix[[#This Row],[Mes Último Pago]],"/",BBDD_Usiarios_Netflix[[#This Row],[Año Último Pago]]))</f>
        <v>45478</v>
      </c>
      <c r="M1439" s="4">
        <f>DATEDIF(BBDD_Usiarios_Netflix[[#This Row],[Fecha Suscripción]],BBDD_Usiarios_Netflix[[#This Row],[Fecha Último Pago]],"M")+1</f>
        <v>13</v>
      </c>
      <c r="N1439" s="4">
        <f>BBDD_Usiarios_Netflix[[#This Row],[Ingresos Mensuales]]*BBDD_Usiarios_Netflix[[#This Row],[Meses contratados]]</f>
        <v>156</v>
      </c>
      <c r="O1439" t="s">
        <v>39</v>
      </c>
      <c r="P1439" t="str">
        <f>IF(BBDD_Usiarios_Netflix[[#This Row],[País]]="","Desconocido",BBDD_Usiarios_Netflix[[#This Row],[País]])</f>
        <v>Canadá</v>
      </c>
      <c r="Q1439">
        <v>45</v>
      </c>
      <c r="R1439" t="s">
        <v>30</v>
      </c>
      <c r="S1439" t="s">
        <v>26</v>
      </c>
      <c r="T1439" t="s">
        <v>41</v>
      </c>
      <c r="U1439">
        <f>IF(IFERROR(VLOOKUP(BBDD_Usiarios_Netflix[[#This Row],[Identificador Usuario]],A1440:$A$5870,1,FALSE),0)&lt;&gt;0,1,0)</f>
        <v>0</v>
      </c>
      <c r="V1439" s="6" t="str">
        <f>IF(BBDD_Usiarios_Netflix[[#This Row],[Duración Plan]]="12 Meses",LEFT(BBDD_Usiarios_Netflix[[#This Row],[Duración Plan]],2),LEFT(BBDD_Usiarios_Netflix[[#This Row],[Duración Plan]],1))</f>
        <v>12</v>
      </c>
      <c r="W14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40" spans="1:23" x14ac:dyDescent="0.25">
      <c r="A1440">
        <v>1439</v>
      </c>
      <c r="B1440" t="s">
        <v>23</v>
      </c>
      <c r="C1440">
        <v>10</v>
      </c>
      <c r="D1440" s="3">
        <v>24</v>
      </c>
      <c r="E1440" s="3">
        <v>6</v>
      </c>
      <c r="F1440">
        <v>23</v>
      </c>
      <c r="G1440" s="1">
        <f>DATEVALUE(_xlfn.CONCAT(BBDD_Usiarios_Netflix[[#This Row],[Día Suscripción]],"/",BBDD_Usiarios_Netflix[[#This Row],[Mes Suscripción]],"/",BBDD_Usiarios_Netflix[[#This Row],[Año Suscripción]]))</f>
        <v>45101</v>
      </c>
      <c r="H1440" s="1">
        <v>4</v>
      </c>
      <c r="I1440" s="1">
        <v>7</v>
      </c>
      <c r="J1440" s="1">
        <v>24</v>
      </c>
      <c r="K1440" s="1" t="str">
        <f>TEXT(BBDD_Usiarios_Netflix[[#This Row],[Fecha Suscripción]],"dddd")</f>
        <v>sábado</v>
      </c>
      <c r="L1440" s="1">
        <f>DATEVALUE(_xlfn.CONCAT(BBDD_Usiarios_Netflix[[#This Row],[Día Último Pago]],"/",BBDD_Usiarios_Netflix[[#This Row],[Mes Último Pago]],"/",BBDD_Usiarios_Netflix[[#This Row],[Año Último Pago]]))</f>
        <v>45477</v>
      </c>
      <c r="M1440" s="4">
        <f>DATEDIF(BBDD_Usiarios_Netflix[[#This Row],[Fecha Suscripción]],BBDD_Usiarios_Netflix[[#This Row],[Fecha Último Pago]],"M")+1</f>
        <v>13</v>
      </c>
      <c r="N1440" s="4">
        <f>BBDD_Usiarios_Netflix[[#This Row],[Ingresos Mensuales]]*BBDD_Usiarios_Netflix[[#This Row],[Meses contratados]]</f>
        <v>130</v>
      </c>
      <c r="O1440" t="s">
        <v>42</v>
      </c>
      <c r="P1440" t="str">
        <f>IF(BBDD_Usiarios_Netflix[[#This Row],[País]]="","Desconocido",BBDD_Usiarios_Netflix[[#This Row],[País]])</f>
        <v>Reino Unido</v>
      </c>
      <c r="Q1440">
        <v>47</v>
      </c>
      <c r="R1440" t="s">
        <v>30</v>
      </c>
      <c r="S1440" t="s">
        <v>36</v>
      </c>
      <c r="T1440" t="s">
        <v>27</v>
      </c>
      <c r="U1440">
        <f>IF(IFERROR(VLOOKUP(BBDD_Usiarios_Netflix[[#This Row],[Identificador Usuario]],A1441:$A$5870,1,FALSE),0)&lt;&gt;0,1,0)</f>
        <v>0</v>
      </c>
      <c r="V1440" s="6" t="str">
        <f>IF(BBDD_Usiarios_Netflix[[#This Row],[Duración Plan]]="12 Meses",LEFT(BBDD_Usiarios_Netflix[[#This Row],[Duración Plan]],2),LEFT(BBDD_Usiarios_Netflix[[#This Row],[Duración Plan]],1))</f>
        <v>1</v>
      </c>
      <c r="W14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41" spans="1:23" x14ac:dyDescent="0.25">
      <c r="A1441">
        <v>1440</v>
      </c>
      <c r="B1441" t="s">
        <v>32</v>
      </c>
      <c r="C1441">
        <v>12</v>
      </c>
      <c r="D1441" s="3">
        <v>24</v>
      </c>
      <c r="E1441" s="3">
        <v>6</v>
      </c>
      <c r="F1441">
        <v>23</v>
      </c>
      <c r="G1441" s="1">
        <f>DATEVALUE(_xlfn.CONCAT(BBDD_Usiarios_Netflix[[#This Row],[Día Suscripción]],"/",BBDD_Usiarios_Netflix[[#This Row],[Mes Suscripción]],"/",BBDD_Usiarios_Netflix[[#This Row],[Año Suscripción]]))</f>
        <v>45101</v>
      </c>
      <c r="H1441" s="1">
        <v>5</v>
      </c>
      <c r="I1441" s="1">
        <v>7</v>
      </c>
      <c r="J1441" s="1">
        <v>24</v>
      </c>
      <c r="K1441" s="1" t="str">
        <f>TEXT(BBDD_Usiarios_Netflix[[#This Row],[Fecha Suscripción]],"dddd")</f>
        <v>sábado</v>
      </c>
      <c r="L1441" s="1">
        <f>DATEVALUE(_xlfn.CONCAT(BBDD_Usiarios_Netflix[[#This Row],[Día Último Pago]],"/",BBDD_Usiarios_Netflix[[#This Row],[Mes Último Pago]],"/",BBDD_Usiarios_Netflix[[#This Row],[Año Último Pago]]))</f>
        <v>45478</v>
      </c>
      <c r="M1441" s="4">
        <f>DATEDIF(BBDD_Usiarios_Netflix[[#This Row],[Fecha Suscripción]],BBDD_Usiarios_Netflix[[#This Row],[Fecha Último Pago]],"M")+1</f>
        <v>13</v>
      </c>
      <c r="N1441" s="4">
        <f>BBDD_Usiarios_Netflix[[#This Row],[Ingresos Mensuales]]*BBDD_Usiarios_Netflix[[#This Row],[Meses contratados]]</f>
        <v>156</v>
      </c>
      <c r="O1441" t="s">
        <v>39</v>
      </c>
      <c r="P1441" t="str">
        <f>IF(BBDD_Usiarios_Netflix[[#This Row],[País]]="","Desconocido",BBDD_Usiarios_Netflix[[#This Row],[País]])</f>
        <v>Canadá</v>
      </c>
      <c r="Q1441">
        <v>48</v>
      </c>
      <c r="R1441" t="s">
        <v>30</v>
      </c>
      <c r="S1441" t="s">
        <v>34</v>
      </c>
      <c r="T1441" t="s">
        <v>35</v>
      </c>
      <c r="U1441">
        <f>IF(IFERROR(VLOOKUP(BBDD_Usiarios_Netflix[[#This Row],[Identificador Usuario]],A1442:$A$5870,1,FALSE),0)&lt;&gt;0,1,0)</f>
        <v>0</v>
      </c>
      <c r="V1441" s="6" t="str">
        <f>IF(BBDD_Usiarios_Netflix[[#This Row],[Duración Plan]]="12 Meses",LEFT(BBDD_Usiarios_Netflix[[#This Row],[Duración Plan]],2),LEFT(BBDD_Usiarios_Netflix[[#This Row],[Duración Plan]],1))</f>
        <v>6</v>
      </c>
      <c r="W14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42" spans="1:23" x14ac:dyDescent="0.25">
      <c r="A1442">
        <v>1441</v>
      </c>
      <c r="B1442" t="s">
        <v>28</v>
      </c>
      <c r="C1442">
        <v>14</v>
      </c>
      <c r="D1442" s="3">
        <v>25</v>
      </c>
      <c r="E1442" s="3">
        <v>6</v>
      </c>
      <c r="F1442">
        <v>23</v>
      </c>
      <c r="G1442" s="1">
        <f>DATEVALUE(_xlfn.CONCAT(BBDD_Usiarios_Netflix[[#This Row],[Día Suscripción]],"/",BBDD_Usiarios_Netflix[[#This Row],[Mes Suscripción]],"/",BBDD_Usiarios_Netflix[[#This Row],[Año Suscripción]]))</f>
        <v>45102</v>
      </c>
      <c r="H1442" s="1">
        <v>4</v>
      </c>
      <c r="I1442" s="1">
        <v>7</v>
      </c>
      <c r="J1442" s="1">
        <v>24</v>
      </c>
      <c r="K1442" s="1" t="str">
        <f>TEXT(BBDD_Usiarios_Netflix[[#This Row],[Fecha Suscripción]],"dddd")</f>
        <v>domingo</v>
      </c>
      <c r="L1442" s="1">
        <f>DATEVALUE(_xlfn.CONCAT(BBDD_Usiarios_Netflix[[#This Row],[Día Último Pago]],"/",BBDD_Usiarios_Netflix[[#This Row],[Mes Último Pago]],"/",BBDD_Usiarios_Netflix[[#This Row],[Año Último Pago]]))</f>
        <v>45477</v>
      </c>
      <c r="M1442" s="4">
        <f>DATEDIF(BBDD_Usiarios_Netflix[[#This Row],[Fecha Suscripción]],BBDD_Usiarios_Netflix[[#This Row],[Fecha Último Pago]],"M")+1</f>
        <v>13</v>
      </c>
      <c r="N1442" s="4">
        <f>BBDD_Usiarios_Netflix[[#This Row],[Ingresos Mensuales]]*BBDD_Usiarios_Netflix[[#This Row],[Meses contratados]]</f>
        <v>182</v>
      </c>
      <c r="O1442" t="s">
        <v>42</v>
      </c>
      <c r="P1442" t="str">
        <f>IF(BBDD_Usiarios_Netflix[[#This Row],[País]]="","Desconocido",BBDD_Usiarios_Netflix[[#This Row],[País]])</f>
        <v>Reino Unido</v>
      </c>
      <c r="Q1442">
        <v>51</v>
      </c>
      <c r="R1442" t="s">
        <v>30</v>
      </c>
      <c r="S1442" t="s">
        <v>31</v>
      </c>
      <c r="T1442" t="s">
        <v>38</v>
      </c>
      <c r="U1442">
        <f>IF(IFERROR(VLOOKUP(BBDD_Usiarios_Netflix[[#This Row],[Identificador Usuario]],A1443:$A$5870,1,FALSE),0)&lt;&gt;0,1,0)</f>
        <v>0</v>
      </c>
      <c r="V1442" s="6" t="str">
        <f>IF(BBDD_Usiarios_Netflix[[#This Row],[Duración Plan]]="12 Meses",LEFT(BBDD_Usiarios_Netflix[[#This Row],[Duración Plan]],2),LEFT(BBDD_Usiarios_Netflix[[#This Row],[Duración Plan]],1))</f>
        <v>3</v>
      </c>
      <c r="W14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43" spans="1:23" x14ac:dyDescent="0.25">
      <c r="A1443">
        <v>1442</v>
      </c>
      <c r="B1443" t="s">
        <v>23</v>
      </c>
      <c r="C1443">
        <v>10</v>
      </c>
      <c r="D1443" s="3">
        <v>26</v>
      </c>
      <c r="E1443" s="3">
        <v>6</v>
      </c>
      <c r="F1443">
        <v>23</v>
      </c>
      <c r="G1443" s="1">
        <f>DATEVALUE(_xlfn.CONCAT(BBDD_Usiarios_Netflix[[#This Row],[Día Suscripción]],"/",BBDD_Usiarios_Netflix[[#This Row],[Mes Suscripción]],"/",BBDD_Usiarios_Netflix[[#This Row],[Año Suscripción]]))</f>
        <v>45103</v>
      </c>
      <c r="H1443" s="1">
        <v>6</v>
      </c>
      <c r="I1443" s="1">
        <v>7</v>
      </c>
      <c r="J1443" s="1">
        <v>24</v>
      </c>
      <c r="K1443" s="1" t="str">
        <f>TEXT(BBDD_Usiarios_Netflix[[#This Row],[Fecha Suscripción]],"dddd")</f>
        <v>lunes</v>
      </c>
      <c r="L1443" s="1">
        <f>DATEVALUE(_xlfn.CONCAT(BBDD_Usiarios_Netflix[[#This Row],[Día Último Pago]],"/",BBDD_Usiarios_Netflix[[#This Row],[Mes Último Pago]],"/",BBDD_Usiarios_Netflix[[#This Row],[Año Último Pago]]))</f>
        <v>45479</v>
      </c>
      <c r="M1443" s="4">
        <f>DATEDIF(BBDD_Usiarios_Netflix[[#This Row],[Fecha Suscripción]],BBDD_Usiarios_Netflix[[#This Row],[Fecha Último Pago]],"M")+1</f>
        <v>13</v>
      </c>
      <c r="N1443" s="4">
        <f>BBDD_Usiarios_Netflix[[#This Row],[Ingresos Mensuales]]*BBDD_Usiarios_Netflix[[#This Row],[Meses contratados]]</f>
        <v>130</v>
      </c>
      <c r="O1443" t="s">
        <v>43</v>
      </c>
      <c r="P1443" t="str">
        <f>IF(BBDD_Usiarios_Netflix[[#This Row],[País]]="","Desconocido",BBDD_Usiarios_Netflix[[#This Row],[País]])</f>
        <v>Alemania</v>
      </c>
      <c r="Q1443">
        <v>29</v>
      </c>
      <c r="R1443" t="s">
        <v>25</v>
      </c>
      <c r="S1443" t="s">
        <v>34</v>
      </c>
      <c r="T1443" t="s">
        <v>27</v>
      </c>
      <c r="U1443">
        <f>IF(IFERROR(VLOOKUP(BBDD_Usiarios_Netflix[[#This Row],[Identificador Usuario]],A1444:$A$5870,1,FALSE),0)&lt;&gt;0,1,0)</f>
        <v>0</v>
      </c>
      <c r="V1443" s="6" t="str">
        <f>IF(BBDD_Usiarios_Netflix[[#This Row],[Duración Plan]]="12 Meses",LEFT(BBDD_Usiarios_Netflix[[#This Row],[Duración Plan]],2),LEFT(BBDD_Usiarios_Netflix[[#This Row],[Duración Plan]],1))</f>
        <v>1</v>
      </c>
      <c r="W14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44" spans="1:23" x14ac:dyDescent="0.25">
      <c r="A1444">
        <v>1443</v>
      </c>
      <c r="B1444" t="s">
        <v>32</v>
      </c>
      <c r="C1444">
        <v>12</v>
      </c>
      <c r="D1444" s="3">
        <v>27</v>
      </c>
      <c r="E1444" s="3">
        <v>6</v>
      </c>
      <c r="F1444">
        <v>23</v>
      </c>
      <c r="G1444" s="1">
        <f>DATEVALUE(_xlfn.CONCAT(BBDD_Usiarios_Netflix[[#This Row],[Día Suscripción]],"/",BBDD_Usiarios_Netflix[[#This Row],[Mes Suscripción]],"/",BBDD_Usiarios_Netflix[[#This Row],[Año Suscripción]]))</f>
        <v>45104</v>
      </c>
      <c r="H1444" s="1">
        <v>5</v>
      </c>
      <c r="I1444" s="1">
        <v>7</v>
      </c>
      <c r="J1444" s="1">
        <v>24</v>
      </c>
      <c r="K1444" s="1" t="str">
        <f>TEXT(BBDD_Usiarios_Netflix[[#This Row],[Fecha Suscripción]],"dddd")</f>
        <v>martes</v>
      </c>
      <c r="L1444" s="1">
        <f>DATEVALUE(_xlfn.CONCAT(BBDD_Usiarios_Netflix[[#This Row],[Día Último Pago]],"/",BBDD_Usiarios_Netflix[[#This Row],[Mes Último Pago]],"/",BBDD_Usiarios_Netflix[[#This Row],[Año Último Pago]]))</f>
        <v>45478</v>
      </c>
      <c r="M1444" s="4">
        <f>DATEDIF(BBDD_Usiarios_Netflix[[#This Row],[Fecha Suscripción]],BBDD_Usiarios_Netflix[[#This Row],[Fecha Último Pago]],"M")+1</f>
        <v>13</v>
      </c>
      <c r="N1444" s="4">
        <f>BBDD_Usiarios_Netflix[[#This Row],[Ingresos Mensuales]]*BBDD_Usiarios_Netflix[[#This Row],[Meses contratados]]</f>
        <v>156</v>
      </c>
      <c r="O1444" t="s">
        <v>45</v>
      </c>
      <c r="P1444" t="str">
        <f>IF(BBDD_Usiarios_Netflix[[#This Row],[País]]="","Desconocido",BBDD_Usiarios_Netflix[[#This Row],[País]])</f>
        <v>España</v>
      </c>
      <c r="Q1444">
        <v>43</v>
      </c>
      <c r="R1444" t="s">
        <v>30</v>
      </c>
      <c r="S1444" t="s">
        <v>36</v>
      </c>
      <c r="T1444" t="s">
        <v>41</v>
      </c>
      <c r="U1444">
        <f>IF(IFERROR(VLOOKUP(BBDD_Usiarios_Netflix[[#This Row],[Identificador Usuario]],A1445:$A$5870,1,FALSE),0)&lt;&gt;0,1,0)</f>
        <v>0</v>
      </c>
      <c r="V1444" s="6" t="str">
        <f>IF(BBDD_Usiarios_Netflix[[#This Row],[Duración Plan]]="12 Meses",LEFT(BBDD_Usiarios_Netflix[[#This Row],[Duración Plan]],2),LEFT(BBDD_Usiarios_Netflix[[#This Row],[Duración Plan]],1))</f>
        <v>12</v>
      </c>
      <c r="W14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45" spans="1:23" x14ac:dyDescent="0.25">
      <c r="A1445">
        <v>1444</v>
      </c>
      <c r="B1445" t="s">
        <v>28</v>
      </c>
      <c r="C1445">
        <v>14</v>
      </c>
      <c r="D1445" s="3">
        <v>29</v>
      </c>
      <c r="E1445" s="3">
        <v>6</v>
      </c>
      <c r="F1445">
        <v>23</v>
      </c>
      <c r="G1445" s="1">
        <f>DATEVALUE(_xlfn.CONCAT(BBDD_Usiarios_Netflix[[#This Row],[Día Suscripción]],"/",BBDD_Usiarios_Netflix[[#This Row],[Mes Suscripción]],"/",BBDD_Usiarios_Netflix[[#This Row],[Año Suscripción]]))</f>
        <v>45106</v>
      </c>
      <c r="H1445" s="1">
        <v>7</v>
      </c>
      <c r="I1445" s="1">
        <v>7</v>
      </c>
      <c r="J1445" s="1">
        <v>24</v>
      </c>
      <c r="K1445" s="1" t="str">
        <f>TEXT(BBDD_Usiarios_Netflix[[#This Row],[Fecha Suscripción]],"dddd")</f>
        <v>jueves</v>
      </c>
      <c r="L1445" s="1">
        <f>DATEVALUE(_xlfn.CONCAT(BBDD_Usiarios_Netflix[[#This Row],[Día Último Pago]],"/",BBDD_Usiarios_Netflix[[#This Row],[Mes Último Pago]],"/",BBDD_Usiarios_Netflix[[#This Row],[Año Último Pago]]))</f>
        <v>45480</v>
      </c>
      <c r="M1445" s="4">
        <f>DATEDIF(BBDD_Usiarios_Netflix[[#This Row],[Fecha Suscripción]],BBDD_Usiarios_Netflix[[#This Row],[Fecha Último Pago]],"M")+1</f>
        <v>13</v>
      </c>
      <c r="N1445" s="4">
        <f>BBDD_Usiarios_Netflix[[#This Row],[Ingresos Mensuales]]*BBDD_Usiarios_Netflix[[#This Row],[Meses contratados]]</f>
        <v>182</v>
      </c>
      <c r="O1445" t="s">
        <v>24</v>
      </c>
      <c r="P1445" t="str">
        <f>IF(BBDD_Usiarios_Netflix[[#This Row],[País]]="","Desconocido",BBDD_Usiarios_Netflix[[#This Row],[País]])</f>
        <v>Australia</v>
      </c>
      <c r="Q1445">
        <v>49</v>
      </c>
      <c r="R1445" t="s">
        <v>30</v>
      </c>
      <c r="S1445" t="s">
        <v>31</v>
      </c>
      <c r="T1445" t="s">
        <v>27</v>
      </c>
      <c r="U1445">
        <f>IF(IFERROR(VLOOKUP(BBDD_Usiarios_Netflix[[#This Row],[Identificador Usuario]],A1446:$A$5870,1,FALSE),0)&lt;&gt;0,1,0)</f>
        <v>0</v>
      </c>
      <c r="V1445" s="6" t="str">
        <f>IF(BBDD_Usiarios_Netflix[[#This Row],[Duración Plan]]="12 Meses",LEFT(BBDD_Usiarios_Netflix[[#This Row],[Duración Plan]],2),LEFT(BBDD_Usiarios_Netflix[[#This Row],[Duración Plan]],1))</f>
        <v>1</v>
      </c>
      <c r="W14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46" spans="1:23" x14ac:dyDescent="0.25">
      <c r="A1446">
        <v>1445</v>
      </c>
      <c r="B1446" t="s">
        <v>23</v>
      </c>
      <c r="C1446">
        <v>10</v>
      </c>
      <c r="D1446" s="3">
        <v>2</v>
      </c>
      <c r="E1446" s="3">
        <v>7</v>
      </c>
      <c r="F1446">
        <v>23</v>
      </c>
      <c r="G1446" s="1">
        <f>DATEVALUE(_xlfn.CONCAT(BBDD_Usiarios_Netflix[[#This Row],[Día Suscripción]],"/",BBDD_Usiarios_Netflix[[#This Row],[Mes Suscripción]],"/",BBDD_Usiarios_Netflix[[#This Row],[Año Suscripción]]))</f>
        <v>45109</v>
      </c>
      <c r="H1446" s="1">
        <v>3</v>
      </c>
      <c r="I1446" s="1">
        <v>7</v>
      </c>
      <c r="J1446" s="1">
        <v>24</v>
      </c>
      <c r="K1446" s="1" t="str">
        <f>TEXT(BBDD_Usiarios_Netflix[[#This Row],[Fecha Suscripción]],"dddd")</f>
        <v>domingo</v>
      </c>
      <c r="L1446" s="1">
        <f>DATEVALUE(_xlfn.CONCAT(BBDD_Usiarios_Netflix[[#This Row],[Día Último Pago]],"/",BBDD_Usiarios_Netflix[[#This Row],[Mes Último Pago]],"/",BBDD_Usiarios_Netflix[[#This Row],[Año Último Pago]]))</f>
        <v>45476</v>
      </c>
      <c r="M1446" s="4">
        <f>DATEDIF(BBDD_Usiarios_Netflix[[#This Row],[Fecha Suscripción]],BBDD_Usiarios_Netflix[[#This Row],[Fecha Último Pago]],"M")+1</f>
        <v>13</v>
      </c>
      <c r="N1446" s="4">
        <f>BBDD_Usiarios_Netflix[[#This Row],[Ingresos Mensuales]]*BBDD_Usiarios_Netflix[[#This Row],[Meses contratados]]</f>
        <v>130</v>
      </c>
      <c r="O1446" t="s">
        <v>29</v>
      </c>
      <c r="P1446" t="str">
        <f>IF(BBDD_Usiarios_Netflix[[#This Row],[País]]="","Desconocido",BBDD_Usiarios_Netflix[[#This Row],[País]])</f>
        <v>EEUU</v>
      </c>
      <c r="Q1446">
        <v>37</v>
      </c>
      <c r="R1446" t="s">
        <v>25</v>
      </c>
      <c r="S1446" t="s">
        <v>26</v>
      </c>
      <c r="T1446" t="s">
        <v>35</v>
      </c>
      <c r="U1446">
        <f>IF(IFERROR(VLOOKUP(BBDD_Usiarios_Netflix[[#This Row],[Identificador Usuario]],A1447:$A$5870,1,FALSE),0)&lt;&gt;0,1,0)</f>
        <v>0</v>
      </c>
      <c r="V1446" s="6" t="str">
        <f>IF(BBDD_Usiarios_Netflix[[#This Row],[Duración Plan]]="12 Meses",LEFT(BBDD_Usiarios_Netflix[[#This Row],[Duración Plan]],2),LEFT(BBDD_Usiarios_Netflix[[#This Row],[Duración Plan]],1))</f>
        <v>6</v>
      </c>
      <c r="W14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47" spans="1:23" x14ac:dyDescent="0.25">
      <c r="A1447">
        <v>1446</v>
      </c>
      <c r="B1447" t="s">
        <v>28</v>
      </c>
      <c r="C1447">
        <v>14</v>
      </c>
      <c r="D1447" s="3">
        <v>7</v>
      </c>
      <c r="E1447" s="3">
        <v>7</v>
      </c>
      <c r="F1447">
        <v>23</v>
      </c>
      <c r="G1447" s="1">
        <f>DATEVALUE(_xlfn.CONCAT(BBDD_Usiarios_Netflix[[#This Row],[Día Suscripción]],"/",BBDD_Usiarios_Netflix[[#This Row],[Mes Suscripción]],"/",BBDD_Usiarios_Netflix[[#This Row],[Año Suscripción]]))</f>
        <v>45114</v>
      </c>
      <c r="H1447" s="1">
        <v>5</v>
      </c>
      <c r="I1447" s="1">
        <v>7</v>
      </c>
      <c r="J1447" s="1">
        <v>24</v>
      </c>
      <c r="K1447" s="1" t="str">
        <f>TEXT(BBDD_Usiarios_Netflix[[#This Row],[Fecha Suscripción]],"dddd")</f>
        <v>viernes</v>
      </c>
      <c r="L1447" s="1">
        <f>DATEVALUE(_xlfn.CONCAT(BBDD_Usiarios_Netflix[[#This Row],[Día Último Pago]],"/",BBDD_Usiarios_Netflix[[#This Row],[Mes Último Pago]],"/",BBDD_Usiarios_Netflix[[#This Row],[Año Último Pago]]))</f>
        <v>45478</v>
      </c>
      <c r="M1447" s="4">
        <f>DATEDIF(BBDD_Usiarios_Netflix[[#This Row],[Fecha Suscripción]],BBDD_Usiarios_Netflix[[#This Row],[Fecha Último Pago]],"M")+1</f>
        <v>12</v>
      </c>
      <c r="N1447" s="4">
        <f>BBDD_Usiarios_Netflix[[#This Row],[Ingresos Mensuales]]*BBDD_Usiarios_Netflix[[#This Row],[Meses contratados]]</f>
        <v>168</v>
      </c>
      <c r="O1447" t="s">
        <v>33</v>
      </c>
      <c r="P1447" t="str">
        <f>IF(BBDD_Usiarios_Netflix[[#This Row],[País]]="","Desconocido",BBDD_Usiarios_Netflix[[#This Row],[País]])</f>
        <v>Francia</v>
      </c>
      <c r="Q1447">
        <v>48</v>
      </c>
      <c r="R1447" t="s">
        <v>25</v>
      </c>
      <c r="S1447" t="s">
        <v>31</v>
      </c>
      <c r="T1447" t="s">
        <v>41</v>
      </c>
      <c r="U1447">
        <f>IF(IFERROR(VLOOKUP(BBDD_Usiarios_Netflix[[#This Row],[Identificador Usuario]],A1448:$A$5870,1,FALSE),0)&lt;&gt;0,1,0)</f>
        <v>0</v>
      </c>
      <c r="V1447" s="6" t="str">
        <f>IF(BBDD_Usiarios_Netflix[[#This Row],[Duración Plan]]="12 Meses",LEFT(BBDD_Usiarios_Netflix[[#This Row],[Duración Plan]],2),LEFT(BBDD_Usiarios_Netflix[[#This Row],[Duración Plan]],1))</f>
        <v>12</v>
      </c>
      <c r="W14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48" spans="1:23" x14ac:dyDescent="0.25">
      <c r="A1448">
        <v>1447</v>
      </c>
      <c r="B1448" t="s">
        <v>23</v>
      </c>
      <c r="C1448">
        <v>10</v>
      </c>
      <c r="D1448" s="3">
        <v>13</v>
      </c>
      <c r="E1448" s="3">
        <v>7</v>
      </c>
      <c r="F1448">
        <v>23</v>
      </c>
      <c r="G1448" s="1">
        <f>DATEVALUE(_xlfn.CONCAT(BBDD_Usiarios_Netflix[[#This Row],[Día Suscripción]],"/",BBDD_Usiarios_Netflix[[#This Row],[Mes Suscripción]],"/",BBDD_Usiarios_Netflix[[#This Row],[Año Suscripción]]))</f>
        <v>45120</v>
      </c>
      <c r="H1448" s="1">
        <v>5</v>
      </c>
      <c r="I1448" s="1">
        <v>7</v>
      </c>
      <c r="J1448" s="1">
        <v>24</v>
      </c>
      <c r="K1448" s="1" t="str">
        <f>TEXT(BBDD_Usiarios_Netflix[[#This Row],[Fecha Suscripción]],"dddd")</f>
        <v>jueves</v>
      </c>
      <c r="L1448" s="1">
        <f>DATEVALUE(_xlfn.CONCAT(BBDD_Usiarios_Netflix[[#This Row],[Día Último Pago]],"/",BBDD_Usiarios_Netflix[[#This Row],[Mes Último Pago]],"/",BBDD_Usiarios_Netflix[[#This Row],[Año Último Pago]]))</f>
        <v>45478</v>
      </c>
      <c r="M1448" s="4">
        <f>DATEDIF(BBDD_Usiarios_Netflix[[#This Row],[Fecha Suscripción]],BBDD_Usiarios_Netflix[[#This Row],[Fecha Último Pago]],"M")+1</f>
        <v>12</v>
      </c>
      <c r="N1448" s="4">
        <f>BBDD_Usiarios_Netflix[[#This Row],[Ingresos Mensuales]]*BBDD_Usiarios_Netflix[[#This Row],[Meses contratados]]</f>
        <v>120</v>
      </c>
      <c r="O1448" t="s">
        <v>29</v>
      </c>
      <c r="P1448" t="str">
        <f>IF(BBDD_Usiarios_Netflix[[#This Row],[País]]="","Desconocido",BBDD_Usiarios_Netflix[[#This Row],[País]])</f>
        <v>EEUU</v>
      </c>
      <c r="Q1448">
        <v>36</v>
      </c>
      <c r="R1448" t="s">
        <v>30</v>
      </c>
      <c r="S1448" t="s">
        <v>31</v>
      </c>
      <c r="T1448" t="s">
        <v>35</v>
      </c>
      <c r="U1448">
        <f>IF(IFERROR(VLOOKUP(BBDD_Usiarios_Netflix[[#This Row],[Identificador Usuario]],A1449:$A$5870,1,FALSE),0)&lt;&gt;0,1,0)</f>
        <v>0</v>
      </c>
      <c r="V1448" s="6" t="str">
        <f>IF(BBDD_Usiarios_Netflix[[#This Row],[Duración Plan]]="12 Meses",LEFT(BBDD_Usiarios_Netflix[[#This Row],[Duración Plan]],2),LEFT(BBDD_Usiarios_Netflix[[#This Row],[Duración Plan]],1))</f>
        <v>6</v>
      </c>
      <c r="W14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49" spans="1:23" x14ac:dyDescent="0.25">
      <c r="A1449">
        <v>1448</v>
      </c>
      <c r="B1449" t="s">
        <v>32</v>
      </c>
      <c r="C1449">
        <v>12</v>
      </c>
      <c r="D1449" s="3">
        <v>18</v>
      </c>
      <c r="E1449" s="3">
        <v>7</v>
      </c>
      <c r="F1449">
        <v>23</v>
      </c>
      <c r="G1449" s="1">
        <f>DATEVALUE(_xlfn.CONCAT(BBDD_Usiarios_Netflix[[#This Row],[Día Suscripción]],"/",BBDD_Usiarios_Netflix[[#This Row],[Mes Suscripción]],"/",BBDD_Usiarios_Netflix[[#This Row],[Año Suscripción]]))</f>
        <v>45125</v>
      </c>
      <c r="H1449" s="1">
        <v>7</v>
      </c>
      <c r="I1449" s="1">
        <v>7</v>
      </c>
      <c r="J1449" s="1">
        <v>24</v>
      </c>
      <c r="K1449" s="1" t="str">
        <f>TEXT(BBDD_Usiarios_Netflix[[#This Row],[Fecha Suscripción]],"dddd")</f>
        <v>martes</v>
      </c>
      <c r="L1449" s="1">
        <f>DATEVALUE(_xlfn.CONCAT(BBDD_Usiarios_Netflix[[#This Row],[Día Último Pago]],"/",BBDD_Usiarios_Netflix[[#This Row],[Mes Último Pago]],"/",BBDD_Usiarios_Netflix[[#This Row],[Año Último Pago]]))</f>
        <v>45480</v>
      </c>
      <c r="M1449" s="4">
        <f>DATEDIF(BBDD_Usiarios_Netflix[[#This Row],[Fecha Suscripción]],BBDD_Usiarios_Netflix[[#This Row],[Fecha Último Pago]],"M")+1</f>
        <v>12</v>
      </c>
      <c r="N1449" s="4">
        <f>BBDD_Usiarios_Netflix[[#This Row],[Ingresos Mensuales]]*BBDD_Usiarios_Netflix[[#This Row],[Meses contratados]]</f>
        <v>144</v>
      </c>
      <c r="O1449" t="s">
        <v>33</v>
      </c>
      <c r="P1449" t="str">
        <f>IF(BBDD_Usiarios_Netflix[[#This Row],[País]]="","Desconocido",BBDD_Usiarios_Netflix[[#This Row],[País]])</f>
        <v>Francia</v>
      </c>
      <c r="Q1449">
        <v>33</v>
      </c>
      <c r="R1449" t="s">
        <v>30</v>
      </c>
      <c r="S1449" t="s">
        <v>36</v>
      </c>
      <c r="T1449" t="s">
        <v>27</v>
      </c>
      <c r="U1449">
        <f>IF(IFERROR(VLOOKUP(BBDD_Usiarios_Netflix[[#This Row],[Identificador Usuario]],A1450:$A$5870,1,FALSE),0)&lt;&gt;0,1,0)</f>
        <v>0</v>
      </c>
      <c r="V1449" s="6" t="str">
        <f>IF(BBDD_Usiarios_Netflix[[#This Row],[Duración Plan]]="12 Meses",LEFT(BBDD_Usiarios_Netflix[[#This Row],[Duración Plan]],2),LEFT(BBDD_Usiarios_Netflix[[#This Row],[Duración Plan]],1))</f>
        <v>1</v>
      </c>
      <c r="W14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50" spans="1:23" x14ac:dyDescent="0.25">
      <c r="A1450">
        <v>1449</v>
      </c>
      <c r="B1450" t="s">
        <v>32</v>
      </c>
      <c r="C1450">
        <v>12</v>
      </c>
      <c r="D1450" s="3">
        <v>24</v>
      </c>
      <c r="E1450" s="3">
        <v>7</v>
      </c>
      <c r="F1450">
        <v>23</v>
      </c>
      <c r="G1450" s="1">
        <f>DATEVALUE(_xlfn.CONCAT(BBDD_Usiarios_Netflix[[#This Row],[Día Suscripción]],"/",BBDD_Usiarios_Netflix[[#This Row],[Mes Suscripción]],"/",BBDD_Usiarios_Netflix[[#This Row],[Año Suscripción]]))</f>
        <v>45131</v>
      </c>
      <c r="H1450" s="1">
        <v>4</v>
      </c>
      <c r="I1450" s="1">
        <v>7</v>
      </c>
      <c r="J1450" s="1">
        <v>24</v>
      </c>
      <c r="K1450" s="1" t="str">
        <f>TEXT(BBDD_Usiarios_Netflix[[#This Row],[Fecha Suscripción]],"dddd")</f>
        <v>lunes</v>
      </c>
      <c r="L1450" s="1">
        <f>DATEVALUE(_xlfn.CONCAT(BBDD_Usiarios_Netflix[[#This Row],[Día Último Pago]],"/",BBDD_Usiarios_Netflix[[#This Row],[Mes Último Pago]],"/",BBDD_Usiarios_Netflix[[#This Row],[Año Último Pago]]))</f>
        <v>45477</v>
      </c>
      <c r="M1450" s="4">
        <f>DATEDIF(BBDD_Usiarios_Netflix[[#This Row],[Fecha Suscripción]],BBDD_Usiarios_Netflix[[#This Row],[Fecha Último Pago]],"M")+1</f>
        <v>12</v>
      </c>
      <c r="N1450" s="4">
        <f>BBDD_Usiarios_Netflix[[#This Row],[Ingresos Mensuales]]*BBDD_Usiarios_Netflix[[#This Row],[Meses contratados]]</f>
        <v>144</v>
      </c>
      <c r="O1450" t="s">
        <v>37</v>
      </c>
      <c r="P1450" t="str">
        <f>IF(BBDD_Usiarios_Netflix[[#This Row],[País]]="","Desconocido",BBDD_Usiarios_Netflix[[#This Row],[País]])</f>
        <v>Brasil</v>
      </c>
      <c r="Q1450">
        <v>38</v>
      </c>
      <c r="R1450" t="s">
        <v>30</v>
      </c>
      <c r="S1450" t="s">
        <v>36</v>
      </c>
      <c r="T1450" t="s">
        <v>27</v>
      </c>
      <c r="U1450">
        <f>IF(IFERROR(VLOOKUP(BBDD_Usiarios_Netflix[[#This Row],[Identificador Usuario]],A1451:$A$5870,1,FALSE),0)&lt;&gt;0,1,0)</f>
        <v>0</v>
      </c>
      <c r="V1450" s="6" t="str">
        <f>IF(BBDD_Usiarios_Netflix[[#This Row],[Duración Plan]]="12 Meses",LEFT(BBDD_Usiarios_Netflix[[#This Row],[Duración Plan]],2),LEFT(BBDD_Usiarios_Netflix[[#This Row],[Duración Plan]],1))</f>
        <v>1</v>
      </c>
      <c r="W14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51" spans="1:23" x14ac:dyDescent="0.25">
      <c r="A1451">
        <v>1450</v>
      </c>
      <c r="B1451" t="s">
        <v>23</v>
      </c>
      <c r="C1451">
        <v>10</v>
      </c>
      <c r="D1451" s="3">
        <v>31</v>
      </c>
      <c r="E1451" s="3">
        <v>7</v>
      </c>
      <c r="F1451">
        <v>23</v>
      </c>
      <c r="G1451" s="1">
        <f>DATEVALUE(_xlfn.CONCAT(BBDD_Usiarios_Netflix[[#This Row],[Día Suscripción]],"/",BBDD_Usiarios_Netflix[[#This Row],[Mes Suscripción]],"/",BBDD_Usiarios_Netflix[[#This Row],[Año Suscripción]]))</f>
        <v>45138</v>
      </c>
      <c r="H1451" s="1">
        <v>6</v>
      </c>
      <c r="I1451" s="1">
        <v>7</v>
      </c>
      <c r="J1451" s="1">
        <v>24</v>
      </c>
      <c r="K1451" s="1" t="str">
        <f>TEXT(BBDD_Usiarios_Netflix[[#This Row],[Fecha Suscripción]],"dddd")</f>
        <v>lunes</v>
      </c>
      <c r="L1451" s="1">
        <f>DATEVALUE(_xlfn.CONCAT(BBDD_Usiarios_Netflix[[#This Row],[Día Último Pago]],"/",BBDD_Usiarios_Netflix[[#This Row],[Mes Último Pago]],"/",BBDD_Usiarios_Netflix[[#This Row],[Año Último Pago]]))</f>
        <v>45479</v>
      </c>
      <c r="M1451" s="4">
        <f>DATEDIF(BBDD_Usiarios_Netflix[[#This Row],[Fecha Suscripción]],BBDD_Usiarios_Netflix[[#This Row],[Fecha Último Pago]],"M")+1</f>
        <v>12</v>
      </c>
      <c r="N1451" s="4">
        <f>BBDD_Usiarios_Netflix[[#This Row],[Ingresos Mensuales]]*BBDD_Usiarios_Netflix[[#This Row],[Meses contratados]]</f>
        <v>120</v>
      </c>
      <c r="O1451" t="s">
        <v>29</v>
      </c>
      <c r="P1451" t="str">
        <f>IF(BBDD_Usiarios_Netflix[[#This Row],[País]]="","Desconocido",BBDD_Usiarios_Netflix[[#This Row],[País]])</f>
        <v>EEUU</v>
      </c>
      <c r="Q1451">
        <v>42</v>
      </c>
      <c r="R1451" t="s">
        <v>30</v>
      </c>
      <c r="S1451" t="s">
        <v>26</v>
      </c>
      <c r="T1451" t="s">
        <v>38</v>
      </c>
      <c r="U1451">
        <f>IF(IFERROR(VLOOKUP(BBDD_Usiarios_Netflix[[#This Row],[Identificador Usuario]],A1452:$A$5870,1,FALSE),0)&lt;&gt;0,1,0)</f>
        <v>0</v>
      </c>
      <c r="V1451" s="6" t="str">
        <f>IF(BBDD_Usiarios_Netflix[[#This Row],[Duración Plan]]="12 Meses",LEFT(BBDD_Usiarios_Netflix[[#This Row],[Duración Plan]],2),LEFT(BBDD_Usiarios_Netflix[[#This Row],[Duración Plan]],1))</f>
        <v>3</v>
      </c>
      <c r="W14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52" spans="1:23" x14ac:dyDescent="0.25">
      <c r="A1452">
        <v>1451</v>
      </c>
      <c r="B1452" t="s">
        <v>28</v>
      </c>
      <c r="C1452">
        <v>14</v>
      </c>
      <c r="D1452" s="3">
        <v>1</v>
      </c>
      <c r="E1452" s="3">
        <v>8</v>
      </c>
      <c r="F1452">
        <v>23</v>
      </c>
      <c r="G1452" s="1">
        <f>DATEVALUE(_xlfn.CONCAT(BBDD_Usiarios_Netflix[[#This Row],[Día Suscripción]],"/",BBDD_Usiarios_Netflix[[#This Row],[Mes Suscripción]],"/",BBDD_Usiarios_Netflix[[#This Row],[Año Suscripción]]))</f>
        <v>45139</v>
      </c>
      <c r="H1452" s="1">
        <v>5</v>
      </c>
      <c r="I1452" s="1">
        <v>7</v>
      </c>
      <c r="J1452" s="1">
        <v>24</v>
      </c>
      <c r="K1452" s="1" t="str">
        <f>TEXT(BBDD_Usiarios_Netflix[[#This Row],[Fecha Suscripción]],"dddd")</f>
        <v>martes</v>
      </c>
      <c r="L1452" s="1">
        <f>DATEVALUE(_xlfn.CONCAT(BBDD_Usiarios_Netflix[[#This Row],[Día Último Pago]],"/",BBDD_Usiarios_Netflix[[#This Row],[Mes Último Pago]],"/",BBDD_Usiarios_Netflix[[#This Row],[Año Último Pago]]))</f>
        <v>45478</v>
      </c>
      <c r="M1452" s="4">
        <f>DATEDIF(BBDD_Usiarios_Netflix[[#This Row],[Fecha Suscripción]],BBDD_Usiarios_Netflix[[#This Row],[Fecha Último Pago]],"M")+1</f>
        <v>12</v>
      </c>
      <c r="N1452" s="4">
        <f>BBDD_Usiarios_Netflix[[#This Row],[Ingresos Mensuales]]*BBDD_Usiarios_Netflix[[#This Row],[Meses contratados]]</f>
        <v>168</v>
      </c>
      <c r="O1452" t="s">
        <v>29</v>
      </c>
      <c r="P1452" t="str">
        <f>IF(BBDD_Usiarios_Netflix[[#This Row],[País]]="","Desconocido",BBDD_Usiarios_Netflix[[#This Row],[País]])</f>
        <v>EEUU</v>
      </c>
      <c r="Q1452">
        <v>30</v>
      </c>
      <c r="R1452" t="s">
        <v>30</v>
      </c>
      <c r="S1452" t="s">
        <v>31</v>
      </c>
      <c r="T1452" t="s">
        <v>38</v>
      </c>
      <c r="U1452">
        <f>IF(IFERROR(VLOOKUP(BBDD_Usiarios_Netflix[[#This Row],[Identificador Usuario]],A1453:$A$5870,1,FALSE),0)&lt;&gt;0,1,0)</f>
        <v>0</v>
      </c>
      <c r="V1452" s="6" t="str">
        <f>IF(BBDD_Usiarios_Netflix[[#This Row],[Duración Plan]]="12 Meses",LEFT(BBDD_Usiarios_Netflix[[#This Row],[Duración Plan]],2),LEFT(BBDD_Usiarios_Netflix[[#This Row],[Duración Plan]],1))</f>
        <v>3</v>
      </c>
      <c r="W14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53" spans="1:23" x14ac:dyDescent="0.25">
      <c r="A1453">
        <v>1452</v>
      </c>
      <c r="B1453" t="s">
        <v>23</v>
      </c>
      <c r="C1453">
        <v>10</v>
      </c>
      <c r="D1453" s="3">
        <v>8</v>
      </c>
      <c r="E1453" s="3">
        <v>8</v>
      </c>
      <c r="F1453">
        <v>23</v>
      </c>
      <c r="G1453" s="1">
        <f>DATEVALUE(_xlfn.CONCAT(BBDD_Usiarios_Netflix[[#This Row],[Día Suscripción]],"/",BBDD_Usiarios_Netflix[[#This Row],[Mes Suscripción]],"/",BBDD_Usiarios_Netflix[[#This Row],[Año Suscripción]]))</f>
        <v>45146</v>
      </c>
      <c r="H1453" s="1">
        <v>6</v>
      </c>
      <c r="I1453" s="1">
        <v>7</v>
      </c>
      <c r="J1453" s="1">
        <v>24</v>
      </c>
      <c r="K1453" s="1" t="str">
        <f>TEXT(BBDD_Usiarios_Netflix[[#This Row],[Fecha Suscripción]],"dddd")</f>
        <v>martes</v>
      </c>
      <c r="L1453" s="1">
        <f>DATEVALUE(_xlfn.CONCAT(BBDD_Usiarios_Netflix[[#This Row],[Día Último Pago]],"/",BBDD_Usiarios_Netflix[[#This Row],[Mes Último Pago]],"/",BBDD_Usiarios_Netflix[[#This Row],[Año Último Pago]]))</f>
        <v>45479</v>
      </c>
      <c r="M1453" s="4">
        <f>DATEDIF(BBDD_Usiarios_Netflix[[#This Row],[Fecha Suscripción]],BBDD_Usiarios_Netflix[[#This Row],[Fecha Último Pago]],"M")+1</f>
        <v>11</v>
      </c>
      <c r="N1453" s="4">
        <f>BBDD_Usiarios_Netflix[[#This Row],[Ingresos Mensuales]]*BBDD_Usiarios_Netflix[[#This Row],[Meses contratados]]</f>
        <v>110</v>
      </c>
      <c r="O1453" t="s">
        <v>43</v>
      </c>
      <c r="P1453" t="str">
        <f>IF(BBDD_Usiarios_Netflix[[#This Row],[País]]="","Desconocido",BBDD_Usiarios_Netflix[[#This Row],[País]])</f>
        <v>Alemania</v>
      </c>
      <c r="Q1453">
        <v>39</v>
      </c>
      <c r="R1453" t="s">
        <v>25</v>
      </c>
      <c r="S1453" t="s">
        <v>34</v>
      </c>
      <c r="T1453" t="s">
        <v>38</v>
      </c>
      <c r="U1453">
        <f>IF(IFERROR(VLOOKUP(BBDD_Usiarios_Netflix[[#This Row],[Identificador Usuario]],A1454:$A$5870,1,FALSE),0)&lt;&gt;0,1,0)</f>
        <v>0</v>
      </c>
      <c r="V1453" s="6" t="str">
        <f>IF(BBDD_Usiarios_Netflix[[#This Row],[Duración Plan]]="12 Meses",LEFT(BBDD_Usiarios_Netflix[[#This Row],[Duración Plan]],2),LEFT(BBDD_Usiarios_Netflix[[#This Row],[Duración Plan]],1))</f>
        <v>3</v>
      </c>
      <c r="W14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54" spans="1:23" x14ac:dyDescent="0.25">
      <c r="A1454">
        <v>1453</v>
      </c>
      <c r="B1454" t="s">
        <v>32</v>
      </c>
      <c r="C1454">
        <v>12</v>
      </c>
      <c r="D1454" s="3">
        <v>13</v>
      </c>
      <c r="E1454" s="3">
        <v>8</v>
      </c>
      <c r="F1454">
        <v>23</v>
      </c>
      <c r="G1454" s="1">
        <f>DATEVALUE(_xlfn.CONCAT(BBDD_Usiarios_Netflix[[#This Row],[Día Suscripción]],"/",BBDD_Usiarios_Netflix[[#This Row],[Mes Suscripción]],"/",BBDD_Usiarios_Netflix[[#This Row],[Año Suscripción]]))</f>
        <v>45151</v>
      </c>
      <c r="H1454" s="1">
        <v>4</v>
      </c>
      <c r="I1454" s="1">
        <v>7</v>
      </c>
      <c r="J1454" s="1">
        <v>24</v>
      </c>
      <c r="K1454" s="1" t="str">
        <f>TEXT(BBDD_Usiarios_Netflix[[#This Row],[Fecha Suscripción]],"dddd")</f>
        <v>domingo</v>
      </c>
      <c r="L1454" s="1">
        <f>DATEVALUE(_xlfn.CONCAT(BBDD_Usiarios_Netflix[[#This Row],[Día Último Pago]],"/",BBDD_Usiarios_Netflix[[#This Row],[Mes Último Pago]],"/",BBDD_Usiarios_Netflix[[#This Row],[Año Último Pago]]))</f>
        <v>45477</v>
      </c>
      <c r="M1454" s="4">
        <f>DATEDIF(BBDD_Usiarios_Netflix[[#This Row],[Fecha Suscripción]],BBDD_Usiarios_Netflix[[#This Row],[Fecha Último Pago]],"M")+1</f>
        <v>11</v>
      </c>
      <c r="N1454" s="4">
        <f>BBDD_Usiarios_Netflix[[#This Row],[Ingresos Mensuales]]*BBDD_Usiarios_Netflix[[#This Row],[Meses contratados]]</f>
        <v>132</v>
      </c>
      <c r="O1454" t="s">
        <v>33</v>
      </c>
      <c r="P1454" t="str">
        <f>IF(BBDD_Usiarios_Netflix[[#This Row],[País]]="","Desconocido",BBDD_Usiarios_Netflix[[#This Row],[País]])</f>
        <v>Francia</v>
      </c>
      <c r="Q1454">
        <v>36</v>
      </c>
      <c r="R1454" t="s">
        <v>25</v>
      </c>
      <c r="S1454" t="s">
        <v>26</v>
      </c>
      <c r="T1454" t="s">
        <v>27</v>
      </c>
      <c r="U1454">
        <f>IF(IFERROR(VLOOKUP(BBDD_Usiarios_Netflix[[#This Row],[Identificador Usuario]],A1455:$A$5870,1,FALSE),0)&lt;&gt;0,1,0)</f>
        <v>0</v>
      </c>
      <c r="V1454" s="6" t="str">
        <f>IF(BBDD_Usiarios_Netflix[[#This Row],[Duración Plan]]="12 Meses",LEFT(BBDD_Usiarios_Netflix[[#This Row],[Duración Plan]],2),LEFT(BBDD_Usiarios_Netflix[[#This Row],[Duración Plan]],1))</f>
        <v>1</v>
      </c>
      <c r="W14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55" spans="1:23" x14ac:dyDescent="0.25">
      <c r="A1455">
        <v>1454</v>
      </c>
      <c r="B1455" t="s">
        <v>28</v>
      </c>
      <c r="C1455">
        <v>14</v>
      </c>
      <c r="D1455" s="3">
        <v>14</v>
      </c>
      <c r="E1455" s="3">
        <v>8</v>
      </c>
      <c r="F1455">
        <v>23</v>
      </c>
      <c r="G1455" s="1">
        <f>DATEVALUE(_xlfn.CONCAT(BBDD_Usiarios_Netflix[[#This Row],[Día Suscripción]],"/",BBDD_Usiarios_Netflix[[#This Row],[Mes Suscripción]],"/",BBDD_Usiarios_Netflix[[#This Row],[Año Suscripción]]))</f>
        <v>45152</v>
      </c>
      <c r="H1455" s="1">
        <v>6</v>
      </c>
      <c r="I1455" s="1">
        <v>7</v>
      </c>
      <c r="J1455" s="1">
        <v>24</v>
      </c>
      <c r="K1455" s="1" t="str">
        <f>TEXT(BBDD_Usiarios_Netflix[[#This Row],[Fecha Suscripción]],"dddd")</f>
        <v>lunes</v>
      </c>
      <c r="L1455" s="1">
        <f>DATEVALUE(_xlfn.CONCAT(BBDD_Usiarios_Netflix[[#This Row],[Día Último Pago]],"/",BBDD_Usiarios_Netflix[[#This Row],[Mes Último Pago]],"/",BBDD_Usiarios_Netflix[[#This Row],[Año Último Pago]]))</f>
        <v>45479</v>
      </c>
      <c r="M1455" s="4">
        <f>DATEDIF(BBDD_Usiarios_Netflix[[#This Row],[Fecha Suscripción]],BBDD_Usiarios_Netflix[[#This Row],[Fecha Último Pago]],"M")+1</f>
        <v>11</v>
      </c>
      <c r="N1455" s="4">
        <f>BBDD_Usiarios_Netflix[[#This Row],[Ingresos Mensuales]]*BBDD_Usiarios_Netflix[[#This Row],[Meses contratados]]</f>
        <v>154</v>
      </c>
      <c r="O1455" t="s">
        <v>42</v>
      </c>
      <c r="P1455" t="str">
        <f>IF(BBDD_Usiarios_Netflix[[#This Row],[País]]="","Desconocido",BBDD_Usiarios_Netflix[[#This Row],[País]])</f>
        <v>Reino Unido</v>
      </c>
      <c r="Q1455">
        <v>27</v>
      </c>
      <c r="R1455" t="s">
        <v>30</v>
      </c>
      <c r="S1455" t="s">
        <v>26</v>
      </c>
      <c r="T1455" t="s">
        <v>27</v>
      </c>
      <c r="U1455">
        <f>IF(IFERROR(VLOOKUP(BBDD_Usiarios_Netflix[[#This Row],[Identificador Usuario]],A1456:$A$5870,1,FALSE),0)&lt;&gt;0,1,0)</f>
        <v>0</v>
      </c>
      <c r="V1455" s="6" t="str">
        <f>IF(BBDD_Usiarios_Netflix[[#This Row],[Duración Plan]]="12 Meses",LEFT(BBDD_Usiarios_Netflix[[#This Row],[Duración Plan]],2),LEFT(BBDD_Usiarios_Netflix[[#This Row],[Duración Plan]],1))</f>
        <v>1</v>
      </c>
      <c r="W14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56" spans="1:23" x14ac:dyDescent="0.25">
      <c r="A1456">
        <v>1455</v>
      </c>
      <c r="B1456" t="s">
        <v>23</v>
      </c>
      <c r="C1456">
        <v>10</v>
      </c>
      <c r="D1456" s="3">
        <v>23</v>
      </c>
      <c r="E1456" s="3">
        <v>8</v>
      </c>
      <c r="F1456">
        <v>23</v>
      </c>
      <c r="G1456" s="1">
        <f>DATEVALUE(_xlfn.CONCAT(BBDD_Usiarios_Netflix[[#This Row],[Día Suscripción]],"/",BBDD_Usiarios_Netflix[[#This Row],[Mes Suscripción]],"/",BBDD_Usiarios_Netflix[[#This Row],[Año Suscripción]]))</f>
        <v>45161</v>
      </c>
      <c r="H1456" s="1">
        <v>4</v>
      </c>
      <c r="I1456" s="1">
        <v>7</v>
      </c>
      <c r="J1456" s="1">
        <v>24</v>
      </c>
      <c r="K1456" s="1" t="str">
        <f>TEXT(BBDD_Usiarios_Netflix[[#This Row],[Fecha Suscripción]],"dddd")</f>
        <v>miércoles</v>
      </c>
      <c r="L1456" s="1">
        <f>DATEVALUE(_xlfn.CONCAT(BBDD_Usiarios_Netflix[[#This Row],[Día Último Pago]],"/",BBDD_Usiarios_Netflix[[#This Row],[Mes Último Pago]],"/",BBDD_Usiarios_Netflix[[#This Row],[Año Último Pago]]))</f>
        <v>45477</v>
      </c>
      <c r="M1456" s="4">
        <f>DATEDIF(BBDD_Usiarios_Netflix[[#This Row],[Fecha Suscripción]],BBDD_Usiarios_Netflix[[#This Row],[Fecha Último Pago]],"M")+1</f>
        <v>11</v>
      </c>
      <c r="N1456" s="4">
        <f>BBDD_Usiarios_Netflix[[#This Row],[Ingresos Mensuales]]*BBDD_Usiarios_Netflix[[#This Row],[Meses contratados]]</f>
        <v>110</v>
      </c>
      <c r="O1456" t="s">
        <v>42</v>
      </c>
      <c r="P1456" t="str">
        <f>IF(BBDD_Usiarios_Netflix[[#This Row],[País]]="","Desconocido",BBDD_Usiarios_Netflix[[#This Row],[País]])</f>
        <v>Reino Unido</v>
      </c>
      <c r="Q1456">
        <v>49</v>
      </c>
      <c r="R1456" t="s">
        <v>25</v>
      </c>
      <c r="S1456" t="s">
        <v>34</v>
      </c>
      <c r="T1456" t="s">
        <v>35</v>
      </c>
      <c r="U1456">
        <f>IF(IFERROR(VLOOKUP(BBDD_Usiarios_Netflix[[#This Row],[Identificador Usuario]],A1457:$A$5870,1,FALSE),0)&lt;&gt;0,1,0)</f>
        <v>0</v>
      </c>
      <c r="V1456" s="6" t="str">
        <f>IF(BBDD_Usiarios_Netflix[[#This Row],[Duración Plan]]="12 Meses",LEFT(BBDD_Usiarios_Netflix[[#This Row],[Duración Plan]],2),LEFT(BBDD_Usiarios_Netflix[[#This Row],[Duración Plan]],1))</f>
        <v>6</v>
      </c>
      <c r="W14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57" spans="1:23" x14ac:dyDescent="0.25">
      <c r="A1457">
        <v>1456</v>
      </c>
      <c r="B1457" t="s">
        <v>28</v>
      </c>
      <c r="C1457">
        <v>14</v>
      </c>
      <c r="D1457" s="3">
        <v>27</v>
      </c>
      <c r="E1457" s="3">
        <v>8</v>
      </c>
      <c r="F1457">
        <v>23</v>
      </c>
      <c r="G1457" s="1">
        <f>DATEVALUE(_xlfn.CONCAT(BBDD_Usiarios_Netflix[[#This Row],[Día Suscripción]],"/",BBDD_Usiarios_Netflix[[#This Row],[Mes Suscripción]],"/",BBDD_Usiarios_Netflix[[#This Row],[Año Suscripción]]))</f>
        <v>45165</v>
      </c>
      <c r="H1457" s="1">
        <v>6</v>
      </c>
      <c r="I1457" s="1">
        <v>7</v>
      </c>
      <c r="J1457" s="1">
        <v>24</v>
      </c>
      <c r="K1457" s="1" t="str">
        <f>TEXT(BBDD_Usiarios_Netflix[[#This Row],[Fecha Suscripción]],"dddd")</f>
        <v>domingo</v>
      </c>
      <c r="L1457" s="1">
        <f>DATEVALUE(_xlfn.CONCAT(BBDD_Usiarios_Netflix[[#This Row],[Día Último Pago]],"/",BBDD_Usiarios_Netflix[[#This Row],[Mes Último Pago]],"/",BBDD_Usiarios_Netflix[[#This Row],[Año Último Pago]]))</f>
        <v>45479</v>
      </c>
      <c r="M1457" s="4">
        <f>DATEDIF(BBDD_Usiarios_Netflix[[#This Row],[Fecha Suscripción]],BBDD_Usiarios_Netflix[[#This Row],[Fecha Último Pago]],"M")+1</f>
        <v>11</v>
      </c>
      <c r="N1457" s="4">
        <f>BBDD_Usiarios_Netflix[[#This Row],[Ingresos Mensuales]]*BBDD_Usiarios_Netflix[[#This Row],[Meses contratados]]</f>
        <v>154</v>
      </c>
      <c r="O1457" t="s">
        <v>40</v>
      </c>
      <c r="P1457" t="str">
        <f>IF(BBDD_Usiarios_Netflix[[#This Row],[País]]="","Desconocido",BBDD_Usiarios_Netflix[[#This Row],[País]])</f>
        <v>Italia</v>
      </c>
      <c r="Q1457">
        <v>31</v>
      </c>
      <c r="R1457" t="s">
        <v>25</v>
      </c>
      <c r="S1457" t="s">
        <v>36</v>
      </c>
      <c r="T1457" t="s">
        <v>41</v>
      </c>
      <c r="U1457">
        <f>IF(IFERROR(VLOOKUP(BBDD_Usiarios_Netflix[[#This Row],[Identificador Usuario]],A1458:$A$5870,1,FALSE),0)&lt;&gt;0,1,0)</f>
        <v>0</v>
      </c>
      <c r="V1457" s="6" t="str">
        <f>IF(BBDD_Usiarios_Netflix[[#This Row],[Duración Plan]]="12 Meses",LEFT(BBDD_Usiarios_Netflix[[#This Row],[Duración Plan]],2),LEFT(BBDD_Usiarios_Netflix[[#This Row],[Duración Plan]],1))</f>
        <v>12</v>
      </c>
      <c r="W14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58" spans="1:23" x14ac:dyDescent="0.25">
      <c r="A1458">
        <v>1457</v>
      </c>
      <c r="B1458" t="s">
        <v>23</v>
      </c>
      <c r="C1458">
        <v>10</v>
      </c>
      <c r="D1458" s="3">
        <v>31</v>
      </c>
      <c r="E1458" s="3">
        <v>8</v>
      </c>
      <c r="F1458">
        <v>23</v>
      </c>
      <c r="G1458" s="1">
        <f>DATEVALUE(_xlfn.CONCAT(BBDD_Usiarios_Netflix[[#This Row],[Día Suscripción]],"/",BBDD_Usiarios_Netflix[[#This Row],[Mes Suscripción]],"/",BBDD_Usiarios_Netflix[[#This Row],[Año Suscripción]]))</f>
        <v>45169</v>
      </c>
      <c r="H1458" s="1">
        <v>5</v>
      </c>
      <c r="I1458" s="1">
        <v>7</v>
      </c>
      <c r="J1458" s="1">
        <v>24</v>
      </c>
      <c r="K1458" s="1" t="str">
        <f>TEXT(BBDD_Usiarios_Netflix[[#This Row],[Fecha Suscripción]],"dddd")</f>
        <v>jueves</v>
      </c>
      <c r="L1458" s="1">
        <f>DATEVALUE(_xlfn.CONCAT(BBDD_Usiarios_Netflix[[#This Row],[Día Último Pago]],"/",BBDD_Usiarios_Netflix[[#This Row],[Mes Último Pago]],"/",BBDD_Usiarios_Netflix[[#This Row],[Año Último Pago]]))</f>
        <v>45478</v>
      </c>
      <c r="M1458" s="4">
        <f>DATEDIF(BBDD_Usiarios_Netflix[[#This Row],[Fecha Suscripción]],BBDD_Usiarios_Netflix[[#This Row],[Fecha Último Pago]],"M")+1</f>
        <v>11</v>
      </c>
      <c r="N1458" s="4">
        <f>BBDD_Usiarios_Netflix[[#This Row],[Ingresos Mensuales]]*BBDD_Usiarios_Netflix[[#This Row],[Meses contratados]]</f>
        <v>110</v>
      </c>
      <c r="O1458" t="s">
        <v>43</v>
      </c>
      <c r="P1458" t="str">
        <f>IF(BBDD_Usiarios_Netflix[[#This Row],[País]]="","Desconocido",BBDD_Usiarios_Netflix[[#This Row],[País]])</f>
        <v>Alemania</v>
      </c>
      <c r="Q1458">
        <v>36</v>
      </c>
      <c r="R1458" t="s">
        <v>25</v>
      </c>
      <c r="S1458" t="s">
        <v>36</v>
      </c>
      <c r="T1458" t="s">
        <v>35</v>
      </c>
      <c r="U1458">
        <f>IF(IFERROR(VLOOKUP(BBDD_Usiarios_Netflix[[#This Row],[Identificador Usuario]],A1459:$A$5870,1,FALSE),0)&lt;&gt;0,1,0)</f>
        <v>0</v>
      </c>
      <c r="V1458" s="6" t="str">
        <f>IF(BBDD_Usiarios_Netflix[[#This Row],[Duración Plan]]="12 Meses",LEFT(BBDD_Usiarios_Netflix[[#This Row],[Duración Plan]],2),LEFT(BBDD_Usiarios_Netflix[[#This Row],[Duración Plan]],1))</f>
        <v>6</v>
      </c>
      <c r="W14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59" spans="1:23" x14ac:dyDescent="0.25">
      <c r="A1459">
        <v>1458</v>
      </c>
      <c r="B1459" t="s">
        <v>32</v>
      </c>
      <c r="C1459">
        <v>12</v>
      </c>
      <c r="D1459" s="3">
        <v>9</v>
      </c>
      <c r="E1459" s="3">
        <v>9</v>
      </c>
      <c r="F1459">
        <v>23</v>
      </c>
      <c r="G1459" s="1">
        <f>DATEVALUE(_xlfn.CONCAT(BBDD_Usiarios_Netflix[[#This Row],[Día Suscripción]],"/",BBDD_Usiarios_Netflix[[#This Row],[Mes Suscripción]],"/",BBDD_Usiarios_Netflix[[#This Row],[Año Suscripción]]))</f>
        <v>45178</v>
      </c>
      <c r="H1459" s="1">
        <v>6</v>
      </c>
      <c r="I1459" s="1">
        <v>7</v>
      </c>
      <c r="J1459" s="1">
        <v>24</v>
      </c>
      <c r="K1459" s="1" t="str">
        <f>TEXT(BBDD_Usiarios_Netflix[[#This Row],[Fecha Suscripción]],"dddd")</f>
        <v>sábado</v>
      </c>
      <c r="L1459" s="1">
        <f>DATEVALUE(_xlfn.CONCAT(BBDD_Usiarios_Netflix[[#This Row],[Día Último Pago]],"/",BBDD_Usiarios_Netflix[[#This Row],[Mes Último Pago]],"/",BBDD_Usiarios_Netflix[[#This Row],[Año Último Pago]]))</f>
        <v>45479</v>
      </c>
      <c r="M1459" s="4">
        <f>DATEDIF(BBDD_Usiarios_Netflix[[#This Row],[Fecha Suscripción]],BBDD_Usiarios_Netflix[[#This Row],[Fecha Último Pago]],"M")+1</f>
        <v>10</v>
      </c>
      <c r="N1459" s="4">
        <f>BBDD_Usiarios_Netflix[[#This Row],[Ingresos Mensuales]]*BBDD_Usiarios_Netflix[[#This Row],[Meses contratados]]</f>
        <v>120</v>
      </c>
      <c r="O1459" t="s">
        <v>39</v>
      </c>
      <c r="P1459" t="str">
        <f>IF(BBDD_Usiarios_Netflix[[#This Row],[País]]="","Desconocido",BBDD_Usiarios_Netflix[[#This Row],[País]])</f>
        <v>Canadá</v>
      </c>
      <c r="Q1459">
        <v>41</v>
      </c>
      <c r="R1459" t="s">
        <v>30</v>
      </c>
      <c r="S1459" t="s">
        <v>31</v>
      </c>
      <c r="T1459" t="s">
        <v>27</v>
      </c>
      <c r="U1459">
        <f>IF(IFERROR(VLOOKUP(BBDD_Usiarios_Netflix[[#This Row],[Identificador Usuario]],A1460:$A$5870,1,FALSE),0)&lt;&gt;0,1,0)</f>
        <v>0</v>
      </c>
      <c r="V1459" s="6" t="str">
        <f>IF(BBDD_Usiarios_Netflix[[#This Row],[Duración Plan]]="12 Meses",LEFT(BBDD_Usiarios_Netflix[[#This Row],[Duración Plan]],2),LEFT(BBDD_Usiarios_Netflix[[#This Row],[Duración Plan]],1))</f>
        <v>1</v>
      </c>
      <c r="W14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60" spans="1:23" x14ac:dyDescent="0.25">
      <c r="A1460">
        <v>1459</v>
      </c>
      <c r="B1460" t="s">
        <v>32</v>
      </c>
      <c r="C1460">
        <v>12</v>
      </c>
      <c r="D1460" s="3">
        <v>10</v>
      </c>
      <c r="E1460" s="3">
        <v>9</v>
      </c>
      <c r="F1460">
        <v>23</v>
      </c>
      <c r="G1460" s="1">
        <f>DATEVALUE(_xlfn.CONCAT(BBDD_Usiarios_Netflix[[#This Row],[Día Suscripción]],"/",BBDD_Usiarios_Netflix[[#This Row],[Mes Suscripción]],"/",BBDD_Usiarios_Netflix[[#This Row],[Año Suscripción]]))</f>
        <v>45179</v>
      </c>
      <c r="H1460" s="1">
        <v>4</v>
      </c>
      <c r="I1460" s="1">
        <v>7</v>
      </c>
      <c r="J1460" s="1">
        <v>24</v>
      </c>
      <c r="K1460" s="1" t="str">
        <f>TEXT(BBDD_Usiarios_Netflix[[#This Row],[Fecha Suscripción]],"dddd")</f>
        <v>domingo</v>
      </c>
      <c r="L1460" s="1">
        <f>DATEVALUE(_xlfn.CONCAT(BBDD_Usiarios_Netflix[[#This Row],[Día Último Pago]],"/",BBDD_Usiarios_Netflix[[#This Row],[Mes Último Pago]],"/",BBDD_Usiarios_Netflix[[#This Row],[Año Último Pago]]))</f>
        <v>45477</v>
      </c>
      <c r="M1460" s="4">
        <f>DATEDIF(BBDD_Usiarios_Netflix[[#This Row],[Fecha Suscripción]],BBDD_Usiarios_Netflix[[#This Row],[Fecha Último Pago]],"M")+1</f>
        <v>10</v>
      </c>
      <c r="N1460" s="4">
        <f>BBDD_Usiarios_Netflix[[#This Row],[Ingresos Mensuales]]*BBDD_Usiarios_Netflix[[#This Row],[Meses contratados]]</f>
        <v>120</v>
      </c>
      <c r="O1460" t="s">
        <v>39</v>
      </c>
      <c r="P1460" t="str">
        <f>IF(BBDD_Usiarios_Netflix[[#This Row],[País]]="","Desconocido",BBDD_Usiarios_Netflix[[#This Row],[País]])</f>
        <v>Canadá</v>
      </c>
      <c r="Q1460">
        <v>45</v>
      </c>
      <c r="R1460" t="s">
        <v>30</v>
      </c>
      <c r="S1460" t="s">
        <v>36</v>
      </c>
      <c r="T1460" t="s">
        <v>27</v>
      </c>
      <c r="U1460">
        <f>IF(IFERROR(VLOOKUP(BBDD_Usiarios_Netflix[[#This Row],[Identificador Usuario]],A1461:$A$5870,1,FALSE),0)&lt;&gt;0,1,0)</f>
        <v>0</v>
      </c>
      <c r="V1460" s="6" t="str">
        <f>IF(BBDD_Usiarios_Netflix[[#This Row],[Duración Plan]]="12 Meses",LEFT(BBDD_Usiarios_Netflix[[#This Row],[Duración Plan]],2),LEFT(BBDD_Usiarios_Netflix[[#This Row],[Duración Plan]],1))</f>
        <v>1</v>
      </c>
      <c r="W14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61" spans="1:23" x14ac:dyDescent="0.25">
      <c r="A1461">
        <v>1460</v>
      </c>
      <c r="B1461" t="s">
        <v>23</v>
      </c>
      <c r="C1461">
        <v>10</v>
      </c>
      <c r="D1461" s="3">
        <v>12</v>
      </c>
      <c r="E1461" s="3">
        <v>9</v>
      </c>
      <c r="F1461">
        <v>23</v>
      </c>
      <c r="G1461" s="1">
        <f>DATEVALUE(_xlfn.CONCAT(BBDD_Usiarios_Netflix[[#This Row],[Día Suscripción]],"/",BBDD_Usiarios_Netflix[[#This Row],[Mes Suscripción]],"/",BBDD_Usiarios_Netflix[[#This Row],[Año Suscripción]]))</f>
        <v>45181</v>
      </c>
      <c r="H1461" s="1">
        <v>5</v>
      </c>
      <c r="I1461" s="1">
        <v>7</v>
      </c>
      <c r="J1461" s="1">
        <v>24</v>
      </c>
      <c r="K1461" s="1" t="str">
        <f>TEXT(BBDD_Usiarios_Netflix[[#This Row],[Fecha Suscripción]],"dddd")</f>
        <v>martes</v>
      </c>
      <c r="L1461" s="1">
        <f>DATEVALUE(_xlfn.CONCAT(BBDD_Usiarios_Netflix[[#This Row],[Día Último Pago]],"/",BBDD_Usiarios_Netflix[[#This Row],[Mes Último Pago]],"/",BBDD_Usiarios_Netflix[[#This Row],[Año Último Pago]]))</f>
        <v>45478</v>
      </c>
      <c r="M1461" s="4">
        <f>DATEDIF(BBDD_Usiarios_Netflix[[#This Row],[Fecha Suscripción]],BBDD_Usiarios_Netflix[[#This Row],[Fecha Último Pago]],"M")+1</f>
        <v>10</v>
      </c>
      <c r="N1461" s="4">
        <f>BBDD_Usiarios_Netflix[[#This Row],[Ingresos Mensuales]]*BBDD_Usiarios_Netflix[[#This Row],[Meses contratados]]</f>
        <v>100</v>
      </c>
      <c r="O1461" t="s">
        <v>33</v>
      </c>
      <c r="P1461" t="str">
        <f>IF(BBDD_Usiarios_Netflix[[#This Row],[País]]="","Desconocido",BBDD_Usiarios_Netflix[[#This Row],[País]])</f>
        <v>Francia</v>
      </c>
      <c r="Q1461">
        <v>45</v>
      </c>
      <c r="R1461" t="s">
        <v>25</v>
      </c>
      <c r="S1461" t="s">
        <v>34</v>
      </c>
      <c r="T1461" t="s">
        <v>27</v>
      </c>
      <c r="U1461">
        <f>IF(IFERROR(VLOOKUP(BBDD_Usiarios_Netflix[[#This Row],[Identificador Usuario]],A1462:$A$5870,1,FALSE),0)&lt;&gt;0,1,0)</f>
        <v>0</v>
      </c>
      <c r="V1461" s="6" t="str">
        <f>IF(BBDD_Usiarios_Netflix[[#This Row],[Duración Plan]]="12 Meses",LEFT(BBDD_Usiarios_Netflix[[#This Row],[Duración Plan]],2),LEFT(BBDD_Usiarios_Netflix[[#This Row],[Duración Plan]],1))</f>
        <v>1</v>
      </c>
      <c r="W14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62" spans="1:23" x14ac:dyDescent="0.25">
      <c r="A1462">
        <v>1461</v>
      </c>
      <c r="B1462" t="s">
        <v>28</v>
      </c>
      <c r="C1462">
        <v>14</v>
      </c>
      <c r="D1462" s="3">
        <v>17</v>
      </c>
      <c r="E1462" s="3">
        <v>9</v>
      </c>
      <c r="F1462">
        <v>23</v>
      </c>
      <c r="G1462" s="1">
        <f>DATEVALUE(_xlfn.CONCAT(BBDD_Usiarios_Netflix[[#This Row],[Día Suscripción]],"/",BBDD_Usiarios_Netflix[[#This Row],[Mes Suscripción]],"/",BBDD_Usiarios_Netflix[[#This Row],[Año Suscripción]]))</f>
        <v>45186</v>
      </c>
      <c r="H1462" s="1">
        <v>5</v>
      </c>
      <c r="I1462" s="1">
        <v>7</v>
      </c>
      <c r="J1462" s="1">
        <v>24</v>
      </c>
      <c r="K1462" s="1" t="str">
        <f>TEXT(BBDD_Usiarios_Netflix[[#This Row],[Fecha Suscripción]],"dddd")</f>
        <v>domingo</v>
      </c>
      <c r="L1462" s="1">
        <f>DATEVALUE(_xlfn.CONCAT(BBDD_Usiarios_Netflix[[#This Row],[Día Último Pago]],"/",BBDD_Usiarios_Netflix[[#This Row],[Mes Último Pago]],"/",BBDD_Usiarios_Netflix[[#This Row],[Año Último Pago]]))</f>
        <v>45478</v>
      </c>
      <c r="M1462" s="4">
        <f>DATEDIF(BBDD_Usiarios_Netflix[[#This Row],[Fecha Suscripción]],BBDD_Usiarios_Netflix[[#This Row],[Fecha Último Pago]],"M")+1</f>
        <v>10</v>
      </c>
      <c r="N1462" s="4">
        <f>BBDD_Usiarios_Netflix[[#This Row],[Ingresos Mensuales]]*BBDD_Usiarios_Netflix[[#This Row],[Meses contratados]]</f>
        <v>140</v>
      </c>
      <c r="O1462" t="s">
        <v>45</v>
      </c>
      <c r="P1462" t="str">
        <f>IF(BBDD_Usiarios_Netflix[[#This Row],[País]]="","Desconocido",BBDD_Usiarios_Netflix[[#This Row],[País]])</f>
        <v>España</v>
      </c>
      <c r="Q1462">
        <v>32</v>
      </c>
      <c r="R1462" t="s">
        <v>25</v>
      </c>
      <c r="S1462" t="s">
        <v>34</v>
      </c>
      <c r="T1462" t="s">
        <v>38</v>
      </c>
      <c r="U1462">
        <f>IF(IFERROR(VLOOKUP(BBDD_Usiarios_Netflix[[#This Row],[Identificador Usuario]],A1463:$A$5870,1,FALSE),0)&lt;&gt;0,1,0)</f>
        <v>0</v>
      </c>
      <c r="V1462" s="6" t="str">
        <f>IF(BBDD_Usiarios_Netflix[[#This Row],[Duración Plan]]="12 Meses",LEFT(BBDD_Usiarios_Netflix[[#This Row],[Duración Plan]],2),LEFT(BBDD_Usiarios_Netflix[[#This Row],[Duración Plan]],1))</f>
        <v>3</v>
      </c>
      <c r="W14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63" spans="1:23" x14ac:dyDescent="0.25">
      <c r="A1463">
        <v>1462</v>
      </c>
      <c r="B1463" t="s">
        <v>23</v>
      </c>
      <c r="C1463">
        <v>10</v>
      </c>
      <c r="D1463" s="3">
        <v>21</v>
      </c>
      <c r="E1463" s="3">
        <v>9</v>
      </c>
      <c r="F1463">
        <v>23</v>
      </c>
      <c r="G1463" s="1">
        <f>DATEVALUE(_xlfn.CONCAT(BBDD_Usiarios_Netflix[[#This Row],[Día Suscripción]],"/",BBDD_Usiarios_Netflix[[#This Row],[Mes Suscripción]],"/",BBDD_Usiarios_Netflix[[#This Row],[Año Suscripción]]))</f>
        <v>45190</v>
      </c>
      <c r="H1463" s="1">
        <v>6</v>
      </c>
      <c r="I1463" s="1">
        <v>7</v>
      </c>
      <c r="J1463" s="1">
        <v>24</v>
      </c>
      <c r="K1463" s="1" t="str">
        <f>TEXT(BBDD_Usiarios_Netflix[[#This Row],[Fecha Suscripción]],"dddd")</f>
        <v>jueves</v>
      </c>
      <c r="L1463" s="1">
        <f>DATEVALUE(_xlfn.CONCAT(BBDD_Usiarios_Netflix[[#This Row],[Día Último Pago]],"/",BBDD_Usiarios_Netflix[[#This Row],[Mes Último Pago]],"/",BBDD_Usiarios_Netflix[[#This Row],[Año Último Pago]]))</f>
        <v>45479</v>
      </c>
      <c r="M1463" s="4">
        <f>DATEDIF(BBDD_Usiarios_Netflix[[#This Row],[Fecha Suscripción]],BBDD_Usiarios_Netflix[[#This Row],[Fecha Último Pago]],"M")+1</f>
        <v>10</v>
      </c>
      <c r="N1463" s="4">
        <f>BBDD_Usiarios_Netflix[[#This Row],[Ingresos Mensuales]]*BBDD_Usiarios_Netflix[[#This Row],[Meses contratados]]</f>
        <v>100</v>
      </c>
      <c r="O1463" t="s">
        <v>24</v>
      </c>
      <c r="P1463" t="str">
        <f>IF(BBDD_Usiarios_Netflix[[#This Row],[País]]="","Desconocido",BBDD_Usiarios_Netflix[[#This Row],[País]])</f>
        <v>Australia</v>
      </c>
      <c r="Q1463">
        <v>41</v>
      </c>
      <c r="R1463" t="s">
        <v>30</v>
      </c>
      <c r="S1463" t="s">
        <v>26</v>
      </c>
      <c r="T1463" t="s">
        <v>35</v>
      </c>
      <c r="U1463">
        <f>IF(IFERROR(VLOOKUP(BBDD_Usiarios_Netflix[[#This Row],[Identificador Usuario]],A1464:$A$5870,1,FALSE),0)&lt;&gt;0,1,0)</f>
        <v>0</v>
      </c>
      <c r="V1463" s="6" t="str">
        <f>IF(BBDD_Usiarios_Netflix[[#This Row],[Duración Plan]]="12 Meses",LEFT(BBDD_Usiarios_Netflix[[#This Row],[Duración Plan]],2),LEFT(BBDD_Usiarios_Netflix[[#This Row],[Duración Plan]],1))</f>
        <v>6</v>
      </c>
      <c r="W14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64" spans="1:23" x14ac:dyDescent="0.25">
      <c r="A1464">
        <v>1463</v>
      </c>
      <c r="B1464" t="s">
        <v>32</v>
      </c>
      <c r="C1464">
        <v>12</v>
      </c>
      <c r="D1464" s="3">
        <v>2</v>
      </c>
      <c r="E1464" s="3">
        <v>10</v>
      </c>
      <c r="F1464">
        <v>23</v>
      </c>
      <c r="G1464" s="1">
        <f>DATEVALUE(_xlfn.CONCAT(BBDD_Usiarios_Netflix[[#This Row],[Día Suscripción]],"/",BBDD_Usiarios_Netflix[[#This Row],[Mes Suscripción]],"/",BBDD_Usiarios_Netflix[[#This Row],[Año Suscripción]]))</f>
        <v>45201</v>
      </c>
      <c r="H1464" s="1">
        <v>3</v>
      </c>
      <c r="I1464" s="1">
        <v>7</v>
      </c>
      <c r="J1464" s="1">
        <v>24</v>
      </c>
      <c r="K1464" s="1" t="str">
        <f>TEXT(BBDD_Usiarios_Netflix[[#This Row],[Fecha Suscripción]],"dddd")</f>
        <v>lunes</v>
      </c>
      <c r="L1464" s="1">
        <f>DATEVALUE(_xlfn.CONCAT(BBDD_Usiarios_Netflix[[#This Row],[Día Último Pago]],"/",BBDD_Usiarios_Netflix[[#This Row],[Mes Último Pago]],"/",BBDD_Usiarios_Netflix[[#This Row],[Año Último Pago]]))</f>
        <v>45476</v>
      </c>
      <c r="M1464" s="4">
        <f>DATEDIF(BBDD_Usiarios_Netflix[[#This Row],[Fecha Suscripción]],BBDD_Usiarios_Netflix[[#This Row],[Fecha Último Pago]],"M")+1</f>
        <v>10</v>
      </c>
      <c r="N1464" s="4">
        <f>BBDD_Usiarios_Netflix[[#This Row],[Ingresos Mensuales]]*BBDD_Usiarios_Netflix[[#This Row],[Meses contratados]]</f>
        <v>120</v>
      </c>
      <c r="O1464" t="s">
        <v>40</v>
      </c>
      <c r="P1464" t="str">
        <f>IF(BBDD_Usiarios_Netflix[[#This Row],[País]]="","Desconocido",BBDD_Usiarios_Netflix[[#This Row],[País]])</f>
        <v>Italia</v>
      </c>
      <c r="Q1464">
        <v>37</v>
      </c>
      <c r="R1464" t="s">
        <v>25</v>
      </c>
      <c r="S1464" t="s">
        <v>34</v>
      </c>
      <c r="T1464" t="s">
        <v>35</v>
      </c>
      <c r="U1464">
        <f>IF(IFERROR(VLOOKUP(BBDD_Usiarios_Netflix[[#This Row],[Identificador Usuario]],A1465:$A$5870,1,FALSE),0)&lt;&gt;0,1,0)</f>
        <v>0</v>
      </c>
      <c r="V1464" s="6" t="str">
        <f>IF(BBDD_Usiarios_Netflix[[#This Row],[Duración Plan]]="12 Meses",LEFT(BBDD_Usiarios_Netflix[[#This Row],[Duración Plan]],2),LEFT(BBDD_Usiarios_Netflix[[#This Row],[Duración Plan]],1))</f>
        <v>6</v>
      </c>
      <c r="W14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65" spans="1:23" x14ac:dyDescent="0.25">
      <c r="A1465">
        <v>1464</v>
      </c>
      <c r="B1465" t="s">
        <v>28</v>
      </c>
      <c r="C1465">
        <v>14</v>
      </c>
      <c r="D1465" s="3">
        <v>4</v>
      </c>
      <c r="E1465" s="3">
        <v>10</v>
      </c>
      <c r="F1465">
        <v>23</v>
      </c>
      <c r="G1465" s="1">
        <f>DATEVALUE(_xlfn.CONCAT(BBDD_Usiarios_Netflix[[#This Row],[Día Suscripción]],"/",BBDD_Usiarios_Netflix[[#This Row],[Mes Suscripción]],"/",BBDD_Usiarios_Netflix[[#This Row],[Año Suscripción]]))</f>
        <v>45203</v>
      </c>
      <c r="H1465" s="1">
        <v>5</v>
      </c>
      <c r="I1465" s="1">
        <v>7</v>
      </c>
      <c r="J1465" s="1">
        <v>24</v>
      </c>
      <c r="K1465" s="1" t="str">
        <f>TEXT(BBDD_Usiarios_Netflix[[#This Row],[Fecha Suscripción]],"dddd")</f>
        <v>miércoles</v>
      </c>
      <c r="L1465" s="1">
        <f>DATEVALUE(_xlfn.CONCAT(BBDD_Usiarios_Netflix[[#This Row],[Día Último Pago]],"/",BBDD_Usiarios_Netflix[[#This Row],[Mes Último Pago]],"/",BBDD_Usiarios_Netflix[[#This Row],[Año Último Pago]]))</f>
        <v>45478</v>
      </c>
      <c r="M1465" s="4">
        <f>DATEDIF(BBDD_Usiarios_Netflix[[#This Row],[Fecha Suscripción]],BBDD_Usiarios_Netflix[[#This Row],[Fecha Último Pago]],"M")+1</f>
        <v>10</v>
      </c>
      <c r="N1465" s="4">
        <f>BBDD_Usiarios_Netflix[[#This Row],[Ingresos Mensuales]]*BBDD_Usiarios_Netflix[[#This Row],[Meses contratados]]</f>
        <v>140</v>
      </c>
      <c r="O1465" t="s">
        <v>43</v>
      </c>
      <c r="P1465" t="str">
        <f>IF(BBDD_Usiarios_Netflix[[#This Row],[País]]="","Desconocido",BBDD_Usiarios_Netflix[[#This Row],[País]])</f>
        <v>Alemania</v>
      </c>
      <c r="Q1465">
        <v>27</v>
      </c>
      <c r="R1465" t="s">
        <v>25</v>
      </c>
      <c r="S1465" t="s">
        <v>36</v>
      </c>
      <c r="T1465" t="s">
        <v>35</v>
      </c>
      <c r="U1465">
        <f>IF(IFERROR(VLOOKUP(BBDD_Usiarios_Netflix[[#This Row],[Identificador Usuario]],A1466:$A$5870,1,FALSE),0)&lt;&gt;0,1,0)</f>
        <v>0</v>
      </c>
      <c r="V1465" s="6" t="str">
        <f>IF(BBDD_Usiarios_Netflix[[#This Row],[Duración Plan]]="12 Meses",LEFT(BBDD_Usiarios_Netflix[[#This Row],[Duración Plan]],2),LEFT(BBDD_Usiarios_Netflix[[#This Row],[Duración Plan]],1))</f>
        <v>6</v>
      </c>
      <c r="W14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66" spans="1:23" x14ac:dyDescent="0.25">
      <c r="A1466">
        <v>1465</v>
      </c>
      <c r="B1466" t="s">
        <v>23</v>
      </c>
      <c r="C1466">
        <v>10</v>
      </c>
      <c r="D1466" s="3">
        <v>6</v>
      </c>
      <c r="E1466" s="3">
        <v>10</v>
      </c>
      <c r="F1466">
        <v>23</v>
      </c>
      <c r="G1466" s="1">
        <f>DATEVALUE(_xlfn.CONCAT(BBDD_Usiarios_Netflix[[#This Row],[Día Suscripción]],"/",BBDD_Usiarios_Netflix[[#This Row],[Mes Suscripción]],"/",BBDD_Usiarios_Netflix[[#This Row],[Año Suscripción]]))</f>
        <v>45205</v>
      </c>
      <c r="H1466" s="1">
        <v>4</v>
      </c>
      <c r="I1466" s="1">
        <v>7</v>
      </c>
      <c r="J1466" s="1">
        <v>24</v>
      </c>
      <c r="K1466" s="1" t="str">
        <f>TEXT(BBDD_Usiarios_Netflix[[#This Row],[Fecha Suscripción]],"dddd")</f>
        <v>viernes</v>
      </c>
      <c r="L1466" s="1">
        <f>DATEVALUE(_xlfn.CONCAT(BBDD_Usiarios_Netflix[[#This Row],[Día Último Pago]],"/",BBDD_Usiarios_Netflix[[#This Row],[Mes Último Pago]],"/",BBDD_Usiarios_Netflix[[#This Row],[Año Último Pago]]))</f>
        <v>45477</v>
      </c>
      <c r="M1466" s="4">
        <f>DATEDIF(BBDD_Usiarios_Netflix[[#This Row],[Fecha Suscripción]],BBDD_Usiarios_Netflix[[#This Row],[Fecha Último Pago]],"M")+1</f>
        <v>9</v>
      </c>
      <c r="N1466" s="4">
        <f>BBDD_Usiarios_Netflix[[#This Row],[Ingresos Mensuales]]*BBDD_Usiarios_Netflix[[#This Row],[Meses contratados]]</f>
        <v>90</v>
      </c>
      <c r="O1466" t="s">
        <v>39</v>
      </c>
      <c r="P1466" t="str">
        <f>IF(BBDD_Usiarios_Netflix[[#This Row],[País]]="","Desconocido",BBDD_Usiarios_Netflix[[#This Row],[País]])</f>
        <v>Canadá</v>
      </c>
      <c r="Q1466">
        <v>41</v>
      </c>
      <c r="R1466" t="s">
        <v>25</v>
      </c>
      <c r="S1466" t="s">
        <v>36</v>
      </c>
      <c r="T1466" t="s">
        <v>41</v>
      </c>
      <c r="U1466">
        <f>IF(IFERROR(VLOOKUP(BBDD_Usiarios_Netflix[[#This Row],[Identificador Usuario]],A1467:$A$5870,1,FALSE),0)&lt;&gt;0,1,0)</f>
        <v>0</v>
      </c>
      <c r="V1466" s="6" t="str">
        <f>IF(BBDD_Usiarios_Netflix[[#This Row],[Duración Plan]]="12 Meses",LEFT(BBDD_Usiarios_Netflix[[#This Row],[Duración Plan]],2),LEFT(BBDD_Usiarios_Netflix[[#This Row],[Duración Plan]],1))</f>
        <v>12</v>
      </c>
      <c r="W14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67" spans="1:23" x14ac:dyDescent="0.25">
      <c r="A1467">
        <v>1466</v>
      </c>
      <c r="B1467" t="s">
        <v>28</v>
      </c>
      <c r="C1467">
        <v>14</v>
      </c>
      <c r="D1467" s="3">
        <v>7</v>
      </c>
      <c r="E1467" s="3">
        <v>10</v>
      </c>
      <c r="F1467">
        <v>23</v>
      </c>
      <c r="G1467" s="1">
        <f>DATEVALUE(_xlfn.CONCAT(BBDD_Usiarios_Netflix[[#This Row],[Día Suscripción]],"/",BBDD_Usiarios_Netflix[[#This Row],[Mes Suscripción]],"/",BBDD_Usiarios_Netflix[[#This Row],[Año Suscripción]]))</f>
        <v>45206</v>
      </c>
      <c r="H1467" s="1">
        <v>6</v>
      </c>
      <c r="I1467" s="1">
        <v>7</v>
      </c>
      <c r="J1467" s="1">
        <v>24</v>
      </c>
      <c r="K1467" s="1" t="str">
        <f>TEXT(BBDD_Usiarios_Netflix[[#This Row],[Fecha Suscripción]],"dddd")</f>
        <v>sábado</v>
      </c>
      <c r="L1467" s="1">
        <f>DATEVALUE(_xlfn.CONCAT(BBDD_Usiarios_Netflix[[#This Row],[Día Último Pago]],"/",BBDD_Usiarios_Netflix[[#This Row],[Mes Último Pago]],"/",BBDD_Usiarios_Netflix[[#This Row],[Año Último Pago]]))</f>
        <v>45479</v>
      </c>
      <c r="M1467" s="4">
        <f>DATEDIF(BBDD_Usiarios_Netflix[[#This Row],[Fecha Suscripción]],BBDD_Usiarios_Netflix[[#This Row],[Fecha Último Pago]],"M")+1</f>
        <v>9</v>
      </c>
      <c r="N1467" s="4">
        <f>BBDD_Usiarios_Netflix[[#This Row],[Ingresos Mensuales]]*BBDD_Usiarios_Netflix[[#This Row],[Meses contratados]]</f>
        <v>126</v>
      </c>
      <c r="O1467" t="s">
        <v>44</v>
      </c>
      <c r="P1467" t="str">
        <f>IF(BBDD_Usiarios_Netflix[[#This Row],[País]]="","Desconocido",BBDD_Usiarios_Netflix[[#This Row],[País]])</f>
        <v>Desconocido</v>
      </c>
      <c r="Q1467">
        <v>30</v>
      </c>
      <c r="R1467" t="s">
        <v>30</v>
      </c>
      <c r="S1467" t="s">
        <v>34</v>
      </c>
      <c r="T1467" t="s">
        <v>27</v>
      </c>
      <c r="U1467">
        <f>IF(IFERROR(VLOOKUP(BBDD_Usiarios_Netflix[[#This Row],[Identificador Usuario]],A1468:$A$5870,1,FALSE),0)&lt;&gt;0,1,0)</f>
        <v>0</v>
      </c>
      <c r="V1467" s="6" t="str">
        <f>IF(BBDD_Usiarios_Netflix[[#This Row],[Duración Plan]]="12 Meses",LEFT(BBDD_Usiarios_Netflix[[#This Row],[Duración Plan]],2),LEFT(BBDD_Usiarios_Netflix[[#This Row],[Duración Plan]],1))</f>
        <v>1</v>
      </c>
      <c r="W14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68" spans="1:23" x14ac:dyDescent="0.25">
      <c r="A1468">
        <v>1467</v>
      </c>
      <c r="B1468" t="s">
        <v>23</v>
      </c>
      <c r="C1468">
        <v>10</v>
      </c>
      <c r="D1468" s="3">
        <v>8</v>
      </c>
      <c r="E1468" s="3">
        <v>10</v>
      </c>
      <c r="F1468">
        <v>23</v>
      </c>
      <c r="G1468" s="1">
        <f>DATEVALUE(_xlfn.CONCAT(BBDD_Usiarios_Netflix[[#This Row],[Día Suscripción]],"/",BBDD_Usiarios_Netflix[[#This Row],[Mes Suscripción]],"/",BBDD_Usiarios_Netflix[[#This Row],[Año Suscripción]]))</f>
        <v>45207</v>
      </c>
      <c r="H1468" s="1">
        <v>4</v>
      </c>
      <c r="I1468" s="1">
        <v>7</v>
      </c>
      <c r="J1468" s="1">
        <v>24</v>
      </c>
      <c r="K1468" s="1" t="str">
        <f>TEXT(BBDD_Usiarios_Netflix[[#This Row],[Fecha Suscripción]],"dddd")</f>
        <v>domingo</v>
      </c>
      <c r="L1468" s="1">
        <f>DATEVALUE(_xlfn.CONCAT(BBDD_Usiarios_Netflix[[#This Row],[Día Último Pago]],"/",BBDD_Usiarios_Netflix[[#This Row],[Mes Último Pago]],"/",BBDD_Usiarios_Netflix[[#This Row],[Año Último Pago]]))</f>
        <v>45477</v>
      </c>
      <c r="M1468" s="4">
        <f>DATEDIF(BBDD_Usiarios_Netflix[[#This Row],[Fecha Suscripción]],BBDD_Usiarios_Netflix[[#This Row],[Fecha Último Pago]],"M")+1</f>
        <v>9</v>
      </c>
      <c r="N1468" s="4">
        <f>BBDD_Usiarios_Netflix[[#This Row],[Ingresos Mensuales]]*BBDD_Usiarios_Netflix[[#This Row],[Meses contratados]]</f>
        <v>90</v>
      </c>
      <c r="O1468" t="s">
        <v>45</v>
      </c>
      <c r="P1468" t="str">
        <f>IF(BBDD_Usiarios_Netflix[[#This Row],[País]]="","Desconocido",BBDD_Usiarios_Netflix[[#This Row],[País]])</f>
        <v>España</v>
      </c>
      <c r="Q1468">
        <v>43</v>
      </c>
      <c r="R1468" t="s">
        <v>25</v>
      </c>
      <c r="S1468" t="s">
        <v>26</v>
      </c>
      <c r="T1468" t="s">
        <v>35</v>
      </c>
      <c r="U1468">
        <f>IF(IFERROR(VLOOKUP(BBDD_Usiarios_Netflix[[#This Row],[Identificador Usuario]],A1469:$A$5870,1,FALSE),0)&lt;&gt;0,1,0)</f>
        <v>0</v>
      </c>
      <c r="V1468" s="6" t="str">
        <f>IF(BBDD_Usiarios_Netflix[[#This Row],[Duración Plan]]="12 Meses",LEFT(BBDD_Usiarios_Netflix[[#This Row],[Duración Plan]],2),LEFT(BBDD_Usiarios_Netflix[[#This Row],[Duración Plan]],1))</f>
        <v>6</v>
      </c>
      <c r="W14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69" spans="1:23" x14ac:dyDescent="0.25">
      <c r="A1469">
        <v>1468</v>
      </c>
      <c r="B1469" t="s">
        <v>32</v>
      </c>
      <c r="C1469">
        <v>12</v>
      </c>
      <c r="D1469" s="3">
        <v>11</v>
      </c>
      <c r="E1469" s="3">
        <v>10</v>
      </c>
      <c r="F1469">
        <v>23</v>
      </c>
      <c r="G1469" s="1">
        <f>DATEVALUE(_xlfn.CONCAT(BBDD_Usiarios_Netflix[[#This Row],[Día Suscripción]],"/",BBDD_Usiarios_Netflix[[#This Row],[Mes Suscripción]],"/",BBDD_Usiarios_Netflix[[#This Row],[Año Suscripción]]))</f>
        <v>45210</v>
      </c>
      <c r="H1469" s="1">
        <v>5</v>
      </c>
      <c r="I1469" s="1">
        <v>7</v>
      </c>
      <c r="J1469" s="1">
        <v>24</v>
      </c>
      <c r="K1469" s="1" t="str">
        <f>TEXT(BBDD_Usiarios_Netflix[[#This Row],[Fecha Suscripción]],"dddd")</f>
        <v>miércoles</v>
      </c>
      <c r="L1469" s="1">
        <f>DATEVALUE(_xlfn.CONCAT(BBDD_Usiarios_Netflix[[#This Row],[Día Último Pago]],"/",BBDD_Usiarios_Netflix[[#This Row],[Mes Último Pago]],"/",BBDD_Usiarios_Netflix[[#This Row],[Año Último Pago]]))</f>
        <v>45478</v>
      </c>
      <c r="M1469" s="4">
        <f>DATEDIF(BBDD_Usiarios_Netflix[[#This Row],[Fecha Suscripción]],BBDD_Usiarios_Netflix[[#This Row],[Fecha Último Pago]],"M")+1</f>
        <v>9</v>
      </c>
      <c r="N1469" s="4">
        <f>BBDD_Usiarios_Netflix[[#This Row],[Ingresos Mensuales]]*BBDD_Usiarios_Netflix[[#This Row],[Meses contratados]]</f>
        <v>108</v>
      </c>
      <c r="O1469" t="s">
        <v>42</v>
      </c>
      <c r="P1469" t="str">
        <f>IF(BBDD_Usiarios_Netflix[[#This Row],[País]]="","Desconocido",BBDD_Usiarios_Netflix[[#This Row],[País]])</f>
        <v>Reino Unido</v>
      </c>
      <c r="Q1469">
        <v>51</v>
      </c>
      <c r="R1469" t="s">
        <v>25</v>
      </c>
      <c r="S1469" t="s">
        <v>36</v>
      </c>
      <c r="T1469" t="s">
        <v>38</v>
      </c>
      <c r="U1469">
        <f>IF(IFERROR(VLOOKUP(BBDD_Usiarios_Netflix[[#This Row],[Identificador Usuario]],A1470:$A$5870,1,FALSE),0)&lt;&gt;0,1,0)</f>
        <v>0</v>
      </c>
      <c r="V1469" s="6" t="str">
        <f>IF(BBDD_Usiarios_Netflix[[#This Row],[Duración Plan]]="12 Meses",LEFT(BBDD_Usiarios_Netflix[[#This Row],[Duración Plan]],2),LEFT(BBDD_Usiarios_Netflix[[#This Row],[Duración Plan]],1))</f>
        <v>3</v>
      </c>
      <c r="W14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70" spans="1:23" x14ac:dyDescent="0.25">
      <c r="A1470">
        <v>1469</v>
      </c>
      <c r="B1470" t="s">
        <v>32</v>
      </c>
      <c r="C1470">
        <v>12</v>
      </c>
      <c r="D1470" s="3">
        <v>13</v>
      </c>
      <c r="E1470" s="3">
        <v>10</v>
      </c>
      <c r="F1470">
        <v>23</v>
      </c>
      <c r="G1470" s="1">
        <f>DATEVALUE(_xlfn.CONCAT(BBDD_Usiarios_Netflix[[#This Row],[Día Suscripción]],"/",BBDD_Usiarios_Netflix[[#This Row],[Mes Suscripción]],"/",BBDD_Usiarios_Netflix[[#This Row],[Año Suscripción]]))</f>
        <v>45212</v>
      </c>
      <c r="H1470" s="1">
        <v>4</v>
      </c>
      <c r="I1470" s="1">
        <v>7</v>
      </c>
      <c r="J1470" s="1">
        <v>24</v>
      </c>
      <c r="K1470" s="1" t="str">
        <f>TEXT(BBDD_Usiarios_Netflix[[#This Row],[Fecha Suscripción]],"dddd")</f>
        <v>viernes</v>
      </c>
      <c r="L1470" s="1">
        <f>DATEVALUE(_xlfn.CONCAT(BBDD_Usiarios_Netflix[[#This Row],[Día Último Pago]],"/",BBDD_Usiarios_Netflix[[#This Row],[Mes Último Pago]],"/",BBDD_Usiarios_Netflix[[#This Row],[Año Último Pago]]))</f>
        <v>45477</v>
      </c>
      <c r="M1470" s="4">
        <f>DATEDIF(BBDD_Usiarios_Netflix[[#This Row],[Fecha Suscripción]],BBDD_Usiarios_Netflix[[#This Row],[Fecha Último Pago]],"M")+1</f>
        <v>9</v>
      </c>
      <c r="N1470" s="4">
        <f>BBDD_Usiarios_Netflix[[#This Row],[Ingresos Mensuales]]*BBDD_Usiarios_Netflix[[#This Row],[Meses contratados]]</f>
        <v>108</v>
      </c>
      <c r="O1470" t="s">
        <v>43</v>
      </c>
      <c r="P1470" t="str">
        <f>IF(BBDD_Usiarios_Netflix[[#This Row],[País]]="","Desconocido",BBDD_Usiarios_Netflix[[#This Row],[País]])</f>
        <v>Alemania</v>
      </c>
      <c r="Q1470">
        <v>46</v>
      </c>
      <c r="R1470" t="s">
        <v>30</v>
      </c>
      <c r="S1470" t="s">
        <v>34</v>
      </c>
      <c r="T1470" t="s">
        <v>41</v>
      </c>
      <c r="U1470">
        <f>IF(IFERROR(VLOOKUP(BBDD_Usiarios_Netflix[[#This Row],[Identificador Usuario]],A1471:$A$5870,1,FALSE),0)&lt;&gt;0,1,0)</f>
        <v>0</v>
      </c>
      <c r="V1470" s="6" t="str">
        <f>IF(BBDD_Usiarios_Netflix[[#This Row],[Duración Plan]]="12 Meses",LEFT(BBDD_Usiarios_Netflix[[#This Row],[Duración Plan]],2),LEFT(BBDD_Usiarios_Netflix[[#This Row],[Duración Plan]],1))</f>
        <v>12</v>
      </c>
      <c r="W14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71" spans="1:23" x14ac:dyDescent="0.25">
      <c r="A1471">
        <v>1470</v>
      </c>
      <c r="B1471" t="s">
        <v>23</v>
      </c>
      <c r="C1471">
        <v>10</v>
      </c>
      <c r="D1471" s="3">
        <v>15</v>
      </c>
      <c r="E1471" s="3">
        <v>10</v>
      </c>
      <c r="F1471">
        <v>23</v>
      </c>
      <c r="G1471" s="1">
        <f>DATEVALUE(_xlfn.CONCAT(BBDD_Usiarios_Netflix[[#This Row],[Día Suscripción]],"/",BBDD_Usiarios_Netflix[[#This Row],[Mes Suscripción]],"/",BBDD_Usiarios_Netflix[[#This Row],[Año Suscripción]]))</f>
        <v>45214</v>
      </c>
      <c r="H1471" s="1">
        <v>6</v>
      </c>
      <c r="I1471" s="1">
        <v>7</v>
      </c>
      <c r="J1471" s="1">
        <v>24</v>
      </c>
      <c r="K1471" s="1" t="str">
        <f>TEXT(BBDD_Usiarios_Netflix[[#This Row],[Fecha Suscripción]],"dddd")</f>
        <v>domingo</v>
      </c>
      <c r="L1471" s="1">
        <f>DATEVALUE(_xlfn.CONCAT(BBDD_Usiarios_Netflix[[#This Row],[Día Último Pago]],"/",BBDD_Usiarios_Netflix[[#This Row],[Mes Último Pago]],"/",BBDD_Usiarios_Netflix[[#This Row],[Año Último Pago]]))</f>
        <v>45479</v>
      </c>
      <c r="M1471" s="4">
        <f>DATEDIF(BBDD_Usiarios_Netflix[[#This Row],[Fecha Suscripción]],BBDD_Usiarios_Netflix[[#This Row],[Fecha Último Pago]],"M")+1</f>
        <v>9</v>
      </c>
      <c r="N1471" s="4">
        <f>BBDD_Usiarios_Netflix[[#This Row],[Ingresos Mensuales]]*BBDD_Usiarios_Netflix[[#This Row],[Meses contratados]]</f>
        <v>90</v>
      </c>
      <c r="O1471" t="s">
        <v>43</v>
      </c>
      <c r="P1471" t="str">
        <f>IF(BBDD_Usiarios_Netflix[[#This Row],[País]]="","Desconocido",BBDD_Usiarios_Netflix[[#This Row],[País]])</f>
        <v>Alemania</v>
      </c>
      <c r="Q1471">
        <v>27</v>
      </c>
      <c r="R1471" t="s">
        <v>30</v>
      </c>
      <c r="S1471" t="s">
        <v>31</v>
      </c>
      <c r="T1471" t="s">
        <v>35</v>
      </c>
      <c r="U1471">
        <f>IF(IFERROR(VLOOKUP(BBDD_Usiarios_Netflix[[#This Row],[Identificador Usuario]],A1472:$A$5870,1,FALSE),0)&lt;&gt;0,1,0)</f>
        <v>0</v>
      </c>
      <c r="V1471" s="6" t="str">
        <f>IF(BBDD_Usiarios_Netflix[[#This Row],[Duración Plan]]="12 Meses",LEFT(BBDD_Usiarios_Netflix[[#This Row],[Duración Plan]],2),LEFT(BBDD_Usiarios_Netflix[[#This Row],[Duración Plan]],1))</f>
        <v>6</v>
      </c>
      <c r="W14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72" spans="1:23" x14ac:dyDescent="0.25">
      <c r="A1472">
        <v>1471</v>
      </c>
      <c r="B1472" t="s">
        <v>28</v>
      </c>
      <c r="C1472">
        <v>14</v>
      </c>
      <c r="D1472" s="3">
        <v>19</v>
      </c>
      <c r="E1472" s="3">
        <v>10</v>
      </c>
      <c r="F1472">
        <v>23</v>
      </c>
      <c r="G1472" s="1">
        <f>DATEVALUE(_xlfn.CONCAT(BBDD_Usiarios_Netflix[[#This Row],[Día Suscripción]],"/",BBDD_Usiarios_Netflix[[#This Row],[Mes Suscripción]],"/",BBDD_Usiarios_Netflix[[#This Row],[Año Suscripción]]))</f>
        <v>45218</v>
      </c>
      <c r="H1472" s="1">
        <v>6</v>
      </c>
      <c r="I1472" s="1">
        <v>7</v>
      </c>
      <c r="J1472" s="1">
        <v>24</v>
      </c>
      <c r="K1472" s="1" t="str">
        <f>TEXT(BBDD_Usiarios_Netflix[[#This Row],[Fecha Suscripción]],"dddd")</f>
        <v>jueves</v>
      </c>
      <c r="L1472" s="1">
        <f>DATEVALUE(_xlfn.CONCAT(BBDD_Usiarios_Netflix[[#This Row],[Día Último Pago]],"/",BBDD_Usiarios_Netflix[[#This Row],[Mes Último Pago]],"/",BBDD_Usiarios_Netflix[[#This Row],[Año Último Pago]]))</f>
        <v>45479</v>
      </c>
      <c r="M1472" s="4">
        <f>DATEDIF(BBDD_Usiarios_Netflix[[#This Row],[Fecha Suscripción]],BBDD_Usiarios_Netflix[[#This Row],[Fecha Último Pago]],"M")+1</f>
        <v>9</v>
      </c>
      <c r="N1472" s="4">
        <f>BBDD_Usiarios_Netflix[[#This Row],[Ingresos Mensuales]]*BBDD_Usiarios_Netflix[[#This Row],[Meses contratados]]</f>
        <v>126</v>
      </c>
      <c r="O1472" t="s">
        <v>40</v>
      </c>
      <c r="P1472" t="str">
        <f>IF(BBDD_Usiarios_Netflix[[#This Row],[País]]="","Desconocido",BBDD_Usiarios_Netflix[[#This Row],[País]])</f>
        <v>Italia</v>
      </c>
      <c r="Q1472">
        <v>51</v>
      </c>
      <c r="R1472" t="s">
        <v>30</v>
      </c>
      <c r="S1472" t="s">
        <v>26</v>
      </c>
      <c r="T1472" t="s">
        <v>35</v>
      </c>
      <c r="U1472">
        <f>IF(IFERROR(VLOOKUP(BBDD_Usiarios_Netflix[[#This Row],[Identificador Usuario]],A1473:$A$5870,1,FALSE),0)&lt;&gt;0,1,0)</f>
        <v>0</v>
      </c>
      <c r="V1472" s="6" t="str">
        <f>IF(BBDD_Usiarios_Netflix[[#This Row],[Duración Plan]]="12 Meses",LEFT(BBDD_Usiarios_Netflix[[#This Row],[Duración Plan]],2),LEFT(BBDD_Usiarios_Netflix[[#This Row],[Duración Plan]],1))</f>
        <v>6</v>
      </c>
      <c r="W14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73" spans="1:23" x14ac:dyDescent="0.25">
      <c r="A1473">
        <v>1472</v>
      </c>
      <c r="B1473" t="s">
        <v>23</v>
      </c>
      <c r="C1473">
        <v>10</v>
      </c>
      <c r="D1473" s="3">
        <v>21</v>
      </c>
      <c r="E1473" s="3">
        <v>10</v>
      </c>
      <c r="F1473">
        <v>23</v>
      </c>
      <c r="G1473" s="1">
        <f>DATEVALUE(_xlfn.CONCAT(BBDD_Usiarios_Netflix[[#This Row],[Día Suscripción]],"/",BBDD_Usiarios_Netflix[[#This Row],[Mes Suscripción]],"/",BBDD_Usiarios_Netflix[[#This Row],[Año Suscripción]]))</f>
        <v>45220</v>
      </c>
      <c r="H1473" s="1">
        <v>6</v>
      </c>
      <c r="I1473" s="1">
        <v>7</v>
      </c>
      <c r="J1473" s="1">
        <v>24</v>
      </c>
      <c r="K1473" s="1" t="str">
        <f>TEXT(BBDD_Usiarios_Netflix[[#This Row],[Fecha Suscripción]],"dddd")</f>
        <v>sábado</v>
      </c>
      <c r="L1473" s="1">
        <f>DATEVALUE(_xlfn.CONCAT(BBDD_Usiarios_Netflix[[#This Row],[Día Último Pago]],"/",BBDD_Usiarios_Netflix[[#This Row],[Mes Último Pago]],"/",BBDD_Usiarios_Netflix[[#This Row],[Año Último Pago]]))</f>
        <v>45479</v>
      </c>
      <c r="M1473" s="4">
        <f>DATEDIF(BBDD_Usiarios_Netflix[[#This Row],[Fecha Suscripción]],BBDD_Usiarios_Netflix[[#This Row],[Fecha Último Pago]],"M")+1</f>
        <v>9</v>
      </c>
      <c r="N1473" s="4">
        <f>BBDD_Usiarios_Netflix[[#This Row],[Ingresos Mensuales]]*BBDD_Usiarios_Netflix[[#This Row],[Meses contratados]]</f>
        <v>90</v>
      </c>
      <c r="O1473" t="s">
        <v>29</v>
      </c>
      <c r="P1473" t="str">
        <f>IF(BBDD_Usiarios_Netflix[[#This Row],[País]]="","Desconocido",BBDD_Usiarios_Netflix[[#This Row],[País]])</f>
        <v>EEUU</v>
      </c>
      <c r="Q1473">
        <v>28</v>
      </c>
      <c r="R1473" t="s">
        <v>30</v>
      </c>
      <c r="S1473" t="s">
        <v>36</v>
      </c>
      <c r="T1473" t="s">
        <v>27</v>
      </c>
      <c r="U1473">
        <f>IF(IFERROR(VLOOKUP(BBDD_Usiarios_Netflix[[#This Row],[Identificador Usuario]],A1474:$A$5870,1,FALSE),0)&lt;&gt;0,1,0)</f>
        <v>0</v>
      </c>
      <c r="V1473" s="6" t="str">
        <f>IF(BBDD_Usiarios_Netflix[[#This Row],[Duración Plan]]="12 Meses",LEFT(BBDD_Usiarios_Netflix[[#This Row],[Duración Plan]],2),LEFT(BBDD_Usiarios_Netflix[[#This Row],[Duración Plan]],1))</f>
        <v>1</v>
      </c>
      <c r="W14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74" spans="1:23" x14ac:dyDescent="0.25">
      <c r="A1474">
        <v>1473</v>
      </c>
      <c r="B1474" t="s">
        <v>32</v>
      </c>
      <c r="C1474">
        <v>12</v>
      </c>
      <c r="D1474" s="3">
        <v>23</v>
      </c>
      <c r="E1474" s="3">
        <v>10</v>
      </c>
      <c r="F1474">
        <v>23</v>
      </c>
      <c r="G1474" s="1">
        <f>DATEVALUE(_xlfn.CONCAT(BBDD_Usiarios_Netflix[[#This Row],[Día Suscripción]],"/",BBDD_Usiarios_Netflix[[#This Row],[Mes Suscripción]],"/",BBDD_Usiarios_Netflix[[#This Row],[Año Suscripción]]))</f>
        <v>45222</v>
      </c>
      <c r="H1474" s="1">
        <v>5</v>
      </c>
      <c r="I1474" s="1">
        <v>7</v>
      </c>
      <c r="J1474" s="1">
        <v>24</v>
      </c>
      <c r="K1474" s="1" t="str">
        <f>TEXT(BBDD_Usiarios_Netflix[[#This Row],[Fecha Suscripción]],"dddd")</f>
        <v>lunes</v>
      </c>
      <c r="L1474" s="1">
        <f>DATEVALUE(_xlfn.CONCAT(BBDD_Usiarios_Netflix[[#This Row],[Día Último Pago]],"/",BBDD_Usiarios_Netflix[[#This Row],[Mes Último Pago]],"/",BBDD_Usiarios_Netflix[[#This Row],[Año Último Pago]]))</f>
        <v>45478</v>
      </c>
      <c r="M1474" s="4">
        <f>DATEDIF(BBDD_Usiarios_Netflix[[#This Row],[Fecha Suscripción]],BBDD_Usiarios_Netflix[[#This Row],[Fecha Último Pago]],"M")+1</f>
        <v>9</v>
      </c>
      <c r="N1474" s="4">
        <f>BBDD_Usiarios_Netflix[[#This Row],[Ingresos Mensuales]]*BBDD_Usiarios_Netflix[[#This Row],[Meses contratados]]</f>
        <v>108</v>
      </c>
      <c r="O1474" t="s">
        <v>29</v>
      </c>
      <c r="P1474" t="str">
        <f>IF(BBDD_Usiarios_Netflix[[#This Row],[País]]="","Desconocido",BBDD_Usiarios_Netflix[[#This Row],[País]])</f>
        <v>EEUU</v>
      </c>
      <c r="Q1474">
        <v>33</v>
      </c>
      <c r="R1474" t="s">
        <v>25</v>
      </c>
      <c r="S1474" t="s">
        <v>26</v>
      </c>
      <c r="T1474" t="s">
        <v>27</v>
      </c>
      <c r="U1474">
        <f>IF(IFERROR(VLOOKUP(BBDD_Usiarios_Netflix[[#This Row],[Identificador Usuario]],A1475:$A$5870,1,FALSE),0)&lt;&gt;0,1,0)</f>
        <v>0</v>
      </c>
      <c r="V1474" s="6" t="str">
        <f>IF(BBDD_Usiarios_Netflix[[#This Row],[Duración Plan]]="12 Meses",LEFT(BBDD_Usiarios_Netflix[[#This Row],[Duración Plan]],2),LEFT(BBDD_Usiarios_Netflix[[#This Row],[Duración Plan]],1))</f>
        <v>1</v>
      </c>
      <c r="W14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75" spans="1:23" x14ac:dyDescent="0.25">
      <c r="A1475">
        <v>1474</v>
      </c>
      <c r="B1475" t="s">
        <v>28</v>
      </c>
      <c r="C1475">
        <v>14</v>
      </c>
      <c r="D1475" s="3">
        <v>26</v>
      </c>
      <c r="E1475" s="3">
        <v>10</v>
      </c>
      <c r="F1475">
        <v>23</v>
      </c>
      <c r="G1475" s="1">
        <f>DATEVALUE(_xlfn.CONCAT(BBDD_Usiarios_Netflix[[#This Row],[Día Suscripción]],"/",BBDD_Usiarios_Netflix[[#This Row],[Mes Suscripción]],"/",BBDD_Usiarios_Netflix[[#This Row],[Año Suscripción]]))</f>
        <v>45225</v>
      </c>
      <c r="H1475" s="1">
        <v>5</v>
      </c>
      <c r="I1475" s="1">
        <v>7</v>
      </c>
      <c r="J1475" s="1">
        <v>24</v>
      </c>
      <c r="K1475" s="1" t="str">
        <f>TEXT(BBDD_Usiarios_Netflix[[#This Row],[Fecha Suscripción]],"dddd")</f>
        <v>jueves</v>
      </c>
      <c r="L1475" s="1">
        <f>DATEVALUE(_xlfn.CONCAT(BBDD_Usiarios_Netflix[[#This Row],[Día Último Pago]],"/",BBDD_Usiarios_Netflix[[#This Row],[Mes Último Pago]],"/",BBDD_Usiarios_Netflix[[#This Row],[Año Último Pago]]))</f>
        <v>45478</v>
      </c>
      <c r="M1475" s="4">
        <f>DATEDIF(BBDD_Usiarios_Netflix[[#This Row],[Fecha Suscripción]],BBDD_Usiarios_Netflix[[#This Row],[Fecha Último Pago]],"M")+1</f>
        <v>9</v>
      </c>
      <c r="N1475" s="4">
        <f>BBDD_Usiarios_Netflix[[#This Row],[Ingresos Mensuales]]*BBDD_Usiarios_Netflix[[#This Row],[Meses contratados]]</f>
        <v>126</v>
      </c>
      <c r="O1475" t="s">
        <v>45</v>
      </c>
      <c r="P1475" t="str">
        <f>IF(BBDD_Usiarios_Netflix[[#This Row],[País]]="","Desconocido",BBDD_Usiarios_Netflix[[#This Row],[País]])</f>
        <v>España</v>
      </c>
      <c r="Q1475">
        <v>31</v>
      </c>
      <c r="R1475" t="s">
        <v>30</v>
      </c>
      <c r="S1475" t="s">
        <v>36</v>
      </c>
      <c r="T1475" t="s">
        <v>38</v>
      </c>
      <c r="U1475">
        <f>IF(IFERROR(VLOOKUP(BBDD_Usiarios_Netflix[[#This Row],[Identificador Usuario]],A1476:$A$5870,1,FALSE),0)&lt;&gt;0,1,0)</f>
        <v>0</v>
      </c>
      <c r="V1475" s="6" t="str">
        <f>IF(BBDD_Usiarios_Netflix[[#This Row],[Duración Plan]]="12 Meses",LEFT(BBDD_Usiarios_Netflix[[#This Row],[Duración Plan]],2),LEFT(BBDD_Usiarios_Netflix[[#This Row],[Duración Plan]],1))</f>
        <v>3</v>
      </c>
      <c r="W14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76" spans="1:23" x14ac:dyDescent="0.25">
      <c r="A1476">
        <v>1475</v>
      </c>
      <c r="B1476" t="s">
        <v>23</v>
      </c>
      <c r="C1476">
        <v>10</v>
      </c>
      <c r="D1476" s="3">
        <v>27</v>
      </c>
      <c r="E1476" s="3">
        <v>10</v>
      </c>
      <c r="F1476">
        <v>23</v>
      </c>
      <c r="G1476" s="1">
        <f>DATEVALUE(_xlfn.CONCAT(BBDD_Usiarios_Netflix[[#This Row],[Día Suscripción]],"/",BBDD_Usiarios_Netflix[[#This Row],[Mes Suscripción]],"/",BBDD_Usiarios_Netflix[[#This Row],[Año Suscripción]]))</f>
        <v>45226</v>
      </c>
      <c r="H1476" s="1">
        <v>6</v>
      </c>
      <c r="I1476" s="1">
        <v>7</v>
      </c>
      <c r="J1476" s="1">
        <v>24</v>
      </c>
      <c r="K1476" s="1" t="str">
        <f>TEXT(BBDD_Usiarios_Netflix[[#This Row],[Fecha Suscripción]],"dddd")</f>
        <v>viernes</v>
      </c>
      <c r="L1476" s="1">
        <f>DATEVALUE(_xlfn.CONCAT(BBDD_Usiarios_Netflix[[#This Row],[Día Último Pago]],"/",BBDD_Usiarios_Netflix[[#This Row],[Mes Último Pago]],"/",BBDD_Usiarios_Netflix[[#This Row],[Año Último Pago]]))</f>
        <v>45479</v>
      </c>
      <c r="M1476" s="4">
        <f>DATEDIF(BBDD_Usiarios_Netflix[[#This Row],[Fecha Suscripción]],BBDD_Usiarios_Netflix[[#This Row],[Fecha Último Pago]],"M")+1</f>
        <v>9</v>
      </c>
      <c r="N1476" s="4">
        <f>BBDD_Usiarios_Netflix[[#This Row],[Ingresos Mensuales]]*BBDD_Usiarios_Netflix[[#This Row],[Meses contratados]]</f>
        <v>90</v>
      </c>
      <c r="O1476" t="s">
        <v>45</v>
      </c>
      <c r="P1476" t="str">
        <f>IF(BBDD_Usiarios_Netflix[[#This Row],[País]]="","Desconocido",BBDD_Usiarios_Netflix[[#This Row],[País]])</f>
        <v>España</v>
      </c>
      <c r="Q1476">
        <v>47</v>
      </c>
      <c r="R1476" t="s">
        <v>25</v>
      </c>
      <c r="S1476" t="s">
        <v>36</v>
      </c>
      <c r="T1476" t="s">
        <v>35</v>
      </c>
      <c r="U1476">
        <f>IF(IFERROR(VLOOKUP(BBDD_Usiarios_Netflix[[#This Row],[Identificador Usuario]],A1477:$A$5870,1,FALSE),0)&lt;&gt;0,1,0)</f>
        <v>0</v>
      </c>
      <c r="V1476" s="6" t="str">
        <f>IF(BBDD_Usiarios_Netflix[[#This Row],[Duración Plan]]="12 Meses",LEFT(BBDD_Usiarios_Netflix[[#This Row],[Duración Plan]],2),LEFT(BBDD_Usiarios_Netflix[[#This Row],[Duración Plan]],1))</f>
        <v>6</v>
      </c>
      <c r="W14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77" spans="1:23" x14ac:dyDescent="0.25">
      <c r="A1477">
        <v>1476</v>
      </c>
      <c r="B1477" t="s">
        <v>28</v>
      </c>
      <c r="C1477">
        <v>14</v>
      </c>
      <c r="D1477" s="3">
        <v>31</v>
      </c>
      <c r="E1477" s="3">
        <v>10</v>
      </c>
      <c r="F1477">
        <v>23</v>
      </c>
      <c r="G1477" s="1">
        <f>DATEVALUE(_xlfn.CONCAT(BBDD_Usiarios_Netflix[[#This Row],[Día Suscripción]],"/",BBDD_Usiarios_Netflix[[#This Row],[Mes Suscripción]],"/",BBDD_Usiarios_Netflix[[#This Row],[Año Suscripción]]))</f>
        <v>45230</v>
      </c>
      <c r="H1477" s="1">
        <v>7</v>
      </c>
      <c r="I1477" s="1">
        <v>7</v>
      </c>
      <c r="J1477" s="1">
        <v>24</v>
      </c>
      <c r="K1477" s="1" t="str">
        <f>TEXT(BBDD_Usiarios_Netflix[[#This Row],[Fecha Suscripción]],"dddd")</f>
        <v>martes</v>
      </c>
      <c r="L1477" s="1">
        <f>DATEVALUE(_xlfn.CONCAT(BBDD_Usiarios_Netflix[[#This Row],[Día Último Pago]],"/",BBDD_Usiarios_Netflix[[#This Row],[Mes Último Pago]],"/",BBDD_Usiarios_Netflix[[#This Row],[Año Último Pago]]))</f>
        <v>45480</v>
      </c>
      <c r="M1477" s="4">
        <f>DATEDIF(BBDD_Usiarios_Netflix[[#This Row],[Fecha Suscripción]],BBDD_Usiarios_Netflix[[#This Row],[Fecha Último Pago]],"M")+1</f>
        <v>9</v>
      </c>
      <c r="N1477" s="4">
        <f>BBDD_Usiarios_Netflix[[#This Row],[Ingresos Mensuales]]*BBDD_Usiarios_Netflix[[#This Row],[Meses contratados]]</f>
        <v>126</v>
      </c>
      <c r="O1477" t="s">
        <v>45</v>
      </c>
      <c r="P1477" t="str">
        <f>IF(BBDD_Usiarios_Netflix[[#This Row],[País]]="","Desconocido",BBDD_Usiarios_Netflix[[#This Row],[País]])</f>
        <v>España</v>
      </c>
      <c r="Q1477">
        <v>45</v>
      </c>
      <c r="R1477" t="s">
        <v>30</v>
      </c>
      <c r="S1477" t="s">
        <v>31</v>
      </c>
      <c r="T1477" t="s">
        <v>27</v>
      </c>
      <c r="U1477">
        <f>IF(IFERROR(VLOOKUP(BBDD_Usiarios_Netflix[[#This Row],[Identificador Usuario]],A1478:$A$5870,1,FALSE),0)&lt;&gt;0,1,0)</f>
        <v>0</v>
      </c>
      <c r="V1477" s="6" t="str">
        <f>IF(BBDD_Usiarios_Netflix[[#This Row],[Duración Plan]]="12 Meses",LEFT(BBDD_Usiarios_Netflix[[#This Row],[Duración Plan]],2),LEFT(BBDD_Usiarios_Netflix[[#This Row],[Duración Plan]],1))</f>
        <v>1</v>
      </c>
      <c r="W14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78" spans="1:23" x14ac:dyDescent="0.25">
      <c r="A1478">
        <v>1477</v>
      </c>
      <c r="B1478" t="s">
        <v>23</v>
      </c>
      <c r="C1478">
        <v>10</v>
      </c>
      <c r="D1478" s="3">
        <v>3</v>
      </c>
      <c r="E1478" s="3">
        <v>11</v>
      </c>
      <c r="F1478">
        <v>23</v>
      </c>
      <c r="G1478" s="1">
        <f>DATEVALUE(_xlfn.CONCAT(BBDD_Usiarios_Netflix[[#This Row],[Día Suscripción]],"/",BBDD_Usiarios_Netflix[[#This Row],[Mes Suscripción]],"/",BBDD_Usiarios_Netflix[[#This Row],[Año Suscripción]]))</f>
        <v>45233</v>
      </c>
      <c r="H1478" s="1">
        <v>5</v>
      </c>
      <c r="I1478" s="1">
        <v>7</v>
      </c>
      <c r="J1478" s="1">
        <v>24</v>
      </c>
      <c r="K1478" s="1" t="str">
        <f>TEXT(BBDD_Usiarios_Netflix[[#This Row],[Fecha Suscripción]],"dddd")</f>
        <v>viernes</v>
      </c>
      <c r="L1478" s="1">
        <f>DATEVALUE(_xlfn.CONCAT(BBDD_Usiarios_Netflix[[#This Row],[Día Último Pago]],"/",BBDD_Usiarios_Netflix[[#This Row],[Mes Último Pago]],"/",BBDD_Usiarios_Netflix[[#This Row],[Año Último Pago]]))</f>
        <v>45478</v>
      </c>
      <c r="M1478" s="4">
        <f>DATEDIF(BBDD_Usiarios_Netflix[[#This Row],[Fecha Suscripción]],BBDD_Usiarios_Netflix[[#This Row],[Fecha Último Pago]],"M")+1</f>
        <v>9</v>
      </c>
      <c r="N1478" s="4">
        <f>BBDD_Usiarios_Netflix[[#This Row],[Ingresos Mensuales]]*BBDD_Usiarios_Netflix[[#This Row],[Meses contratados]]</f>
        <v>90</v>
      </c>
      <c r="O1478" t="s">
        <v>29</v>
      </c>
      <c r="P1478" t="str">
        <f>IF(BBDD_Usiarios_Netflix[[#This Row],[País]]="","Desconocido",BBDD_Usiarios_Netflix[[#This Row],[País]])</f>
        <v>EEUU</v>
      </c>
      <c r="Q1478">
        <v>42</v>
      </c>
      <c r="R1478" t="s">
        <v>25</v>
      </c>
      <c r="S1478" t="s">
        <v>34</v>
      </c>
      <c r="T1478" t="s">
        <v>41</v>
      </c>
      <c r="U1478">
        <f>IF(IFERROR(VLOOKUP(BBDD_Usiarios_Netflix[[#This Row],[Identificador Usuario]],A1479:$A$5870,1,FALSE),0)&lt;&gt;0,1,0)</f>
        <v>0</v>
      </c>
      <c r="V1478" s="6" t="str">
        <f>IF(BBDD_Usiarios_Netflix[[#This Row],[Duración Plan]]="12 Meses",LEFT(BBDD_Usiarios_Netflix[[#This Row],[Duración Plan]],2),LEFT(BBDD_Usiarios_Netflix[[#This Row],[Duración Plan]],1))</f>
        <v>12</v>
      </c>
      <c r="W14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79" spans="1:23" x14ac:dyDescent="0.25">
      <c r="A1479">
        <v>1478</v>
      </c>
      <c r="B1479" t="s">
        <v>32</v>
      </c>
      <c r="C1479">
        <v>12</v>
      </c>
      <c r="D1479" s="3">
        <v>5</v>
      </c>
      <c r="E1479" s="3">
        <v>11</v>
      </c>
      <c r="F1479">
        <v>23</v>
      </c>
      <c r="G1479" s="1">
        <f>DATEVALUE(_xlfn.CONCAT(BBDD_Usiarios_Netflix[[#This Row],[Día Suscripción]],"/",BBDD_Usiarios_Netflix[[#This Row],[Mes Suscripción]],"/",BBDD_Usiarios_Netflix[[#This Row],[Año Suscripción]]))</f>
        <v>45235</v>
      </c>
      <c r="H1479" s="1">
        <v>6</v>
      </c>
      <c r="I1479" s="1">
        <v>7</v>
      </c>
      <c r="J1479" s="1">
        <v>24</v>
      </c>
      <c r="K1479" s="1" t="str">
        <f>TEXT(BBDD_Usiarios_Netflix[[#This Row],[Fecha Suscripción]],"dddd")</f>
        <v>domingo</v>
      </c>
      <c r="L1479" s="1">
        <f>DATEVALUE(_xlfn.CONCAT(BBDD_Usiarios_Netflix[[#This Row],[Día Último Pago]],"/",BBDD_Usiarios_Netflix[[#This Row],[Mes Último Pago]],"/",BBDD_Usiarios_Netflix[[#This Row],[Año Último Pago]]))</f>
        <v>45479</v>
      </c>
      <c r="M1479" s="4">
        <f>DATEDIF(BBDD_Usiarios_Netflix[[#This Row],[Fecha Suscripción]],BBDD_Usiarios_Netflix[[#This Row],[Fecha Último Pago]],"M")+1</f>
        <v>9</v>
      </c>
      <c r="N1479" s="4">
        <f>BBDD_Usiarios_Netflix[[#This Row],[Ingresos Mensuales]]*BBDD_Usiarios_Netflix[[#This Row],[Meses contratados]]</f>
        <v>108</v>
      </c>
      <c r="O1479" t="s">
        <v>33</v>
      </c>
      <c r="P1479" t="str">
        <f>IF(BBDD_Usiarios_Netflix[[#This Row],[País]]="","Desconocido",BBDD_Usiarios_Netflix[[#This Row],[País]])</f>
        <v>Francia</v>
      </c>
      <c r="Q1479">
        <v>47</v>
      </c>
      <c r="R1479" t="s">
        <v>30</v>
      </c>
      <c r="S1479" t="s">
        <v>34</v>
      </c>
      <c r="T1479" t="s">
        <v>41</v>
      </c>
      <c r="U1479">
        <f>IF(IFERROR(VLOOKUP(BBDD_Usiarios_Netflix[[#This Row],[Identificador Usuario]],A1480:$A$5870,1,FALSE),0)&lt;&gt;0,1,0)</f>
        <v>0</v>
      </c>
      <c r="V1479" s="6" t="str">
        <f>IF(BBDD_Usiarios_Netflix[[#This Row],[Duración Plan]]="12 Meses",LEFT(BBDD_Usiarios_Netflix[[#This Row],[Duración Plan]],2),LEFT(BBDD_Usiarios_Netflix[[#This Row],[Duración Plan]],1))</f>
        <v>12</v>
      </c>
      <c r="W14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80" spans="1:23" x14ac:dyDescent="0.25">
      <c r="A1480">
        <v>1479</v>
      </c>
      <c r="B1480" t="s">
        <v>32</v>
      </c>
      <c r="C1480">
        <v>12</v>
      </c>
      <c r="D1480" s="3">
        <v>6</v>
      </c>
      <c r="E1480" s="3">
        <v>11</v>
      </c>
      <c r="F1480">
        <v>23</v>
      </c>
      <c r="G1480" s="1">
        <f>DATEVALUE(_xlfn.CONCAT(BBDD_Usiarios_Netflix[[#This Row],[Día Suscripción]],"/",BBDD_Usiarios_Netflix[[#This Row],[Mes Suscripción]],"/",BBDD_Usiarios_Netflix[[#This Row],[Año Suscripción]]))</f>
        <v>45236</v>
      </c>
      <c r="H1480" s="1">
        <v>6</v>
      </c>
      <c r="I1480" s="1">
        <v>7</v>
      </c>
      <c r="J1480" s="1">
        <v>24</v>
      </c>
      <c r="K1480" s="1" t="str">
        <f>TEXT(BBDD_Usiarios_Netflix[[#This Row],[Fecha Suscripción]],"dddd")</f>
        <v>lunes</v>
      </c>
      <c r="L1480" s="1">
        <f>DATEVALUE(_xlfn.CONCAT(BBDD_Usiarios_Netflix[[#This Row],[Día Último Pago]],"/",BBDD_Usiarios_Netflix[[#This Row],[Mes Último Pago]],"/",BBDD_Usiarios_Netflix[[#This Row],[Año Último Pago]]))</f>
        <v>45479</v>
      </c>
      <c r="M1480" s="4">
        <f>DATEDIF(BBDD_Usiarios_Netflix[[#This Row],[Fecha Suscripción]],BBDD_Usiarios_Netflix[[#This Row],[Fecha Último Pago]],"M")+1</f>
        <v>9</v>
      </c>
      <c r="N1480" s="4">
        <f>BBDD_Usiarios_Netflix[[#This Row],[Ingresos Mensuales]]*BBDD_Usiarios_Netflix[[#This Row],[Meses contratados]]</f>
        <v>108</v>
      </c>
      <c r="O1480" t="s">
        <v>24</v>
      </c>
      <c r="P1480" t="str">
        <f>IF(BBDD_Usiarios_Netflix[[#This Row],[País]]="","Desconocido",BBDD_Usiarios_Netflix[[#This Row],[País]])</f>
        <v>Australia</v>
      </c>
      <c r="Q1480">
        <v>29</v>
      </c>
      <c r="R1480" t="s">
        <v>30</v>
      </c>
      <c r="S1480" t="s">
        <v>34</v>
      </c>
      <c r="T1480" t="s">
        <v>27</v>
      </c>
      <c r="U1480">
        <f>IF(IFERROR(VLOOKUP(BBDD_Usiarios_Netflix[[#This Row],[Identificador Usuario]],A1481:$A$5870,1,FALSE),0)&lt;&gt;0,1,0)</f>
        <v>0</v>
      </c>
      <c r="V1480" s="6" t="str">
        <f>IF(BBDD_Usiarios_Netflix[[#This Row],[Duración Plan]]="12 Meses",LEFT(BBDD_Usiarios_Netflix[[#This Row],[Duración Plan]],2),LEFT(BBDD_Usiarios_Netflix[[#This Row],[Duración Plan]],1))</f>
        <v>1</v>
      </c>
      <c r="W14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81" spans="1:23" x14ac:dyDescent="0.25">
      <c r="A1481">
        <v>1480</v>
      </c>
      <c r="B1481" t="s">
        <v>23</v>
      </c>
      <c r="C1481">
        <v>10</v>
      </c>
      <c r="D1481" s="3">
        <v>3</v>
      </c>
      <c r="E1481" s="3">
        <v>11</v>
      </c>
      <c r="F1481">
        <v>23</v>
      </c>
      <c r="G1481" s="1">
        <f>DATEVALUE(_xlfn.CONCAT(BBDD_Usiarios_Netflix[[#This Row],[Día Suscripción]],"/",BBDD_Usiarios_Netflix[[#This Row],[Mes Suscripción]],"/",BBDD_Usiarios_Netflix[[#This Row],[Año Suscripción]]))</f>
        <v>45233</v>
      </c>
      <c r="H1481" s="1">
        <v>7</v>
      </c>
      <c r="I1481" s="1">
        <v>7</v>
      </c>
      <c r="J1481" s="1">
        <v>24</v>
      </c>
      <c r="K1481" s="1" t="str">
        <f>TEXT(BBDD_Usiarios_Netflix[[#This Row],[Fecha Suscripción]],"dddd")</f>
        <v>viernes</v>
      </c>
      <c r="L1481" s="1">
        <f>DATEVALUE(_xlfn.CONCAT(BBDD_Usiarios_Netflix[[#This Row],[Día Último Pago]],"/",BBDD_Usiarios_Netflix[[#This Row],[Mes Último Pago]],"/",BBDD_Usiarios_Netflix[[#This Row],[Año Último Pago]]))</f>
        <v>45480</v>
      </c>
      <c r="M1481" s="4">
        <f>DATEDIF(BBDD_Usiarios_Netflix[[#This Row],[Fecha Suscripción]],BBDD_Usiarios_Netflix[[#This Row],[Fecha Último Pago]],"M")+1</f>
        <v>9</v>
      </c>
      <c r="N1481" s="4">
        <f>BBDD_Usiarios_Netflix[[#This Row],[Ingresos Mensuales]]*BBDD_Usiarios_Netflix[[#This Row],[Meses contratados]]</f>
        <v>90</v>
      </c>
      <c r="O1481" t="s">
        <v>29</v>
      </c>
      <c r="P1481" t="str">
        <f>IF(BBDD_Usiarios_Netflix[[#This Row],[País]]="","Desconocido",BBDD_Usiarios_Netflix[[#This Row],[País]])</f>
        <v>EEUU</v>
      </c>
      <c r="Q1481">
        <v>49</v>
      </c>
      <c r="R1481" t="s">
        <v>30</v>
      </c>
      <c r="S1481" t="s">
        <v>36</v>
      </c>
      <c r="T1481" t="s">
        <v>41</v>
      </c>
      <c r="U1481">
        <f>IF(IFERROR(VLOOKUP(BBDD_Usiarios_Netflix[[#This Row],[Identificador Usuario]],A1482:$A$5870,1,FALSE),0)&lt;&gt;0,1,0)</f>
        <v>0</v>
      </c>
      <c r="V1481" s="6" t="str">
        <f>IF(BBDD_Usiarios_Netflix[[#This Row],[Duración Plan]]="12 Meses",LEFT(BBDD_Usiarios_Netflix[[#This Row],[Duración Plan]],2),LEFT(BBDD_Usiarios_Netflix[[#This Row],[Duración Plan]],1))</f>
        <v>12</v>
      </c>
      <c r="W14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82" spans="1:23" x14ac:dyDescent="0.25">
      <c r="A1482">
        <v>1481</v>
      </c>
      <c r="B1482" t="s">
        <v>28</v>
      </c>
      <c r="C1482">
        <v>14</v>
      </c>
      <c r="D1482" s="3">
        <v>3</v>
      </c>
      <c r="E1482" s="3">
        <v>11</v>
      </c>
      <c r="F1482">
        <v>23</v>
      </c>
      <c r="G1482" s="1">
        <f>DATEVALUE(_xlfn.CONCAT(BBDD_Usiarios_Netflix[[#This Row],[Día Suscripción]],"/",BBDD_Usiarios_Netflix[[#This Row],[Mes Suscripción]],"/",BBDD_Usiarios_Netflix[[#This Row],[Año Suscripción]]))</f>
        <v>45233</v>
      </c>
      <c r="H1482" s="1">
        <v>4</v>
      </c>
      <c r="I1482" s="1">
        <v>7</v>
      </c>
      <c r="J1482" s="1">
        <v>24</v>
      </c>
      <c r="K1482" s="1" t="str">
        <f>TEXT(BBDD_Usiarios_Netflix[[#This Row],[Fecha Suscripción]],"dddd")</f>
        <v>viernes</v>
      </c>
      <c r="L1482" s="1">
        <f>DATEVALUE(_xlfn.CONCAT(BBDD_Usiarios_Netflix[[#This Row],[Día Último Pago]],"/",BBDD_Usiarios_Netflix[[#This Row],[Mes Último Pago]],"/",BBDD_Usiarios_Netflix[[#This Row],[Año Último Pago]]))</f>
        <v>45477</v>
      </c>
      <c r="M1482" s="4">
        <f>DATEDIF(BBDD_Usiarios_Netflix[[#This Row],[Fecha Suscripción]],BBDD_Usiarios_Netflix[[#This Row],[Fecha Último Pago]],"M")+1</f>
        <v>9</v>
      </c>
      <c r="N1482" s="4">
        <f>BBDD_Usiarios_Netflix[[#This Row],[Ingresos Mensuales]]*BBDD_Usiarios_Netflix[[#This Row],[Meses contratados]]</f>
        <v>126</v>
      </c>
      <c r="O1482" t="s">
        <v>24</v>
      </c>
      <c r="P1482" t="str">
        <f>IF(BBDD_Usiarios_Netflix[[#This Row],[País]]="","Desconocido",BBDD_Usiarios_Netflix[[#This Row],[País]])</f>
        <v>Australia</v>
      </c>
      <c r="Q1482">
        <v>41</v>
      </c>
      <c r="R1482" t="s">
        <v>30</v>
      </c>
      <c r="S1482" t="s">
        <v>36</v>
      </c>
      <c r="T1482" t="s">
        <v>41</v>
      </c>
      <c r="U1482">
        <f>IF(IFERROR(VLOOKUP(BBDD_Usiarios_Netflix[[#This Row],[Identificador Usuario]],A1483:$A$5870,1,FALSE),0)&lt;&gt;0,1,0)</f>
        <v>0</v>
      </c>
      <c r="V1482" s="6" t="str">
        <f>IF(BBDD_Usiarios_Netflix[[#This Row],[Duración Plan]]="12 Meses",LEFT(BBDD_Usiarios_Netflix[[#This Row],[Duración Plan]],2),LEFT(BBDD_Usiarios_Netflix[[#This Row],[Duración Plan]],1))</f>
        <v>12</v>
      </c>
      <c r="W14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83" spans="1:23" x14ac:dyDescent="0.25">
      <c r="A1483">
        <v>1482</v>
      </c>
      <c r="B1483" t="s">
        <v>23</v>
      </c>
      <c r="C1483">
        <v>10</v>
      </c>
      <c r="D1483" s="3">
        <v>4</v>
      </c>
      <c r="E1483" s="3">
        <v>11</v>
      </c>
      <c r="F1483">
        <v>23</v>
      </c>
      <c r="G1483" s="1">
        <f>DATEVALUE(_xlfn.CONCAT(BBDD_Usiarios_Netflix[[#This Row],[Día Suscripción]],"/",BBDD_Usiarios_Netflix[[#This Row],[Mes Suscripción]],"/",BBDD_Usiarios_Netflix[[#This Row],[Año Suscripción]]))</f>
        <v>45234</v>
      </c>
      <c r="H1483" s="1">
        <v>5</v>
      </c>
      <c r="I1483" s="1">
        <v>7</v>
      </c>
      <c r="J1483" s="1">
        <v>24</v>
      </c>
      <c r="K1483" s="1" t="str">
        <f>TEXT(BBDD_Usiarios_Netflix[[#This Row],[Fecha Suscripción]],"dddd")</f>
        <v>sábado</v>
      </c>
      <c r="L1483" s="1">
        <f>DATEVALUE(_xlfn.CONCAT(BBDD_Usiarios_Netflix[[#This Row],[Día Último Pago]],"/",BBDD_Usiarios_Netflix[[#This Row],[Mes Último Pago]],"/",BBDD_Usiarios_Netflix[[#This Row],[Año Último Pago]]))</f>
        <v>45478</v>
      </c>
      <c r="M1483" s="4">
        <f>DATEDIF(BBDD_Usiarios_Netflix[[#This Row],[Fecha Suscripción]],BBDD_Usiarios_Netflix[[#This Row],[Fecha Último Pago]],"M")+1</f>
        <v>9</v>
      </c>
      <c r="N1483" s="4">
        <f>BBDD_Usiarios_Netflix[[#This Row],[Ingresos Mensuales]]*BBDD_Usiarios_Netflix[[#This Row],[Meses contratados]]</f>
        <v>90</v>
      </c>
      <c r="O1483" t="s">
        <v>40</v>
      </c>
      <c r="P1483" t="str">
        <f>IF(BBDD_Usiarios_Netflix[[#This Row],[País]]="","Desconocido",BBDD_Usiarios_Netflix[[#This Row],[País]])</f>
        <v>Italia</v>
      </c>
      <c r="Q1483">
        <v>45</v>
      </c>
      <c r="R1483" t="s">
        <v>25</v>
      </c>
      <c r="S1483" t="s">
        <v>26</v>
      </c>
      <c r="T1483" t="s">
        <v>27</v>
      </c>
      <c r="U1483">
        <f>IF(IFERROR(VLOOKUP(BBDD_Usiarios_Netflix[[#This Row],[Identificador Usuario]],A1484:$A$5870,1,FALSE),0)&lt;&gt;0,1,0)</f>
        <v>0</v>
      </c>
      <c r="V1483" s="6" t="str">
        <f>IF(BBDD_Usiarios_Netflix[[#This Row],[Duración Plan]]="12 Meses",LEFT(BBDD_Usiarios_Netflix[[#This Row],[Duración Plan]],2),LEFT(BBDD_Usiarios_Netflix[[#This Row],[Duración Plan]],1))</f>
        <v>1</v>
      </c>
      <c r="W14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84" spans="1:23" x14ac:dyDescent="0.25">
      <c r="A1484">
        <v>1483</v>
      </c>
      <c r="B1484" t="s">
        <v>32</v>
      </c>
      <c r="C1484">
        <v>12</v>
      </c>
      <c r="D1484" s="3">
        <v>2</v>
      </c>
      <c r="E1484" s="3">
        <v>11</v>
      </c>
      <c r="F1484">
        <v>23</v>
      </c>
      <c r="G1484" s="1">
        <f>DATEVALUE(_xlfn.CONCAT(BBDD_Usiarios_Netflix[[#This Row],[Día Suscripción]],"/",BBDD_Usiarios_Netflix[[#This Row],[Mes Suscripción]],"/",BBDD_Usiarios_Netflix[[#This Row],[Año Suscripción]]))</f>
        <v>45232</v>
      </c>
      <c r="H1484" s="1">
        <v>6</v>
      </c>
      <c r="I1484" s="1">
        <v>7</v>
      </c>
      <c r="J1484" s="1">
        <v>24</v>
      </c>
      <c r="K1484" s="1" t="str">
        <f>TEXT(BBDD_Usiarios_Netflix[[#This Row],[Fecha Suscripción]],"dddd")</f>
        <v>jueves</v>
      </c>
      <c r="L1484" s="1">
        <f>DATEVALUE(_xlfn.CONCAT(BBDD_Usiarios_Netflix[[#This Row],[Día Último Pago]],"/",BBDD_Usiarios_Netflix[[#This Row],[Mes Último Pago]],"/",BBDD_Usiarios_Netflix[[#This Row],[Año Último Pago]]))</f>
        <v>45479</v>
      </c>
      <c r="M1484" s="4">
        <f>DATEDIF(BBDD_Usiarios_Netflix[[#This Row],[Fecha Suscripción]],BBDD_Usiarios_Netflix[[#This Row],[Fecha Último Pago]],"M")+1</f>
        <v>9</v>
      </c>
      <c r="N1484" s="4">
        <f>BBDD_Usiarios_Netflix[[#This Row],[Ingresos Mensuales]]*BBDD_Usiarios_Netflix[[#This Row],[Meses contratados]]</f>
        <v>108</v>
      </c>
      <c r="O1484" t="s">
        <v>33</v>
      </c>
      <c r="P1484" t="str">
        <f>IF(BBDD_Usiarios_Netflix[[#This Row],[País]]="","Desconocido",BBDD_Usiarios_Netflix[[#This Row],[País]])</f>
        <v>Francia</v>
      </c>
      <c r="Q1484">
        <v>49</v>
      </c>
      <c r="R1484" t="s">
        <v>25</v>
      </c>
      <c r="S1484" t="s">
        <v>34</v>
      </c>
      <c r="T1484" t="s">
        <v>35</v>
      </c>
      <c r="U1484">
        <f>IF(IFERROR(VLOOKUP(BBDD_Usiarios_Netflix[[#This Row],[Identificador Usuario]],A1485:$A$5870,1,FALSE),0)&lt;&gt;0,1,0)</f>
        <v>0</v>
      </c>
      <c r="V1484" s="6" t="str">
        <f>IF(BBDD_Usiarios_Netflix[[#This Row],[Duración Plan]]="12 Meses",LEFT(BBDD_Usiarios_Netflix[[#This Row],[Duración Plan]],2),LEFT(BBDD_Usiarios_Netflix[[#This Row],[Duración Plan]],1))</f>
        <v>6</v>
      </c>
      <c r="W14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85" spans="1:23" x14ac:dyDescent="0.25">
      <c r="A1485">
        <v>1484</v>
      </c>
      <c r="B1485" t="s">
        <v>28</v>
      </c>
      <c r="C1485">
        <v>14</v>
      </c>
      <c r="D1485" s="3">
        <v>27</v>
      </c>
      <c r="E1485" s="3">
        <v>10</v>
      </c>
      <c r="F1485">
        <v>23</v>
      </c>
      <c r="G1485" s="1">
        <f>DATEVALUE(_xlfn.CONCAT(BBDD_Usiarios_Netflix[[#This Row],[Día Suscripción]],"/",BBDD_Usiarios_Netflix[[#This Row],[Mes Suscripción]],"/",BBDD_Usiarios_Netflix[[#This Row],[Año Suscripción]]))</f>
        <v>45226</v>
      </c>
      <c r="H1485" s="1">
        <v>6</v>
      </c>
      <c r="I1485" s="1">
        <v>7</v>
      </c>
      <c r="J1485" s="1">
        <v>24</v>
      </c>
      <c r="K1485" s="1" t="str">
        <f>TEXT(BBDD_Usiarios_Netflix[[#This Row],[Fecha Suscripción]],"dddd")</f>
        <v>viernes</v>
      </c>
      <c r="L1485" s="1">
        <f>DATEVALUE(_xlfn.CONCAT(BBDD_Usiarios_Netflix[[#This Row],[Día Último Pago]],"/",BBDD_Usiarios_Netflix[[#This Row],[Mes Último Pago]],"/",BBDD_Usiarios_Netflix[[#This Row],[Año Último Pago]]))</f>
        <v>45479</v>
      </c>
      <c r="M1485" s="4">
        <f>DATEDIF(BBDD_Usiarios_Netflix[[#This Row],[Fecha Suscripción]],BBDD_Usiarios_Netflix[[#This Row],[Fecha Último Pago]],"M")+1</f>
        <v>9</v>
      </c>
      <c r="N1485" s="4">
        <f>BBDD_Usiarios_Netflix[[#This Row],[Ingresos Mensuales]]*BBDD_Usiarios_Netflix[[#This Row],[Meses contratados]]</f>
        <v>126</v>
      </c>
      <c r="O1485" t="s">
        <v>45</v>
      </c>
      <c r="P1485" t="str">
        <f>IF(BBDD_Usiarios_Netflix[[#This Row],[País]]="","Desconocido",BBDD_Usiarios_Netflix[[#This Row],[País]])</f>
        <v>España</v>
      </c>
      <c r="Q1485">
        <v>41</v>
      </c>
      <c r="R1485" t="s">
        <v>25</v>
      </c>
      <c r="S1485" t="s">
        <v>34</v>
      </c>
      <c r="T1485" t="s">
        <v>41</v>
      </c>
      <c r="U1485">
        <f>IF(IFERROR(VLOOKUP(BBDD_Usiarios_Netflix[[#This Row],[Identificador Usuario]],A1486:$A$5870,1,FALSE),0)&lt;&gt;0,1,0)</f>
        <v>0</v>
      </c>
      <c r="V1485" s="6" t="str">
        <f>IF(BBDD_Usiarios_Netflix[[#This Row],[Duración Plan]]="12 Meses",LEFT(BBDD_Usiarios_Netflix[[#This Row],[Duración Plan]],2),LEFT(BBDD_Usiarios_Netflix[[#This Row],[Duración Plan]],1))</f>
        <v>12</v>
      </c>
      <c r="W14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86" spans="1:23" x14ac:dyDescent="0.25">
      <c r="A1486">
        <v>1485</v>
      </c>
      <c r="B1486" t="s">
        <v>23</v>
      </c>
      <c r="C1486">
        <v>10</v>
      </c>
      <c r="D1486" s="3">
        <v>27</v>
      </c>
      <c r="E1486" s="3">
        <v>10</v>
      </c>
      <c r="F1486">
        <v>23</v>
      </c>
      <c r="G1486" s="1">
        <f>DATEVALUE(_xlfn.CONCAT(BBDD_Usiarios_Netflix[[#This Row],[Día Suscripción]],"/",BBDD_Usiarios_Netflix[[#This Row],[Mes Suscripción]],"/",BBDD_Usiarios_Netflix[[#This Row],[Año Suscripción]]))</f>
        <v>45226</v>
      </c>
      <c r="H1486" s="1">
        <v>4</v>
      </c>
      <c r="I1486" s="1">
        <v>7</v>
      </c>
      <c r="J1486" s="1">
        <v>24</v>
      </c>
      <c r="K1486" s="1" t="str">
        <f>TEXT(BBDD_Usiarios_Netflix[[#This Row],[Fecha Suscripción]],"dddd")</f>
        <v>viernes</v>
      </c>
      <c r="L1486" s="1">
        <f>DATEVALUE(_xlfn.CONCAT(BBDD_Usiarios_Netflix[[#This Row],[Día Último Pago]],"/",BBDD_Usiarios_Netflix[[#This Row],[Mes Último Pago]],"/",BBDD_Usiarios_Netflix[[#This Row],[Año Último Pago]]))</f>
        <v>45477</v>
      </c>
      <c r="M1486" s="4">
        <f>DATEDIF(BBDD_Usiarios_Netflix[[#This Row],[Fecha Suscripción]],BBDD_Usiarios_Netflix[[#This Row],[Fecha Último Pago]],"M")+1</f>
        <v>9</v>
      </c>
      <c r="N1486" s="4">
        <f>BBDD_Usiarios_Netflix[[#This Row],[Ingresos Mensuales]]*BBDD_Usiarios_Netflix[[#This Row],[Meses contratados]]</f>
        <v>90</v>
      </c>
      <c r="O1486" t="s">
        <v>29</v>
      </c>
      <c r="P1486" t="str">
        <f>IF(BBDD_Usiarios_Netflix[[#This Row],[País]]="","Desconocido",BBDD_Usiarios_Netflix[[#This Row],[País]])</f>
        <v>EEUU</v>
      </c>
      <c r="Q1486">
        <v>37</v>
      </c>
      <c r="R1486" t="s">
        <v>25</v>
      </c>
      <c r="S1486" t="s">
        <v>36</v>
      </c>
      <c r="T1486" t="s">
        <v>27</v>
      </c>
      <c r="U1486">
        <f>IF(IFERROR(VLOOKUP(BBDD_Usiarios_Netflix[[#This Row],[Identificador Usuario]],A1487:$A$5870,1,FALSE),0)&lt;&gt;0,1,0)</f>
        <v>0</v>
      </c>
      <c r="V1486" s="6" t="str">
        <f>IF(BBDD_Usiarios_Netflix[[#This Row],[Duración Plan]]="12 Meses",LEFT(BBDD_Usiarios_Netflix[[#This Row],[Duración Plan]],2),LEFT(BBDD_Usiarios_Netflix[[#This Row],[Duración Plan]],1))</f>
        <v>1</v>
      </c>
      <c r="W14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87" spans="1:23" x14ac:dyDescent="0.25">
      <c r="A1487">
        <v>1486</v>
      </c>
      <c r="B1487" t="s">
        <v>28</v>
      </c>
      <c r="C1487">
        <v>14</v>
      </c>
      <c r="D1487" s="3">
        <v>15</v>
      </c>
      <c r="E1487" s="3">
        <v>10</v>
      </c>
      <c r="F1487">
        <v>23</v>
      </c>
      <c r="G1487" s="1">
        <f>DATEVALUE(_xlfn.CONCAT(BBDD_Usiarios_Netflix[[#This Row],[Día Suscripción]],"/",BBDD_Usiarios_Netflix[[#This Row],[Mes Suscripción]],"/",BBDD_Usiarios_Netflix[[#This Row],[Año Suscripción]]))</f>
        <v>45214</v>
      </c>
      <c r="H1487" s="1">
        <v>5</v>
      </c>
      <c r="I1487" s="1">
        <v>7</v>
      </c>
      <c r="J1487" s="1">
        <v>24</v>
      </c>
      <c r="K1487" s="1" t="str">
        <f>TEXT(BBDD_Usiarios_Netflix[[#This Row],[Fecha Suscripción]],"dddd")</f>
        <v>domingo</v>
      </c>
      <c r="L1487" s="1">
        <f>DATEVALUE(_xlfn.CONCAT(BBDD_Usiarios_Netflix[[#This Row],[Día Último Pago]],"/",BBDD_Usiarios_Netflix[[#This Row],[Mes Último Pago]],"/",BBDD_Usiarios_Netflix[[#This Row],[Año Último Pago]]))</f>
        <v>45478</v>
      </c>
      <c r="M1487" s="4">
        <f>DATEDIF(BBDD_Usiarios_Netflix[[#This Row],[Fecha Suscripción]],BBDD_Usiarios_Netflix[[#This Row],[Fecha Último Pago]],"M")+1</f>
        <v>9</v>
      </c>
      <c r="N1487" s="4">
        <f>BBDD_Usiarios_Netflix[[#This Row],[Ingresos Mensuales]]*BBDD_Usiarios_Netflix[[#This Row],[Meses contratados]]</f>
        <v>126</v>
      </c>
      <c r="O1487" t="s">
        <v>45</v>
      </c>
      <c r="P1487" t="str">
        <f>IF(BBDD_Usiarios_Netflix[[#This Row],[País]]="","Desconocido",BBDD_Usiarios_Netflix[[#This Row],[País]])</f>
        <v>España</v>
      </c>
      <c r="Q1487">
        <v>31</v>
      </c>
      <c r="R1487" t="s">
        <v>25</v>
      </c>
      <c r="S1487" t="s">
        <v>26</v>
      </c>
      <c r="T1487" t="s">
        <v>27</v>
      </c>
      <c r="U1487">
        <f>IF(IFERROR(VLOOKUP(BBDD_Usiarios_Netflix[[#This Row],[Identificador Usuario]],A1488:$A$5870,1,FALSE),0)&lt;&gt;0,1,0)</f>
        <v>0</v>
      </c>
      <c r="V1487" s="6" t="str">
        <f>IF(BBDD_Usiarios_Netflix[[#This Row],[Duración Plan]]="12 Meses",LEFT(BBDD_Usiarios_Netflix[[#This Row],[Duración Plan]],2),LEFT(BBDD_Usiarios_Netflix[[#This Row],[Duración Plan]],1))</f>
        <v>1</v>
      </c>
      <c r="W14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88" spans="1:23" x14ac:dyDescent="0.25">
      <c r="A1488">
        <v>1487</v>
      </c>
      <c r="B1488" t="s">
        <v>23</v>
      </c>
      <c r="C1488">
        <v>10</v>
      </c>
      <c r="D1488" s="3">
        <v>3</v>
      </c>
      <c r="E1488" s="3">
        <v>10</v>
      </c>
      <c r="F1488">
        <v>23</v>
      </c>
      <c r="G1488" s="1">
        <f>DATEVALUE(_xlfn.CONCAT(BBDD_Usiarios_Netflix[[#This Row],[Día Suscripción]],"/",BBDD_Usiarios_Netflix[[#This Row],[Mes Suscripción]],"/",BBDD_Usiarios_Netflix[[#This Row],[Año Suscripción]]))</f>
        <v>45202</v>
      </c>
      <c r="H1488" s="1">
        <v>5</v>
      </c>
      <c r="I1488" s="1">
        <v>7</v>
      </c>
      <c r="J1488" s="1">
        <v>24</v>
      </c>
      <c r="K1488" s="1" t="str">
        <f>TEXT(BBDD_Usiarios_Netflix[[#This Row],[Fecha Suscripción]],"dddd")</f>
        <v>martes</v>
      </c>
      <c r="L1488" s="1">
        <f>DATEVALUE(_xlfn.CONCAT(BBDD_Usiarios_Netflix[[#This Row],[Día Último Pago]],"/",BBDD_Usiarios_Netflix[[#This Row],[Mes Último Pago]],"/",BBDD_Usiarios_Netflix[[#This Row],[Año Último Pago]]))</f>
        <v>45478</v>
      </c>
      <c r="M1488" s="4">
        <f>DATEDIF(BBDD_Usiarios_Netflix[[#This Row],[Fecha Suscripción]],BBDD_Usiarios_Netflix[[#This Row],[Fecha Último Pago]],"M")+1</f>
        <v>10</v>
      </c>
      <c r="N1488" s="4">
        <f>BBDD_Usiarios_Netflix[[#This Row],[Ingresos Mensuales]]*BBDD_Usiarios_Netflix[[#This Row],[Meses contratados]]</f>
        <v>100</v>
      </c>
      <c r="O1488" t="s">
        <v>37</v>
      </c>
      <c r="P1488" t="str">
        <f>IF(BBDD_Usiarios_Netflix[[#This Row],[País]]="","Desconocido",BBDD_Usiarios_Netflix[[#This Row],[País]])</f>
        <v>Brasil</v>
      </c>
      <c r="Q1488">
        <v>29</v>
      </c>
      <c r="R1488" t="s">
        <v>25</v>
      </c>
      <c r="S1488" t="s">
        <v>26</v>
      </c>
      <c r="T1488" t="s">
        <v>41</v>
      </c>
      <c r="U1488">
        <f>IF(IFERROR(VLOOKUP(BBDD_Usiarios_Netflix[[#This Row],[Identificador Usuario]],A1489:$A$5870,1,FALSE),0)&lt;&gt;0,1,0)</f>
        <v>0</v>
      </c>
      <c r="V1488" s="6" t="str">
        <f>IF(BBDD_Usiarios_Netflix[[#This Row],[Duración Plan]]="12 Meses",LEFT(BBDD_Usiarios_Netflix[[#This Row],[Duración Plan]],2),LEFT(BBDD_Usiarios_Netflix[[#This Row],[Duración Plan]],1))</f>
        <v>12</v>
      </c>
      <c r="W14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89" spans="1:23" x14ac:dyDescent="0.25">
      <c r="A1489">
        <v>1488</v>
      </c>
      <c r="B1489" t="s">
        <v>32</v>
      </c>
      <c r="C1489">
        <v>12</v>
      </c>
      <c r="D1489" s="3">
        <v>25</v>
      </c>
      <c r="E1489" s="3">
        <v>9</v>
      </c>
      <c r="F1489">
        <v>23</v>
      </c>
      <c r="G1489" s="1">
        <f>DATEVALUE(_xlfn.CONCAT(BBDD_Usiarios_Netflix[[#This Row],[Día Suscripción]],"/",BBDD_Usiarios_Netflix[[#This Row],[Mes Suscripción]],"/",BBDD_Usiarios_Netflix[[#This Row],[Año Suscripción]]))</f>
        <v>45194</v>
      </c>
      <c r="H1489" s="1">
        <v>5</v>
      </c>
      <c r="I1489" s="1">
        <v>7</v>
      </c>
      <c r="J1489" s="1">
        <v>24</v>
      </c>
      <c r="K1489" s="1" t="str">
        <f>TEXT(BBDD_Usiarios_Netflix[[#This Row],[Fecha Suscripción]],"dddd")</f>
        <v>lunes</v>
      </c>
      <c r="L1489" s="1">
        <f>DATEVALUE(_xlfn.CONCAT(BBDD_Usiarios_Netflix[[#This Row],[Día Último Pago]],"/",BBDD_Usiarios_Netflix[[#This Row],[Mes Último Pago]],"/",BBDD_Usiarios_Netflix[[#This Row],[Año Último Pago]]))</f>
        <v>45478</v>
      </c>
      <c r="M1489" s="4">
        <f>DATEDIF(BBDD_Usiarios_Netflix[[#This Row],[Fecha Suscripción]],BBDD_Usiarios_Netflix[[#This Row],[Fecha Último Pago]],"M")+1</f>
        <v>10</v>
      </c>
      <c r="N1489" s="4">
        <f>BBDD_Usiarios_Netflix[[#This Row],[Ingresos Mensuales]]*BBDD_Usiarios_Netflix[[#This Row],[Meses contratados]]</f>
        <v>120</v>
      </c>
      <c r="O1489" t="s">
        <v>42</v>
      </c>
      <c r="P1489" t="str">
        <f>IF(BBDD_Usiarios_Netflix[[#This Row],[País]]="","Desconocido",BBDD_Usiarios_Netflix[[#This Row],[País]])</f>
        <v>Reino Unido</v>
      </c>
      <c r="Q1489">
        <v>51</v>
      </c>
      <c r="R1489" t="s">
        <v>30</v>
      </c>
      <c r="S1489" t="s">
        <v>34</v>
      </c>
      <c r="T1489" t="s">
        <v>38</v>
      </c>
      <c r="U1489">
        <f>IF(IFERROR(VLOOKUP(BBDD_Usiarios_Netflix[[#This Row],[Identificador Usuario]],A1490:$A$5870,1,FALSE),0)&lt;&gt;0,1,0)</f>
        <v>0</v>
      </c>
      <c r="V1489" s="6" t="str">
        <f>IF(BBDD_Usiarios_Netflix[[#This Row],[Duración Plan]]="12 Meses",LEFT(BBDD_Usiarios_Netflix[[#This Row],[Duración Plan]],2),LEFT(BBDD_Usiarios_Netflix[[#This Row],[Duración Plan]],1))</f>
        <v>3</v>
      </c>
      <c r="W14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90" spans="1:23" x14ac:dyDescent="0.25">
      <c r="A1490">
        <v>1489</v>
      </c>
      <c r="B1490" t="s">
        <v>32</v>
      </c>
      <c r="C1490">
        <v>12</v>
      </c>
      <c r="D1490" s="3">
        <v>16</v>
      </c>
      <c r="E1490" s="3">
        <v>9</v>
      </c>
      <c r="F1490">
        <v>23</v>
      </c>
      <c r="G1490" s="1">
        <f>DATEVALUE(_xlfn.CONCAT(BBDD_Usiarios_Netflix[[#This Row],[Día Suscripción]],"/",BBDD_Usiarios_Netflix[[#This Row],[Mes Suscripción]],"/",BBDD_Usiarios_Netflix[[#This Row],[Año Suscripción]]))</f>
        <v>45185</v>
      </c>
      <c r="H1490" s="1">
        <v>3</v>
      </c>
      <c r="I1490" s="1">
        <v>7</v>
      </c>
      <c r="J1490" s="1">
        <v>24</v>
      </c>
      <c r="K1490" s="1" t="str">
        <f>TEXT(BBDD_Usiarios_Netflix[[#This Row],[Fecha Suscripción]],"dddd")</f>
        <v>sábado</v>
      </c>
      <c r="L1490" s="1">
        <f>DATEVALUE(_xlfn.CONCAT(BBDD_Usiarios_Netflix[[#This Row],[Día Último Pago]],"/",BBDD_Usiarios_Netflix[[#This Row],[Mes Último Pago]],"/",BBDD_Usiarios_Netflix[[#This Row],[Año Último Pago]]))</f>
        <v>45476</v>
      </c>
      <c r="M1490" s="4">
        <f>DATEDIF(BBDD_Usiarios_Netflix[[#This Row],[Fecha Suscripción]],BBDD_Usiarios_Netflix[[#This Row],[Fecha Último Pago]],"M")+1</f>
        <v>10</v>
      </c>
      <c r="N1490" s="4">
        <f>BBDD_Usiarios_Netflix[[#This Row],[Ingresos Mensuales]]*BBDD_Usiarios_Netflix[[#This Row],[Meses contratados]]</f>
        <v>120</v>
      </c>
      <c r="O1490" t="s">
        <v>44</v>
      </c>
      <c r="P1490" t="str">
        <f>IF(BBDD_Usiarios_Netflix[[#This Row],[País]]="","Desconocido",BBDD_Usiarios_Netflix[[#This Row],[País]])</f>
        <v>Desconocido</v>
      </c>
      <c r="Q1490">
        <v>33</v>
      </c>
      <c r="R1490" t="s">
        <v>25</v>
      </c>
      <c r="S1490" t="s">
        <v>34</v>
      </c>
      <c r="T1490" t="s">
        <v>35</v>
      </c>
      <c r="U1490">
        <f>IF(IFERROR(VLOOKUP(BBDD_Usiarios_Netflix[[#This Row],[Identificador Usuario]],A1491:$A$5870,1,FALSE),0)&lt;&gt;0,1,0)</f>
        <v>0</v>
      </c>
      <c r="V1490" s="6" t="str">
        <f>IF(BBDD_Usiarios_Netflix[[#This Row],[Duración Plan]]="12 Meses",LEFT(BBDD_Usiarios_Netflix[[#This Row],[Duración Plan]],2),LEFT(BBDD_Usiarios_Netflix[[#This Row],[Duración Plan]],1))</f>
        <v>6</v>
      </c>
      <c r="W14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91" spans="1:23" x14ac:dyDescent="0.25">
      <c r="A1491">
        <v>1490</v>
      </c>
      <c r="B1491" t="s">
        <v>23</v>
      </c>
      <c r="C1491">
        <v>10</v>
      </c>
      <c r="D1491" s="3">
        <v>14</v>
      </c>
      <c r="E1491" s="3">
        <v>9</v>
      </c>
      <c r="F1491">
        <v>23</v>
      </c>
      <c r="G1491" s="1">
        <f>DATEVALUE(_xlfn.CONCAT(BBDD_Usiarios_Netflix[[#This Row],[Día Suscripción]],"/",BBDD_Usiarios_Netflix[[#This Row],[Mes Suscripción]],"/",BBDD_Usiarios_Netflix[[#This Row],[Año Suscripción]]))</f>
        <v>45183</v>
      </c>
      <c r="H1491" s="1">
        <v>4</v>
      </c>
      <c r="I1491" s="1">
        <v>7</v>
      </c>
      <c r="J1491" s="1">
        <v>24</v>
      </c>
      <c r="K1491" s="1" t="str">
        <f>TEXT(BBDD_Usiarios_Netflix[[#This Row],[Fecha Suscripción]],"dddd")</f>
        <v>jueves</v>
      </c>
      <c r="L1491" s="1">
        <f>DATEVALUE(_xlfn.CONCAT(BBDD_Usiarios_Netflix[[#This Row],[Día Último Pago]],"/",BBDD_Usiarios_Netflix[[#This Row],[Mes Último Pago]],"/",BBDD_Usiarios_Netflix[[#This Row],[Año Último Pago]]))</f>
        <v>45477</v>
      </c>
      <c r="M1491" s="4">
        <f>DATEDIF(BBDD_Usiarios_Netflix[[#This Row],[Fecha Suscripción]],BBDD_Usiarios_Netflix[[#This Row],[Fecha Último Pago]],"M")+1</f>
        <v>10</v>
      </c>
      <c r="N1491" s="4">
        <f>BBDD_Usiarios_Netflix[[#This Row],[Ingresos Mensuales]]*BBDD_Usiarios_Netflix[[#This Row],[Meses contratados]]</f>
        <v>100</v>
      </c>
      <c r="O1491" t="s">
        <v>29</v>
      </c>
      <c r="P1491" t="str">
        <f>IF(BBDD_Usiarios_Netflix[[#This Row],[País]]="","Desconocido",BBDD_Usiarios_Netflix[[#This Row],[País]])</f>
        <v>EEUU</v>
      </c>
      <c r="Q1491">
        <v>31</v>
      </c>
      <c r="R1491" t="s">
        <v>25</v>
      </c>
      <c r="S1491" t="s">
        <v>26</v>
      </c>
      <c r="T1491" t="s">
        <v>35</v>
      </c>
      <c r="U1491">
        <f>IF(IFERROR(VLOOKUP(BBDD_Usiarios_Netflix[[#This Row],[Identificador Usuario]],A1492:$A$5870,1,FALSE),0)&lt;&gt;0,1,0)</f>
        <v>0</v>
      </c>
      <c r="V1491" s="6" t="str">
        <f>IF(BBDD_Usiarios_Netflix[[#This Row],[Duración Plan]]="12 Meses",LEFT(BBDD_Usiarios_Netflix[[#This Row],[Duración Plan]],2),LEFT(BBDD_Usiarios_Netflix[[#This Row],[Duración Plan]],1))</f>
        <v>6</v>
      </c>
      <c r="W14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492" spans="1:23" x14ac:dyDescent="0.25">
      <c r="A1492">
        <v>1491</v>
      </c>
      <c r="B1492" t="s">
        <v>28</v>
      </c>
      <c r="C1492">
        <v>14</v>
      </c>
      <c r="D1492" s="3">
        <v>11</v>
      </c>
      <c r="E1492" s="3">
        <v>9</v>
      </c>
      <c r="F1492">
        <v>23</v>
      </c>
      <c r="G1492" s="1">
        <f>DATEVALUE(_xlfn.CONCAT(BBDD_Usiarios_Netflix[[#This Row],[Día Suscripción]],"/",BBDD_Usiarios_Netflix[[#This Row],[Mes Suscripción]],"/",BBDD_Usiarios_Netflix[[#This Row],[Año Suscripción]]))</f>
        <v>45180</v>
      </c>
      <c r="H1492" s="1">
        <v>5</v>
      </c>
      <c r="I1492" s="1">
        <v>7</v>
      </c>
      <c r="J1492" s="1">
        <v>24</v>
      </c>
      <c r="K1492" s="1" t="str">
        <f>TEXT(BBDD_Usiarios_Netflix[[#This Row],[Fecha Suscripción]],"dddd")</f>
        <v>lunes</v>
      </c>
      <c r="L1492" s="1">
        <f>DATEVALUE(_xlfn.CONCAT(BBDD_Usiarios_Netflix[[#This Row],[Día Último Pago]],"/",BBDD_Usiarios_Netflix[[#This Row],[Mes Último Pago]],"/",BBDD_Usiarios_Netflix[[#This Row],[Año Último Pago]]))</f>
        <v>45478</v>
      </c>
      <c r="M1492" s="4">
        <f>DATEDIF(BBDD_Usiarios_Netflix[[#This Row],[Fecha Suscripción]],BBDD_Usiarios_Netflix[[#This Row],[Fecha Último Pago]],"M")+1</f>
        <v>10</v>
      </c>
      <c r="N1492" s="4">
        <f>BBDD_Usiarios_Netflix[[#This Row],[Ingresos Mensuales]]*BBDD_Usiarios_Netflix[[#This Row],[Meses contratados]]</f>
        <v>140</v>
      </c>
      <c r="O1492" t="s">
        <v>33</v>
      </c>
      <c r="P1492" t="str">
        <f>IF(BBDD_Usiarios_Netflix[[#This Row],[País]]="","Desconocido",BBDD_Usiarios_Netflix[[#This Row],[País]])</f>
        <v>Francia</v>
      </c>
      <c r="Q1492">
        <v>42</v>
      </c>
      <c r="R1492" t="s">
        <v>30</v>
      </c>
      <c r="S1492" t="s">
        <v>36</v>
      </c>
      <c r="T1492" t="s">
        <v>27</v>
      </c>
      <c r="U1492">
        <f>IF(IFERROR(VLOOKUP(BBDD_Usiarios_Netflix[[#This Row],[Identificador Usuario]],A1493:$A$5870,1,FALSE),0)&lt;&gt;0,1,0)</f>
        <v>0</v>
      </c>
      <c r="V1492" s="6" t="str">
        <f>IF(BBDD_Usiarios_Netflix[[#This Row],[Duración Plan]]="12 Meses",LEFT(BBDD_Usiarios_Netflix[[#This Row],[Duración Plan]],2),LEFT(BBDD_Usiarios_Netflix[[#This Row],[Duración Plan]],1))</f>
        <v>1</v>
      </c>
      <c r="W14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93" spans="1:23" x14ac:dyDescent="0.25">
      <c r="A1493">
        <v>1492</v>
      </c>
      <c r="B1493" t="s">
        <v>23</v>
      </c>
      <c r="C1493">
        <v>10</v>
      </c>
      <c r="D1493" s="3">
        <v>9</v>
      </c>
      <c r="E1493" s="3">
        <v>9</v>
      </c>
      <c r="F1493">
        <v>23</v>
      </c>
      <c r="G1493" s="1">
        <f>DATEVALUE(_xlfn.CONCAT(BBDD_Usiarios_Netflix[[#This Row],[Día Suscripción]],"/",BBDD_Usiarios_Netflix[[#This Row],[Mes Suscripción]],"/",BBDD_Usiarios_Netflix[[#This Row],[Año Suscripción]]))</f>
        <v>45178</v>
      </c>
      <c r="H1493" s="1">
        <v>5</v>
      </c>
      <c r="I1493" s="1">
        <v>7</v>
      </c>
      <c r="J1493" s="1">
        <v>24</v>
      </c>
      <c r="K1493" s="1" t="str">
        <f>TEXT(BBDD_Usiarios_Netflix[[#This Row],[Fecha Suscripción]],"dddd")</f>
        <v>sábado</v>
      </c>
      <c r="L1493" s="1">
        <f>DATEVALUE(_xlfn.CONCAT(BBDD_Usiarios_Netflix[[#This Row],[Día Último Pago]],"/",BBDD_Usiarios_Netflix[[#This Row],[Mes Último Pago]],"/",BBDD_Usiarios_Netflix[[#This Row],[Año Último Pago]]))</f>
        <v>45478</v>
      </c>
      <c r="M1493" s="4">
        <f>DATEDIF(BBDD_Usiarios_Netflix[[#This Row],[Fecha Suscripción]],BBDD_Usiarios_Netflix[[#This Row],[Fecha Último Pago]],"M")+1</f>
        <v>10</v>
      </c>
      <c r="N1493" s="4">
        <f>BBDD_Usiarios_Netflix[[#This Row],[Ingresos Mensuales]]*BBDD_Usiarios_Netflix[[#This Row],[Meses contratados]]</f>
        <v>100</v>
      </c>
      <c r="O1493" t="s">
        <v>45</v>
      </c>
      <c r="P1493" t="str">
        <f>IF(BBDD_Usiarios_Netflix[[#This Row],[País]]="","Desconocido",BBDD_Usiarios_Netflix[[#This Row],[País]])</f>
        <v>España</v>
      </c>
      <c r="Q1493">
        <v>48</v>
      </c>
      <c r="R1493" t="s">
        <v>30</v>
      </c>
      <c r="S1493" t="s">
        <v>36</v>
      </c>
      <c r="T1493" t="s">
        <v>27</v>
      </c>
      <c r="U1493">
        <f>IF(IFERROR(VLOOKUP(BBDD_Usiarios_Netflix[[#This Row],[Identificador Usuario]],A1494:$A$5870,1,FALSE),0)&lt;&gt;0,1,0)</f>
        <v>0</v>
      </c>
      <c r="V1493" s="6" t="str">
        <f>IF(BBDD_Usiarios_Netflix[[#This Row],[Duración Plan]]="12 Meses",LEFT(BBDD_Usiarios_Netflix[[#This Row],[Duración Plan]],2),LEFT(BBDD_Usiarios_Netflix[[#This Row],[Duración Plan]],1))</f>
        <v>1</v>
      </c>
      <c r="W14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94" spans="1:23" x14ac:dyDescent="0.25">
      <c r="A1494">
        <v>1493</v>
      </c>
      <c r="B1494" t="s">
        <v>32</v>
      </c>
      <c r="C1494">
        <v>12</v>
      </c>
      <c r="D1494" s="3">
        <v>12</v>
      </c>
      <c r="E1494" s="3">
        <v>8</v>
      </c>
      <c r="F1494">
        <v>23</v>
      </c>
      <c r="G1494" s="1">
        <f>DATEVALUE(_xlfn.CONCAT(BBDD_Usiarios_Netflix[[#This Row],[Día Suscripción]],"/",BBDD_Usiarios_Netflix[[#This Row],[Mes Suscripción]],"/",BBDD_Usiarios_Netflix[[#This Row],[Año Suscripción]]))</f>
        <v>45150</v>
      </c>
      <c r="H1494" s="1">
        <v>3</v>
      </c>
      <c r="I1494" s="1">
        <v>7</v>
      </c>
      <c r="J1494" s="1">
        <v>24</v>
      </c>
      <c r="K1494" s="1" t="str">
        <f>TEXT(BBDD_Usiarios_Netflix[[#This Row],[Fecha Suscripción]],"dddd")</f>
        <v>sábado</v>
      </c>
      <c r="L1494" s="1">
        <f>DATEVALUE(_xlfn.CONCAT(BBDD_Usiarios_Netflix[[#This Row],[Día Último Pago]],"/",BBDD_Usiarios_Netflix[[#This Row],[Mes Último Pago]],"/",BBDD_Usiarios_Netflix[[#This Row],[Año Último Pago]]))</f>
        <v>45476</v>
      </c>
      <c r="M1494" s="4">
        <f>DATEDIF(BBDD_Usiarios_Netflix[[#This Row],[Fecha Suscripción]],BBDD_Usiarios_Netflix[[#This Row],[Fecha Último Pago]],"M")+1</f>
        <v>11</v>
      </c>
      <c r="N1494" s="4">
        <f>BBDD_Usiarios_Netflix[[#This Row],[Ingresos Mensuales]]*BBDD_Usiarios_Netflix[[#This Row],[Meses contratados]]</f>
        <v>132</v>
      </c>
      <c r="O1494" t="s">
        <v>37</v>
      </c>
      <c r="P1494" t="str">
        <f>IF(BBDD_Usiarios_Netflix[[#This Row],[País]]="","Desconocido",BBDD_Usiarios_Netflix[[#This Row],[País]])</f>
        <v>Brasil</v>
      </c>
      <c r="Q1494">
        <v>37</v>
      </c>
      <c r="R1494" t="s">
        <v>30</v>
      </c>
      <c r="S1494" t="s">
        <v>36</v>
      </c>
      <c r="T1494" t="s">
        <v>41</v>
      </c>
      <c r="U1494">
        <f>IF(IFERROR(VLOOKUP(BBDD_Usiarios_Netflix[[#This Row],[Identificador Usuario]],A1495:$A$5870,1,FALSE),0)&lt;&gt;0,1,0)</f>
        <v>0</v>
      </c>
      <c r="V1494" s="6" t="str">
        <f>IF(BBDD_Usiarios_Netflix[[#This Row],[Duración Plan]]="12 Meses",LEFT(BBDD_Usiarios_Netflix[[#This Row],[Duración Plan]],2),LEFT(BBDD_Usiarios_Netflix[[#This Row],[Duración Plan]],1))</f>
        <v>12</v>
      </c>
      <c r="W14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95" spans="1:23" x14ac:dyDescent="0.25">
      <c r="A1495">
        <v>1494</v>
      </c>
      <c r="B1495" t="s">
        <v>28</v>
      </c>
      <c r="C1495">
        <v>14</v>
      </c>
      <c r="D1495" s="3">
        <v>4</v>
      </c>
      <c r="E1495" s="3">
        <v>8</v>
      </c>
      <c r="F1495">
        <v>23</v>
      </c>
      <c r="G1495" s="1">
        <f>DATEVALUE(_xlfn.CONCAT(BBDD_Usiarios_Netflix[[#This Row],[Día Suscripción]],"/",BBDD_Usiarios_Netflix[[#This Row],[Mes Suscripción]],"/",BBDD_Usiarios_Netflix[[#This Row],[Año Suscripción]]))</f>
        <v>45142</v>
      </c>
      <c r="H1495" s="1">
        <v>6</v>
      </c>
      <c r="I1495" s="1">
        <v>7</v>
      </c>
      <c r="J1495" s="1">
        <v>24</v>
      </c>
      <c r="K1495" s="1" t="str">
        <f>TEXT(BBDD_Usiarios_Netflix[[#This Row],[Fecha Suscripción]],"dddd")</f>
        <v>viernes</v>
      </c>
      <c r="L1495" s="1">
        <f>DATEVALUE(_xlfn.CONCAT(BBDD_Usiarios_Netflix[[#This Row],[Día Último Pago]],"/",BBDD_Usiarios_Netflix[[#This Row],[Mes Último Pago]],"/",BBDD_Usiarios_Netflix[[#This Row],[Año Último Pago]]))</f>
        <v>45479</v>
      </c>
      <c r="M1495" s="4">
        <f>DATEDIF(BBDD_Usiarios_Netflix[[#This Row],[Fecha Suscripción]],BBDD_Usiarios_Netflix[[#This Row],[Fecha Último Pago]],"M")+1</f>
        <v>12</v>
      </c>
      <c r="N1495" s="4">
        <f>BBDD_Usiarios_Netflix[[#This Row],[Ingresos Mensuales]]*BBDD_Usiarios_Netflix[[#This Row],[Meses contratados]]</f>
        <v>168</v>
      </c>
      <c r="O1495" t="s">
        <v>29</v>
      </c>
      <c r="P1495" t="str">
        <f>IF(BBDD_Usiarios_Netflix[[#This Row],[País]]="","Desconocido",BBDD_Usiarios_Netflix[[#This Row],[País]])</f>
        <v>EEUU</v>
      </c>
      <c r="Q1495">
        <v>51</v>
      </c>
      <c r="R1495" t="s">
        <v>30</v>
      </c>
      <c r="S1495" t="s">
        <v>26</v>
      </c>
      <c r="T1495" t="s">
        <v>38</v>
      </c>
      <c r="U1495">
        <f>IF(IFERROR(VLOOKUP(BBDD_Usiarios_Netflix[[#This Row],[Identificador Usuario]],A1496:$A$5870,1,FALSE),0)&lt;&gt;0,1,0)</f>
        <v>0</v>
      </c>
      <c r="V1495" s="6" t="str">
        <f>IF(BBDD_Usiarios_Netflix[[#This Row],[Duración Plan]]="12 Meses",LEFT(BBDD_Usiarios_Netflix[[#This Row],[Duración Plan]],2),LEFT(BBDD_Usiarios_Netflix[[#This Row],[Duración Plan]],1))</f>
        <v>3</v>
      </c>
      <c r="W14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96" spans="1:23" x14ac:dyDescent="0.25">
      <c r="A1496">
        <v>1495</v>
      </c>
      <c r="B1496" t="s">
        <v>23</v>
      </c>
      <c r="C1496">
        <v>10</v>
      </c>
      <c r="D1496" s="3">
        <v>4</v>
      </c>
      <c r="E1496" s="3">
        <v>8</v>
      </c>
      <c r="F1496">
        <v>23</v>
      </c>
      <c r="G1496" s="1">
        <f>DATEVALUE(_xlfn.CONCAT(BBDD_Usiarios_Netflix[[#This Row],[Día Suscripción]],"/",BBDD_Usiarios_Netflix[[#This Row],[Mes Suscripción]],"/",BBDD_Usiarios_Netflix[[#This Row],[Año Suscripción]]))</f>
        <v>45142</v>
      </c>
      <c r="H1496" s="1">
        <v>6</v>
      </c>
      <c r="I1496" s="1">
        <v>7</v>
      </c>
      <c r="J1496" s="1">
        <v>24</v>
      </c>
      <c r="K1496" s="1" t="str">
        <f>TEXT(BBDD_Usiarios_Netflix[[#This Row],[Fecha Suscripción]],"dddd")</f>
        <v>viernes</v>
      </c>
      <c r="L1496" s="1">
        <f>DATEVALUE(_xlfn.CONCAT(BBDD_Usiarios_Netflix[[#This Row],[Día Último Pago]],"/",BBDD_Usiarios_Netflix[[#This Row],[Mes Último Pago]],"/",BBDD_Usiarios_Netflix[[#This Row],[Año Último Pago]]))</f>
        <v>45479</v>
      </c>
      <c r="M1496" s="4">
        <f>DATEDIF(BBDD_Usiarios_Netflix[[#This Row],[Fecha Suscripción]],BBDD_Usiarios_Netflix[[#This Row],[Fecha Último Pago]],"M")+1</f>
        <v>12</v>
      </c>
      <c r="N1496" s="4">
        <f>BBDD_Usiarios_Netflix[[#This Row],[Ingresos Mensuales]]*BBDD_Usiarios_Netflix[[#This Row],[Meses contratados]]</f>
        <v>120</v>
      </c>
      <c r="O1496" t="s">
        <v>33</v>
      </c>
      <c r="P1496" t="str">
        <f>IF(BBDD_Usiarios_Netflix[[#This Row],[País]]="","Desconocido",BBDD_Usiarios_Netflix[[#This Row],[País]])</f>
        <v>Francia</v>
      </c>
      <c r="Q1496">
        <v>29</v>
      </c>
      <c r="R1496" t="s">
        <v>30</v>
      </c>
      <c r="S1496" t="s">
        <v>31</v>
      </c>
      <c r="T1496" t="s">
        <v>27</v>
      </c>
      <c r="U1496">
        <f>IF(IFERROR(VLOOKUP(BBDD_Usiarios_Netflix[[#This Row],[Identificador Usuario]],A1497:$A$5870,1,FALSE),0)&lt;&gt;0,1,0)</f>
        <v>0</v>
      </c>
      <c r="V1496" s="6" t="str">
        <f>IF(BBDD_Usiarios_Netflix[[#This Row],[Duración Plan]]="12 Meses",LEFT(BBDD_Usiarios_Netflix[[#This Row],[Duración Plan]],2),LEFT(BBDD_Usiarios_Netflix[[#This Row],[Duración Plan]],1))</f>
        <v>1</v>
      </c>
      <c r="W14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497" spans="1:23" x14ac:dyDescent="0.25">
      <c r="A1497">
        <v>1496</v>
      </c>
      <c r="B1497" t="s">
        <v>23</v>
      </c>
      <c r="C1497">
        <v>10</v>
      </c>
      <c r="D1497" s="3">
        <v>31</v>
      </c>
      <c r="E1497" s="3">
        <v>7</v>
      </c>
      <c r="F1497">
        <v>23</v>
      </c>
      <c r="G1497" s="1">
        <f>DATEVALUE(_xlfn.CONCAT(BBDD_Usiarios_Netflix[[#This Row],[Día Suscripción]],"/",BBDD_Usiarios_Netflix[[#This Row],[Mes Suscripción]],"/",BBDD_Usiarios_Netflix[[#This Row],[Año Suscripción]]))</f>
        <v>45138</v>
      </c>
      <c r="H1497" s="1">
        <v>5</v>
      </c>
      <c r="I1497" s="1">
        <v>7</v>
      </c>
      <c r="J1497" s="1">
        <v>24</v>
      </c>
      <c r="K1497" s="1" t="str">
        <f>TEXT(BBDD_Usiarios_Netflix[[#This Row],[Fecha Suscripción]],"dddd")</f>
        <v>lunes</v>
      </c>
      <c r="L1497" s="1">
        <f>DATEVALUE(_xlfn.CONCAT(BBDD_Usiarios_Netflix[[#This Row],[Día Último Pago]],"/",BBDD_Usiarios_Netflix[[#This Row],[Mes Último Pago]],"/",BBDD_Usiarios_Netflix[[#This Row],[Año Último Pago]]))</f>
        <v>45478</v>
      </c>
      <c r="M1497" s="4">
        <f>DATEDIF(BBDD_Usiarios_Netflix[[#This Row],[Fecha Suscripción]],BBDD_Usiarios_Netflix[[#This Row],[Fecha Último Pago]],"M")+1</f>
        <v>12</v>
      </c>
      <c r="N1497" s="4">
        <f>BBDD_Usiarios_Netflix[[#This Row],[Ingresos Mensuales]]*BBDD_Usiarios_Netflix[[#This Row],[Meses contratados]]</f>
        <v>120</v>
      </c>
      <c r="O1497" t="s">
        <v>40</v>
      </c>
      <c r="P1497" t="str">
        <f>IF(BBDD_Usiarios_Netflix[[#This Row],[País]]="","Desconocido",BBDD_Usiarios_Netflix[[#This Row],[País]])</f>
        <v>Italia</v>
      </c>
      <c r="Q1497">
        <v>46</v>
      </c>
      <c r="R1497" t="s">
        <v>25</v>
      </c>
      <c r="S1497" t="s">
        <v>31</v>
      </c>
      <c r="T1497" t="s">
        <v>38</v>
      </c>
      <c r="U1497">
        <f>IF(IFERROR(VLOOKUP(BBDD_Usiarios_Netflix[[#This Row],[Identificador Usuario]],A1498:$A$5870,1,FALSE),0)&lt;&gt;0,1,0)</f>
        <v>0</v>
      </c>
      <c r="V1497" s="6" t="str">
        <f>IF(BBDD_Usiarios_Netflix[[#This Row],[Duración Plan]]="12 Meses",LEFT(BBDD_Usiarios_Netflix[[#This Row],[Duración Plan]],2),LEFT(BBDD_Usiarios_Netflix[[#This Row],[Duración Plan]],1))</f>
        <v>3</v>
      </c>
      <c r="W14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498" spans="1:23" x14ac:dyDescent="0.25">
      <c r="A1498">
        <v>1497</v>
      </c>
      <c r="B1498" t="s">
        <v>23</v>
      </c>
      <c r="C1498">
        <v>10</v>
      </c>
      <c r="D1498" s="3">
        <v>29</v>
      </c>
      <c r="E1498" s="3">
        <v>7</v>
      </c>
      <c r="F1498">
        <v>23</v>
      </c>
      <c r="G1498" s="1">
        <f>DATEVALUE(_xlfn.CONCAT(BBDD_Usiarios_Netflix[[#This Row],[Día Suscripción]],"/",BBDD_Usiarios_Netflix[[#This Row],[Mes Suscripción]],"/",BBDD_Usiarios_Netflix[[#This Row],[Año Suscripción]]))</f>
        <v>45136</v>
      </c>
      <c r="H1498" s="1">
        <v>3</v>
      </c>
      <c r="I1498" s="1">
        <v>7</v>
      </c>
      <c r="J1498" s="1">
        <v>24</v>
      </c>
      <c r="K1498" s="1" t="str">
        <f>TEXT(BBDD_Usiarios_Netflix[[#This Row],[Fecha Suscripción]],"dddd")</f>
        <v>sábado</v>
      </c>
      <c r="L1498" s="1">
        <f>DATEVALUE(_xlfn.CONCAT(BBDD_Usiarios_Netflix[[#This Row],[Día Último Pago]],"/",BBDD_Usiarios_Netflix[[#This Row],[Mes Último Pago]],"/",BBDD_Usiarios_Netflix[[#This Row],[Año Último Pago]]))</f>
        <v>45476</v>
      </c>
      <c r="M1498" s="4">
        <f>DATEDIF(BBDD_Usiarios_Netflix[[#This Row],[Fecha Suscripción]],BBDD_Usiarios_Netflix[[#This Row],[Fecha Último Pago]],"M")+1</f>
        <v>12</v>
      </c>
      <c r="N1498" s="4">
        <f>BBDD_Usiarios_Netflix[[#This Row],[Ingresos Mensuales]]*BBDD_Usiarios_Netflix[[#This Row],[Meses contratados]]</f>
        <v>120</v>
      </c>
      <c r="O1498" t="s">
        <v>40</v>
      </c>
      <c r="P1498" t="str">
        <f>IF(BBDD_Usiarios_Netflix[[#This Row],[País]]="","Desconocido",BBDD_Usiarios_Netflix[[#This Row],[País]])</f>
        <v>Italia</v>
      </c>
      <c r="Q1498">
        <v>35</v>
      </c>
      <c r="R1498" t="s">
        <v>25</v>
      </c>
      <c r="S1498" t="s">
        <v>34</v>
      </c>
      <c r="T1498" t="s">
        <v>41</v>
      </c>
      <c r="U1498">
        <f>IF(IFERROR(VLOOKUP(BBDD_Usiarios_Netflix[[#This Row],[Identificador Usuario]],A1499:$A$5870,1,FALSE),0)&lt;&gt;0,1,0)</f>
        <v>0</v>
      </c>
      <c r="V1498" s="6" t="str">
        <f>IF(BBDD_Usiarios_Netflix[[#This Row],[Duración Plan]]="12 Meses",LEFT(BBDD_Usiarios_Netflix[[#This Row],[Duración Plan]],2),LEFT(BBDD_Usiarios_Netflix[[#This Row],[Duración Plan]],1))</f>
        <v>12</v>
      </c>
      <c r="W14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499" spans="1:23" x14ac:dyDescent="0.25">
      <c r="A1499">
        <v>1498</v>
      </c>
      <c r="B1499" t="s">
        <v>32</v>
      </c>
      <c r="C1499">
        <v>12</v>
      </c>
      <c r="D1499" s="3">
        <v>14</v>
      </c>
      <c r="E1499" s="3">
        <v>7</v>
      </c>
      <c r="F1499">
        <v>23</v>
      </c>
      <c r="G1499" s="1">
        <f>DATEVALUE(_xlfn.CONCAT(BBDD_Usiarios_Netflix[[#This Row],[Día Suscripción]],"/",BBDD_Usiarios_Netflix[[#This Row],[Mes Suscripción]],"/",BBDD_Usiarios_Netflix[[#This Row],[Año Suscripción]]))</f>
        <v>45121</v>
      </c>
      <c r="H1499" s="1">
        <v>5</v>
      </c>
      <c r="I1499" s="1">
        <v>7</v>
      </c>
      <c r="J1499" s="1">
        <v>24</v>
      </c>
      <c r="K1499" s="1" t="str">
        <f>TEXT(BBDD_Usiarios_Netflix[[#This Row],[Fecha Suscripción]],"dddd")</f>
        <v>viernes</v>
      </c>
      <c r="L1499" s="1">
        <f>DATEVALUE(_xlfn.CONCAT(BBDD_Usiarios_Netflix[[#This Row],[Día Último Pago]],"/",BBDD_Usiarios_Netflix[[#This Row],[Mes Último Pago]],"/",BBDD_Usiarios_Netflix[[#This Row],[Año Último Pago]]))</f>
        <v>45478</v>
      </c>
      <c r="M1499" s="4">
        <f>DATEDIF(BBDD_Usiarios_Netflix[[#This Row],[Fecha Suscripción]],BBDD_Usiarios_Netflix[[#This Row],[Fecha Último Pago]],"M")+1</f>
        <v>12</v>
      </c>
      <c r="N1499" s="4">
        <f>BBDD_Usiarios_Netflix[[#This Row],[Ingresos Mensuales]]*BBDD_Usiarios_Netflix[[#This Row],[Meses contratados]]</f>
        <v>144</v>
      </c>
      <c r="O1499" t="s">
        <v>33</v>
      </c>
      <c r="P1499" t="str">
        <f>IF(BBDD_Usiarios_Netflix[[#This Row],[País]]="","Desconocido",BBDD_Usiarios_Netflix[[#This Row],[País]])</f>
        <v>Francia</v>
      </c>
      <c r="Q1499">
        <v>44</v>
      </c>
      <c r="R1499" t="s">
        <v>30</v>
      </c>
      <c r="S1499" t="s">
        <v>26</v>
      </c>
      <c r="T1499" t="s">
        <v>38</v>
      </c>
      <c r="U1499">
        <f>IF(IFERROR(VLOOKUP(BBDD_Usiarios_Netflix[[#This Row],[Identificador Usuario]],A1500:$A$5870,1,FALSE),0)&lt;&gt;0,1,0)</f>
        <v>0</v>
      </c>
      <c r="V1499" s="6" t="str">
        <f>IF(BBDD_Usiarios_Netflix[[#This Row],[Duración Plan]]="12 Meses",LEFT(BBDD_Usiarios_Netflix[[#This Row],[Duración Plan]],2),LEFT(BBDD_Usiarios_Netflix[[#This Row],[Duración Plan]],1))</f>
        <v>3</v>
      </c>
      <c r="W14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00" spans="1:23" x14ac:dyDescent="0.25">
      <c r="A1500">
        <v>1499</v>
      </c>
      <c r="B1500" t="s">
        <v>28</v>
      </c>
      <c r="C1500">
        <v>14</v>
      </c>
      <c r="D1500" s="3">
        <v>13</v>
      </c>
      <c r="E1500" s="3">
        <v>7</v>
      </c>
      <c r="F1500">
        <v>23</v>
      </c>
      <c r="G1500" s="1">
        <f>DATEVALUE(_xlfn.CONCAT(BBDD_Usiarios_Netflix[[#This Row],[Día Suscripción]],"/",BBDD_Usiarios_Netflix[[#This Row],[Mes Suscripción]],"/",BBDD_Usiarios_Netflix[[#This Row],[Año Suscripción]]))</f>
        <v>45120</v>
      </c>
      <c r="H1500" s="1">
        <v>6</v>
      </c>
      <c r="I1500" s="1">
        <v>7</v>
      </c>
      <c r="J1500" s="1">
        <v>24</v>
      </c>
      <c r="K1500" s="1" t="str">
        <f>TEXT(BBDD_Usiarios_Netflix[[#This Row],[Fecha Suscripción]],"dddd")</f>
        <v>jueves</v>
      </c>
      <c r="L1500" s="1">
        <f>DATEVALUE(_xlfn.CONCAT(BBDD_Usiarios_Netflix[[#This Row],[Día Último Pago]],"/",BBDD_Usiarios_Netflix[[#This Row],[Mes Último Pago]],"/",BBDD_Usiarios_Netflix[[#This Row],[Año Último Pago]]))</f>
        <v>45479</v>
      </c>
      <c r="M1500" s="4">
        <f>DATEDIF(BBDD_Usiarios_Netflix[[#This Row],[Fecha Suscripción]],BBDD_Usiarios_Netflix[[#This Row],[Fecha Último Pago]],"M")+1</f>
        <v>12</v>
      </c>
      <c r="N1500" s="4">
        <f>BBDD_Usiarios_Netflix[[#This Row],[Ingresos Mensuales]]*BBDD_Usiarios_Netflix[[#This Row],[Meses contratados]]</f>
        <v>168</v>
      </c>
      <c r="O1500" t="s">
        <v>39</v>
      </c>
      <c r="P1500" t="str">
        <f>IF(BBDD_Usiarios_Netflix[[#This Row],[País]]="","Desconocido",BBDD_Usiarios_Netflix[[#This Row],[País]])</f>
        <v>Canadá</v>
      </c>
      <c r="Q1500">
        <v>36</v>
      </c>
      <c r="R1500" t="s">
        <v>25</v>
      </c>
      <c r="S1500" t="s">
        <v>34</v>
      </c>
      <c r="T1500" t="s">
        <v>27</v>
      </c>
      <c r="U1500">
        <f>IF(IFERROR(VLOOKUP(BBDD_Usiarios_Netflix[[#This Row],[Identificador Usuario]],A1501:$A$5870,1,FALSE),0)&lt;&gt;0,1,0)</f>
        <v>0</v>
      </c>
      <c r="V1500" s="6" t="str">
        <f>IF(BBDD_Usiarios_Netflix[[#This Row],[Duración Plan]]="12 Meses",LEFT(BBDD_Usiarios_Netflix[[#This Row],[Duración Plan]],2),LEFT(BBDD_Usiarios_Netflix[[#This Row],[Duración Plan]],1))</f>
        <v>1</v>
      </c>
      <c r="W15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01" spans="1:23" x14ac:dyDescent="0.25">
      <c r="A1501">
        <v>1500</v>
      </c>
      <c r="B1501" t="s">
        <v>23</v>
      </c>
      <c r="C1501">
        <v>10</v>
      </c>
      <c r="D1501" s="3">
        <v>11</v>
      </c>
      <c r="E1501" s="3">
        <v>7</v>
      </c>
      <c r="F1501">
        <v>23</v>
      </c>
      <c r="G1501" s="1">
        <f>DATEVALUE(_xlfn.CONCAT(BBDD_Usiarios_Netflix[[#This Row],[Día Suscripción]],"/",BBDD_Usiarios_Netflix[[#This Row],[Mes Suscripción]],"/",BBDD_Usiarios_Netflix[[#This Row],[Año Suscripción]]))</f>
        <v>45118</v>
      </c>
      <c r="H1501" s="1">
        <v>5</v>
      </c>
      <c r="I1501" s="1">
        <v>7</v>
      </c>
      <c r="J1501" s="1">
        <v>24</v>
      </c>
      <c r="K1501" s="1" t="str">
        <f>TEXT(BBDD_Usiarios_Netflix[[#This Row],[Fecha Suscripción]],"dddd")</f>
        <v>martes</v>
      </c>
      <c r="L1501" s="1">
        <f>DATEVALUE(_xlfn.CONCAT(BBDD_Usiarios_Netflix[[#This Row],[Día Último Pago]],"/",BBDD_Usiarios_Netflix[[#This Row],[Mes Último Pago]],"/",BBDD_Usiarios_Netflix[[#This Row],[Año Último Pago]]))</f>
        <v>45478</v>
      </c>
      <c r="M1501" s="4">
        <f>DATEDIF(BBDD_Usiarios_Netflix[[#This Row],[Fecha Suscripción]],BBDD_Usiarios_Netflix[[#This Row],[Fecha Último Pago]],"M")+1</f>
        <v>12</v>
      </c>
      <c r="N1501" s="4">
        <f>BBDD_Usiarios_Netflix[[#This Row],[Ingresos Mensuales]]*BBDD_Usiarios_Netflix[[#This Row],[Meses contratados]]</f>
        <v>120</v>
      </c>
      <c r="O1501" t="s">
        <v>44</v>
      </c>
      <c r="P1501" t="str">
        <f>IF(BBDD_Usiarios_Netflix[[#This Row],[País]]="","Desconocido",BBDD_Usiarios_Netflix[[#This Row],[País]])</f>
        <v>Desconocido</v>
      </c>
      <c r="Q1501">
        <v>38</v>
      </c>
      <c r="R1501" t="s">
        <v>30</v>
      </c>
      <c r="S1501" t="s">
        <v>31</v>
      </c>
      <c r="T1501" t="s">
        <v>41</v>
      </c>
      <c r="U1501">
        <f>IF(IFERROR(VLOOKUP(BBDD_Usiarios_Netflix[[#This Row],[Identificador Usuario]],A1502:$A$5870,1,FALSE),0)&lt;&gt;0,1,0)</f>
        <v>0</v>
      </c>
      <c r="V1501" s="6" t="str">
        <f>IF(BBDD_Usiarios_Netflix[[#This Row],[Duración Plan]]="12 Meses",LEFT(BBDD_Usiarios_Netflix[[#This Row],[Duración Plan]],2),LEFT(BBDD_Usiarios_Netflix[[#This Row],[Duración Plan]],1))</f>
        <v>12</v>
      </c>
      <c r="W15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02" spans="1:23" x14ac:dyDescent="0.25">
      <c r="A1502">
        <v>1501</v>
      </c>
      <c r="B1502" t="s">
        <v>23</v>
      </c>
      <c r="C1502">
        <v>10</v>
      </c>
      <c r="D1502" s="3">
        <v>12</v>
      </c>
      <c r="E1502" s="3">
        <v>7</v>
      </c>
      <c r="F1502">
        <v>23</v>
      </c>
      <c r="G1502" s="1">
        <f>DATEVALUE(_xlfn.CONCAT(BBDD_Usiarios_Netflix[[#This Row],[Día Suscripción]],"/",BBDD_Usiarios_Netflix[[#This Row],[Mes Suscripción]],"/",BBDD_Usiarios_Netflix[[#This Row],[Año Suscripción]]))</f>
        <v>45119</v>
      </c>
      <c r="H1502" s="1">
        <v>3</v>
      </c>
      <c r="I1502" s="1">
        <v>7</v>
      </c>
      <c r="J1502" s="1">
        <v>24</v>
      </c>
      <c r="K1502" s="1" t="str">
        <f>TEXT(BBDD_Usiarios_Netflix[[#This Row],[Fecha Suscripción]],"dddd")</f>
        <v>miércoles</v>
      </c>
      <c r="L1502" s="1">
        <f>DATEVALUE(_xlfn.CONCAT(BBDD_Usiarios_Netflix[[#This Row],[Día Último Pago]],"/",BBDD_Usiarios_Netflix[[#This Row],[Mes Último Pago]],"/",BBDD_Usiarios_Netflix[[#This Row],[Año Último Pago]]))</f>
        <v>45476</v>
      </c>
      <c r="M1502" s="4">
        <f>DATEDIF(BBDD_Usiarios_Netflix[[#This Row],[Fecha Suscripción]],BBDD_Usiarios_Netflix[[#This Row],[Fecha Último Pago]],"M")+1</f>
        <v>12</v>
      </c>
      <c r="N1502" s="4">
        <f>BBDD_Usiarios_Netflix[[#This Row],[Ingresos Mensuales]]*BBDD_Usiarios_Netflix[[#This Row],[Meses contratados]]</f>
        <v>120</v>
      </c>
      <c r="O1502" t="s">
        <v>29</v>
      </c>
      <c r="P1502" t="str">
        <f>IF(BBDD_Usiarios_Netflix[[#This Row],[País]]="","Desconocido",BBDD_Usiarios_Netflix[[#This Row],[País]])</f>
        <v>EEUU</v>
      </c>
      <c r="Q1502">
        <v>36</v>
      </c>
      <c r="R1502" t="s">
        <v>25</v>
      </c>
      <c r="S1502" t="s">
        <v>34</v>
      </c>
      <c r="T1502" t="s">
        <v>35</v>
      </c>
      <c r="U1502">
        <f>IF(IFERROR(VLOOKUP(BBDD_Usiarios_Netflix[[#This Row],[Identificador Usuario]],A1503:$A$5870,1,FALSE),0)&lt;&gt;0,1,0)</f>
        <v>0</v>
      </c>
      <c r="V1502" s="6" t="str">
        <f>IF(BBDD_Usiarios_Netflix[[#This Row],[Duración Plan]]="12 Meses",LEFT(BBDD_Usiarios_Netflix[[#This Row],[Duración Plan]],2),LEFT(BBDD_Usiarios_Netflix[[#This Row],[Duración Plan]],1))</f>
        <v>6</v>
      </c>
      <c r="W15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03" spans="1:23" x14ac:dyDescent="0.25">
      <c r="A1503">
        <v>1502</v>
      </c>
      <c r="B1503" t="s">
        <v>28</v>
      </c>
      <c r="C1503">
        <v>14</v>
      </c>
      <c r="D1503" s="3">
        <v>11</v>
      </c>
      <c r="E1503" s="3">
        <v>7</v>
      </c>
      <c r="F1503">
        <v>23</v>
      </c>
      <c r="G1503" s="1">
        <f>DATEVALUE(_xlfn.CONCAT(BBDD_Usiarios_Netflix[[#This Row],[Día Suscripción]],"/",BBDD_Usiarios_Netflix[[#This Row],[Mes Suscripción]],"/",BBDD_Usiarios_Netflix[[#This Row],[Año Suscripción]]))</f>
        <v>45118</v>
      </c>
      <c r="H1503" s="1">
        <v>5</v>
      </c>
      <c r="I1503" s="1">
        <v>7</v>
      </c>
      <c r="J1503" s="1">
        <v>24</v>
      </c>
      <c r="K1503" s="1" t="str">
        <f>TEXT(BBDD_Usiarios_Netflix[[#This Row],[Fecha Suscripción]],"dddd")</f>
        <v>martes</v>
      </c>
      <c r="L1503" s="1">
        <f>DATEVALUE(_xlfn.CONCAT(BBDD_Usiarios_Netflix[[#This Row],[Día Último Pago]],"/",BBDD_Usiarios_Netflix[[#This Row],[Mes Último Pago]],"/",BBDD_Usiarios_Netflix[[#This Row],[Año Último Pago]]))</f>
        <v>45478</v>
      </c>
      <c r="M1503" s="4">
        <f>DATEDIF(BBDD_Usiarios_Netflix[[#This Row],[Fecha Suscripción]],BBDD_Usiarios_Netflix[[#This Row],[Fecha Último Pago]],"M")+1</f>
        <v>12</v>
      </c>
      <c r="N1503" s="4">
        <f>BBDD_Usiarios_Netflix[[#This Row],[Ingresos Mensuales]]*BBDD_Usiarios_Netflix[[#This Row],[Meses contratados]]</f>
        <v>168</v>
      </c>
      <c r="O1503" t="s">
        <v>29</v>
      </c>
      <c r="P1503" t="str">
        <f>IF(BBDD_Usiarios_Netflix[[#This Row],[País]]="","Desconocido",BBDD_Usiarios_Netflix[[#This Row],[País]])</f>
        <v>EEUU</v>
      </c>
      <c r="Q1503">
        <v>40</v>
      </c>
      <c r="R1503" t="s">
        <v>30</v>
      </c>
      <c r="S1503" t="s">
        <v>36</v>
      </c>
      <c r="T1503" t="s">
        <v>41</v>
      </c>
      <c r="U1503">
        <f>IF(IFERROR(VLOOKUP(BBDD_Usiarios_Netflix[[#This Row],[Identificador Usuario]],A1504:$A$5870,1,FALSE),0)&lt;&gt;0,1,0)</f>
        <v>0</v>
      </c>
      <c r="V1503" s="6" t="str">
        <f>IF(BBDD_Usiarios_Netflix[[#This Row],[Duración Plan]]="12 Meses",LEFT(BBDD_Usiarios_Netflix[[#This Row],[Duración Plan]],2),LEFT(BBDD_Usiarios_Netflix[[#This Row],[Duración Plan]],1))</f>
        <v>12</v>
      </c>
      <c r="W15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04" spans="1:23" x14ac:dyDescent="0.25">
      <c r="A1504">
        <v>1503</v>
      </c>
      <c r="B1504" t="s">
        <v>32</v>
      </c>
      <c r="C1504">
        <v>12</v>
      </c>
      <c r="D1504" s="3">
        <v>2</v>
      </c>
      <c r="E1504" s="3">
        <v>7</v>
      </c>
      <c r="F1504">
        <v>23</v>
      </c>
      <c r="G1504" s="1">
        <f>DATEVALUE(_xlfn.CONCAT(BBDD_Usiarios_Netflix[[#This Row],[Día Suscripción]],"/",BBDD_Usiarios_Netflix[[#This Row],[Mes Suscripción]],"/",BBDD_Usiarios_Netflix[[#This Row],[Año Suscripción]]))</f>
        <v>45109</v>
      </c>
      <c r="H1504" s="1">
        <v>5</v>
      </c>
      <c r="I1504" s="1">
        <v>7</v>
      </c>
      <c r="J1504" s="1">
        <v>24</v>
      </c>
      <c r="K1504" s="1" t="str">
        <f>TEXT(BBDD_Usiarios_Netflix[[#This Row],[Fecha Suscripción]],"dddd")</f>
        <v>domingo</v>
      </c>
      <c r="L1504" s="1">
        <f>DATEVALUE(_xlfn.CONCAT(BBDD_Usiarios_Netflix[[#This Row],[Día Último Pago]],"/",BBDD_Usiarios_Netflix[[#This Row],[Mes Último Pago]],"/",BBDD_Usiarios_Netflix[[#This Row],[Año Último Pago]]))</f>
        <v>45478</v>
      </c>
      <c r="M1504" s="4">
        <f>DATEDIF(BBDD_Usiarios_Netflix[[#This Row],[Fecha Suscripción]],BBDD_Usiarios_Netflix[[#This Row],[Fecha Último Pago]],"M")+1</f>
        <v>13</v>
      </c>
      <c r="N1504" s="4">
        <f>BBDD_Usiarios_Netflix[[#This Row],[Ingresos Mensuales]]*BBDD_Usiarios_Netflix[[#This Row],[Meses contratados]]</f>
        <v>156</v>
      </c>
      <c r="O1504" t="s">
        <v>46</v>
      </c>
      <c r="P1504" t="str">
        <f>IF(BBDD_Usiarios_Netflix[[#This Row],[País]]="","Desconocido",BBDD_Usiarios_Netflix[[#This Row],[País]])</f>
        <v>Méjico</v>
      </c>
      <c r="Q1504">
        <v>29</v>
      </c>
      <c r="R1504" t="s">
        <v>25</v>
      </c>
      <c r="S1504" t="s">
        <v>36</v>
      </c>
      <c r="T1504" t="s">
        <v>41</v>
      </c>
      <c r="U1504">
        <f>IF(IFERROR(VLOOKUP(BBDD_Usiarios_Netflix[[#This Row],[Identificador Usuario]],A1505:$A$5870,1,FALSE),0)&lt;&gt;0,1,0)</f>
        <v>0</v>
      </c>
      <c r="V1504" s="6" t="str">
        <f>IF(BBDD_Usiarios_Netflix[[#This Row],[Duración Plan]]="12 Meses",LEFT(BBDD_Usiarios_Netflix[[#This Row],[Duración Plan]],2),LEFT(BBDD_Usiarios_Netflix[[#This Row],[Duración Plan]],1))</f>
        <v>12</v>
      </c>
      <c r="W15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05" spans="1:23" x14ac:dyDescent="0.25">
      <c r="A1505">
        <v>1504</v>
      </c>
      <c r="B1505" t="s">
        <v>32</v>
      </c>
      <c r="C1505">
        <v>12</v>
      </c>
      <c r="D1505" s="3">
        <v>30</v>
      </c>
      <c r="E1505" s="3">
        <v>6</v>
      </c>
      <c r="F1505">
        <v>23</v>
      </c>
      <c r="G1505" s="1">
        <f>DATEVALUE(_xlfn.CONCAT(BBDD_Usiarios_Netflix[[#This Row],[Día Suscripción]],"/",BBDD_Usiarios_Netflix[[#This Row],[Mes Suscripción]],"/",BBDD_Usiarios_Netflix[[#This Row],[Año Suscripción]]))</f>
        <v>45107</v>
      </c>
      <c r="H1505" s="1">
        <v>6</v>
      </c>
      <c r="I1505" s="1">
        <v>7</v>
      </c>
      <c r="J1505" s="1">
        <v>24</v>
      </c>
      <c r="K1505" s="1" t="str">
        <f>TEXT(BBDD_Usiarios_Netflix[[#This Row],[Fecha Suscripción]],"dddd")</f>
        <v>viernes</v>
      </c>
      <c r="L1505" s="1">
        <f>DATEVALUE(_xlfn.CONCAT(BBDD_Usiarios_Netflix[[#This Row],[Día Último Pago]],"/",BBDD_Usiarios_Netflix[[#This Row],[Mes Último Pago]],"/",BBDD_Usiarios_Netflix[[#This Row],[Año Último Pago]]))</f>
        <v>45479</v>
      </c>
      <c r="M1505" s="4">
        <f>DATEDIF(BBDD_Usiarios_Netflix[[#This Row],[Fecha Suscripción]],BBDD_Usiarios_Netflix[[#This Row],[Fecha Último Pago]],"M")+1</f>
        <v>13</v>
      </c>
      <c r="N1505" s="4">
        <f>BBDD_Usiarios_Netflix[[#This Row],[Ingresos Mensuales]]*BBDD_Usiarios_Netflix[[#This Row],[Meses contratados]]</f>
        <v>156</v>
      </c>
      <c r="O1505" t="s">
        <v>39</v>
      </c>
      <c r="P1505" t="str">
        <f>IF(BBDD_Usiarios_Netflix[[#This Row],[País]]="","Desconocido",BBDD_Usiarios_Netflix[[#This Row],[País]])</f>
        <v>Canadá</v>
      </c>
      <c r="Q1505">
        <v>32</v>
      </c>
      <c r="R1505" t="s">
        <v>25</v>
      </c>
      <c r="S1505" t="s">
        <v>34</v>
      </c>
      <c r="T1505" t="s">
        <v>27</v>
      </c>
      <c r="U1505">
        <f>IF(IFERROR(VLOOKUP(BBDD_Usiarios_Netflix[[#This Row],[Identificador Usuario]],A1506:$A$5870,1,FALSE),0)&lt;&gt;0,1,0)</f>
        <v>0</v>
      </c>
      <c r="V1505" s="6" t="str">
        <f>IF(BBDD_Usiarios_Netflix[[#This Row],[Duración Plan]]="12 Meses",LEFT(BBDD_Usiarios_Netflix[[#This Row],[Duración Plan]],2),LEFT(BBDD_Usiarios_Netflix[[#This Row],[Duración Plan]],1))</f>
        <v>1</v>
      </c>
      <c r="W15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06" spans="1:23" x14ac:dyDescent="0.25">
      <c r="A1506">
        <v>1505</v>
      </c>
      <c r="B1506" t="s">
        <v>23</v>
      </c>
      <c r="C1506">
        <v>10</v>
      </c>
      <c r="D1506" s="3">
        <v>30</v>
      </c>
      <c r="E1506" s="3">
        <v>6</v>
      </c>
      <c r="F1506">
        <v>23</v>
      </c>
      <c r="G1506" s="1">
        <f>DATEVALUE(_xlfn.CONCAT(BBDD_Usiarios_Netflix[[#This Row],[Día Suscripción]],"/",BBDD_Usiarios_Netflix[[#This Row],[Mes Suscripción]],"/",BBDD_Usiarios_Netflix[[#This Row],[Año Suscripción]]))</f>
        <v>45107</v>
      </c>
      <c r="H1506" s="1">
        <v>5</v>
      </c>
      <c r="I1506" s="1">
        <v>7</v>
      </c>
      <c r="J1506" s="1">
        <v>24</v>
      </c>
      <c r="K1506" s="1" t="str">
        <f>TEXT(BBDD_Usiarios_Netflix[[#This Row],[Fecha Suscripción]],"dddd")</f>
        <v>viernes</v>
      </c>
      <c r="L1506" s="1">
        <f>DATEVALUE(_xlfn.CONCAT(BBDD_Usiarios_Netflix[[#This Row],[Día Último Pago]],"/",BBDD_Usiarios_Netflix[[#This Row],[Mes Último Pago]],"/",BBDD_Usiarios_Netflix[[#This Row],[Año Último Pago]]))</f>
        <v>45478</v>
      </c>
      <c r="M1506" s="4">
        <f>DATEDIF(BBDD_Usiarios_Netflix[[#This Row],[Fecha Suscripción]],BBDD_Usiarios_Netflix[[#This Row],[Fecha Último Pago]],"M")+1</f>
        <v>13</v>
      </c>
      <c r="N1506" s="4">
        <f>BBDD_Usiarios_Netflix[[#This Row],[Ingresos Mensuales]]*BBDD_Usiarios_Netflix[[#This Row],[Meses contratados]]</f>
        <v>130</v>
      </c>
      <c r="O1506" t="s">
        <v>39</v>
      </c>
      <c r="P1506" t="str">
        <f>IF(BBDD_Usiarios_Netflix[[#This Row],[País]]="","Desconocido",BBDD_Usiarios_Netflix[[#This Row],[País]])</f>
        <v>Canadá</v>
      </c>
      <c r="Q1506">
        <v>30</v>
      </c>
      <c r="R1506" t="s">
        <v>25</v>
      </c>
      <c r="S1506" t="s">
        <v>36</v>
      </c>
      <c r="T1506" t="s">
        <v>27</v>
      </c>
      <c r="U1506">
        <f>IF(IFERROR(VLOOKUP(BBDD_Usiarios_Netflix[[#This Row],[Identificador Usuario]],A1507:$A$5870,1,FALSE),0)&lt;&gt;0,1,0)</f>
        <v>0</v>
      </c>
      <c r="V1506" s="6" t="str">
        <f>IF(BBDD_Usiarios_Netflix[[#This Row],[Duración Plan]]="12 Meses",LEFT(BBDD_Usiarios_Netflix[[#This Row],[Duración Plan]],2),LEFT(BBDD_Usiarios_Netflix[[#This Row],[Duración Plan]],1))</f>
        <v>1</v>
      </c>
      <c r="W15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07" spans="1:23" x14ac:dyDescent="0.25">
      <c r="A1507">
        <v>1506</v>
      </c>
      <c r="B1507" t="s">
        <v>28</v>
      </c>
      <c r="C1507">
        <v>14</v>
      </c>
      <c r="D1507" s="3">
        <v>29</v>
      </c>
      <c r="E1507" s="3">
        <v>6</v>
      </c>
      <c r="F1507">
        <v>23</v>
      </c>
      <c r="G1507" s="1">
        <f>DATEVALUE(_xlfn.CONCAT(BBDD_Usiarios_Netflix[[#This Row],[Día Suscripción]],"/",BBDD_Usiarios_Netflix[[#This Row],[Mes Suscripción]],"/",BBDD_Usiarios_Netflix[[#This Row],[Año Suscripción]]))</f>
        <v>45106</v>
      </c>
      <c r="H1507" s="1">
        <v>5</v>
      </c>
      <c r="I1507" s="1">
        <v>7</v>
      </c>
      <c r="J1507" s="1">
        <v>24</v>
      </c>
      <c r="K1507" s="1" t="str">
        <f>TEXT(BBDD_Usiarios_Netflix[[#This Row],[Fecha Suscripción]],"dddd")</f>
        <v>jueves</v>
      </c>
      <c r="L1507" s="1">
        <f>DATEVALUE(_xlfn.CONCAT(BBDD_Usiarios_Netflix[[#This Row],[Día Último Pago]],"/",BBDD_Usiarios_Netflix[[#This Row],[Mes Último Pago]],"/",BBDD_Usiarios_Netflix[[#This Row],[Año Último Pago]]))</f>
        <v>45478</v>
      </c>
      <c r="M1507" s="4">
        <f>DATEDIF(BBDD_Usiarios_Netflix[[#This Row],[Fecha Suscripción]],BBDD_Usiarios_Netflix[[#This Row],[Fecha Último Pago]],"M")+1</f>
        <v>13</v>
      </c>
      <c r="N1507" s="4">
        <f>BBDD_Usiarios_Netflix[[#This Row],[Ingresos Mensuales]]*BBDD_Usiarios_Netflix[[#This Row],[Meses contratados]]</f>
        <v>182</v>
      </c>
      <c r="O1507" t="s">
        <v>43</v>
      </c>
      <c r="P1507" t="str">
        <f>IF(BBDD_Usiarios_Netflix[[#This Row],[País]]="","Desconocido",BBDD_Usiarios_Netflix[[#This Row],[País]])</f>
        <v>Alemania</v>
      </c>
      <c r="Q1507">
        <v>47</v>
      </c>
      <c r="R1507" t="s">
        <v>25</v>
      </c>
      <c r="S1507" t="s">
        <v>26</v>
      </c>
      <c r="T1507" t="s">
        <v>35</v>
      </c>
      <c r="U1507">
        <f>IF(IFERROR(VLOOKUP(BBDD_Usiarios_Netflix[[#This Row],[Identificador Usuario]],A1508:$A$5870,1,FALSE),0)&lt;&gt;0,1,0)</f>
        <v>0</v>
      </c>
      <c r="V1507" s="6" t="str">
        <f>IF(BBDD_Usiarios_Netflix[[#This Row],[Duración Plan]]="12 Meses",LEFT(BBDD_Usiarios_Netflix[[#This Row],[Duración Plan]],2),LEFT(BBDD_Usiarios_Netflix[[#This Row],[Duración Plan]],1))</f>
        <v>6</v>
      </c>
      <c r="W15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08" spans="1:23" x14ac:dyDescent="0.25">
      <c r="A1508">
        <v>1507</v>
      </c>
      <c r="B1508" t="s">
        <v>32</v>
      </c>
      <c r="C1508">
        <v>12</v>
      </c>
      <c r="D1508" s="3">
        <v>30</v>
      </c>
      <c r="E1508" s="3">
        <v>6</v>
      </c>
      <c r="F1508">
        <v>23</v>
      </c>
      <c r="G1508" s="1">
        <f>DATEVALUE(_xlfn.CONCAT(BBDD_Usiarios_Netflix[[#This Row],[Día Suscripción]],"/",BBDD_Usiarios_Netflix[[#This Row],[Mes Suscripción]],"/",BBDD_Usiarios_Netflix[[#This Row],[Año Suscripción]]))</f>
        <v>45107</v>
      </c>
      <c r="H1508" s="1">
        <v>4</v>
      </c>
      <c r="I1508" s="1">
        <v>7</v>
      </c>
      <c r="J1508" s="1">
        <v>24</v>
      </c>
      <c r="K1508" s="1" t="str">
        <f>TEXT(BBDD_Usiarios_Netflix[[#This Row],[Fecha Suscripción]],"dddd")</f>
        <v>viernes</v>
      </c>
      <c r="L1508" s="1">
        <f>DATEVALUE(_xlfn.CONCAT(BBDD_Usiarios_Netflix[[#This Row],[Día Último Pago]],"/",BBDD_Usiarios_Netflix[[#This Row],[Mes Último Pago]],"/",BBDD_Usiarios_Netflix[[#This Row],[Año Último Pago]]))</f>
        <v>45477</v>
      </c>
      <c r="M1508" s="4">
        <f>DATEDIF(BBDD_Usiarios_Netflix[[#This Row],[Fecha Suscripción]],BBDD_Usiarios_Netflix[[#This Row],[Fecha Último Pago]],"M")+1</f>
        <v>13</v>
      </c>
      <c r="N1508" s="4">
        <f>BBDD_Usiarios_Netflix[[#This Row],[Ingresos Mensuales]]*BBDD_Usiarios_Netflix[[#This Row],[Meses contratados]]</f>
        <v>156</v>
      </c>
      <c r="O1508" t="s">
        <v>37</v>
      </c>
      <c r="P1508" t="str">
        <f>IF(BBDD_Usiarios_Netflix[[#This Row],[País]]="","Desconocido",BBDD_Usiarios_Netflix[[#This Row],[País]])</f>
        <v>Brasil</v>
      </c>
      <c r="Q1508">
        <v>28</v>
      </c>
      <c r="R1508" t="s">
        <v>30</v>
      </c>
      <c r="S1508" t="s">
        <v>31</v>
      </c>
      <c r="T1508" t="s">
        <v>35</v>
      </c>
      <c r="U1508">
        <f>IF(IFERROR(VLOOKUP(BBDD_Usiarios_Netflix[[#This Row],[Identificador Usuario]],A1509:$A$5870,1,FALSE),0)&lt;&gt;0,1,0)</f>
        <v>0</v>
      </c>
      <c r="V1508" s="6" t="str">
        <f>IF(BBDD_Usiarios_Netflix[[#This Row],[Duración Plan]]="12 Meses",LEFT(BBDD_Usiarios_Netflix[[#This Row],[Duración Plan]],2),LEFT(BBDD_Usiarios_Netflix[[#This Row],[Duración Plan]],1))</f>
        <v>6</v>
      </c>
      <c r="W15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09" spans="1:23" x14ac:dyDescent="0.25">
      <c r="A1509">
        <v>1508</v>
      </c>
      <c r="B1509" t="s">
        <v>23</v>
      </c>
      <c r="C1509">
        <v>10</v>
      </c>
      <c r="D1509" s="3">
        <v>24</v>
      </c>
      <c r="E1509" s="3">
        <v>6</v>
      </c>
      <c r="F1509">
        <v>23</v>
      </c>
      <c r="G1509" s="1">
        <f>DATEVALUE(_xlfn.CONCAT(BBDD_Usiarios_Netflix[[#This Row],[Día Suscripción]],"/",BBDD_Usiarios_Netflix[[#This Row],[Mes Suscripción]],"/",BBDD_Usiarios_Netflix[[#This Row],[Año Suscripción]]))</f>
        <v>45101</v>
      </c>
      <c r="H1509" s="1">
        <v>5</v>
      </c>
      <c r="I1509" s="1">
        <v>7</v>
      </c>
      <c r="J1509" s="1">
        <v>24</v>
      </c>
      <c r="K1509" s="1" t="str">
        <f>TEXT(BBDD_Usiarios_Netflix[[#This Row],[Fecha Suscripción]],"dddd")</f>
        <v>sábado</v>
      </c>
      <c r="L1509" s="1">
        <f>DATEVALUE(_xlfn.CONCAT(BBDD_Usiarios_Netflix[[#This Row],[Día Último Pago]],"/",BBDD_Usiarios_Netflix[[#This Row],[Mes Último Pago]],"/",BBDD_Usiarios_Netflix[[#This Row],[Año Último Pago]]))</f>
        <v>45478</v>
      </c>
      <c r="M1509" s="4">
        <f>DATEDIF(BBDD_Usiarios_Netflix[[#This Row],[Fecha Suscripción]],BBDD_Usiarios_Netflix[[#This Row],[Fecha Último Pago]],"M")+1</f>
        <v>13</v>
      </c>
      <c r="N1509" s="4">
        <f>BBDD_Usiarios_Netflix[[#This Row],[Ingresos Mensuales]]*BBDD_Usiarios_Netflix[[#This Row],[Meses contratados]]</f>
        <v>130</v>
      </c>
      <c r="O1509" t="s">
        <v>39</v>
      </c>
      <c r="P1509" t="str">
        <f>IF(BBDD_Usiarios_Netflix[[#This Row],[País]]="","Desconocido",BBDD_Usiarios_Netflix[[#This Row],[País]])</f>
        <v>Canadá</v>
      </c>
      <c r="Q1509">
        <v>49</v>
      </c>
      <c r="R1509" t="s">
        <v>25</v>
      </c>
      <c r="S1509" t="s">
        <v>36</v>
      </c>
      <c r="T1509" t="s">
        <v>35</v>
      </c>
      <c r="U1509">
        <f>IF(IFERROR(VLOOKUP(BBDD_Usiarios_Netflix[[#This Row],[Identificador Usuario]],A1510:$A$5870,1,FALSE),0)&lt;&gt;0,1,0)</f>
        <v>0</v>
      </c>
      <c r="V1509" s="6" t="str">
        <f>IF(BBDD_Usiarios_Netflix[[#This Row],[Duración Plan]]="12 Meses",LEFT(BBDD_Usiarios_Netflix[[#This Row],[Duración Plan]],2),LEFT(BBDD_Usiarios_Netflix[[#This Row],[Duración Plan]],1))</f>
        <v>6</v>
      </c>
      <c r="W15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10" spans="1:23" x14ac:dyDescent="0.25">
      <c r="A1510">
        <v>1509</v>
      </c>
      <c r="B1510" t="s">
        <v>32</v>
      </c>
      <c r="C1510">
        <v>12</v>
      </c>
      <c r="D1510" s="3">
        <v>25</v>
      </c>
      <c r="E1510" s="3">
        <v>6</v>
      </c>
      <c r="F1510">
        <v>23</v>
      </c>
      <c r="G1510" s="1">
        <f>DATEVALUE(_xlfn.CONCAT(BBDD_Usiarios_Netflix[[#This Row],[Día Suscripción]],"/",BBDD_Usiarios_Netflix[[#This Row],[Mes Suscripción]],"/",BBDD_Usiarios_Netflix[[#This Row],[Año Suscripción]]))</f>
        <v>45102</v>
      </c>
      <c r="H1510" s="1">
        <v>4</v>
      </c>
      <c r="I1510" s="1">
        <v>7</v>
      </c>
      <c r="J1510" s="1">
        <v>24</v>
      </c>
      <c r="K1510" s="1" t="str">
        <f>TEXT(BBDD_Usiarios_Netflix[[#This Row],[Fecha Suscripción]],"dddd")</f>
        <v>domingo</v>
      </c>
      <c r="L1510" s="1">
        <f>DATEVALUE(_xlfn.CONCAT(BBDD_Usiarios_Netflix[[#This Row],[Día Último Pago]],"/",BBDD_Usiarios_Netflix[[#This Row],[Mes Último Pago]],"/",BBDD_Usiarios_Netflix[[#This Row],[Año Último Pago]]))</f>
        <v>45477</v>
      </c>
      <c r="M1510" s="4">
        <f>DATEDIF(BBDD_Usiarios_Netflix[[#This Row],[Fecha Suscripción]],BBDD_Usiarios_Netflix[[#This Row],[Fecha Último Pago]],"M")+1</f>
        <v>13</v>
      </c>
      <c r="N1510" s="4">
        <f>BBDD_Usiarios_Netflix[[#This Row],[Ingresos Mensuales]]*BBDD_Usiarios_Netflix[[#This Row],[Meses contratados]]</f>
        <v>156</v>
      </c>
      <c r="O1510" t="s">
        <v>29</v>
      </c>
      <c r="P1510" t="str">
        <f>IF(BBDD_Usiarios_Netflix[[#This Row],[País]]="","Desconocido",BBDD_Usiarios_Netflix[[#This Row],[País]])</f>
        <v>EEUU</v>
      </c>
      <c r="Q1510">
        <v>50</v>
      </c>
      <c r="R1510" t="s">
        <v>25</v>
      </c>
      <c r="S1510" t="s">
        <v>26</v>
      </c>
      <c r="T1510" t="s">
        <v>35</v>
      </c>
      <c r="U1510">
        <f>IF(IFERROR(VLOOKUP(BBDD_Usiarios_Netflix[[#This Row],[Identificador Usuario]],A1511:$A$5870,1,FALSE),0)&lt;&gt;0,1,0)</f>
        <v>0</v>
      </c>
      <c r="V1510" s="6" t="str">
        <f>IF(BBDD_Usiarios_Netflix[[#This Row],[Duración Plan]]="12 Meses",LEFT(BBDD_Usiarios_Netflix[[#This Row],[Duración Plan]],2),LEFT(BBDD_Usiarios_Netflix[[#This Row],[Duración Plan]],1))</f>
        <v>6</v>
      </c>
      <c r="W15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11" spans="1:23" x14ac:dyDescent="0.25">
      <c r="A1511">
        <v>1510</v>
      </c>
      <c r="B1511" t="s">
        <v>28</v>
      </c>
      <c r="C1511">
        <v>14</v>
      </c>
      <c r="D1511" s="3">
        <v>25</v>
      </c>
      <c r="E1511" s="3">
        <v>6</v>
      </c>
      <c r="F1511">
        <v>23</v>
      </c>
      <c r="G1511" s="1">
        <f>DATEVALUE(_xlfn.CONCAT(BBDD_Usiarios_Netflix[[#This Row],[Día Suscripción]],"/",BBDD_Usiarios_Netflix[[#This Row],[Mes Suscripción]],"/",BBDD_Usiarios_Netflix[[#This Row],[Año Suscripción]]))</f>
        <v>45102</v>
      </c>
      <c r="H1511" s="1">
        <v>7</v>
      </c>
      <c r="I1511" s="1">
        <v>7</v>
      </c>
      <c r="J1511" s="1">
        <v>24</v>
      </c>
      <c r="K1511" s="1" t="str">
        <f>TEXT(BBDD_Usiarios_Netflix[[#This Row],[Fecha Suscripción]],"dddd")</f>
        <v>domingo</v>
      </c>
      <c r="L1511" s="1">
        <f>DATEVALUE(_xlfn.CONCAT(BBDD_Usiarios_Netflix[[#This Row],[Día Último Pago]],"/",BBDD_Usiarios_Netflix[[#This Row],[Mes Último Pago]],"/",BBDD_Usiarios_Netflix[[#This Row],[Año Último Pago]]))</f>
        <v>45480</v>
      </c>
      <c r="M1511" s="4">
        <f>DATEDIF(BBDD_Usiarios_Netflix[[#This Row],[Fecha Suscripción]],BBDD_Usiarios_Netflix[[#This Row],[Fecha Último Pago]],"M")+1</f>
        <v>13</v>
      </c>
      <c r="N1511" s="4">
        <f>BBDD_Usiarios_Netflix[[#This Row],[Ingresos Mensuales]]*BBDD_Usiarios_Netflix[[#This Row],[Meses contratados]]</f>
        <v>182</v>
      </c>
      <c r="O1511" t="s">
        <v>24</v>
      </c>
      <c r="P1511" t="str">
        <f>IF(BBDD_Usiarios_Netflix[[#This Row],[País]]="","Desconocido",BBDD_Usiarios_Netflix[[#This Row],[País]])</f>
        <v>Australia</v>
      </c>
      <c r="Q1511">
        <v>33</v>
      </c>
      <c r="R1511" t="s">
        <v>25</v>
      </c>
      <c r="S1511" t="s">
        <v>34</v>
      </c>
      <c r="T1511" t="s">
        <v>41</v>
      </c>
      <c r="U1511">
        <f>IF(IFERROR(VLOOKUP(BBDD_Usiarios_Netflix[[#This Row],[Identificador Usuario]],A1512:$A$5870,1,FALSE),0)&lt;&gt;0,1,0)</f>
        <v>0</v>
      </c>
      <c r="V1511" s="6" t="str">
        <f>IF(BBDD_Usiarios_Netflix[[#This Row],[Duración Plan]]="12 Meses",LEFT(BBDD_Usiarios_Netflix[[#This Row],[Duración Plan]],2),LEFT(BBDD_Usiarios_Netflix[[#This Row],[Duración Plan]],1))</f>
        <v>12</v>
      </c>
      <c r="W15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12" spans="1:23" x14ac:dyDescent="0.25">
      <c r="A1512">
        <v>1511</v>
      </c>
      <c r="B1512" t="s">
        <v>23</v>
      </c>
      <c r="C1512">
        <v>10</v>
      </c>
      <c r="D1512" s="3">
        <v>26</v>
      </c>
      <c r="E1512" s="3">
        <v>6</v>
      </c>
      <c r="F1512">
        <v>23</v>
      </c>
      <c r="G1512" s="1">
        <f>DATEVALUE(_xlfn.CONCAT(BBDD_Usiarios_Netflix[[#This Row],[Día Suscripción]],"/",BBDD_Usiarios_Netflix[[#This Row],[Mes Suscripción]],"/",BBDD_Usiarios_Netflix[[#This Row],[Año Suscripción]]))</f>
        <v>45103</v>
      </c>
      <c r="H1512" s="1">
        <v>4</v>
      </c>
      <c r="I1512" s="1">
        <v>7</v>
      </c>
      <c r="J1512" s="1">
        <v>24</v>
      </c>
      <c r="K1512" s="1" t="str">
        <f>TEXT(BBDD_Usiarios_Netflix[[#This Row],[Fecha Suscripción]],"dddd")</f>
        <v>lunes</v>
      </c>
      <c r="L1512" s="1">
        <f>DATEVALUE(_xlfn.CONCAT(BBDD_Usiarios_Netflix[[#This Row],[Día Último Pago]],"/",BBDD_Usiarios_Netflix[[#This Row],[Mes Último Pago]],"/",BBDD_Usiarios_Netflix[[#This Row],[Año Último Pago]]))</f>
        <v>45477</v>
      </c>
      <c r="M1512" s="4">
        <f>DATEDIF(BBDD_Usiarios_Netflix[[#This Row],[Fecha Suscripción]],BBDD_Usiarios_Netflix[[#This Row],[Fecha Último Pago]],"M")+1</f>
        <v>13</v>
      </c>
      <c r="N1512" s="4">
        <f>BBDD_Usiarios_Netflix[[#This Row],[Ingresos Mensuales]]*BBDD_Usiarios_Netflix[[#This Row],[Meses contratados]]</f>
        <v>130</v>
      </c>
      <c r="O1512" t="s">
        <v>42</v>
      </c>
      <c r="P1512" t="str">
        <f>IF(BBDD_Usiarios_Netflix[[#This Row],[País]]="","Desconocido",BBDD_Usiarios_Netflix[[#This Row],[País]])</f>
        <v>Reino Unido</v>
      </c>
      <c r="Q1512">
        <v>50</v>
      </c>
      <c r="R1512" t="s">
        <v>25</v>
      </c>
      <c r="S1512" t="s">
        <v>34</v>
      </c>
      <c r="T1512" t="s">
        <v>27</v>
      </c>
      <c r="U1512">
        <f>IF(IFERROR(VLOOKUP(BBDD_Usiarios_Netflix[[#This Row],[Identificador Usuario]],A1513:$A$5870,1,FALSE),0)&lt;&gt;0,1,0)</f>
        <v>0</v>
      </c>
      <c r="V1512" s="6" t="str">
        <f>IF(BBDD_Usiarios_Netflix[[#This Row],[Duración Plan]]="12 Meses",LEFT(BBDD_Usiarios_Netflix[[#This Row],[Duración Plan]],2),LEFT(BBDD_Usiarios_Netflix[[#This Row],[Duración Plan]],1))</f>
        <v>1</v>
      </c>
      <c r="W15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13" spans="1:23" x14ac:dyDescent="0.25">
      <c r="A1513">
        <v>1512</v>
      </c>
      <c r="B1513" t="s">
        <v>28</v>
      </c>
      <c r="C1513">
        <v>14</v>
      </c>
      <c r="D1513" s="3">
        <v>27</v>
      </c>
      <c r="E1513" s="3">
        <v>6</v>
      </c>
      <c r="F1513">
        <v>23</v>
      </c>
      <c r="G1513" s="1">
        <f>DATEVALUE(_xlfn.CONCAT(BBDD_Usiarios_Netflix[[#This Row],[Día Suscripción]],"/",BBDD_Usiarios_Netflix[[#This Row],[Mes Suscripción]],"/",BBDD_Usiarios_Netflix[[#This Row],[Año Suscripción]]))</f>
        <v>45104</v>
      </c>
      <c r="H1513" s="1">
        <v>6</v>
      </c>
      <c r="I1513" s="1">
        <v>7</v>
      </c>
      <c r="J1513" s="1">
        <v>24</v>
      </c>
      <c r="K1513" s="1" t="str">
        <f>TEXT(BBDD_Usiarios_Netflix[[#This Row],[Fecha Suscripción]],"dddd")</f>
        <v>martes</v>
      </c>
      <c r="L1513" s="1">
        <f>DATEVALUE(_xlfn.CONCAT(BBDD_Usiarios_Netflix[[#This Row],[Día Último Pago]],"/",BBDD_Usiarios_Netflix[[#This Row],[Mes Último Pago]],"/",BBDD_Usiarios_Netflix[[#This Row],[Año Último Pago]]))</f>
        <v>45479</v>
      </c>
      <c r="M1513" s="4">
        <f>DATEDIF(BBDD_Usiarios_Netflix[[#This Row],[Fecha Suscripción]],BBDD_Usiarios_Netflix[[#This Row],[Fecha Último Pago]],"M")+1</f>
        <v>13</v>
      </c>
      <c r="N1513" s="4">
        <f>BBDD_Usiarios_Netflix[[#This Row],[Ingresos Mensuales]]*BBDD_Usiarios_Netflix[[#This Row],[Meses contratados]]</f>
        <v>182</v>
      </c>
      <c r="O1513" t="s">
        <v>45</v>
      </c>
      <c r="P1513" t="str">
        <f>IF(BBDD_Usiarios_Netflix[[#This Row],[País]]="","Desconocido",BBDD_Usiarios_Netflix[[#This Row],[País]])</f>
        <v>España</v>
      </c>
      <c r="Q1513">
        <v>28</v>
      </c>
      <c r="R1513" t="s">
        <v>30</v>
      </c>
      <c r="S1513" t="s">
        <v>34</v>
      </c>
      <c r="T1513" t="s">
        <v>35</v>
      </c>
      <c r="U1513">
        <f>IF(IFERROR(VLOOKUP(BBDD_Usiarios_Netflix[[#This Row],[Identificador Usuario]],A1514:$A$5870,1,FALSE),0)&lt;&gt;0,1,0)</f>
        <v>0</v>
      </c>
      <c r="V1513" s="6" t="str">
        <f>IF(BBDD_Usiarios_Netflix[[#This Row],[Duración Plan]]="12 Meses",LEFT(BBDD_Usiarios_Netflix[[#This Row],[Duración Plan]],2),LEFT(BBDD_Usiarios_Netflix[[#This Row],[Duración Plan]],1))</f>
        <v>6</v>
      </c>
      <c r="W15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14" spans="1:23" x14ac:dyDescent="0.25">
      <c r="A1514">
        <v>1513</v>
      </c>
      <c r="B1514" t="s">
        <v>32</v>
      </c>
      <c r="C1514">
        <v>12</v>
      </c>
      <c r="D1514" s="3">
        <v>29</v>
      </c>
      <c r="E1514" s="3">
        <v>6</v>
      </c>
      <c r="F1514">
        <v>23</v>
      </c>
      <c r="G1514" s="1">
        <f>DATEVALUE(_xlfn.CONCAT(BBDD_Usiarios_Netflix[[#This Row],[Día Suscripción]],"/",BBDD_Usiarios_Netflix[[#This Row],[Mes Suscripción]],"/",BBDD_Usiarios_Netflix[[#This Row],[Año Suscripción]]))</f>
        <v>45106</v>
      </c>
      <c r="H1514" s="1">
        <v>6</v>
      </c>
      <c r="I1514" s="1">
        <v>7</v>
      </c>
      <c r="J1514" s="1">
        <v>24</v>
      </c>
      <c r="K1514" s="1" t="str">
        <f>TEXT(BBDD_Usiarios_Netflix[[#This Row],[Fecha Suscripción]],"dddd")</f>
        <v>jueves</v>
      </c>
      <c r="L1514" s="1">
        <f>DATEVALUE(_xlfn.CONCAT(BBDD_Usiarios_Netflix[[#This Row],[Día Último Pago]],"/",BBDD_Usiarios_Netflix[[#This Row],[Mes Último Pago]],"/",BBDD_Usiarios_Netflix[[#This Row],[Año Último Pago]]))</f>
        <v>45479</v>
      </c>
      <c r="M1514" s="4">
        <f>DATEDIF(BBDD_Usiarios_Netflix[[#This Row],[Fecha Suscripción]],BBDD_Usiarios_Netflix[[#This Row],[Fecha Último Pago]],"M")+1</f>
        <v>13</v>
      </c>
      <c r="N1514" s="4">
        <f>BBDD_Usiarios_Netflix[[#This Row],[Ingresos Mensuales]]*BBDD_Usiarios_Netflix[[#This Row],[Meses contratados]]</f>
        <v>156</v>
      </c>
      <c r="O1514" t="s">
        <v>45</v>
      </c>
      <c r="P1514" t="str">
        <f>IF(BBDD_Usiarios_Netflix[[#This Row],[País]]="","Desconocido",BBDD_Usiarios_Netflix[[#This Row],[País]])</f>
        <v>España</v>
      </c>
      <c r="Q1514">
        <v>41</v>
      </c>
      <c r="R1514" t="s">
        <v>25</v>
      </c>
      <c r="S1514" t="s">
        <v>26</v>
      </c>
      <c r="T1514" t="s">
        <v>38</v>
      </c>
      <c r="U1514">
        <f>IF(IFERROR(VLOOKUP(BBDD_Usiarios_Netflix[[#This Row],[Identificador Usuario]],A1515:$A$5870,1,FALSE),0)&lt;&gt;0,1,0)</f>
        <v>0</v>
      </c>
      <c r="V1514" s="6" t="str">
        <f>IF(BBDD_Usiarios_Netflix[[#This Row],[Duración Plan]]="12 Meses",LEFT(BBDD_Usiarios_Netflix[[#This Row],[Duración Plan]],2),LEFT(BBDD_Usiarios_Netflix[[#This Row],[Duración Plan]],1))</f>
        <v>3</v>
      </c>
      <c r="W15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15" spans="1:23" x14ac:dyDescent="0.25">
      <c r="A1515">
        <v>1514</v>
      </c>
      <c r="B1515" t="s">
        <v>23</v>
      </c>
      <c r="C1515">
        <v>10</v>
      </c>
      <c r="D1515" s="3">
        <v>1</v>
      </c>
      <c r="E1515" s="3">
        <v>7</v>
      </c>
      <c r="F1515">
        <v>23</v>
      </c>
      <c r="G1515" s="1">
        <f>DATEVALUE(_xlfn.CONCAT(BBDD_Usiarios_Netflix[[#This Row],[Día Suscripción]],"/",BBDD_Usiarios_Netflix[[#This Row],[Mes Suscripción]],"/",BBDD_Usiarios_Netflix[[#This Row],[Año Suscripción]]))</f>
        <v>45108</v>
      </c>
      <c r="H1515" s="1">
        <v>7</v>
      </c>
      <c r="I1515" s="1">
        <v>7</v>
      </c>
      <c r="J1515" s="1">
        <v>24</v>
      </c>
      <c r="K1515" s="1" t="str">
        <f>TEXT(BBDD_Usiarios_Netflix[[#This Row],[Fecha Suscripción]],"dddd")</f>
        <v>sábado</v>
      </c>
      <c r="L1515" s="1">
        <f>DATEVALUE(_xlfn.CONCAT(BBDD_Usiarios_Netflix[[#This Row],[Día Último Pago]],"/",BBDD_Usiarios_Netflix[[#This Row],[Mes Último Pago]],"/",BBDD_Usiarios_Netflix[[#This Row],[Año Último Pago]]))</f>
        <v>45480</v>
      </c>
      <c r="M1515" s="4">
        <f>DATEDIF(BBDD_Usiarios_Netflix[[#This Row],[Fecha Suscripción]],BBDD_Usiarios_Netflix[[#This Row],[Fecha Último Pago]],"M")+1</f>
        <v>13</v>
      </c>
      <c r="N1515" s="4">
        <f>BBDD_Usiarios_Netflix[[#This Row],[Ingresos Mensuales]]*BBDD_Usiarios_Netflix[[#This Row],[Meses contratados]]</f>
        <v>130</v>
      </c>
      <c r="O1515" t="s">
        <v>43</v>
      </c>
      <c r="P1515" t="str">
        <f>IF(BBDD_Usiarios_Netflix[[#This Row],[País]]="","Desconocido",BBDD_Usiarios_Netflix[[#This Row],[País]])</f>
        <v>Alemania</v>
      </c>
      <c r="Q1515">
        <v>30</v>
      </c>
      <c r="R1515" t="s">
        <v>30</v>
      </c>
      <c r="S1515" t="s">
        <v>26</v>
      </c>
      <c r="T1515" t="s">
        <v>27</v>
      </c>
      <c r="U1515">
        <f>IF(IFERROR(VLOOKUP(BBDD_Usiarios_Netflix[[#This Row],[Identificador Usuario]],A1516:$A$5870,1,FALSE),0)&lt;&gt;0,1,0)</f>
        <v>0</v>
      </c>
      <c r="V1515" s="6" t="str">
        <f>IF(BBDD_Usiarios_Netflix[[#This Row],[Duración Plan]]="12 Meses",LEFT(BBDD_Usiarios_Netflix[[#This Row],[Duración Plan]],2),LEFT(BBDD_Usiarios_Netflix[[#This Row],[Duración Plan]],1))</f>
        <v>1</v>
      </c>
      <c r="W15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16" spans="1:23" x14ac:dyDescent="0.25">
      <c r="A1516">
        <v>1515</v>
      </c>
      <c r="B1516" t="s">
        <v>32</v>
      </c>
      <c r="C1516">
        <v>12</v>
      </c>
      <c r="D1516" s="3">
        <v>3</v>
      </c>
      <c r="E1516" s="3">
        <v>7</v>
      </c>
      <c r="F1516">
        <v>23</v>
      </c>
      <c r="G1516" s="1">
        <f>DATEVALUE(_xlfn.CONCAT(BBDD_Usiarios_Netflix[[#This Row],[Día Suscripción]],"/",BBDD_Usiarios_Netflix[[#This Row],[Mes Suscripción]],"/",BBDD_Usiarios_Netflix[[#This Row],[Año Suscripción]]))</f>
        <v>45110</v>
      </c>
      <c r="H1516" s="1">
        <v>4</v>
      </c>
      <c r="I1516" s="1">
        <v>7</v>
      </c>
      <c r="J1516" s="1">
        <v>24</v>
      </c>
      <c r="K1516" s="1" t="str">
        <f>TEXT(BBDD_Usiarios_Netflix[[#This Row],[Fecha Suscripción]],"dddd")</f>
        <v>lunes</v>
      </c>
      <c r="L1516" s="1">
        <f>DATEVALUE(_xlfn.CONCAT(BBDD_Usiarios_Netflix[[#This Row],[Día Último Pago]],"/",BBDD_Usiarios_Netflix[[#This Row],[Mes Último Pago]],"/",BBDD_Usiarios_Netflix[[#This Row],[Año Último Pago]]))</f>
        <v>45477</v>
      </c>
      <c r="M1516" s="4">
        <f>DATEDIF(BBDD_Usiarios_Netflix[[#This Row],[Fecha Suscripción]],BBDD_Usiarios_Netflix[[#This Row],[Fecha Último Pago]],"M")+1</f>
        <v>13</v>
      </c>
      <c r="N1516" s="4">
        <f>BBDD_Usiarios_Netflix[[#This Row],[Ingresos Mensuales]]*BBDD_Usiarios_Netflix[[#This Row],[Meses contratados]]</f>
        <v>156</v>
      </c>
      <c r="O1516" t="s">
        <v>24</v>
      </c>
      <c r="P1516" t="str">
        <f>IF(BBDD_Usiarios_Netflix[[#This Row],[País]]="","Desconocido",BBDD_Usiarios_Netflix[[#This Row],[País]])</f>
        <v>Australia</v>
      </c>
      <c r="Q1516">
        <v>32</v>
      </c>
      <c r="R1516" t="s">
        <v>25</v>
      </c>
      <c r="S1516" t="s">
        <v>34</v>
      </c>
      <c r="T1516" t="s">
        <v>41</v>
      </c>
      <c r="U1516">
        <f>IF(IFERROR(VLOOKUP(BBDD_Usiarios_Netflix[[#This Row],[Identificador Usuario]],A1517:$A$5870,1,FALSE),0)&lt;&gt;0,1,0)</f>
        <v>0</v>
      </c>
      <c r="V1516" s="6" t="str">
        <f>IF(BBDD_Usiarios_Netflix[[#This Row],[Duración Plan]]="12 Meses",LEFT(BBDD_Usiarios_Netflix[[#This Row],[Duración Plan]],2),LEFT(BBDD_Usiarios_Netflix[[#This Row],[Duración Plan]],1))</f>
        <v>12</v>
      </c>
      <c r="W15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17" spans="1:23" x14ac:dyDescent="0.25">
      <c r="A1517">
        <v>1516</v>
      </c>
      <c r="B1517" t="s">
        <v>28</v>
      </c>
      <c r="C1517">
        <v>14</v>
      </c>
      <c r="D1517" s="3">
        <v>12</v>
      </c>
      <c r="E1517" s="3">
        <v>7</v>
      </c>
      <c r="F1517">
        <v>23</v>
      </c>
      <c r="G1517" s="1">
        <f>DATEVALUE(_xlfn.CONCAT(BBDD_Usiarios_Netflix[[#This Row],[Día Suscripción]],"/",BBDD_Usiarios_Netflix[[#This Row],[Mes Suscripción]],"/",BBDD_Usiarios_Netflix[[#This Row],[Año Suscripción]]))</f>
        <v>45119</v>
      </c>
      <c r="H1517" s="1">
        <v>7</v>
      </c>
      <c r="I1517" s="1">
        <v>7</v>
      </c>
      <c r="J1517" s="1">
        <v>24</v>
      </c>
      <c r="K1517" s="1" t="str">
        <f>TEXT(BBDD_Usiarios_Netflix[[#This Row],[Fecha Suscripción]],"dddd")</f>
        <v>miércoles</v>
      </c>
      <c r="L1517" s="1">
        <f>DATEVALUE(_xlfn.CONCAT(BBDD_Usiarios_Netflix[[#This Row],[Día Último Pago]],"/",BBDD_Usiarios_Netflix[[#This Row],[Mes Último Pago]],"/",BBDD_Usiarios_Netflix[[#This Row],[Año Último Pago]]))</f>
        <v>45480</v>
      </c>
      <c r="M1517" s="4">
        <f>DATEDIF(BBDD_Usiarios_Netflix[[#This Row],[Fecha Suscripción]],BBDD_Usiarios_Netflix[[#This Row],[Fecha Último Pago]],"M")+1</f>
        <v>12</v>
      </c>
      <c r="N1517" s="4">
        <f>BBDD_Usiarios_Netflix[[#This Row],[Ingresos Mensuales]]*BBDD_Usiarios_Netflix[[#This Row],[Meses contratados]]</f>
        <v>168</v>
      </c>
      <c r="O1517" t="s">
        <v>45</v>
      </c>
      <c r="P1517" t="str">
        <f>IF(BBDD_Usiarios_Netflix[[#This Row],[País]]="","Desconocido",BBDD_Usiarios_Netflix[[#This Row],[País]])</f>
        <v>España</v>
      </c>
      <c r="Q1517">
        <v>50</v>
      </c>
      <c r="R1517" t="s">
        <v>25</v>
      </c>
      <c r="S1517" t="s">
        <v>36</v>
      </c>
      <c r="T1517" t="s">
        <v>38</v>
      </c>
      <c r="U1517">
        <f>IF(IFERROR(VLOOKUP(BBDD_Usiarios_Netflix[[#This Row],[Identificador Usuario]],A1518:$A$5870,1,FALSE),0)&lt;&gt;0,1,0)</f>
        <v>0</v>
      </c>
      <c r="V1517" s="6" t="str">
        <f>IF(BBDD_Usiarios_Netflix[[#This Row],[Duración Plan]]="12 Meses",LEFT(BBDD_Usiarios_Netflix[[#This Row],[Duración Plan]],2),LEFT(BBDD_Usiarios_Netflix[[#This Row],[Duración Plan]],1))</f>
        <v>3</v>
      </c>
      <c r="W15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18" spans="1:23" x14ac:dyDescent="0.25">
      <c r="A1518">
        <v>1517</v>
      </c>
      <c r="B1518" t="s">
        <v>23</v>
      </c>
      <c r="C1518">
        <v>10</v>
      </c>
      <c r="D1518" s="3">
        <v>15</v>
      </c>
      <c r="E1518" s="3">
        <v>7</v>
      </c>
      <c r="F1518">
        <v>23</v>
      </c>
      <c r="G1518" s="1">
        <f>DATEVALUE(_xlfn.CONCAT(BBDD_Usiarios_Netflix[[#This Row],[Día Suscripción]],"/",BBDD_Usiarios_Netflix[[#This Row],[Mes Suscripción]],"/",BBDD_Usiarios_Netflix[[#This Row],[Año Suscripción]]))</f>
        <v>45122</v>
      </c>
      <c r="H1518" s="1">
        <v>5</v>
      </c>
      <c r="I1518" s="1">
        <v>7</v>
      </c>
      <c r="J1518" s="1">
        <v>24</v>
      </c>
      <c r="K1518" s="1" t="str">
        <f>TEXT(BBDD_Usiarios_Netflix[[#This Row],[Fecha Suscripción]],"dddd")</f>
        <v>sábado</v>
      </c>
      <c r="L1518" s="1">
        <f>DATEVALUE(_xlfn.CONCAT(BBDD_Usiarios_Netflix[[#This Row],[Día Último Pago]],"/",BBDD_Usiarios_Netflix[[#This Row],[Mes Último Pago]],"/",BBDD_Usiarios_Netflix[[#This Row],[Año Último Pago]]))</f>
        <v>45478</v>
      </c>
      <c r="M1518" s="4">
        <f>DATEDIF(BBDD_Usiarios_Netflix[[#This Row],[Fecha Suscripción]],BBDD_Usiarios_Netflix[[#This Row],[Fecha Último Pago]],"M")+1</f>
        <v>12</v>
      </c>
      <c r="N1518" s="4">
        <f>BBDD_Usiarios_Netflix[[#This Row],[Ingresos Mensuales]]*BBDD_Usiarios_Netflix[[#This Row],[Meses contratados]]</f>
        <v>120</v>
      </c>
      <c r="O1518" t="s">
        <v>43</v>
      </c>
      <c r="P1518" t="str">
        <f>IF(BBDD_Usiarios_Netflix[[#This Row],[País]]="","Desconocido",BBDD_Usiarios_Netflix[[#This Row],[País]])</f>
        <v>Alemania</v>
      </c>
      <c r="Q1518">
        <v>28</v>
      </c>
      <c r="R1518" t="s">
        <v>30</v>
      </c>
      <c r="S1518" t="s">
        <v>34</v>
      </c>
      <c r="T1518" t="s">
        <v>38</v>
      </c>
      <c r="U1518">
        <f>IF(IFERROR(VLOOKUP(BBDD_Usiarios_Netflix[[#This Row],[Identificador Usuario]],A1519:$A$5870,1,FALSE),0)&lt;&gt;0,1,0)</f>
        <v>0</v>
      </c>
      <c r="V1518" s="6" t="str">
        <f>IF(BBDD_Usiarios_Netflix[[#This Row],[Duración Plan]]="12 Meses",LEFT(BBDD_Usiarios_Netflix[[#This Row],[Duración Plan]],2),LEFT(BBDD_Usiarios_Netflix[[#This Row],[Duración Plan]],1))</f>
        <v>3</v>
      </c>
      <c r="W15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19" spans="1:23" x14ac:dyDescent="0.25">
      <c r="A1519">
        <v>1518</v>
      </c>
      <c r="B1519" t="s">
        <v>32</v>
      </c>
      <c r="C1519">
        <v>12</v>
      </c>
      <c r="D1519" s="3">
        <v>19</v>
      </c>
      <c r="E1519" s="3">
        <v>7</v>
      </c>
      <c r="F1519">
        <v>23</v>
      </c>
      <c r="G1519" s="1">
        <f>DATEVALUE(_xlfn.CONCAT(BBDD_Usiarios_Netflix[[#This Row],[Día Suscripción]],"/",BBDD_Usiarios_Netflix[[#This Row],[Mes Suscripción]],"/",BBDD_Usiarios_Netflix[[#This Row],[Año Suscripción]]))</f>
        <v>45126</v>
      </c>
      <c r="H1519" s="1">
        <v>7</v>
      </c>
      <c r="I1519" s="1">
        <v>7</v>
      </c>
      <c r="J1519" s="1">
        <v>24</v>
      </c>
      <c r="K1519" s="1" t="str">
        <f>TEXT(BBDD_Usiarios_Netflix[[#This Row],[Fecha Suscripción]],"dddd")</f>
        <v>miércoles</v>
      </c>
      <c r="L1519" s="1">
        <f>DATEVALUE(_xlfn.CONCAT(BBDD_Usiarios_Netflix[[#This Row],[Día Último Pago]],"/",BBDD_Usiarios_Netflix[[#This Row],[Mes Último Pago]],"/",BBDD_Usiarios_Netflix[[#This Row],[Año Último Pago]]))</f>
        <v>45480</v>
      </c>
      <c r="M1519" s="4">
        <f>DATEDIF(BBDD_Usiarios_Netflix[[#This Row],[Fecha Suscripción]],BBDD_Usiarios_Netflix[[#This Row],[Fecha Último Pago]],"M")+1</f>
        <v>12</v>
      </c>
      <c r="N1519" s="4">
        <f>BBDD_Usiarios_Netflix[[#This Row],[Ingresos Mensuales]]*BBDD_Usiarios_Netflix[[#This Row],[Meses contratados]]</f>
        <v>144</v>
      </c>
      <c r="O1519" t="s">
        <v>40</v>
      </c>
      <c r="P1519" t="str">
        <f>IF(BBDD_Usiarios_Netflix[[#This Row],[País]]="","Desconocido",BBDD_Usiarios_Netflix[[#This Row],[País]])</f>
        <v>Italia</v>
      </c>
      <c r="Q1519">
        <v>45</v>
      </c>
      <c r="R1519" t="s">
        <v>25</v>
      </c>
      <c r="S1519" t="s">
        <v>34</v>
      </c>
      <c r="T1519" t="s">
        <v>41</v>
      </c>
      <c r="U1519">
        <f>IF(IFERROR(VLOOKUP(BBDD_Usiarios_Netflix[[#This Row],[Identificador Usuario]],A1520:$A$5870,1,FALSE),0)&lt;&gt;0,1,0)</f>
        <v>0</v>
      </c>
      <c r="V1519" s="6" t="str">
        <f>IF(BBDD_Usiarios_Netflix[[#This Row],[Duración Plan]]="12 Meses",LEFT(BBDD_Usiarios_Netflix[[#This Row],[Duración Plan]],2),LEFT(BBDD_Usiarios_Netflix[[#This Row],[Duración Plan]],1))</f>
        <v>12</v>
      </c>
      <c r="W15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20" spans="1:23" x14ac:dyDescent="0.25">
      <c r="A1520">
        <v>1519</v>
      </c>
      <c r="B1520" t="s">
        <v>28</v>
      </c>
      <c r="C1520">
        <v>14</v>
      </c>
      <c r="D1520" s="3">
        <v>27</v>
      </c>
      <c r="E1520" s="3">
        <v>7</v>
      </c>
      <c r="F1520">
        <v>23</v>
      </c>
      <c r="G1520" s="1">
        <f>DATEVALUE(_xlfn.CONCAT(BBDD_Usiarios_Netflix[[#This Row],[Día Suscripción]],"/",BBDD_Usiarios_Netflix[[#This Row],[Mes Suscripción]],"/",BBDD_Usiarios_Netflix[[#This Row],[Año Suscripción]]))</f>
        <v>45134</v>
      </c>
      <c r="H1520" s="1">
        <v>5</v>
      </c>
      <c r="I1520" s="1">
        <v>7</v>
      </c>
      <c r="J1520" s="1">
        <v>24</v>
      </c>
      <c r="K1520" s="1" t="str">
        <f>TEXT(BBDD_Usiarios_Netflix[[#This Row],[Fecha Suscripción]],"dddd")</f>
        <v>jueves</v>
      </c>
      <c r="L1520" s="1">
        <f>DATEVALUE(_xlfn.CONCAT(BBDD_Usiarios_Netflix[[#This Row],[Día Último Pago]],"/",BBDD_Usiarios_Netflix[[#This Row],[Mes Último Pago]],"/",BBDD_Usiarios_Netflix[[#This Row],[Año Último Pago]]))</f>
        <v>45478</v>
      </c>
      <c r="M1520" s="4">
        <f>DATEDIF(BBDD_Usiarios_Netflix[[#This Row],[Fecha Suscripción]],BBDD_Usiarios_Netflix[[#This Row],[Fecha Último Pago]],"M")+1</f>
        <v>12</v>
      </c>
      <c r="N1520" s="4">
        <f>BBDD_Usiarios_Netflix[[#This Row],[Ingresos Mensuales]]*BBDD_Usiarios_Netflix[[#This Row],[Meses contratados]]</f>
        <v>168</v>
      </c>
      <c r="O1520" t="s">
        <v>45</v>
      </c>
      <c r="P1520" t="str">
        <f>IF(BBDD_Usiarios_Netflix[[#This Row],[País]]="","Desconocido",BBDD_Usiarios_Netflix[[#This Row],[País]])</f>
        <v>España</v>
      </c>
      <c r="Q1520">
        <v>31</v>
      </c>
      <c r="R1520" t="s">
        <v>25</v>
      </c>
      <c r="S1520" t="s">
        <v>31</v>
      </c>
      <c r="T1520" t="s">
        <v>27</v>
      </c>
      <c r="U1520">
        <f>IF(IFERROR(VLOOKUP(BBDD_Usiarios_Netflix[[#This Row],[Identificador Usuario]],A1521:$A$5870,1,FALSE),0)&lt;&gt;0,1,0)</f>
        <v>0</v>
      </c>
      <c r="V1520" s="6" t="str">
        <f>IF(BBDD_Usiarios_Netflix[[#This Row],[Duración Plan]]="12 Meses",LEFT(BBDD_Usiarios_Netflix[[#This Row],[Duración Plan]],2),LEFT(BBDD_Usiarios_Netflix[[#This Row],[Duración Plan]],1))</f>
        <v>1</v>
      </c>
      <c r="W15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21" spans="1:23" x14ac:dyDescent="0.25">
      <c r="A1521">
        <v>1520</v>
      </c>
      <c r="B1521" t="s">
        <v>23</v>
      </c>
      <c r="C1521">
        <v>10</v>
      </c>
      <c r="D1521" s="3">
        <v>29</v>
      </c>
      <c r="E1521" s="3">
        <v>7</v>
      </c>
      <c r="F1521">
        <v>23</v>
      </c>
      <c r="G1521" s="1">
        <f>DATEVALUE(_xlfn.CONCAT(BBDD_Usiarios_Netflix[[#This Row],[Día Suscripción]],"/",BBDD_Usiarios_Netflix[[#This Row],[Mes Suscripción]],"/",BBDD_Usiarios_Netflix[[#This Row],[Año Suscripción]]))</f>
        <v>45136</v>
      </c>
      <c r="H1521" s="1">
        <v>6</v>
      </c>
      <c r="I1521" s="1">
        <v>7</v>
      </c>
      <c r="J1521" s="1">
        <v>24</v>
      </c>
      <c r="K1521" s="1" t="str">
        <f>TEXT(BBDD_Usiarios_Netflix[[#This Row],[Fecha Suscripción]],"dddd")</f>
        <v>sábado</v>
      </c>
      <c r="L1521" s="1">
        <f>DATEVALUE(_xlfn.CONCAT(BBDD_Usiarios_Netflix[[#This Row],[Día Último Pago]],"/",BBDD_Usiarios_Netflix[[#This Row],[Mes Último Pago]],"/",BBDD_Usiarios_Netflix[[#This Row],[Año Último Pago]]))</f>
        <v>45479</v>
      </c>
      <c r="M1521" s="4">
        <f>DATEDIF(BBDD_Usiarios_Netflix[[#This Row],[Fecha Suscripción]],BBDD_Usiarios_Netflix[[#This Row],[Fecha Último Pago]],"M")+1</f>
        <v>12</v>
      </c>
      <c r="N1521" s="4">
        <f>BBDD_Usiarios_Netflix[[#This Row],[Ingresos Mensuales]]*BBDD_Usiarios_Netflix[[#This Row],[Meses contratados]]</f>
        <v>120</v>
      </c>
      <c r="O1521" t="s">
        <v>45</v>
      </c>
      <c r="P1521" t="str">
        <f>IF(BBDD_Usiarios_Netflix[[#This Row],[País]]="","Desconocido",BBDD_Usiarios_Netflix[[#This Row],[País]])</f>
        <v>España</v>
      </c>
      <c r="Q1521">
        <v>27</v>
      </c>
      <c r="R1521" t="s">
        <v>30</v>
      </c>
      <c r="S1521" t="s">
        <v>26</v>
      </c>
      <c r="T1521" t="s">
        <v>27</v>
      </c>
      <c r="U1521">
        <f>IF(IFERROR(VLOOKUP(BBDD_Usiarios_Netflix[[#This Row],[Identificador Usuario]],A1522:$A$5870,1,FALSE),0)&lt;&gt;0,1,0)</f>
        <v>0</v>
      </c>
      <c r="V1521" s="6" t="str">
        <f>IF(BBDD_Usiarios_Netflix[[#This Row],[Duración Plan]]="12 Meses",LEFT(BBDD_Usiarios_Netflix[[#This Row],[Duración Plan]],2),LEFT(BBDD_Usiarios_Netflix[[#This Row],[Duración Plan]],1))</f>
        <v>1</v>
      </c>
      <c r="W15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22" spans="1:23" x14ac:dyDescent="0.25">
      <c r="A1522">
        <v>1521</v>
      </c>
      <c r="B1522" t="s">
        <v>28</v>
      </c>
      <c r="C1522">
        <v>14</v>
      </c>
      <c r="D1522" s="3">
        <v>6</v>
      </c>
      <c r="E1522" s="3">
        <v>8</v>
      </c>
      <c r="F1522">
        <v>23</v>
      </c>
      <c r="G1522" s="1">
        <f>DATEVALUE(_xlfn.CONCAT(BBDD_Usiarios_Netflix[[#This Row],[Día Suscripción]],"/",BBDD_Usiarios_Netflix[[#This Row],[Mes Suscripción]],"/",BBDD_Usiarios_Netflix[[#This Row],[Año Suscripción]]))</f>
        <v>45144</v>
      </c>
      <c r="H1522" s="1">
        <v>5</v>
      </c>
      <c r="I1522" s="1">
        <v>7</v>
      </c>
      <c r="J1522" s="1">
        <v>24</v>
      </c>
      <c r="K1522" s="1" t="str">
        <f>TEXT(BBDD_Usiarios_Netflix[[#This Row],[Fecha Suscripción]],"dddd")</f>
        <v>domingo</v>
      </c>
      <c r="L1522" s="1">
        <f>DATEVALUE(_xlfn.CONCAT(BBDD_Usiarios_Netflix[[#This Row],[Día Último Pago]],"/",BBDD_Usiarios_Netflix[[#This Row],[Mes Último Pago]],"/",BBDD_Usiarios_Netflix[[#This Row],[Año Último Pago]]))</f>
        <v>45478</v>
      </c>
      <c r="M1522" s="4">
        <f>DATEDIF(BBDD_Usiarios_Netflix[[#This Row],[Fecha Suscripción]],BBDD_Usiarios_Netflix[[#This Row],[Fecha Último Pago]],"M")+1</f>
        <v>11</v>
      </c>
      <c r="N1522" s="4">
        <f>BBDD_Usiarios_Netflix[[#This Row],[Ingresos Mensuales]]*BBDD_Usiarios_Netflix[[#This Row],[Meses contratados]]</f>
        <v>154</v>
      </c>
      <c r="O1522" t="s">
        <v>29</v>
      </c>
      <c r="P1522" t="str">
        <f>IF(BBDD_Usiarios_Netflix[[#This Row],[País]]="","Desconocido",BBDD_Usiarios_Netflix[[#This Row],[País]])</f>
        <v>EEUU</v>
      </c>
      <c r="Q1522">
        <v>49</v>
      </c>
      <c r="R1522" t="s">
        <v>25</v>
      </c>
      <c r="S1522" t="s">
        <v>31</v>
      </c>
      <c r="T1522" t="s">
        <v>35</v>
      </c>
      <c r="U1522">
        <f>IF(IFERROR(VLOOKUP(BBDD_Usiarios_Netflix[[#This Row],[Identificador Usuario]],A1523:$A$5870,1,FALSE),0)&lt;&gt;0,1,0)</f>
        <v>0</v>
      </c>
      <c r="V1522" s="6" t="str">
        <f>IF(BBDD_Usiarios_Netflix[[#This Row],[Duración Plan]]="12 Meses",LEFT(BBDD_Usiarios_Netflix[[#This Row],[Duración Plan]],2),LEFT(BBDD_Usiarios_Netflix[[#This Row],[Duración Plan]],1))</f>
        <v>6</v>
      </c>
      <c r="W15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23" spans="1:23" x14ac:dyDescent="0.25">
      <c r="A1523">
        <v>1522</v>
      </c>
      <c r="B1523" t="s">
        <v>23</v>
      </c>
      <c r="C1523">
        <v>10</v>
      </c>
      <c r="D1523" s="3">
        <v>13</v>
      </c>
      <c r="E1523" s="3">
        <v>8</v>
      </c>
      <c r="F1523">
        <v>23</v>
      </c>
      <c r="G1523" s="1">
        <f>DATEVALUE(_xlfn.CONCAT(BBDD_Usiarios_Netflix[[#This Row],[Día Suscripción]],"/",BBDD_Usiarios_Netflix[[#This Row],[Mes Suscripción]],"/",BBDD_Usiarios_Netflix[[#This Row],[Año Suscripción]]))</f>
        <v>45151</v>
      </c>
      <c r="H1523" s="1">
        <v>6</v>
      </c>
      <c r="I1523" s="1">
        <v>7</v>
      </c>
      <c r="J1523" s="1">
        <v>24</v>
      </c>
      <c r="K1523" s="1" t="str">
        <f>TEXT(BBDD_Usiarios_Netflix[[#This Row],[Fecha Suscripción]],"dddd")</f>
        <v>domingo</v>
      </c>
      <c r="L1523" s="1">
        <f>DATEVALUE(_xlfn.CONCAT(BBDD_Usiarios_Netflix[[#This Row],[Día Último Pago]],"/",BBDD_Usiarios_Netflix[[#This Row],[Mes Último Pago]],"/",BBDD_Usiarios_Netflix[[#This Row],[Año Último Pago]]))</f>
        <v>45479</v>
      </c>
      <c r="M1523" s="4">
        <f>DATEDIF(BBDD_Usiarios_Netflix[[#This Row],[Fecha Suscripción]],BBDD_Usiarios_Netflix[[#This Row],[Fecha Último Pago]],"M")+1</f>
        <v>11</v>
      </c>
      <c r="N1523" s="4">
        <f>BBDD_Usiarios_Netflix[[#This Row],[Ingresos Mensuales]]*BBDD_Usiarios_Netflix[[#This Row],[Meses contratados]]</f>
        <v>110</v>
      </c>
      <c r="O1523" t="s">
        <v>42</v>
      </c>
      <c r="P1523" t="str">
        <f>IF(BBDD_Usiarios_Netflix[[#This Row],[País]]="","Desconocido",BBDD_Usiarios_Netflix[[#This Row],[País]])</f>
        <v>Reino Unido</v>
      </c>
      <c r="Q1523">
        <v>32</v>
      </c>
      <c r="R1523" t="s">
        <v>30</v>
      </c>
      <c r="S1523" t="s">
        <v>36</v>
      </c>
      <c r="T1523" t="s">
        <v>27</v>
      </c>
      <c r="U1523">
        <f>IF(IFERROR(VLOOKUP(BBDD_Usiarios_Netflix[[#This Row],[Identificador Usuario]],A1524:$A$5870,1,FALSE),0)&lt;&gt;0,1,0)</f>
        <v>0</v>
      </c>
      <c r="V1523" s="6" t="str">
        <f>IF(BBDD_Usiarios_Netflix[[#This Row],[Duración Plan]]="12 Meses",LEFT(BBDD_Usiarios_Netflix[[#This Row],[Duración Plan]],2),LEFT(BBDD_Usiarios_Netflix[[#This Row],[Duración Plan]],1))</f>
        <v>1</v>
      </c>
      <c r="W15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24" spans="1:23" x14ac:dyDescent="0.25">
      <c r="A1524">
        <v>1523</v>
      </c>
      <c r="B1524" t="s">
        <v>32</v>
      </c>
      <c r="C1524">
        <v>12</v>
      </c>
      <c r="D1524" s="3">
        <v>14</v>
      </c>
      <c r="E1524" s="3">
        <v>8</v>
      </c>
      <c r="F1524">
        <v>23</v>
      </c>
      <c r="G1524" s="1">
        <f>DATEVALUE(_xlfn.CONCAT(BBDD_Usiarios_Netflix[[#This Row],[Día Suscripción]],"/",BBDD_Usiarios_Netflix[[#This Row],[Mes Suscripción]],"/",BBDD_Usiarios_Netflix[[#This Row],[Año Suscripción]]))</f>
        <v>45152</v>
      </c>
      <c r="H1524" s="1">
        <v>5</v>
      </c>
      <c r="I1524" s="1">
        <v>7</v>
      </c>
      <c r="J1524" s="1">
        <v>24</v>
      </c>
      <c r="K1524" s="1" t="str">
        <f>TEXT(BBDD_Usiarios_Netflix[[#This Row],[Fecha Suscripción]],"dddd")</f>
        <v>lunes</v>
      </c>
      <c r="L1524" s="1">
        <f>DATEVALUE(_xlfn.CONCAT(BBDD_Usiarios_Netflix[[#This Row],[Día Último Pago]],"/",BBDD_Usiarios_Netflix[[#This Row],[Mes Último Pago]],"/",BBDD_Usiarios_Netflix[[#This Row],[Año Último Pago]]))</f>
        <v>45478</v>
      </c>
      <c r="M1524" s="4">
        <f>DATEDIF(BBDD_Usiarios_Netflix[[#This Row],[Fecha Suscripción]],BBDD_Usiarios_Netflix[[#This Row],[Fecha Último Pago]],"M")+1</f>
        <v>11</v>
      </c>
      <c r="N1524" s="4">
        <f>BBDD_Usiarios_Netflix[[#This Row],[Ingresos Mensuales]]*BBDD_Usiarios_Netflix[[#This Row],[Meses contratados]]</f>
        <v>132</v>
      </c>
      <c r="O1524" t="s">
        <v>24</v>
      </c>
      <c r="P1524" t="str">
        <f>IF(BBDD_Usiarios_Netflix[[#This Row],[País]]="","Desconocido",BBDD_Usiarios_Netflix[[#This Row],[País]])</f>
        <v>Australia</v>
      </c>
      <c r="Q1524">
        <v>38</v>
      </c>
      <c r="R1524" t="s">
        <v>25</v>
      </c>
      <c r="S1524" t="s">
        <v>34</v>
      </c>
      <c r="T1524" t="s">
        <v>35</v>
      </c>
      <c r="U1524">
        <f>IF(IFERROR(VLOOKUP(BBDD_Usiarios_Netflix[[#This Row],[Identificador Usuario]],A1525:$A$5870,1,FALSE),0)&lt;&gt;0,1,0)</f>
        <v>0</v>
      </c>
      <c r="V1524" s="6" t="str">
        <f>IF(BBDD_Usiarios_Netflix[[#This Row],[Duración Plan]]="12 Meses",LEFT(BBDD_Usiarios_Netflix[[#This Row],[Duración Plan]],2),LEFT(BBDD_Usiarios_Netflix[[#This Row],[Duración Plan]],1))</f>
        <v>6</v>
      </c>
      <c r="W15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25" spans="1:23" x14ac:dyDescent="0.25">
      <c r="A1525">
        <v>1524</v>
      </c>
      <c r="B1525" t="s">
        <v>32</v>
      </c>
      <c r="C1525">
        <v>12</v>
      </c>
      <c r="D1525" s="3">
        <v>20</v>
      </c>
      <c r="E1525" s="3">
        <v>8</v>
      </c>
      <c r="F1525">
        <v>23</v>
      </c>
      <c r="G1525" s="1">
        <f>DATEVALUE(_xlfn.CONCAT(BBDD_Usiarios_Netflix[[#This Row],[Día Suscripción]],"/",BBDD_Usiarios_Netflix[[#This Row],[Mes Suscripción]],"/",BBDD_Usiarios_Netflix[[#This Row],[Año Suscripción]]))</f>
        <v>45158</v>
      </c>
      <c r="H1525" s="1">
        <v>7</v>
      </c>
      <c r="I1525" s="1">
        <v>7</v>
      </c>
      <c r="J1525" s="1">
        <v>24</v>
      </c>
      <c r="K1525" s="1" t="str">
        <f>TEXT(BBDD_Usiarios_Netflix[[#This Row],[Fecha Suscripción]],"dddd")</f>
        <v>domingo</v>
      </c>
      <c r="L1525" s="1">
        <f>DATEVALUE(_xlfn.CONCAT(BBDD_Usiarios_Netflix[[#This Row],[Día Último Pago]],"/",BBDD_Usiarios_Netflix[[#This Row],[Mes Último Pago]],"/",BBDD_Usiarios_Netflix[[#This Row],[Año Último Pago]]))</f>
        <v>45480</v>
      </c>
      <c r="M1525" s="4">
        <f>DATEDIF(BBDD_Usiarios_Netflix[[#This Row],[Fecha Suscripción]],BBDD_Usiarios_Netflix[[#This Row],[Fecha Último Pago]],"M")+1</f>
        <v>11</v>
      </c>
      <c r="N1525" s="4">
        <f>BBDD_Usiarios_Netflix[[#This Row],[Ingresos Mensuales]]*BBDD_Usiarios_Netflix[[#This Row],[Meses contratados]]</f>
        <v>132</v>
      </c>
      <c r="O1525" t="s">
        <v>33</v>
      </c>
      <c r="P1525" t="str">
        <f>IF(BBDD_Usiarios_Netflix[[#This Row],[País]]="","Desconocido",BBDD_Usiarios_Netflix[[#This Row],[País]])</f>
        <v>Francia</v>
      </c>
      <c r="Q1525">
        <v>39</v>
      </c>
      <c r="R1525" t="s">
        <v>25</v>
      </c>
      <c r="S1525" t="s">
        <v>26</v>
      </c>
      <c r="T1525" t="s">
        <v>27</v>
      </c>
      <c r="U1525">
        <f>IF(IFERROR(VLOOKUP(BBDD_Usiarios_Netflix[[#This Row],[Identificador Usuario]],A1526:$A$5870,1,FALSE),0)&lt;&gt;0,1,0)</f>
        <v>0</v>
      </c>
      <c r="V1525" s="6" t="str">
        <f>IF(BBDD_Usiarios_Netflix[[#This Row],[Duración Plan]]="12 Meses",LEFT(BBDD_Usiarios_Netflix[[#This Row],[Duración Plan]],2),LEFT(BBDD_Usiarios_Netflix[[#This Row],[Duración Plan]],1))</f>
        <v>1</v>
      </c>
      <c r="W15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26" spans="1:23" x14ac:dyDescent="0.25">
      <c r="A1526">
        <v>1525</v>
      </c>
      <c r="B1526" t="s">
        <v>23</v>
      </c>
      <c r="C1526">
        <v>10</v>
      </c>
      <c r="D1526" s="3">
        <v>24</v>
      </c>
      <c r="E1526" s="3">
        <v>8</v>
      </c>
      <c r="F1526">
        <v>23</v>
      </c>
      <c r="G1526" s="1">
        <f>DATEVALUE(_xlfn.CONCAT(BBDD_Usiarios_Netflix[[#This Row],[Día Suscripción]],"/",BBDD_Usiarios_Netflix[[#This Row],[Mes Suscripción]],"/",BBDD_Usiarios_Netflix[[#This Row],[Año Suscripción]]))</f>
        <v>45162</v>
      </c>
      <c r="H1526" s="1">
        <v>4</v>
      </c>
      <c r="I1526" s="1">
        <v>7</v>
      </c>
      <c r="J1526" s="1">
        <v>24</v>
      </c>
      <c r="K1526" s="1" t="str">
        <f>TEXT(BBDD_Usiarios_Netflix[[#This Row],[Fecha Suscripción]],"dddd")</f>
        <v>jueves</v>
      </c>
      <c r="L1526" s="1">
        <f>DATEVALUE(_xlfn.CONCAT(BBDD_Usiarios_Netflix[[#This Row],[Día Último Pago]],"/",BBDD_Usiarios_Netflix[[#This Row],[Mes Último Pago]],"/",BBDD_Usiarios_Netflix[[#This Row],[Año Último Pago]]))</f>
        <v>45477</v>
      </c>
      <c r="M1526" s="4">
        <f>DATEDIF(BBDD_Usiarios_Netflix[[#This Row],[Fecha Suscripción]],BBDD_Usiarios_Netflix[[#This Row],[Fecha Último Pago]],"M")+1</f>
        <v>11</v>
      </c>
      <c r="N1526" s="4">
        <f>BBDD_Usiarios_Netflix[[#This Row],[Ingresos Mensuales]]*BBDD_Usiarios_Netflix[[#This Row],[Meses contratados]]</f>
        <v>110</v>
      </c>
      <c r="O1526" t="s">
        <v>39</v>
      </c>
      <c r="P1526" t="str">
        <f>IF(BBDD_Usiarios_Netflix[[#This Row],[País]]="","Desconocido",BBDD_Usiarios_Netflix[[#This Row],[País]])</f>
        <v>Canadá</v>
      </c>
      <c r="Q1526">
        <v>50</v>
      </c>
      <c r="R1526" t="s">
        <v>30</v>
      </c>
      <c r="S1526" t="s">
        <v>31</v>
      </c>
      <c r="T1526" t="s">
        <v>35</v>
      </c>
      <c r="U1526">
        <f>IF(IFERROR(VLOOKUP(BBDD_Usiarios_Netflix[[#This Row],[Identificador Usuario]],A1527:$A$5870,1,FALSE),0)&lt;&gt;0,1,0)</f>
        <v>0</v>
      </c>
      <c r="V1526" s="6" t="str">
        <f>IF(BBDD_Usiarios_Netflix[[#This Row],[Duración Plan]]="12 Meses",LEFT(BBDD_Usiarios_Netflix[[#This Row],[Duración Plan]],2),LEFT(BBDD_Usiarios_Netflix[[#This Row],[Duración Plan]],1))</f>
        <v>6</v>
      </c>
      <c r="W15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27" spans="1:23" x14ac:dyDescent="0.25">
      <c r="A1527">
        <v>1526</v>
      </c>
      <c r="B1527" t="s">
        <v>28</v>
      </c>
      <c r="C1527">
        <v>14</v>
      </c>
      <c r="D1527" s="3">
        <v>28</v>
      </c>
      <c r="E1527" s="3">
        <v>8</v>
      </c>
      <c r="F1527">
        <v>23</v>
      </c>
      <c r="G1527" s="1">
        <f>DATEVALUE(_xlfn.CONCAT(BBDD_Usiarios_Netflix[[#This Row],[Día Suscripción]],"/",BBDD_Usiarios_Netflix[[#This Row],[Mes Suscripción]],"/",BBDD_Usiarios_Netflix[[#This Row],[Año Suscripción]]))</f>
        <v>45166</v>
      </c>
      <c r="H1527" s="1">
        <v>6</v>
      </c>
      <c r="I1527" s="1">
        <v>7</v>
      </c>
      <c r="J1527" s="1">
        <v>24</v>
      </c>
      <c r="K1527" s="1" t="str">
        <f>TEXT(BBDD_Usiarios_Netflix[[#This Row],[Fecha Suscripción]],"dddd")</f>
        <v>lunes</v>
      </c>
      <c r="L1527" s="1">
        <f>DATEVALUE(_xlfn.CONCAT(BBDD_Usiarios_Netflix[[#This Row],[Día Último Pago]],"/",BBDD_Usiarios_Netflix[[#This Row],[Mes Último Pago]],"/",BBDD_Usiarios_Netflix[[#This Row],[Año Último Pago]]))</f>
        <v>45479</v>
      </c>
      <c r="M1527" s="4">
        <f>DATEDIF(BBDD_Usiarios_Netflix[[#This Row],[Fecha Suscripción]],BBDD_Usiarios_Netflix[[#This Row],[Fecha Último Pago]],"M")+1</f>
        <v>11</v>
      </c>
      <c r="N1527" s="4">
        <f>BBDD_Usiarios_Netflix[[#This Row],[Ingresos Mensuales]]*BBDD_Usiarios_Netflix[[#This Row],[Meses contratados]]</f>
        <v>154</v>
      </c>
      <c r="O1527" t="s">
        <v>43</v>
      </c>
      <c r="P1527" t="str">
        <f>IF(BBDD_Usiarios_Netflix[[#This Row],[País]]="","Desconocido",BBDD_Usiarios_Netflix[[#This Row],[País]])</f>
        <v>Alemania</v>
      </c>
      <c r="Q1527">
        <v>51</v>
      </c>
      <c r="R1527" t="s">
        <v>25</v>
      </c>
      <c r="S1527" t="s">
        <v>31</v>
      </c>
      <c r="T1527" t="s">
        <v>27</v>
      </c>
      <c r="U1527">
        <f>IF(IFERROR(VLOOKUP(BBDD_Usiarios_Netflix[[#This Row],[Identificador Usuario]],A1528:$A$5870,1,FALSE),0)&lt;&gt;0,1,0)</f>
        <v>0</v>
      </c>
      <c r="V1527" s="6" t="str">
        <f>IF(BBDD_Usiarios_Netflix[[#This Row],[Duración Plan]]="12 Meses",LEFT(BBDD_Usiarios_Netflix[[#This Row],[Duración Plan]],2),LEFT(BBDD_Usiarios_Netflix[[#This Row],[Duración Plan]],1))</f>
        <v>1</v>
      </c>
      <c r="W15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28" spans="1:23" x14ac:dyDescent="0.25">
      <c r="A1528">
        <v>1527</v>
      </c>
      <c r="B1528" t="s">
        <v>23</v>
      </c>
      <c r="C1528">
        <v>10</v>
      </c>
      <c r="D1528" s="3">
        <v>5</v>
      </c>
      <c r="E1528" s="3">
        <v>9</v>
      </c>
      <c r="F1528">
        <v>23</v>
      </c>
      <c r="G1528" s="1">
        <f>DATEVALUE(_xlfn.CONCAT(BBDD_Usiarios_Netflix[[#This Row],[Día Suscripción]],"/",BBDD_Usiarios_Netflix[[#This Row],[Mes Suscripción]],"/",BBDD_Usiarios_Netflix[[#This Row],[Año Suscripción]]))</f>
        <v>45174</v>
      </c>
      <c r="H1528" s="1">
        <v>5</v>
      </c>
      <c r="I1528" s="1">
        <v>7</v>
      </c>
      <c r="J1528" s="1">
        <v>24</v>
      </c>
      <c r="K1528" s="1" t="str">
        <f>TEXT(BBDD_Usiarios_Netflix[[#This Row],[Fecha Suscripción]],"dddd")</f>
        <v>martes</v>
      </c>
      <c r="L1528" s="1">
        <f>DATEVALUE(_xlfn.CONCAT(BBDD_Usiarios_Netflix[[#This Row],[Día Último Pago]],"/",BBDD_Usiarios_Netflix[[#This Row],[Mes Último Pago]],"/",BBDD_Usiarios_Netflix[[#This Row],[Año Último Pago]]))</f>
        <v>45478</v>
      </c>
      <c r="M1528" s="4">
        <f>DATEDIF(BBDD_Usiarios_Netflix[[#This Row],[Fecha Suscripción]],BBDD_Usiarios_Netflix[[#This Row],[Fecha Último Pago]],"M")+1</f>
        <v>11</v>
      </c>
      <c r="N1528" s="4">
        <f>BBDD_Usiarios_Netflix[[#This Row],[Ingresos Mensuales]]*BBDD_Usiarios_Netflix[[#This Row],[Meses contratados]]</f>
        <v>110</v>
      </c>
      <c r="O1528" t="s">
        <v>43</v>
      </c>
      <c r="P1528" t="str">
        <f>IF(BBDD_Usiarios_Netflix[[#This Row],[País]]="","Desconocido",BBDD_Usiarios_Netflix[[#This Row],[País]])</f>
        <v>Alemania</v>
      </c>
      <c r="Q1528">
        <v>32</v>
      </c>
      <c r="R1528" t="s">
        <v>30</v>
      </c>
      <c r="S1528" t="s">
        <v>34</v>
      </c>
      <c r="T1528" t="s">
        <v>27</v>
      </c>
      <c r="U1528">
        <f>IF(IFERROR(VLOOKUP(BBDD_Usiarios_Netflix[[#This Row],[Identificador Usuario]],A1529:$A$5870,1,FALSE),0)&lt;&gt;0,1,0)</f>
        <v>0</v>
      </c>
      <c r="V1528" s="6" t="str">
        <f>IF(BBDD_Usiarios_Netflix[[#This Row],[Duración Plan]]="12 Meses",LEFT(BBDD_Usiarios_Netflix[[#This Row],[Duración Plan]],2),LEFT(BBDD_Usiarios_Netflix[[#This Row],[Duración Plan]],1))</f>
        <v>1</v>
      </c>
      <c r="W15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29" spans="1:23" x14ac:dyDescent="0.25">
      <c r="A1529">
        <v>1528</v>
      </c>
      <c r="B1529" t="s">
        <v>32</v>
      </c>
      <c r="C1529">
        <v>12</v>
      </c>
      <c r="D1529" s="3">
        <v>10</v>
      </c>
      <c r="E1529" s="3">
        <v>9</v>
      </c>
      <c r="F1529">
        <v>23</v>
      </c>
      <c r="G1529" s="1">
        <f>DATEVALUE(_xlfn.CONCAT(BBDD_Usiarios_Netflix[[#This Row],[Día Suscripción]],"/",BBDD_Usiarios_Netflix[[#This Row],[Mes Suscripción]],"/",BBDD_Usiarios_Netflix[[#This Row],[Año Suscripción]]))</f>
        <v>45179</v>
      </c>
      <c r="H1529" s="1">
        <v>7</v>
      </c>
      <c r="I1529" s="1">
        <v>7</v>
      </c>
      <c r="J1529" s="1">
        <v>24</v>
      </c>
      <c r="K1529" s="1" t="str">
        <f>TEXT(BBDD_Usiarios_Netflix[[#This Row],[Fecha Suscripción]],"dddd")</f>
        <v>domingo</v>
      </c>
      <c r="L1529" s="1">
        <f>DATEVALUE(_xlfn.CONCAT(BBDD_Usiarios_Netflix[[#This Row],[Día Último Pago]],"/",BBDD_Usiarios_Netflix[[#This Row],[Mes Último Pago]],"/",BBDD_Usiarios_Netflix[[#This Row],[Año Último Pago]]))</f>
        <v>45480</v>
      </c>
      <c r="M1529" s="4">
        <f>DATEDIF(BBDD_Usiarios_Netflix[[#This Row],[Fecha Suscripción]],BBDD_Usiarios_Netflix[[#This Row],[Fecha Último Pago]],"M")+1</f>
        <v>10</v>
      </c>
      <c r="N1529" s="4">
        <f>BBDD_Usiarios_Netflix[[#This Row],[Ingresos Mensuales]]*BBDD_Usiarios_Netflix[[#This Row],[Meses contratados]]</f>
        <v>120</v>
      </c>
      <c r="O1529" t="s">
        <v>29</v>
      </c>
      <c r="P1529" t="str">
        <f>IF(BBDD_Usiarios_Netflix[[#This Row],[País]]="","Desconocido",BBDD_Usiarios_Netflix[[#This Row],[País]])</f>
        <v>EEUU</v>
      </c>
      <c r="Q1529">
        <v>45</v>
      </c>
      <c r="R1529" t="s">
        <v>30</v>
      </c>
      <c r="S1529" t="s">
        <v>34</v>
      </c>
      <c r="T1529" t="s">
        <v>35</v>
      </c>
      <c r="U1529">
        <f>IF(IFERROR(VLOOKUP(BBDD_Usiarios_Netflix[[#This Row],[Identificador Usuario]],A1530:$A$5870,1,FALSE),0)&lt;&gt;0,1,0)</f>
        <v>0</v>
      </c>
      <c r="V1529" s="6" t="str">
        <f>IF(BBDD_Usiarios_Netflix[[#This Row],[Duración Plan]]="12 Meses",LEFT(BBDD_Usiarios_Netflix[[#This Row],[Duración Plan]],2),LEFT(BBDD_Usiarios_Netflix[[#This Row],[Duración Plan]],1))</f>
        <v>6</v>
      </c>
      <c r="W15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30" spans="1:23" x14ac:dyDescent="0.25">
      <c r="A1530">
        <v>1529</v>
      </c>
      <c r="B1530" t="s">
        <v>28</v>
      </c>
      <c r="C1530">
        <v>14</v>
      </c>
      <c r="D1530" s="3">
        <v>11</v>
      </c>
      <c r="E1530" s="3">
        <v>9</v>
      </c>
      <c r="F1530">
        <v>23</v>
      </c>
      <c r="G1530" s="1">
        <f>DATEVALUE(_xlfn.CONCAT(BBDD_Usiarios_Netflix[[#This Row],[Día Suscripción]],"/",BBDD_Usiarios_Netflix[[#This Row],[Mes Suscripción]],"/",BBDD_Usiarios_Netflix[[#This Row],[Año Suscripción]]))</f>
        <v>45180</v>
      </c>
      <c r="H1530" s="1">
        <v>4</v>
      </c>
      <c r="I1530" s="1">
        <v>7</v>
      </c>
      <c r="J1530" s="1">
        <v>24</v>
      </c>
      <c r="K1530" s="1" t="str">
        <f>TEXT(BBDD_Usiarios_Netflix[[#This Row],[Fecha Suscripción]],"dddd")</f>
        <v>lunes</v>
      </c>
      <c r="L1530" s="1">
        <f>DATEVALUE(_xlfn.CONCAT(BBDD_Usiarios_Netflix[[#This Row],[Día Último Pago]],"/",BBDD_Usiarios_Netflix[[#This Row],[Mes Último Pago]],"/",BBDD_Usiarios_Netflix[[#This Row],[Año Último Pago]]))</f>
        <v>45477</v>
      </c>
      <c r="M1530" s="4">
        <f>DATEDIF(BBDD_Usiarios_Netflix[[#This Row],[Fecha Suscripción]],BBDD_Usiarios_Netflix[[#This Row],[Fecha Último Pago]],"M")+1</f>
        <v>10</v>
      </c>
      <c r="N1530" s="4">
        <f>BBDD_Usiarios_Netflix[[#This Row],[Ingresos Mensuales]]*BBDD_Usiarios_Netflix[[#This Row],[Meses contratados]]</f>
        <v>140</v>
      </c>
      <c r="O1530" t="s">
        <v>46</v>
      </c>
      <c r="P1530" t="str">
        <f>IF(BBDD_Usiarios_Netflix[[#This Row],[País]]="","Desconocido",BBDD_Usiarios_Netflix[[#This Row],[País]])</f>
        <v>Méjico</v>
      </c>
      <c r="Q1530">
        <v>31</v>
      </c>
      <c r="R1530" t="s">
        <v>30</v>
      </c>
      <c r="S1530" t="s">
        <v>36</v>
      </c>
      <c r="T1530" t="s">
        <v>38</v>
      </c>
      <c r="U1530">
        <f>IF(IFERROR(VLOOKUP(BBDD_Usiarios_Netflix[[#This Row],[Identificador Usuario]],A1531:$A$5870,1,FALSE),0)&lt;&gt;0,1,0)</f>
        <v>0</v>
      </c>
      <c r="V1530" s="6" t="str">
        <f>IF(BBDD_Usiarios_Netflix[[#This Row],[Duración Plan]]="12 Meses",LEFT(BBDD_Usiarios_Netflix[[#This Row],[Duración Plan]],2),LEFT(BBDD_Usiarios_Netflix[[#This Row],[Duración Plan]],1))</f>
        <v>3</v>
      </c>
      <c r="W15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31" spans="1:23" x14ac:dyDescent="0.25">
      <c r="A1531">
        <v>1530</v>
      </c>
      <c r="B1531" t="s">
        <v>23</v>
      </c>
      <c r="C1531">
        <v>10</v>
      </c>
      <c r="D1531" s="3">
        <v>14</v>
      </c>
      <c r="E1531" s="3">
        <v>9</v>
      </c>
      <c r="F1531">
        <v>23</v>
      </c>
      <c r="G1531" s="1">
        <f>DATEVALUE(_xlfn.CONCAT(BBDD_Usiarios_Netflix[[#This Row],[Día Suscripción]],"/",BBDD_Usiarios_Netflix[[#This Row],[Mes Suscripción]],"/",BBDD_Usiarios_Netflix[[#This Row],[Año Suscripción]]))</f>
        <v>45183</v>
      </c>
      <c r="H1531" s="1">
        <v>6</v>
      </c>
      <c r="I1531" s="1">
        <v>7</v>
      </c>
      <c r="J1531" s="1">
        <v>24</v>
      </c>
      <c r="K1531" s="1" t="str">
        <f>TEXT(BBDD_Usiarios_Netflix[[#This Row],[Fecha Suscripción]],"dddd")</f>
        <v>jueves</v>
      </c>
      <c r="L1531" s="1">
        <f>DATEVALUE(_xlfn.CONCAT(BBDD_Usiarios_Netflix[[#This Row],[Día Último Pago]],"/",BBDD_Usiarios_Netflix[[#This Row],[Mes Último Pago]],"/",BBDD_Usiarios_Netflix[[#This Row],[Año Último Pago]]))</f>
        <v>45479</v>
      </c>
      <c r="M1531" s="4">
        <f>DATEDIF(BBDD_Usiarios_Netflix[[#This Row],[Fecha Suscripción]],BBDD_Usiarios_Netflix[[#This Row],[Fecha Último Pago]],"M")+1</f>
        <v>10</v>
      </c>
      <c r="N1531" s="4">
        <f>BBDD_Usiarios_Netflix[[#This Row],[Ingresos Mensuales]]*BBDD_Usiarios_Netflix[[#This Row],[Meses contratados]]</f>
        <v>100</v>
      </c>
      <c r="O1531" t="s">
        <v>40</v>
      </c>
      <c r="P1531" t="str">
        <f>IF(BBDD_Usiarios_Netflix[[#This Row],[País]]="","Desconocido",BBDD_Usiarios_Netflix[[#This Row],[País]])</f>
        <v>Italia</v>
      </c>
      <c r="Q1531">
        <v>44</v>
      </c>
      <c r="R1531" t="s">
        <v>25</v>
      </c>
      <c r="S1531" t="s">
        <v>26</v>
      </c>
      <c r="T1531" t="s">
        <v>38</v>
      </c>
      <c r="U1531">
        <f>IF(IFERROR(VLOOKUP(BBDD_Usiarios_Netflix[[#This Row],[Identificador Usuario]],A1532:$A$5870,1,FALSE),0)&lt;&gt;0,1,0)</f>
        <v>0</v>
      </c>
      <c r="V1531" s="6" t="str">
        <f>IF(BBDD_Usiarios_Netflix[[#This Row],[Duración Plan]]="12 Meses",LEFT(BBDD_Usiarios_Netflix[[#This Row],[Duración Plan]],2),LEFT(BBDD_Usiarios_Netflix[[#This Row],[Duración Plan]],1))</f>
        <v>3</v>
      </c>
      <c r="W15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32" spans="1:23" x14ac:dyDescent="0.25">
      <c r="A1532">
        <v>1531</v>
      </c>
      <c r="B1532" t="s">
        <v>28</v>
      </c>
      <c r="C1532">
        <v>14</v>
      </c>
      <c r="D1532" s="3">
        <v>21</v>
      </c>
      <c r="E1532" s="3">
        <v>9</v>
      </c>
      <c r="F1532">
        <v>23</v>
      </c>
      <c r="G1532" s="1">
        <f>DATEVALUE(_xlfn.CONCAT(BBDD_Usiarios_Netflix[[#This Row],[Día Suscripción]],"/",BBDD_Usiarios_Netflix[[#This Row],[Mes Suscripción]],"/",BBDD_Usiarios_Netflix[[#This Row],[Año Suscripción]]))</f>
        <v>45190</v>
      </c>
      <c r="H1532" s="1">
        <v>5</v>
      </c>
      <c r="I1532" s="1">
        <v>7</v>
      </c>
      <c r="J1532" s="1">
        <v>24</v>
      </c>
      <c r="K1532" s="1" t="str">
        <f>TEXT(BBDD_Usiarios_Netflix[[#This Row],[Fecha Suscripción]],"dddd")</f>
        <v>jueves</v>
      </c>
      <c r="L1532" s="1">
        <f>DATEVALUE(_xlfn.CONCAT(BBDD_Usiarios_Netflix[[#This Row],[Día Último Pago]],"/",BBDD_Usiarios_Netflix[[#This Row],[Mes Último Pago]],"/",BBDD_Usiarios_Netflix[[#This Row],[Año Último Pago]]))</f>
        <v>45478</v>
      </c>
      <c r="M1532" s="4">
        <f>DATEDIF(BBDD_Usiarios_Netflix[[#This Row],[Fecha Suscripción]],BBDD_Usiarios_Netflix[[#This Row],[Fecha Último Pago]],"M")+1</f>
        <v>10</v>
      </c>
      <c r="N1532" s="4">
        <f>BBDD_Usiarios_Netflix[[#This Row],[Ingresos Mensuales]]*BBDD_Usiarios_Netflix[[#This Row],[Meses contratados]]</f>
        <v>140</v>
      </c>
      <c r="O1532" t="s">
        <v>29</v>
      </c>
      <c r="P1532" t="str">
        <f>IF(BBDD_Usiarios_Netflix[[#This Row],[País]]="","Desconocido",BBDD_Usiarios_Netflix[[#This Row],[País]])</f>
        <v>EEUU</v>
      </c>
      <c r="Q1532">
        <v>30</v>
      </c>
      <c r="R1532" t="s">
        <v>30</v>
      </c>
      <c r="S1532" t="s">
        <v>31</v>
      </c>
      <c r="T1532" t="s">
        <v>27</v>
      </c>
      <c r="U1532">
        <f>IF(IFERROR(VLOOKUP(BBDD_Usiarios_Netflix[[#This Row],[Identificador Usuario]],A1533:$A$5870,1,FALSE),0)&lt;&gt;0,1,0)</f>
        <v>0</v>
      </c>
      <c r="V1532" s="6" t="str">
        <f>IF(BBDD_Usiarios_Netflix[[#This Row],[Duración Plan]]="12 Meses",LEFT(BBDD_Usiarios_Netflix[[#This Row],[Duración Plan]],2),LEFT(BBDD_Usiarios_Netflix[[#This Row],[Duración Plan]],1))</f>
        <v>1</v>
      </c>
      <c r="W15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33" spans="1:23" x14ac:dyDescent="0.25">
      <c r="A1533">
        <v>1532</v>
      </c>
      <c r="B1533" t="s">
        <v>23</v>
      </c>
      <c r="C1533">
        <v>10</v>
      </c>
      <c r="D1533" s="3">
        <v>26</v>
      </c>
      <c r="E1533" s="3">
        <v>9</v>
      </c>
      <c r="F1533">
        <v>23</v>
      </c>
      <c r="G1533" s="1">
        <f>DATEVALUE(_xlfn.CONCAT(BBDD_Usiarios_Netflix[[#This Row],[Día Suscripción]],"/",BBDD_Usiarios_Netflix[[#This Row],[Mes Suscripción]],"/",BBDD_Usiarios_Netflix[[#This Row],[Año Suscripción]]))</f>
        <v>45195</v>
      </c>
      <c r="H1533" s="1">
        <v>7</v>
      </c>
      <c r="I1533" s="1">
        <v>7</v>
      </c>
      <c r="J1533" s="1">
        <v>24</v>
      </c>
      <c r="K1533" s="1" t="str">
        <f>TEXT(BBDD_Usiarios_Netflix[[#This Row],[Fecha Suscripción]],"dddd")</f>
        <v>martes</v>
      </c>
      <c r="L1533" s="1">
        <f>DATEVALUE(_xlfn.CONCAT(BBDD_Usiarios_Netflix[[#This Row],[Día Último Pago]],"/",BBDD_Usiarios_Netflix[[#This Row],[Mes Último Pago]],"/",BBDD_Usiarios_Netflix[[#This Row],[Año Último Pago]]))</f>
        <v>45480</v>
      </c>
      <c r="M1533" s="4">
        <f>DATEDIF(BBDD_Usiarios_Netflix[[#This Row],[Fecha Suscripción]],BBDD_Usiarios_Netflix[[#This Row],[Fecha Último Pago]],"M")+1</f>
        <v>10</v>
      </c>
      <c r="N1533" s="4">
        <f>BBDD_Usiarios_Netflix[[#This Row],[Ingresos Mensuales]]*BBDD_Usiarios_Netflix[[#This Row],[Meses contratados]]</f>
        <v>100</v>
      </c>
      <c r="O1533" t="s">
        <v>43</v>
      </c>
      <c r="P1533" t="str">
        <f>IF(BBDD_Usiarios_Netflix[[#This Row],[País]]="","Desconocido",BBDD_Usiarios_Netflix[[#This Row],[País]])</f>
        <v>Alemania</v>
      </c>
      <c r="Q1533">
        <v>44</v>
      </c>
      <c r="R1533" t="s">
        <v>30</v>
      </c>
      <c r="S1533" t="s">
        <v>31</v>
      </c>
      <c r="T1533" t="s">
        <v>41</v>
      </c>
      <c r="U1533">
        <f>IF(IFERROR(VLOOKUP(BBDD_Usiarios_Netflix[[#This Row],[Identificador Usuario]],A1534:$A$5870,1,FALSE),0)&lt;&gt;0,1,0)</f>
        <v>0</v>
      </c>
      <c r="V1533" s="6" t="str">
        <f>IF(BBDD_Usiarios_Netflix[[#This Row],[Duración Plan]]="12 Meses",LEFT(BBDD_Usiarios_Netflix[[#This Row],[Duración Plan]],2),LEFT(BBDD_Usiarios_Netflix[[#This Row],[Duración Plan]],1))</f>
        <v>12</v>
      </c>
      <c r="W15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34" spans="1:23" x14ac:dyDescent="0.25">
      <c r="A1534">
        <v>1533</v>
      </c>
      <c r="B1534" t="s">
        <v>32</v>
      </c>
      <c r="C1534">
        <v>12</v>
      </c>
      <c r="D1534" s="3">
        <v>30</v>
      </c>
      <c r="E1534" s="3">
        <v>9</v>
      </c>
      <c r="F1534">
        <v>23</v>
      </c>
      <c r="G1534" s="1">
        <f>DATEVALUE(_xlfn.CONCAT(BBDD_Usiarios_Netflix[[#This Row],[Día Suscripción]],"/",BBDD_Usiarios_Netflix[[#This Row],[Mes Suscripción]],"/",BBDD_Usiarios_Netflix[[#This Row],[Año Suscripción]]))</f>
        <v>45199</v>
      </c>
      <c r="H1534" s="1">
        <v>3</v>
      </c>
      <c r="I1534" s="1">
        <v>7</v>
      </c>
      <c r="J1534" s="1">
        <v>24</v>
      </c>
      <c r="K1534" s="1" t="str">
        <f>TEXT(BBDD_Usiarios_Netflix[[#This Row],[Fecha Suscripción]],"dddd")</f>
        <v>sábado</v>
      </c>
      <c r="L1534" s="1">
        <f>DATEVALUE(_xlfn.CONCAT(BBDD_Usiarios_Netflix[[#This Row],[Día Último Pago]],"/",BBDD_Usiarios_Netflix[[#This Row],[Mes Último Pago]],"/",BBDD_Usiarios_Netflix[[#This Row],[Año Último Pago]]))</f>
        <v>45476</v>
      </c>
      <c r="M1534" s="4">
        <f>DATEDIF(BBDD_Usiarios_Netflix[[#This Row],[Fecha Suscripción]],BBDD_Usiarios_Netflix[[#This Row],[Fecha Último Pago]],"M")+1</f>
        <v>10</v>
      </c>
      <c r="N1534" s="4">
        <f>BBDD_Usiarios_Netflix[[#This Row],[Ingresos Mensuales]]*BBDD_Usiarios_Netflix[[#This Row],[Meses contratados]]</f>
        <v>120</v>
      </c>
      <c r="O1534" t="s">
        <v>29</v>
      </c>
      <c r="P1534" t="str">
        <f>IF(BBDD_Usiarios_Netflix[[#This Row],[País]]="","Desconocido",BBDD_Usiarios_Netflix[[#This Row],[País]])</f>
        <v>EEUU</v>
      </c>
      <c r="Q1534">
        <v>37</v>
      </c>
      <c r="R1534" t="s">
        <v>25</v>
      </c>
      <c r="S1534" t="s">
        <v>31</v>
      </c>
      <c r="T1534" t="s">
        <v>27</v>
      </c>
      <c r="U1534">
        <f>IF(IFERROR(VLOOKUP(BBDD_Usiarios_Netflix[[#This Row],[Identificador Usuario]],A1535:$A$5870,1,FALSE),0)&lt;&gt;0,1,0)</f>
        <v>0</v>
      </c>
      <c r="V1534" s="6" t="str">
        <f>IF(BBDD_Usiarios_Netflix[[#This Row],[Duración Plan]]="12 Meses",LEFT(BBDD_Usiarios_Netflix[[#This Row],[Duración Plan]],2),LEFT(BBDD_Usiarios_Netflix[[#This Row],[Duración Plan]],1))</f>
        <v>1</v>
      </c>
      <c r="W15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35" spans="1:23" x14ac:dyDescent="0.25">
      <c r="A1535">
        <v>1534</v>
      </c>
      <c r="B1535" t="s">
        <v>32</v>
      </c>
      <c r="C1535">
        <v>12</v>
      </c>
      <c r="D1535" s="3">
        <v>2</v>
      </c>
      <c r="E1535" s="3">
        <v>10</v>
      </c>
      <c r="F1535">
        <v>23</v>
      </c>
      <c r="G1535" s="1">
        <f>DATEVALUE(_xlfn.CONCAT(BBDD_Usiarios_Netflix[[#This Row],[Día Suscripción]],"/",BBDD_Usiarios_Netflix[[#This Row],[Mes Suscripción]],"/",BBDD_Usiarios_Netflix[[#This Row],[Año Suscripción]]))</f>
        <v>45201</v>
      </c>
      <c r="H1535" s="1">
        <v>6</v>
      </c>
      <c r="I1535" s="1">
        <v>7</v>
      </c>
      <c r="J1535" s="1">
        <v>24</v>
      </c>
      <c r="K1535" s="1" t="str">
        <f>TEXT(BBDD_Usiarios_Netflix[[#This Row],[Fecha Suscripción]],"dddd")</f>
        <v>lunes</v>
      </c>
      <c r="L1535" s="1">
        <f>DATEVALUE(_xlfn.CONCAT(BBDD_Usiarios_Netflix[[#This Row],[Día Último Pago]],"/",BBDD_Usiarios_Netflix[[#This Row],[Mes Último Pago]],"/",BBDD_Usiarios_Netflix[[#This Row],[Año Último Pago]]))</f>
        <v>45479</v>
      </c>
      <c r="M1535" s="4">
        <f>DATEDIF(BBDD_Usiarios_Netflix[[#This Row],[Fecha Suscripción]],BBDD_Usiarios_Netflix[[#This Row],[Fecha Último Pago]],"M")+1</f>
        <v>10</v>
      </c>
      <c r="N1535" s="4">
        <f>BBDD_Usiarios_Netflix[[#This Row],[Ingresos Mensuales]]*BBDD_Usiarios_Netflix[[#This Row],[Meses contratados]]</f>
        <v>120</v>
      </c>
      <c r="O1535" t="s">
        <v>43</v>
      </c>
      <c r="P1535" t="str">
        <f>IF(BBDD_Usiarios_Netflix[[#This Row],[País]]="","Desconocido",BBDD_Usiarios_Netflix[[#This Row],[País]])</f>
        <v>Alemania</v>
      </c>
      <c r="Q1535">
        <v>30</v>
      </c>
      <c r="R1535" t="s">
        <v>30</v>
      </c>
      <c r="S1535" t="s">
        <v>31</v>
      </c>
      <c r="T1535" t="s">
        <v>35</v>
      </c>
      <c r="U1535">
        <f>IF(IFERROR(VLOOKUP(BBDD_Usiarios_Netflix[[#This Row],[Identificador Usuario]],A1536:$A$5870,1,FALSE),0)&lt;&gt;0,1,0)</f>
        <v>0</v>
      </c>
      <c r="V1535" s="6" t="str">
        <f>IF(BBDD_Usiarios_Netflix[[#This Row],[Duración Plan]]="12 Meses",LEFT(BBDD_Usiarios_Netflix[[#This Row],[Duración Plan]],2),LEFT(BBDD_Usiarios_Netflix[[#This Row],[Duración Plan]],1))</f>
        <v>6</v>
      </c>
      <c r="W15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36" spans="1:23" x14ac:dyDescent="0.25">
      <c r="A1536">
        <v>1535</v>
      </c>
      <c r="B1536" t="s">
        <v>23</v>
      </c>
      <c r="C1536">
        <v>10</v>
      </c>
      <c r="D1536" s="3">
        <v>6</v>
      </c>
      <c r="E1536" s="3">
        <v>10</v>
      </c>
      <c r="F1536">
        <v>23</v>
      </c>
      <c r="G1536" s="1">
        <f>DATEVALUE(_xlfn.CONCAT(BBDD_Usiarios_Netflix[[#This Row],[Día Suscripción]],"/",BBDD_Usiarios_Netflix[[#This Row],[Mes Suscripción]],"/",BBDD_Usiarios_Netflix[[#This Row],[Año Suscripción]]))</f>
        <v>45205</v>
      </c>
      <c r="H1536" s="1">
        <v>5</v>
      </c>
      <c r="I1536" s="1">
        <v>7</v>
      </c>
      <c r="J1536" s="1">
        <v>24</v>
      </c>
      <c r="K1536" s="1" t="str">
        <f>TEXT(BBDD_Usiarios_Netflix[[#This Row],[Fecha Suscripción]],"dddd")</f>
        <v>viernes</v>
      </c>
      <c r="L1536" s="1">
        <f>DATEVALUE(_xlfn.CONCAT(BBDD_Usiarios_Netflix[[#This Row],[Día Último Pago]],"/",BBDD_Usiarios_Netflix[[#This Row],[Mes Último Pago]],"/",BBDD_Usiarios_Netflix[[#This Row],[Año Último Pago]]))</f>
        <v>45478</v>
      </c>
      <c r="M1536" s="4">
        <f>DATEDIF(BBDD_Usiarios_Netflix[[#This Row],[Fecha Suscripción]],BBDD_Usiarios_Netflix[[#This Row],[Fecha Último Pago]],"M")+1</f>
        <v>9</v>
      </c>
      <c r="N1536" s="4">
        <f>BBDD_Usiarios_Netflix[[#This Row],[Ingresos Mensuales]]*BBDD_Usiarios_Netflix[[#This Row],[Meses contratados]]</f>
        <v>90</v>
      </c>
      <c r="O1536" t="s">
        <v>24</v>
      </c>
      <c r="P1536" t="str">
        <f>IF(BBDD_Usiarios_Netflix[[#This Row],[País]]="","Desconocido",BBDD_Usiarios_Netflix[[#This Row],[País]])</f>
        <v>Australia</v>
      </c>
      <c r="Q1536">
        <v>31</v>
      </c>
      <c r="R1536" t="s">
        <v>30</v>
      </c>
      <c r="S1536" t="s">
        <v>34</v>
      </c>
      <c r="T1536" t="s">
        <v>35</v>
      </c>
      <c r="U1536">
        <f>IF(IFERROR(VLOOKUP(BBDD_Usiarios_Netflix[[#This Row],[Identificador Usuario]],A1537:$A$5870,1,FALSE),0)&lt;&gt;0,1,0)</f>
        <v>0</v>
      </c>
      <c r="V1536" s="6" t="str">
        <f>IF(BBDD_Usiarios_Netflix[[#This Row],[Duración Plan]]="12 Meses",LEFT(BBDD_Usiarios_Netflix[[#This Row],[Duración Plan]],2),LEFT(BBDD_Usiarios_Netflix[[#This Row],[Duración Plan]],1))</f>
        <v>6</v>
      </c>
      <c r="W15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37" spans="1:23" x14ac:dyDescent="0.25">
      <c r="A1537">
        <v>1536</v>
      </c>
      <c r="B1537" t="s">
        <v>28</v>
      </c>
      <c r="C1537">
        <v>14</v>
      </c>
      <c r="D1537" s="3">
        <v>7</v>
      </c>
      <c r="E1537" s="3">
        <v>10</v>
      </c>
      <c r="F1537">
        <v>23</v>
      </c>
      <c r="G1537" s="1">
        <f>DATEVALUE(_xlfn.CONCAT(BBDD_Usiarios_Netflix[[#This Row],[Día Suscripción]],"/",BBDD_Usiarios_Netflix[[#This Row],[Mes Suscripción]],"/",BBDD_Usiarios_Netflix[[#This Row],[Año Suscripción]]))</f>
        <v>45206</v>
      </c>
      <c r="H1537" s="1">
        <v>6</v>
      </c>
      <c r="I1537" s="1">
        <v>7</v>
      </c>
      <c r="J1537" s="1">
        <v>24</v>
      </c>
      <c r="K1537" s="1" t="str">
        <f>TEXT(BBDD_Usiarios_Netflix[[#This Row],[Fecha Suscripción]],"dddd")</f>
        <v>sábado</v>
      </c>
      <c r="L1537" s="1">
        <f>DATEVALUE(_xlfn.CONCAT(BBDD_Usiarios_Netflix[[#This Row],[Día Último Pago]],"/",BBDD_Usiarios_Netflix[[#This Row],[Mes Último Pago]],"/",BBDD_Usiarios_Netflix[[#This Row],[Año Último Pago]]))</f>
        <v>45479</v>
      </c>
      <c r="M1537" s="4">
        <f>DATEDIF(BBDD_Usiarios_Netflix[[#This Row],[Fecha Suscripción]],BBDD_Usiarios_Netflix[[#This Row],[Fecha Último Pago]],"M")+1</f>
        <v>9</v>
      </c>
      <c r="N1537" s="4">
        <f>BBDD_Usiarios_Netflix[[#This Row],[Ingresos Mensuales]]*BBDD_Usiarios_Netflix[[#This Row],[Meses contratados]]</f>
        <v>126</v>
      </c>
      <c r="O1537" t="s">
        <v>40</v>
      </c>
      <c r="P1537" t="str">
        <f>IF(BBDD_Usiarios_Netflix[[#This Row],[País]]="","Desconocido",BBDD_Usiarios_Netflix[[#This Row],[País]])</f>
        <v>Italia</v>
      </c>
      <c r="Q1537">
        <v>31</v>
      </c>
      <c r="R1537" t="s">
        <v>30</v>
      </c>
      <c r="S1537" t="s">
        <v>36</v>
      </c>
      <c r="T1537" t="s">
        <v>27</v>
      </c>
      <c r="U1537">
        <f>IF(IFERROR(VLOOKUP(BBDD_Usiarios_Netflix[[#This Row],[Identificador Usuario]],A1538:$A$5870,1,FALSE),0)&lt;&gt;0,1,0)</f>
        <v>0</v>
      </c>
      <c r="V1537" s="6" t="str">
        <f>IF(BBDD_Usiarios_Netflix[[#This Row],[Duración Plan]]="12 Meses",LEFT(BBDD_Usiarios_Netflix[[#This Row],[Duración Plan]],2),LEFT(BBDD_Usiarios_Netflix[[#This Row],[Duración Plan]],1))</f>
        <v>1</v>
      </c>
      <c r="W15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38" spans="1:23" x14ac:dyDescent="0.25">
      <c r="A1538">
        <v>1537</v>
      </c>
      <c r="B1538" t="s">
        <v>23</v>
      </c>
      <c r="C1538">
        <v>10</v>
      </c>
      <c r="D1538" s="3">
        <v>9</v>
      </c>
      <c r="E1538" s="3">
        <v>10</v>
      </c>
      <c r="F1538">
        <v>23</v>
      </c>
      <c r="G1538" s="1">
        <f>DATEVALUE(_xlfn.CONCAT(BBDD_Usiarios_Netflix[[#This Row],[Día Suscripción]],"/",BBDD_Usiarios_Netflix[[#This Row],[Mes Suscripción]],"/",BBDD_Usiarios_Netflix[[#This Row],[Año Suscripción]]))</f>
        <v>45208</v>
      </c>
      <c r="H1538" s="1">
        <v>6</v>
      </c>
      <c r="I1538" s="1">
        <v>7</v>
      </c>
      <c r="J1538" s="1">
        <v>24</v>
      </c>
      <c r="K1538" s="1" t="str">
        <f>TEXT(BBDD_Usiarios_Netflix[[#This Row],[Fecha Suscripción]],"dddd")</f>
        <v>lunes</v>
      </c>
      <c r="L1538" s="1">
        <f>DATEVALUE(_xlfn.CONCAT(BBDD_Usiarios_Netflix[[#This Row],[Día Último Pago]],"/",BBDD_Usiarios_Netflix[[#This Row],[Mes Último Pago]],"/",BBDD_Usiarios_Netflix[[#This Row],[Año Último Pago]]))</f>
        <v>45479</v>
      </c>
      <c r="M1538" s="4">
        <f>DATEDIF(BBDD_Usiarios_Netflix[[#This Row],[Fecha Suscripción]],BBDD_Usiarios_Netflix[[#This Row],[Fecha Último Pago]],"M")+1</f>
        <v>9</v>
      </c>
      <c r="N1538" s="4">
        <f>BBDD_Usiarios_Netflix[[#This Row],[Ingresos Mensuales]]*BBDD_Usiarios_Netflix[[#This Row],[Meses contratados]]</f>
        <v>90</v>
      </c>
      <c r="O1538" t="s">
        <v>39</v>
      </c>
      <c r="P1538" t="str">
        <f>IF(BBDD_Usiarios_Netflix[[#This Row],[País]]="","Desconocido",BBDD_Usiarios_Netflix[[#This Row],[País]])</f>
        <v>Canadá</v>
      </c>
      <c r="Q1538">
        <v>44</v>
      </c>
      <c r="R1538" t="s">
        <v>25</v>
      </c>
      <c r="S1538" t="s">
        <v>31</v>
      </c>
      <c r="T1538" t="s">
        <v>35</v>
      </c>
      <c r="U1538">
        <f>IF(IFERROR(VLOOKUP(BBDD_Usiarios_Netflix[[#This Row],[Identificador Usuario]],A1539:$A$5870,1,FALSE),0)&lt;&gt;0,1,0)</f>
        <v>0</v>
      </c>
      <c r="V1538" s="6" t="str">
        <f>IF(BBDD_Usiarios_Netflix[[#This Row],[Duración Plan]]="12 Meses",LEFT(BBDD_Usiarios_Netflix[[#This Row],[Duración Plan]],2),LEFT(BBDD_Usiarios_Netflix[[#This Row],[Duración Plan]],1))</f>
        <v>6</v>
      </c>
      <c r="W15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39" spans="1:23" x14ac:dyDescent="0.25">
      <c r="A1539">
        <v>1538</v>
      </c>
      <c r="B1539" t="s">
        <v>32</v>
      </c>
      <c r="C1539">
        <v>12</v>
      </c>
      <c r="D1539" s="3">
        <v>11</v>
      </c>
      <c r="E1539" s="3">
        <v>10</v>
      </c>
      <c r="F1539">
        <v>23</v>
      </c>
      <c r="G1539" s="1">
        <f>DATEVALUE(_xlfn.CONCAT(BBDD_Usiarios_Netflix[[#This Row],[Día Suscripción]],"/",BBDD_Usiarios_Netflix[[#This Row],[Mes Suscripción]],"/",BBDD_Usiarios_Netflix[[#This Row],[Año Suscripción]]))</f>
        <v>45210</v>
      </c>
      <c r="H1539" s="1">
        <v>5</v>
      </c>
      <c r="I1539" s="1">
        <v>7</v>
      </c>
      <c r="J1539" s="1">
        <v>24</v>
      </c>
      <c r="K1539" s="1" t="str">
        <f>TEXT(BBDD_Usiarios_Netflix[[#This Row],[Fecha Suscripción]],"dddd")</f>
        <v>miércoles</v>
      </c>
      <c r="L1539" s="1">
        <f>DATEVALUE(_xlfn.CONCAT(BBDD_Usiarios_Netflix[[#This Row],[Día Último Pago]],"/",BBDD_Usiarios_Netflix[[#This Row],[Mes Último Pago]],"/",BBDD_Usiarios_Netflix[[#This Row],[Año Último Pago]]))</f>
        <v>45478</v>
      </c>
      <c r="M1539" s="4">
        <f>DATEDIF(BBDD_Usiarios_Netflix[[#This Row],[Fecha Suscripción]],BBDD_Usiarios_Netflix[[#This Row],[Fecha Último Pago]],"M")+1</f>
        <v>9</v>
      </c>
      <c r="N1539" s="4">
        <f>BBDD_Usiarios_Netflix[[#This Row],[Ingresos Mensuales]]*BBDD_Usiarios_Netflix[[#This Row],[Meses contratados]]</f>
        <v>108</v>
      </c>
      <c r="O1539" t="s">
        <v>29</v>
      </c>
      <c r="P1539" t="str">
        <f>IF(BBDD_Usiarios_Netflix[[#This Row],[País]]="","Desconocido",BBDD_Usiarios_Netflix[[#This Row],[País]])</f>
        <v>EEUU</v>
      </c>
      <c r="Q1539">
        <v>44</v>
      </c>
      <c r="R1539" t="s">
        <v>30</v>
      </c>
      <c r="S1539" t="s">
        <v>34</v>
      </c>
      <c r="T1539" t="s">
        <v>27</v>
      </c>
      <c r="U1539">
        <f>IF(IFERROR(VLOOKUP(BBDD_Usiarios_Netflix[[#This Row],[Identificador Usuario]],A1540:$A$5870,1,FALSE),0)&lt;&gt;0,1,0)</f>
        <v>0</v>
      </c>
      <c r="V1539" s="6" t="str">
        <f>IF(BBDD_Usiarios_Netflix[[#This Row],[Duración Plan]]="12 Meses",LEFT(BBDD_Usiarios_Netflix[[#This Row],[Duración Plan]],2),LEFT(BBDD_Usiarios_Netflix[[#This Row],[Duración Plan]],1))</f>
        <v>1</v>
      </c>
      <c r="W15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40" spans="1:23" x14ac:dyDescent="0.25">
      <c r="A1540">
        <v>1539</v>
      </c>
      <c r="B1540" t="s">
        <v>28</v>
      </c>
      <c r="C1540">
        <v>14</v>
      </c>
      <c r="D1540" s="3">
        <v>12</v>
      </c>
      <c r="E1540" s="3">
        <v>10</v>
      </c>
      <c r="F1540">
        <v>23</v>
      </c>
      <c r="G1540" s="1">
        <f>DATEVALUE(_xlfn.CONCAT(BBDD_Usiarios_Netflix[[#This Row],[Día Suscripción]],"/",BBDD_Usiarios_Netflix[[#This Row],[Mes Suscripción]],"/",BBDD_Usiarios_Netflix[[#This Row],[Año Suscripción]]))</f>
        <v>45211</v>
      </c>
      <c r="H1540" s="1">
        <v>5</v>
      </c>
      <c r="I1540" s="1">
        <v>7</v>
      </c>
      <c r="J1540" s="1">
        <v>24</v>
      </c>
      <c r="K1540" s="1" t="str">
        <f>TEXT(BBDD_Usiarios_Netflix[[#This Row],[Fecha Suscripción]],"dddd")</f>
        <v>jueves</v>
      </c>
      <c r="L1540" s="1">
        <f>DATEVALUE(_xlfn.CONCAT(BBDD_Usiarios_Netflix[[#This Row],[Día Último Pago]],"/",BBDD_Usiarios_Netflix[[#This Row],[Mes Último Pago]],"/",BBDD_Usiarios_Netflix[[#This Row],[Año Último Pago]]))</f>
        <v>45478</v>
      </c>
      <c r="M1540" s="4">
        <f>DATEDIF(BBDD_Usiarios_Netflix[[#This Row],[Fecha Suscripción]],BBDD_Usiarios_Netflix[[#This Row],[Fecha Último Pago]],"M")+1</f>
        <v>9</v>
      </c>
      <c r="N1540" s="4">
        <f>BBDD_Usiarios_Netflix[[#This Row],[Ingresos Mensuales]]*BBDD_Usiarios_Netflix[[#This Row],[Meses contratados]]</f>
        <v>126</v>
      </c>
      <c r="O1540" t="s">
        <v>40</v>
      </c>
      <c r="P1540" t="str">
        <f>IF(BBDD_Usiarios_Netflix[[#This Row],[País]]="","Desconocido",BBDD_Usiarios_Netflix[[#This Row],[País]])</f>
        <v>Italia</v>
      </c>
      <c r="Q1540">
        <v>34</v>
      </c>
      <c r="R1540" t="s">
        <v>25</v>
      </c>
      <c r="S1540" t="s">
        <v>36</v>
      </c>
      <c r="T1540" t="s">
        <v>41</v>
      </c>
      <c r="U1540">
        <f>IF(IFERROR(VLOOKUP(BBDD_Usiarios_Netflix[[#This Row],[Identificador Usuario]],A1541:$A$5870,1,FALSE),0)&lt;&gt;0,1,0)</f>
        <v>0</v>
      </c>
      <c r="V1540" s="6" t="str">
        <f>IF(BBDD_Usiarios_Netflix[[#This Row],[Duración Plan]]="12 Meses",LEFT(BBDD_Usiarios_Netflix[[#This Row],[Duración Plan]],2),LEFT(BBDD_Usiarios_Netflix[[#This Row],[Duración Plan]],1))</f>
        <v>12</v>
      </c>
      <c r="W15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41" spans="1:23" x14ac:dyDescent="0.25">
      <c r="A1541">
        <v>1540</v>
      </c>
      <c r="B1541" t="s">
        <v>23</v>
      </c>
      <c r="C1541">
        <v>10</v>
      </c>
      <c r="D1541" s="3">
        <v>16</v>
      </c>
      <c r="E1541" s="3">
        <v>10</v>
      </c>
      <c r="F1541">
        <v>23</v>
      </c>
      <c r="G1541" s="1">
        <f>DATEVALUE(_xlfn.CONCAT(BBDD_Usiarios_Netflix[[#This Row],[Día Suscripción]],"/",BBDD_Usiarios_Netflix[[#This Row],[Mes Suscripción]],"/",BBDD_Usiarios_Netflix[[#This Row],[Año Suscripción]]))</f>
        <v>45215</v>
      </c>
      <c r="H1541" s="1">
        <v>6</v>
      </c>
      <c r="I1541" s="1">
        <v>7</v>
      </c>
      <c r="J1541" s="1">
        <v>24</v>
      </c>
      <c r="K1541" s="1" t="str">
        <f>TEXT(BBDD_Usiarios_Netflix[[#This Row],[Fecha Suscripción]],"dddd")</f>
        <v>lunes</v>
      </c>
      <c r="L1541" s="1">
        <f>DATEVALUE(_xlfn.CONCAT(BBDD_Usiarios_Netflix[[#This Row],[Día Último Pago]],"/",BBDD_Usiarios_Netflix[[#This Row],[Mes Último Pago]],"/",BBDD_Usiarios_Netflix[[#This Row],[Año Último Pago]]))</f>
        <v>45479</v>
      </c>
      <c r="M1541" s="4">
        <f>DATEDIF(BBDD_Usiarios_Netflix[[#This Row],[Fecha Suscripción]],BBDD_Usiarios_Netflix[[#This Row],[Fecha Último Pago]],"M")+1</f>
        <v>9</v>
      </c>
      <c r="N1541" s="4">
        <f>BBDD_Usiarios_Netflix[[#This Row],[Ingresos Mensuales]]*BBDD_Usiarios_Netflix[[#This Row],[Meses contratados]]</f>
        <v>90</v>
      </c>
      <c r="O1541" t="s">
        <v>42</v>
      </c>
      <c r="P1541" t="str">
        <f>IF(BBDD_Usiarios_Netflix[[#This Row],[País]]="","Desconocido",BBDD_Usiarios_Netflix[[#This Row],[País]])</f>
        <v>Reino Unido</v>
      </c>
      <c r="Q1541">
        <v>42</v>
      </c>
      <c r="R1541" t="s">
        <v>25</v>
      </c>
      <c r="S1541" t="s">
        <v>36</v>
      </c>
      <c r="T1541" t="s">
        <v>35</v>
      </c>
      <c r="U1541">
        <f>IF(IFERROR(VLOOKUP(BBDD_Usiarios_Netflix[[#This Row],[Identificador Usuario]],A1542:$A$5870,1,FALSE),0)&lt;&gt;0,1,0)</f>
        <v>0</v>
      </c>
      <c r="V1541" s="6" t="str">
        <f>IF(BBDD_Usiarios_Netflix[[#This Row],[Duración Plan]]="12 Meses",LEFT(BBDD_Usiarios_Netflix[[#This Row],[Duración Plan]],2),LEFT(BBDD_Usiarios_Netflix[[#This Row],[Duración Plan]],1))</f>
        <v>6</v>
      </c>
      <c r="W15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42" spans="1:23" x14ac:dyDescent="0.25">
      <c r="A1542">
        <v>1541</v>
      </c>
      <c r="B1542" t="s">
        <v>28</v>
      </c>
      <c r="C1542">
        <v>14</v>
      </c>
      <c r="D1542" s="3">
        <v>17</v>
      </c>
      <c r="E1542" s="3">
        <v>10</v>
      </c>
      <c r="F1542">
        <v>23</v>
      </c>
      <c r="G1542" s="1">
        <f>DATEVALUE(_xlfn.CONCAT(BBDD_Usiarios_Netflix[[#This Row],[Día Suscripción]],"/",BBDD_Usiarios_Netflix[[#This Row],[Mes Suscripción]],"/",BBDD_Usiarios_Netflix[[#This Row],[Año Suscripción]]))</f>
        <v>45216</v>
      </c>
      <c r="H1542" s="1">
        <v>7</v>
      </c>
      <c r="I1542" s="1">
        <v>7</v>
      </c>
      <c r="J1542" s="1">
        <v>24</v>
      </c>
      <c r="K1542" s="1" t="str">
        <f>TEXT(BBDD_Usiarios_Netflix[[#This Row],[Fecha Suscripción]],"dddd")</f>
        <v>martes</v>
      </c>
      <c r="L1542" s="1">
        <f>DATEVALUE(_xlfn.CONCAT(BBDD_Usiarios_Netflix[[#This Row],[Día Último Pago]],"/",BBDD_Usiarios_Netflix[[#This Row],[Mes Último Pago]],"/",BBDD_Usiarios_Netflix[[#This Row],[Año Último Pago]]))</f>
        <v>45480</v>
      </c>
      <c r="M1542" s="4">
        <f>DATEDIF(BBDD_Usiarios_Netflix[[#This Row],[Fecha Suscripción]],BBDD_Usiarios_Netflix[[#This Row],[Fecha Último Pago]],"M")+1</f>
        <v>9</v>
      </c>
      <c r="N1542" s="4">
        <f>BBDD_Usiarios_Netflix[[#This Row],[Ingresos Mensuales]]*BBDD_Usiarios_Netflix[[#This Row],[Meses contratados]]</f>
        <v>126</v>
      </c>
      <c r="O1542" t="s">
        <v>24</v>
      </c>
      <c r="P1542" t="str">
        <f>IF(BBDD_Usiarios_Netflix[[#This Row],[País]]="","Desconocido",BBDD_Usiarios_Netflix[[#This Row],[País]])</f>
        <v>Australia</v>
      </c>
      <c r="Q1542">
        <v>33</v>
      </c>
      <c r="R1542" t="s">
        <v>25</v>
      </c>
      <c r="S1542" t="s">
        <v>26</v>
      </c>
      <c r="T1542" t="s">
        <v>41</v>
      </c>
      <c r="U1542">
        <f>IF(IFERROR(VLOOKUP(BBDD_Usiarios_Netflix[[#This Row],[Identificador Usuario]],A1543:$A$5870,1,FALSE),0)&lt;&gt;0,1,0)</f>
        <v>0</v>
      </c>
      <c r="V1542" s="6" t="str">
        <f>IF(BBDD_Usiarios_Netflix[[#This Row],[Duración Plan]]="12 Meses",LEFT(BBDD_Usiarios_Netflix[[#This Row],[Duración Plan]],2),LEFT(BBDD_Usiarios_Netflix[[#This Row],[Duración Plan]],1))</f>
        <v>12</v>
      </c>
      <c r="W15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43" spans="1:23" x14ac:dyDescent="0.25">
      <c r="A1543">
        <v>1542</v>
      </c>
      <c r="B1543" t="s">
        <v>23</v>
      </c>
      <c r="C1543">
        <v>10</v>
      </c>
      <c r="D1543" s="3">
        <v>21</v>
      </c>
      <c r="E1543" s="3">
        <v>10</v>
      </c>
      <c r="F1543">
        <v>23</v>
      </c>
      <c r="G1543" s="1">
        <f>DATEVALUE(_xlfn.CONCAT(BBDD_Usiarios_Netflix[[#This Row],[Día Suscripción]],"/",BBDD_Usiarios_Netflix[[#This Row],[Mes Suscripción]],"/",BBDD_Usiarios_Netflix[[#This Row],[Año Suscripción]]))</f>
        <v>45220</v>
      </c>
      <c r="H1543" s="1">
        <v>7</v>
      </c>
      <c r="I1543" s="1">
        <v>7</v>
      </c>
      <c r="J1543" s="1">
        <v>24</v>
      </c>
      <c r="K1543" s="1" t="str">
        <f>TEXT(BBDD_Usiarios_Netflix[[#This Row],[Fecha Suscripción]],"dddd")</f>
        <v>sábado</v>
      </c>
      <c r="L1543" s="1">
        <f>DATEVALUE(_xlfn.CONCAT(BBDD_Usiarios_Netflix[[#This Row],[Día Último Pago]],"/",BBDD_Usiarios_Netflix[[#This Row],[Mes Último Pago]],"/",BBDD_Usiarios_Netflix[[#This Row],[Año Último Pago]]))</f>
        <v>45480</v>
      </c>
      <c r="M1543" s="4">
        <f>DATEDIF(BBDD_Usiarios_Netflix[[#This Row],[Fecha Suscripción]],BBDD_Usiarios_Netflix[[#This Row],[Fecha Último Pago]],"M")+1</f>
        <v>9</v>
      </c>
      <c r="N1543" s="4">
        <f>BBDD_Usiarios_Netflix[[#This Row],[Ingresos Mensuales]]*BBDD_Usiarios_Netflix[[#This Row],[Meses contratados]]</f>
        <v>90</v>
      </c>
      <c r="O1543" t="s">
        <v>24</v>
      </c>
      <c r="P1543" t="str">
        <f>IF(BBDD_Usiarios_Netflix[[#This Row],[País]]="","Desconocido",BBDD_Usiarios_Netflix[[#This Row],[País]])</f>
        <v>Australia</v>
      </c>
      <c r="Q1543">
        <v>35</v>
      </c>
      <c r="R1543" t="s">
        <v>25</v>
      </c>
      <c r="S1543" t="s">
        <v>34</v>
      </c>
      <c r="T1543" t="s">
        <v>35</v>
      </c>
      <c r="U1543">
        <f>IF(IFERROR(VLOOKUP(BBDD_Usiarios_Netflix[[#This Row],[Identificador Usuario]],A1544:$A$5870,1,FALSE),0)&lt;&gt;0,1,0)</f>
        <v>0</v>
      </c>
      <c r="V1543" s="6" t="str">
        <f>IF(BBDD_Usiarios_Netflix[[#This Row],[Duración Plan]]="12 Meses",LEFT(BBDD_Usiarios_Netflix[[#This Row],[Duración Plan]],2),LEFT(BBDD_Usiarios_Netflix[[#This Row],[Duración Plan]],1))</f>
        <v>6</v>
      </c>
      <c r="W15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44" spans="1:23" x14ac:dyDescent="0.25">
      <c r="A1544">
        <v>1543</v>
      </c>
      <c r="B1544" t="s">
        <v>32</v>
      </c>
      <c r="C1544">
        <v>12</v>
      </c>
      <c r="D1544" s="3">
        <v>23</v>
      </c>
      <c r="E1544" s="3">
        <v>10</v>
      </c>
      <c r="F1544">
        <v>23</v>
      </c>
      <c r="G1544" s="1">
        <f>DATEVALUE(_xlfn.CONCAT(BBDD_Usiarios_Netflix[[#This Row],[Día Suscripción]],"/",BBDD_Usiarios_Netflix[[#This Row],[Mes Suscripción]],"/",BBDD_Usiarios_Netflix[[#This Row],[Año Suscripción]]))</f>
        <v>45222</v>
      </c>
      <c r="H1544" s="1">
        <v>6</v>
      </c>
      <c r="I1544" s="1">
        <v>7</v>
      </c>
      <c r="J1544" s="1">
        <v>24</v>
      </c>
      <c r="K1544" s="1" t="str">
        <f>TEXT(BBDD_Usiarios_Netflix[[#This Row],[Fecha Suscripción]],"dddd")</f>
        <v>lunes</v>
      </c>
      <c r="L1544" s="1">
        <f>DATEVALUE(_xlfn.CONCAT(BBDD_Usiarios_Netflix[[#This Row],[Día Último Pago]],"/",BBDD_Usiarios_Netflix[[#This Row],[Mes Último Pago]],"/",BBDD_Usiarios_Netflix[[#This Row],[Año Último Pago]]))</f>
        <v>45479</v>
      </c>
      <c r="M1544" s="4">
        <f>DATEDIF(BBDD_Usiarios_Netflix[[#This Row],[Fecha Suscripción]],BBDD_Usiarios_Netflix[[#This Row],[Fecha Último Pago]],"M")+1</f>
        <v>9</v>
      </c>
      <c r="N1544" s="4">
        <f>BBDD_Usiarios_Netflix[[#This Row],[Ingresos Mensuales]]*BBDD_Usiarios_Netflix[[#This Row],[Meses contratados]]</f>
        <v>108</v>
      </c>
      <c r="O1544" t="s">
        <v>29</v>
      </c>
      <c r="P1544" t="str">
        <f>IF(BBDD_Usiarios_Netflix[[#This Row],[País]]="","Desconocido",BBDD_Usiarios_Netflix[[#This Row],[País]])</f>
        <v>EEUU</v>
      </c>
      <c r="Q1544">
        <v>34</v>
      </c>
      <c r="R1544" t="s">
        <v>30</v>
      </c>
      <c r="S1544" t="s">
        <v>36</v>
      </c>
      <c r="T1544" t="s">
        <v>27</v>
      </c>
      <c r="U1544">
        <f>IF(IFERROR(VLOOKUP(BBDD_Usiarios_Netflix[[#This Row],[Identificador Usuario]],A1545:$A$5870,1,FALSE),0)&lt;&gt;0,1,0)</f>
        <v>0</v>
      </c>
      <c r="V1544" s="6" t="str">
        <f>IF(BBDD_Usiarios_Netflix[[#This Row],[Duración Plan]]="12 Meses",LEFT(BBDD_Usiarios_Netflix[[#This Row],[Duración Plan]],2),LEFT(BBDD_Usiarios_Netflix[[#This Row],[Duración Plan]],1))</f>
        <v>1</v>
      </c>
      <c r="W15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45" spans="1:23" x14ac:dyDescent="0.25">
      <c r="A1545">
        <v>1544</v>
      </c>
      <c r="B1545" t="s">
        <v>32</v>
      </c>
      <c r="C1545">
        <v>12</v>
      </c>
      <c r="D1545" s="3">
        <v>25</v>
      </c>
      <c r="E1545" s="3">
        <v>10</v>
      </c>
      <c r="F1545">
        <v>23</v>
      </c>
      <c r="G1545" s="1">
        <f>DATEVALUE(_xlfn.CONCAT(BBDD_Usiarios_Netflix[[#This Row],[Día Suscripción]],"/",BBDD_Usiarios_Netflix[[#This Row],[Mes Suscripción]],"/",BBDD_Usiarios_Netflix[[#This Row],[Año Suscripción]]))</f>
        <v>45224</v>
      </c>
      <c r="H1545" s="1">
        <v>5</v>
      </c>
      <c r="I1545" s="1">
        <v>7</v>
      </c>
      <c r="J1545" s="1">
        <v>24</v>
      </c>
      <c r="K1545" s="1" t="str">
        <f>TEXT(BBDD_Usiarios_Netflix[[#This Row],[Fecha Suscripción]],"dddd")</f>
        <v>miércoles</v>
      </c>
      <c r="L1545" s="1">
        <f>DATEVALUE(_xlfn.CONCAT(BBDD_Usiarios_Netflix[[#This Row],[Día Último Pago]],"/",BBDD_Usiarios_Netflix[[#This Row],[Mes Último Pago]],"/",BBDD_Usiarios_Netflix[[#This Row],[Año Último Pago]]))</f>
        <v>45478</v>
      </c>
      <c r="M1545" s="4">
        <f>DATEDIF(BBDD_Usiarios_Netflix[[#This Row],[Fecha Suscripción]],BBDD_Usiarios_Netflix[[#This Row],[Fecha Último Pago]],"M")+1</f>
        <v>9</v>
      </c>
      <c r="N1545" s="4">
        <f>BBDD_Usiarios_Netflix[[#This Row],[Ingresos Mensuales]]*BBDD_Usiarios_Netflix[[#This Row],[Meses contratados]]</f>
        <v>108</v>
      </c>
      <c r="O1545" t="s">
        <v>24</v>
      </c>
      <c r="P1545" t="str">
        <f>IF(BBDD_Usiarios_Netflix[[#This Row],[País]]="","Desconocido",BBDD_Usiarios_Netflix[[#This Row],[País]])</f>
        <v>Australia</v>
      </c>
      <c r="Q1545">
        <v>47</v>
      </c>
      <c r="R1545" t="s">
        <v>25</v>
      </c>
      <c r="S1545" t="s">
        <v>31</v>
      </c>
      <c r="T1545" t="s">
        <v>38</v>
      </c>
      <c r="U1545">
        <f>IF(IFERROR(VLOOKUP(BBDD_Usiarios_Netflix[[#This Row],[Identificador Usuario]],A1546:$A$5870,1,FALSE),0)&lt;&gt;0,1,0)</f>
        <v>0</v>
      </c>
      <c r="V1545" s="6" t="str">
        <f>IF(BBDD_Usiarios_Netflix[[#This Row],[Duración Plan]]="12 Meses",LEFT(BBDD_Usiarios_Netflix[[#This Row],[Duración Plan]],2),LEFT(BBDD_Usiarios_Netflix[[#This Row],[Duración Plan]],1))</f>
        <v>3</v>
      </c>
      <c r="W15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46" spans="1:23" x14ac:dyDescent="0.25">
      <c r="A1546">
        <v>1545</v>
      </c>
      <c r="B1546" t="s">
        <v>23</v>
      </c>
      <c r="C1546">
        <v>10</v>
      </c>
      <c r="D1546" s="3">
        <v>27</v>
      </c>
      <c r="E1546" s="3">
        <v>10</v>
      </c>
      <c r="F1546">
        <v>23</v>
      </c>
      <c r="G1546" s="1">
        <f>DATEVALUE(_xlfn.CONCAT(BBDD_Usiarios_Netflix[[#This Row],[Día Suscripción]],"/",BBDD_Usiarios_Netflix[[#This Row],[Mes Suscripción]],"/",BBDD_Usiarios_Netflix[[#This Row],[Año Suscripción]]))</f>
        <v>45226</v>
      </c>
      <c r="H1546" s="1">
        <v>6</v>
      </c>
      <c r="I1546" s="1">
        <v>7</v>
      </c>
      <c r="J1546" s="1">
        <v>24</v>
      </c>
      <c r="K1546" s="1" t="str">
        <f>TEXT(BBDD_Usiarios_Netflix[[#This Row],[Fecha Suscripción]],"dddd")</f>
        <v>viernes</v>
      </c>
      <c r="L1546" s="1">
        <f>DATEVALUE(_xlfn.CONCAT(BBDD_Usiarios_Netflix[[#This Row],[Día Último Pago]],"/",BBDD_Usiarios_Netflix[[#This Row],[Mes Último Pago]],"/",BBDD_Usiarios_Netflix[[#This Row],[Año Último Pago]]))</f>
        <v>45479</v>
      </c>
      <c r="M1546" s="4">
        <f>DATEDIF(BBDD_Usiarios_Netflix[[#This Row],[Fecha Suscripción]],BBDD_Usiarios_Netflix[[#This Row],[Fecha Último Pago]],"M")+1</f>
        <v>9</v>
      </c>
      <c r="N1546" s="4">
        <f>BBDD_Usiarios_Netflix[[#This Row],[Ingresos Mensuales]]*BBDD_Usiarios_Netflix[[#This Row],[Meses contratados]]</f>
        <v>90</v>
      </c>
      <c r="O1546" t="s">
        <v>24</v>
      </c>
      <c r="P1546" t="str">
        <f>IF(BBDD_Usiarios_Netflix[[#This Row],[País]]="","Desconocido",BBDD_Usiarios_Netflix[[#This Row],[País]])</f>
        <v>Australia</v>
      </c>
      <c r="Q1546">
        <v>43</v>
      </c>
      <c r="R1546" t="s">
        <v>30</v>
      </c>
      <c r="S1546" t="s">
        <v>36</v>
      </c>
      <c r="T1546" t="s">
        <v>27</v>
      </c>
      <c r="U1546">
        <f>IF(IFERROR(VLOOKUP(BBDD_Usiarios_Netflix[[#This Row],[Identificador Usuario]],A1547:$A$5870,1,FALSE),0)&lt;&gt;0,1,0)</f>
        <v>0</v>
      </c>
      <c r="V1546" s="6" t="str">
        <f>IF(BBDD_Usiarios_Netflix[[#This Row],[Duración Plan]]="12 Meses",LEFT(BBDD_Usiarios_Netflix[[#This Row],[Duración Plan]],2),LEFT(BBDD_Usiarios_Netflix[[#This Row],[Duración Plan]],1))</f>
        <v>1</v>
      </c>
      <c r="W15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47" spans="1:23" x14ac:dyDescent="0.25">
      <c r="A1547">
        <v>1546</v>
      </c>
      <c r="B1547" t="s">
        <v>28</v>
      </c>
      <c r="C1547">
        <v>14</v>
      </c>
      <c r="D1547" s="3">
        <v>29</v>
      </c>
      <c r="E1547" s="3">
        <v>10</v>
      </c>
      <c r="F1547">
        <v>23</v>
      </c>
      <c r="G1547" s="1">
        <f>DATEVALUE(_xlfn.CONCAT(BBDD_Usiarios_Netflix[[#This Row],[Día Suscripción]],"/",BBDD_Usiarios_Netflix[[#This Row],[Mes Suscripción]],"/",BBDD_Usiarios_Netflix[[#This Row],[Año Suscripción]]))</f>
        <v>45228</v>
      </c>
      <c r="H1547" s="1">
        <v>8</v>
      </c>
      <c r="I1547" s="1">
        <v>7</v>
      </c>
      <c r="J1547" s="1">
        <v>24</v>
      </c>
      <c r="K1547" s="1" t="str">
        <f>TEXT(BBDD_Usiarios_Netflix[[#This Row],[Fecha Suscripción]],"dddd")</f>
        <v>domingo</v>
      </c>
      <c r="L1547" s="1">
        <f>DATEVALUE(_xlfn.CONCAT(BBDD_Usiarios_Netflix[[#This Row],[Día Último Pago]],"/",BBDD_Usiarios_Netflix[[#This Row],[Mes Último Pago]],"/",BBDD_Usiarios_Netflix[[#This Row],[Año Último Pago]]))</f>
        <v>45481</v>
      </c>
      <c r="M1547" s="4">
        <f>DATEDIF(BBDD_Usiarios_Netflix[[#This Row],[Fecha Suscripción]],BBDD_Usiarios_Netflix[[#This Row],[Fecha Último Pago]],"M")+1</f>
        <v>9</v>
      </c>
      <c r="N1547" s="4">
        <f>BBDD_Usiarios_Netflix[[#This Row],[Ingresos Mensuales]]*BBDD_Usiarios_Netflix[[#This Row],[Meses contratados]]</f>
        <v>126</v>
      </c>
      <c r="O1547" t="s">
        <v>39</v>
      </c>
      <c r="P1547" t="str">
        <f>IF(BBDD_Usiarios_Netflix[[#This Row],[País]]="","Desconocido",BBDD_Usiarios_Netflix[[#This Row],[País]])</f>
        <v>Canadá</v>
      </c>
      <c r="Q1547">
        <v>43</v>
      </c>
      <c r="R1547" t="s">
        <v>25</v>
      </c>
      <c r="S1547" t="s">
        <v>34</v>
      </c>
      <c r="T1547" t="s">
        <v>27</v>
      </c>
      <c r="U1547">
        <f>IF(IFERROR(VLOOKUP(BBDD_Usiarios_Netflix[[#This Row],[Identificador Usuario]],A1548:$A$5870,1,FALSE),0)&lt;&gt;0,1,0)</f>
        <v>0</v>
      </c>
      <c r="V1547" s="6" t="str">
        <f>IF(BBDD_Usiarios_Netflix[[#This Row],[Duración Plan]]="12 Meses",LEFT(BBDD_Usiarios_Netflix[[#This Row],[Duración Plan]],2),LEFT(BBDD_Usiarios_Netflix[[#This Row],[Duración Plan]],1))</f>
        <v>1</v>
      </c>
      <c r="W15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48" spans="1:23" x14ac:dyDescent="0.25">
      <c r="A1548">
        <v>1547</v>
      </c>
      <c r="B1548" t="s">
        <v>23</v>
      </c>
      <c r="C1548">
        <v>10</v>
      </c>
      <c r="D1548" s="3">
        <v>1</v>
      </c>
      <c r="E1548" s="3">
        <v>11</v>
      </c>
      <c r="F1548">
        <v>23</v>
      </c>
      <c r="G1548" s="1">
        <f>DATEVALUE(_xlfn.CONCAT(BBDD_Usiarios_Netflix[[#This Row],[Día Suscripción]],"/",BBDD_Usiarios_Netflix[[#This Row],[Mes Suscripción]],"/",BBDD_Usiarios_Netflix[[#This Row],[Año Suscripción]]))</f>
        <v>45231</v>
      </c>
      <c r="H1548" s="1">
        <v>5</v>
      </c>
      <c r="I1548" s="1">
        <v>7</v>
      </c>
      <c r="J1548" s="1">
        <v>24</v>
      </c>
      <c r="K1548" s="1" t="str">
        <f>TEXT(BBDD_Usiarios_Netflix[[#This Row],[Fecha Suscripción]],"dddd")</f>
        <v>miércoles</v>
      </c>
      <c r="L1548" s="1">
        <f>DATEVALUE(_xlfn.CONCAT(BBDD_Usiarios_Netflix[[#This Row],[Día Último Pago]],"/",BBDD_Usiarios_Netflix[[#This Row],[Mes Último Pago]],"/",BBDD_Usiarios_Netflix[[#This Row],[Año Último Pago]]))</f>
        <v>45478</v>
      </c>
      <c r="M1548" s="4">
        <f>DATEDIF(BBDD_Usiarios_Netflix[[#This Row],[Fecha Suscripción]],BBDD_Usiarios_Netflix[[#This Row],[Fecha Último Pago]],"M")+1</f>
        <v>9</v>
      </c>
      <c r="N1548" s="4">
        <f>BBDD_Usiarios_Netflix[[#This Row],[Ingresos Mensuales]]*BBDD_Usiarios_Netflix[[#This Row],[Meses contratados]]</f>
        <v>90</v>
      </c>
      <c r="O1548" t="s">
        <v>39</v>
      </c>
      <c r="P1548" t="str">
        <f>IF(BBDD_Usiarios_Netflix[[#This Row],[País]]="","Desconocido",BBDD_Usiarios_Netflix[[#This Row],[País]])</f>
        <v>Canadá</v>
      </c>
      <c r="Q1548">
        <v>35</v>
      </c>
      <c r="R1548" t="s">
        <v>30</v>
      </c>
      <c r="S1548" t="s">
        <v>26</v>
      </c>
      <c r="T1548" t="s">
        <v>41</v>
      </c>
      <c r="U1548">
        <f>IF(IFERROR(VLOOKUP(BBDD_Usiarios_Netflix[[#This Row],[Identificador Usuario]],A1549:$A$5870,1,FALSE),0)&lt;&gt;0,1,0)</f>
        <v>0</v>
      </c>
      <c r="V1548" s="6" t="str">
        <f>IF(BBDD_Usiarios_Netflix[[#This Row],[Duración Plan]]="12 Meses",LEFT(BBDD_Usiarios_Netflix[[#This Row],[Duración Plan]],2),LEFT(BBDD_Usiarios_Netflix[[#This Row],[Duración Plan]],1))</f>
        <v>12</v>
      </c>
      <c r="W15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49" spans="1:23" x14ac:dyDescent="0.25">
      <c r="A1549">
        <v>1548</v>
      </c>
      <c r="B1549" t="s">
        <v>32</v>
      </c>
      <c r="C1549">
        <v>12</v>
      </c>
      <c r="D1549" s="3">
        <v>4</v>
      </c>
      <c r="E1549" s="3">
        <v>11</v>
      </c>
      <c r="F1549">
        <v>23</v>
      </c>
      <c r="G1549" s="1">
        <f>DATEVALUE(_xlfn.CONCAT(BBDD_Usiarios_Netflix[[#This Row],[Día Suscripción]],"/",BBDD_Usiarios_Netflix[[#This Row],[Mes Suscripción]],"/",BBDD_Usiarios_Netflix[[#This Row],[Año Suscripción]]))</f>
        <v>45234</v>
      </c>
      <c r="H1549" s="1">
        <v>6</v>
      </c>
      <c r="I1549" s="1">
        <v>7</v>
      </c>
      <c r="J1549" s="1">
        <v>24</v>
      </c>
      <c r="K1549" s="1" t="str">
        <f>TEXT(BBDD_Usiarios_Netflix[[#This Row],[Fecha Suscripción]],"dddd")</f>
        <v>sábado</v>
      </c>
      <c r="L1549" s="1">
        <f>DATEVALUE(_xlfn.CONCAT(BBDD_Usiarios_Netflix[[#This Row],[Día Último Pago]],"/",BBDD_Usiarios_Netflix[[#This Row],[Mes Último Pago]],"/",BBDD_Usiarios_Netflix[[#This Row],[Año Último Pago]]))</f>
        <v>45479</v>
      </c>
      <c r="M1549" s="4">
        <f>DATEDIF(BBDD_Usiarios_Netflix[[#This Row],[Fecha Suscripción]],BBDD_Usiarios_Netflix[[#This Row],[Fecha Último Pago]],"M")+1</f>
        <v>9</v>
      </c>
      <c r="N1549" s="4">
        <f>BBDD_Usiarios_Netflix[[#This Row],[Ingresos Mensuales]]*BBDD_Usiarios_Netflix[[#This Row],[Meses contratados]]</f>
        <v>108</v>
      </c>
      <c r="O1549" t="s">
        <v>42</v>
      </c>
      <c r="P1549" t="str">
        <f>IF(BBDD_Usiarios_Netflix[[#This Row],[País]]="","Desconocido",BBDD_Usiarios_Netflix[[#This Row],[País]])</f>
        <v>Reino Unido</v>
      </c>
      <c r="Q1549">
        <v>39</v>
      </c>
      <c r="R1549" t="s">
        <v>25</v>
      </c>
      <c r="S1549" t="s">
        <v>31</v>
      </c>
      <c r="T1549" t="s">
        <v>41</v>
      </c>
      <c r="U1549">
        <f>IF(IFERROR(VLOOKUP(BBDD_Usiarios_Netflix[[#This Row],[Identificador Usuario]],A1550:$A$5870,1,FALSE),0)&lt;&gt;0,1,0)</f>
        <v>0</v>
      </c>
      <c r="V1549" s="6" t="str">
        <f>IF(BBDD_Usiarios_Netflix[[#This Row],[Duración Plan]]="12 Meses",LEFT(BBDD_Usiarios_Netflix[[#This Row],[Duración Plan]],2),LEFT(BBDD_Usiarios_Netflix[[#This Row],[Duración Plan]],1))</f>
        <v>12</v>
      </c>
      <c r="W15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50" spans="1:23" x14ac:dyDescent="0.25">
      <c r="A1550">
        <v>1549</v>
      </c>
      <c r="B1550" t="s">
        <v>28</v>
      </c>
      <c r="C1550">
        <v>14</v>
      </c>
      <c r="D1550" s="3">
        <v>4</v>
      </c>
      <c r="E1550" s="3">
        <v>11</v>
      </c>
      <c r="F1550">
        <v>23</v>
      </c>
      <c r="G1550" s="1">
        <f>DATEVALUE(_xlfn.CONCAT(BBDD_Usiarios_Netflix[[#This Row],[Día Suscripción]],"/",BBDD_Usiarios_Netflix[[#This Row],[Mes Suscripción]],"/",BBDD_Usiarios_Netflix[[#This Row],[Año Suscripción]]))</f>
        <v>45234</v>
      </c>
      <c r="H1550" s="1">
        <v>6</v>
      </c>
      <c r="I1550" s="1">
        <v>7</v>
      </c>
      <c r="J1550" s="1">
        <v>24</v>
      </c>
      <c r="K1550" s="1" t="str">
        <f>TEXT(BBDD_Usiarios_Netflix[[#This Row],[Fecha Suscripción]],"dddd")</f>
        <v>sábado</v>
      </c>
      <c r="L1550" s="1">
        <f>DATEVALUE(_xlfn.CONCAT(BBDD_Usiarios_Netflix[[#This Row],[Día Último Pago]],"/",BBDD_Usiarios_Netflix[[#This Row],[Mes Último Pago]],"/",BBDD_Usiarios_Netflix[[#This Row],[Año Último Pago]]))</f>
        <v>45479</v>
      </c>
      <c r="M1550" s="4">
        <f>DATEDIF(BBDD_Usiarios_Netflix[[#This Row],[Fecha Suscripción]],BBDD_Usiarios_Netflix[[#This Row],[Fecha Último Pago]],"M")+1</f>
        <v>9</v>
      </c>
      <c r="N1550" s="4">
        <f>BBDD_Usiarios_Netflix[[#This Row],[Ingresos Mensuales]]*BBDD_Usiarios_Netflix[[#This Row],[Meses contratados]]</f>
        <v>126</v>
      </c>
      <c r="O1550" t="s">
        <v>29</v>
      </c>
      <c r="P1550" t="str">
        <f>IF(BBDD_Usiarios_Netflix[[#This Row],[País]]="","Desconocido",BBDD_Usiarios_Netflix[[#This Row],[País]])</f>
        <v>EEUU</v>
      </c>
      <c r="Q1550">
        <v>39</v>
      </c>
      <c r="R1550" t="s">
        <v>25</v>
      </c>
      <c r="S1550" t="s">
        <v>31</v>
      </c>
      <c r="T1550" t="s">
        <v>27</v>
      </c>
      <c r="U1550">
        <f>IF(IFERROR(VLOOKUP(BBDD_Usiarios_Netflix[[#This Row],[Identificador Usuario]],A1551:$A$5870,1,FALSE),0)&lt;&gt;0,1,0)</f>
        <v>0</v>
      </c>
      <c r="V1550" s="6" t="str">
        <f>IF(BBDD_Usiarios_Netflix[[#This Row],[Duración Plan]]="12 Meses",LEFT(BBDD_Usiarios_Netflix[[#This Row],[Duración Plan]],2),LEFT(BBDD_Usiarios_Netflix[[#This Row],[Duración Plan]],1))</f>
        <v>1</v>
      </c>
      <c r="W15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51" spans="1:23" x14ac:dyDescent="0.25">
      <c r="A1551">
        <v>1550</v>
      </c>
      <c r="B1551" t="s">
        <v>23</v>
      </c>
      <c r="C1551">
        <v>10</v>
      </c>
      <c r="D1551" s="3">
        <v>4</v>
      </c>
      <c r="E1551" s="3">
        <v>11</v>
      </c>
      <c r="F1551">
        <v>23</v>
      </c>
      <c r="G1551" s="1">
        <f>DATEVALUE(_xlfn.CONCAT(BBDD_Usiarios_Netflix[[#This Row],[Día Suscripción]],"/",BBDD_Usiarios_Netflix[[#This Row],[Mes Suscripción]],"/",BBDD_Usiarios_Netflix[[#This Row],[Año Suscripción]]))</f>
        <v>45234</v>
      </c>
      <c r="H1551" s="1">
        <v>7</v>
      </c>
      <c r="I1551" s="1">
        <v>7</v>
      </c>
      <c r="J1551" s="1">
        <v>24</v>
      </c>
      <c r="K1551" s="1" t="str">
        <f>TEXT(BBDD_Usiarios_Netflix[[#This Row],[Fecha Suscripción]],"dddd")</f>
        <v>sábado</v>
      </c>
      <c r="L1551" s="1">
        <f>DATEVALUE(_xlfn.CONCAT(BBDD_Usiarios_Netflix[[#This Row],[Día Último Pago]],"/",BBDD_Usiarios_Netflix[[#This Row],[Mes Último Pago]],"/",BBDD_Usiarios_Netflix[[#This Row],[Año Último Pago]]))</f>
        <v>45480</v>
      </c>
      <c r="M1551" s="4">
        <f>DATEDIF(BBDD_Usiarios_Netflix[[#This Row],[Fecha Suscripción]],BBDD_Usiarios_Netflix[[#This Row],[Fecha Último Pago]],"M")+1</f>
        <v>9</v>
      </c>
      <c r="N1551" s="4">
        <f>BBDD_Usiarios_Netflix[[#This Row],[Ingresos Mensuales]]*BBDD_Usiarios_Netflix[[#This Row],[Meses contratados]]</f>
        <v>90</v>
      </c>
      <c r="O1551" t="s">
        <v>45</v>
      </c>
      <c r="P1551" t="str">
        <f>IF(BBDD_Usiarios_Netflix[[#This Row],[País]]="","Desconocido",BBDD_Usiarios_Netflix[[#This Row],[País]])</f>
        <v>España</v>
      </c>
      <c r="Q1551">
        <v>49</v>
      </c>
      <c r="R1551" t="s">
        <v>30</v>
      </c>
      <c r="S1551" t="s">
        <v>34</v>
      </c>
      <c r="T1551" t="s">
        <v>41</v>
      </c>
      <c r="U1551">
        <f>IF(IFERROR(VLOOKUP(BBDD_Usiarios_Netflix[[#This Row],[Identificador Usuario]],A1552:$A$5870,1,FALSE),0)&lt;&gt;0,1,0)</f>
        <v>0</v>
      </c>
      <c r="V1551" s="6" t="str">
        <f>IF(BBDD_Usiarios_Netflix[[#This Row],[Duración Plan]]="12 Meses",LEFT(BBDD_Usiarios_Netflix[[#This Row],[Duración Plan]],2),LEFT(BBDD_Usiarios_Netflix[[#This Row],[Duración Plan]],1))</f>
        <v>12</v>
      </c>
      <c r="W15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52" spans="1:23" x14ac:dyDescent="0.25">
      <c r="A1552">
        <v>1551</v>
      </c>
      <c r="B1552" t="s">
        <v>28</v>
      </c>
      <c r="C1552">
        <v>14</v>
      </c>
      <c r="D1552" s="3">
        <v>5</v>
      </c>
      <c r="E1552" s="3">
        <v>11</v>
      </c>
      <c r="F1552">
        <v>23</v>
      </c>
      <c r="G1552" s="1">
        <f>DATEVALUE(_xlfn.CONCAT(BBDD_Usiarios_Netflix[[#This Row],[Día Suscripción]],"/",BBDD_Usiarios_Netflix[[#This Row],[Mes Suscripción]],"/",BBDD_Usiarios_Netflix[[#This Row],[Año Suscripción]]))</f>
        <v>45235</v>
      </c>
      <c r="H1552" s="1">
        <v>4</v>
      </c>
      <c r="I1552" s="1">
        <v>7</v>
      </c>
      <c r="J1552" s="1">
        <v>24</v>
      </c>
      <c r="K1552" s="1" t="str">
        <f>TEXT(BBDD_Usiarios_Netflix[[#This Row],[Fecha Suscripción]],"dddd")</f>
        <v>domingo</v>
      </c>
      <c r="L1552" s="1">
        <f>DATEVALUE(_xlfn.CONCAT(BBDD_Usiarios_Netflix[[#This Row],[Día Último Pago]],"/",BBDD_Usiarios_Netflix[[#This Row],[Mes Último Pago]],"/",BBDD_Usiarios_Netflix[[#This Row],[Año Último Pago]]))</f>
        <v>45477</v>
      </c>
      <c r="M1552" s="4">
        <f>DATEDIF(BBDD_Usiarios_Netflix[[#This Row],[Fecha Suscripción]],BBDD_Usiarios_Netflix[[#This Row],[Fecha Último Pago]],"M")+1</f>
        <v>8</v>
      </c>
      <c r="N1552" s="4">
        <f>BBDD_Usiarios_Netflix[[#This Row],[Ingresos Mensuales]]*BBDD_Usiarios_Netflix[[#This Row],[Meses contratados]]</f>
        <v>112</v>
      </c>
      <c r="O1552" t="s">
        <v>29</v>
      </c>
      <c r="P1552" t="str">
        <f>IF(BBDD_Usiarios_Netflix[[#This Row],[País]]="","Desconocido",BBDD_Usiarios_Netflix[[#This Row],[País]])</f>
        <v>EEUU</v>
      </c>
      <c r="Q1552">
        <v>30</v>
      </c>
      <c r="R1552" t="s">
        <v>25</v>
      </c>
      <c r="S1552" t="s">
        <v>31</v>
      </c>
      <c r="T1552" t="s">
        <v>35</v>
      </c>
      <c r="U1552">
        <f>IF(IFERROR(VLOOKUP(BBDD_Usiarios_Netflix[[#This Row],[Identificador Usuario]],A1553:$A$5870,1,FALSE),0)&lt;&gt;0,1,0)</f>
        <v>0</v>
      </c>
      <c r="V1552" s="6" t="str">
        <f>IF(BBDD_Usiarios_Netflix[[#This Row],[Duración Plan]]="12 Meses",LEFT(BBDD_Usiarios_Netflix[[#This Row],[Duración Plan]],2),LEFT(BBDD_Usiarios_Netflix[[#This Row],[Duración Plan]],1))</f>
        <v>6</v>
      </c>
      <c r="W15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53" spans="1:23" x14ac:dyDescent="0.25">
      <c r="A1553">
        <v>1552</v>
      </c>
      <c r="B1553" t="s">
        <v>23</v>
      </c>
      <c r="C1553">
        <v>10</v>
      </c>
      <c r="D1553" s="3">
        <v>2</v>
      </c>
      <c r="E1553" s="3">
        <v>11</v>
      </c>
      <c r="F1553">
        <v>23</v>
      </c>
      <c r="G1553" s="1">
        <f>DATEVALUE(_xlfn.CONCAT(BBDD_Usiarios_Netflix[[#This Row],[Día Suscripción]],"/",BBDD_Usiarios_Netflix[[#This Row],[Mes Suscripción]],"/",BBDD_Usiarios_Netflix[[#This Row],[Año Suscripción]]))</f>
        <v>45232</v>
      </c>
      <c r="H1553" s="1">
        <v>5</v>
      </c>
      <c r="I1553" s="1">
        <v>7</v>
      </c>
      <c r="J1553" s="1">
        <v>24</v>
      </c>
      <c r="K1553" s="1" t="str">
        <f>TEXT(BBDD_Usiarios_Netflix[[#This Row],[Fecha Suscripción]],"dddd")</f>
        <v>jueves</v>
      </c>
      <c r="L1553" s="1">
        <f>DATEVALUE(_xlfn.CONCAT(BBDD_Usiarios_Netflix[[#This Row],[Día Último Pago]],"/",BBDD_Usiarios_Netflix[[#This Row],[Mes Último Pago]],"/",BBDD_Usiarios_Netflix[[#This Row],[Año Último Pago]]))</f>
        <v>45478</v>
      </c>
      <c r="M1553" s="4">
        <f>DATEDIF(BBDD_Usiarios_Netflix[[#This Row],[Fecha Suscripción]],BBDD_Usiarios_Netflix[[#This Row],[Fecha Último Pago]],"M")+1</f>
        <v>9</v>
      </c>
      <c r="N1553" s="4">
        <f>BBDD_Usiarios_Netflix[[#This Row],[Ingresos Mensuales]]*BBDD_Usiarios_Netflix[[#This Row],[Meses contratados]]</f>
        <v>90</v>
      </c>
      <c r="O1553" t="s">
        <v>42</v>
      </c>
      <c r="P1553" t="str">
        <f>IF(BBDD_Usiarios_Netflix[[#This Row],[País]]="","Desconocido",BBDD_Usiarios_Netflix[[#This Row],[País]])</f>
        <v>Reino Unido</v>
      </c>
      <c r="Q1553">
        <v>31</v>
      </c>
      <c r="R1553" t="s">
        <v>30</v>
      </c>
      <c r="S1553" t="s">
        <v>31</v>
      </c>
      <c r="T1553" t="s">
        <v>38</v>
      </c>
      <c r="U1553">
        <f>IF(IFERROR(VLOOKUP(BBDD_Usiarios_Netflix[[#This Row],[Identificador Usuario]],A1554:$A$5870,1,FALSE),0)&lt;&gt;0,1,0)</f>
        <v>0</v>
      </c>
      <c r="V1553" s="6" t="str">
        <f>IF(BBDD_Usiarios_Netflix[[#This Row],[Duración Plan]]="12 Meses",LEFT(BBDD_Usiarios_Netflix[[#This Row],[Duración Plan]],2),LEFT(BBDD_Usiarios_Netflix[[#This Row],[Duración Plan]],1))</f>
        <v>3</v>
      </c>
      <c r="W15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54" spans="1:23" x14ac:dyDescent="0.25">
      <c r="A1554">
        <v>1553</v>
      </c>
      <c r="B1554" t="s">
        <v>32</v>
      </c>
      <c r="C1554">
        <v>12</v>
      </c>
      <c r="D1554" s="3">
        <v>3</v>
      </c>
      <c r="E1554" s="3">
        <v>11</v>
      </c>
      <c r="F1554">
        <v>23</v>
      </c>
      <c r="G1554" s="1">
        <f>DATEVALUE(_xlfn.CONCAT(BBDD_Usiarios_Netflix[[#This Row],[Día Suscripción]],"/",BBDD_Usiarios_Netflix[[#This Row],[Mes Suscripción]],"/",BBDD_Usiarios_Netflix[[#This Row],[Año Suscripción]]))</f>
        <v>45233</v>
      </c>
      <c r="H1554" s="1">
        <v>6</v>
      </c>
      <c r="I1554" s="1">
        <v>7</v>
      </c>
      <c r="J1554" s="1">
        <v>24</v>
      </c>
      <c r="K1554" s="1" t="str">
        <f>TEXT(BBDD_Usiarios_Netflix[[#This Row],[Fecha Suscripción]],"dddd")</f>
        <v>viernes</v>
      </c>
      <c r="L1554" s="1">
        <f>DATEVALUE(_xlfn.CONCAT(BBDD_Usiarios_Netflix[[#This Row],[Día Último Pago]],"/",BBDD_Usiarios_Netflix[[#This Row],[Mes Último Pago]],"/",BBDD_Usiarios_Netflix[[#This Row],[Año Último Pago]]))</f>
        <v>45479</v>
      </c>
      <c r="M1554" s="4">
        <f>DATEDIF(BBDD_Usiarios_Netflix[[#This Row],[Fecha Suscripción]],BBDD_Usiarios_Netflix[[#This Row],[Fecha Último Pago]],"M")+1</f>
        <v>9</v>
      </c>
      <c r="N1554" s="4">
        <f>BBDD_Usiarios_Netflix[[#This Row],[Ingresos Mensuales]]*BBDD_Usiarios_Netflix[[#This Row],[Meses contratados]]</f>
        <v>108</v>
      </c>
      <c r="O1554" t="s">
        <v>33</v>
      </c>
      <c r="P1554" t="str">
        <f>IF(BBDD_Usiarios_Netflix[[#This Row],[País]]="","Desconocido",BBDD_Usiarios_Netflix[[#This Row],[País]])</f>
        <v>Francia</v>
      </c>
      <c r="Q1554">
        <v>39</v>
      </c>
      <c r="R1554" t="s">
        <v>25</v>
      </c>
      <c r="S1554" t="s">
        <v>31</v>
      </c>
      <c r="T1554" t="s">
        <v>38</v>
      </c>
      <c r="U1554">
        <f>IF(IFERROR(VLOOKUP(BBDD_Usiarios_Netflix[[#This Row],[Identificador Usuario]],A1555:$A$5870,1,FALSE),0)&lt;&gt;0,1,0)</f>
        <v>0</v>
      </c>
      <c r="V1554" s="6" t="str">
        <f>IF(BBDD_Usiarios_Netflix[[#This Row],[Duración Plan]]="12 Meses",LEFT(BBDD_Usiarios_Netflix[[#This Row],[Duración Plan]],2),LEFT(BBDD_Usiarios_Netflix[[#This Row],[Duración Plan]],1))</f>
        <v>3</v>
      </c>
      <c r="W15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55" spans="1:23" x14ac:dyDescent="0.25">
      <c r="A1555">
        <v>1554</v>
      </c>
      <c r="B1555" t="s">
        <v>32</v>
      </c>
      <c r="C1555">
        <v>12</v>
      </c>
      <c r="D1555" s="3">
        <v>30</v>
      </c>
      <c r="E1555" s="3">
        <v>10</v>
      </c>
      <c r="F1555">
        <v>23</v>
      </c>
      <c r="G1555" s="1">
        <f>DATEVALUE(_xlfn.CONCAT(BBDD_Usiarios_Netflix[[#This Row],[Día Suscripción]],"/",BBDD_Usiarios_Netflix[[#This Row],[Mes Suscripción]],"/",BBDD_Usiarios_Netflix[[#This Row],[Año Suscripción]]))</f>
        <v>45229</v>
      </c>
      <c r="H1555" s="1">
        <v>6</v>
      </c>
      <c r="I1555" s="1">
        <v>7</v>
      </c>
      <c r="J1555" s="1">
        <v>24</v>
      </c>
      <c r="K1555" s="1" t="str">
        <f>TEXT(BBDD_Usiarios_Netflix[[#This Row],[Fecha Suscripción]],"dddd")</f>
        <v>lunes</v>
      </c>
      <c r="L1555" s="1">
        <f>DATEVALUE(_xlfn.CONCAT(BBDD_Usiarios_Netflix[[#This Row],[Día Último Pago]],"/",BBDD_Usiarios_Netflix[[#This Row],[Mes Último Pago]],"/",BBDD_Usiarios_Netflix[[#This Row],[Año Último Pago]]))</f>
        <v>45479</v>
      </c>
      <c r="M1555" s="4">
        <f>DATEDIF(BBDD_Usiarios_Netflix[[#This Row],[Fecha Suscripción]],BBDD_Usiarios_Netflix[[#This Row],[Fecha Último Pago]],"M")+1</f>
        <v>9</v>
      </c>
      <c r="N1555" s="4">
        <f>BBDD_Usiarios_Netflix[[#This Row],[Ingresos Mensuales]]*BBDD_Usiarios_Netflix[[#This Row],[Meses contratados]]</f>
        <v>108</v>
      </c>
      <c r="O1555" t="s">
        <v>24</v>
      </c>
      <c r="P1555" t="str">
        <f>IF(BBDD_Usiarios_Netflix[[#This Row],[País]]="","Desconocido",BBDD_Usiarios_Netflix[[#This Row],[País]])</f>
        <v>Australia</v>
      </c>
      <c r="Q1555">
        <v>30</v>
      </c>
      <c r="R1555" t="s">
        <v>30</v>
      </c>
      <c r="S1555" t="s">
        <v>36</v>
      </c>
      <c r="T1555" t="s">
        <v>38</v>
      </c>
      <c r="U1555">
        <f>IF(IFERROR(VLOOKUP(BBDD_Usiarios_Netflix[[#This Row],[Identificador Usuario]],A1556:$A$5870,1,FALSE),0)&lt;&gt;0,1,0)</f>
        <v>0</v>
      </c>
      <c r="V1555" s="6" t="str">
        <f>IF(BBDD_Usiarios_Netflix[[#This Row],[Duración Plan]]="12 Meses",LEFT(BBDD_Usiarios_Netflix[[#This Row],[Duración Plan]],2),LEFT(BBDD_Usiarios_Netflix[[#This Row],[Duración Plan]],1))</f>
        <v>3</v>
      </c>
      <c r="W15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56" spans="1:23" x14ac:dyDescent="0.25">
      <c r="A1556">
        <v>1555</v>
      </c>
      <c r="B1556" t="s">
        <v>23</v>
      </c>
      <c r="C1556">
        <v>10</v>
      </c>
      <c r="D1556" s="3">
        <v>31</v>
      </c>
      <c r="E1556" s="3">
        <v>10</v>
      </c>
      <c r="F1556">
        <v>23</v>
      </c>
      <c r="G1556" s="1">
        <f>DATEVALUE(_xlfn.CONCAT(BBDD_Usiarios_Netflix[[#This Row],[Día Suscripción]],"/",BBDD_Usiarios_Netflix[[#This Row],[Mes Suscripción]],"/",BBDD_Usiarios_Netflix[[#This Row],[Año Suscripción]]))</f>
        <v>45230</v>
      </c>
      <c r="H1556" s="1">
        <v>4</v>
      </c>
      <c r="I1556" s="1">
        <v>7</v>
      </c>
      <c r="J1556" s="1">
        <v>24</v>
      </c>
      <c r="K1556" s="1" t="str">
        <f>TEXT(BBDD_Usiarios_Netflix[[#This Row],[Fecha Suscripción]],"dddd")</f>
        <v>martes</v>
      </c>
      <c r="L1556" s="1">
        <f>DATEVALUE(_xlfn.CONCAT(BBDD_Usiarios_Netflix[[#This Row],[Día Último Pago]],"/",BBDD_Usiarios_Netflix[[#This Row],[Mes Último Pago]],"/",BBDD_Usiarios_Netflix[[#This Row],[Año Último Pago]]))</f>
        <v>45477</v>
      </c>
      <c r="M1556" s="4">
        <f>DATEDIF(BBDD_Usiarios_Netflix[[#This Row],[Fecha Suscripción]],BBDD_Usiarios_Netflix[[#This Row],[Fecha Último Pago]],"M")+1</f>
        <v>9</v>
      </c>
      <c r="N1556" s="4">
        <f>BBDD_Usiarios_Netflix[[#This Row],[Ingresos Mensuales]]*BBDD_Usiarios_Netflix[[#This Row],[Meses contratados]]</f>
        <v>90</v>
      </c>
      <c r="O1556" t="s">
        <v>24</v>
      </c>
      <c r="P1556" t="str">
        <f>IF(BBDD_Usiarios_Netflix[[#This Row],[País]]="","Desconocido",BBDD_Usiarios_Netflix[[#This Row],[País]])</f>
        <v>Australia</v>
      </c>
      <c r="Q1556">
        <v>43</v>
      </c>
      <c r="R1556" t="s">
        <v>30</v>
      </c>
      <c r="S1556" t="s">
        <v>26</v>
      </c>
      <c r="T1556" t="s">
        <v>35</v>
      </c>
      <c r="U1556">
        <f>IF(IFERROR(VLOOKUP(BBDD_Usiarios_Netflix[[#This Row],[Identificador Usuario]],A1557:$A$5870,1,FALSE),0)&lt;&gt;0,1,0)</f>
        <v>0</v>
      </c>
      <c r="V1556" s="6" t="str">
        <f>IF(BBDD_Usiarios_Netflix[[#This Row],[Duración Plan]]="12 Meses",LEFT(BBDD_Usiarios_Netflix[[#This Row],[Duración Plan]],2),LEFT(BBDD_Usiarios_Netflix[[#This Row],[Duración Plan]],1))</f>
        <v>6</v>
      </c>
      <c r="W15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57" spans="1:23" x14ac:dyDescent="0.25">
      <c r="A1557">
        <v>1556</v>
      </c>
      <c r="B1557" t="s">
        <v>28</v>
      </c>
      <c r="C1557">
        <v>14</v>
      </c>
      <c r="D1557" s="3">
        <v>14</v>
      </c>
      <c r="E1557" s="3">
        <v>10</v>
      </c>
      <c r="F1557">
        <v>23</v>
      </c>
      <c r="G1557" s="1">
        <f>DATEVALUE(_xlfn.CONCAT(BBDD_Usiarios_Netflix[[#This Row],[Día Suscripción]],"/",BBDD_Usiarios_Netflix[[#This Row],[Mes Suscripción]],"/",BBDD_Usiarios_Netflix[[#This Row],[Año Suscripción]]))</f>
        <v>45213</v>
      </c>
      <c r="H1557" s="1">
        <v>5</v>
      </c>
      <c r="I1557" s="1">
        <v>7</v>
      </c>
      <c r="J1557" s="1">
        <v>24</v>
      </c>
      <c r="K1557" s="1" t="str">
        <f>TEXT(BBDD_Usiarios_Netflix[[#This Row],[Fecha Suscripción]],"dddd")</f>
        <v>sábado</v>
      </c>
      <c r="L1557" s="1">
        <f>DATEVALUE(_xlfn.CONCAT(BBDD_Usiarios_Netflix[[#This Row],[Día Último Pago]],"/",BBDD_Usiarios_Netflix[[#This Row],[Mes Último Pago]],"/",BBDD_Usiarios_Netflix[[#This Row],[Año Último Pago]]))</f>
        <v>45478</v>
      </c>
      <c r="M1557" s="4">
        <f>DATEDIF(BBDD_Usiarios_Netflix[[#This Row],[Fecha Suscripción]],BBDD_Usiarios_Netflix[[#This Row],[Fecha Último Pago]],"M")+1</f>
        <v>9</v>
      </c>
      <c r="N1557" s="4">
        <f>BBDD_Usiarios_Netflix[[#This Row],[Ingresos Mensuales]]*BBDD_Usiarios_Netflix[[#This Row],[Meses contratados]]</f>
        <v>126</v>
      </c>
      <c r="O1557" t="s">
        <v>29</v>
      </c>
      <c r="P1557" t="str">
        <f>IF(BBDD_Usiarios_Netflix[[#This Row],[País]]="","Desconocido",BBDD_Usiarios_Netflix[[#This Row],[País]])</f>
        <v>EEUU</v>
      </c>
      <c r="Q1557">
        <v>29</v>
      </c>
      <c r="R1557" t="s">
        <v>30</v>
      </c>
      <c r="S1557" t="s">
        <v>26</v>
      </c>
      <c r="T1557" t="s">
        <v>41</v>
      </c>
      <c r="U1557">
        <f>IF(IFERROR(VLOOKUP(BBDD_Usiarios_Netflix[[#This Row],[Identificador Usuario]],A1558:$A$5870,1,FALSE),0)&lt;&gt;0,1,0)</f>
        <v>0</v>
      </c>
      <c r="V1557" s="6" t="str">
        <f>IF(BBDD_Usiarios_Netflix[[#This Row],[Duración Plan]]="12 Meses",LEFT(BBDD_Usiarios_Netflix[[#This Row],[Duración Plan]],2),LEFT(BBDD_Usiarios_Netflix[[#This Row],[Duración Plan]],1))</f>
        <v>12</v>
      </c>
      <c r="W15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58" spans="1:23" x14ac:dyDescent="0.25">
      <c r="A1558">
        <v>1557</v>
      </c>
      <c r="B1558" t="s">
        <v>23</v>
      </c>
      <c r="C1558">
        <v>10</v>
      </c>
      <c r="D1558" s="3">
        <v>26</v>
      </c>
      <c r="E1558" s="3">
        <v>9</v>
      </c>
      <c r="F1558">
        <v>23</v>
      </c>
      <c r="G1558" s="1">
        <f>DATEVALUE(_xlfn.CONCAT(BBDD_Usiarios_Netflix[[#This Row],[Día Suscripción]],"/",BBDD_Usiarios_Netflix[[#This Row],[Mes Suscripción]],"/",BBDD_Usiarios_Netflix[[#This Row],[Año Suscripción]]))</f>
        <v>45195</v>
      </c>
      <c r="H1558" s="1">
        <v>5</v>
      </c>
      <c r="I1558" s="1">
        <v>7</v>
      </c>
      <c r="J1558" s="1">
        <v>24</v>
      </c>
      <c r="K1558" s="1" t="str">
        <f>TEXT(BBDD_Usiarios_Netflix[[#This Row],[Fecha Suscripción]],"dddd")</f>
        <v>martes</v>
      </c>
      <c r="L1558" s="1">
        <f>DATEVALUE(_xlfn.CONCAT(BBDD_Usiarios_Netflix[[#This Row],[Día Último Pago]],"/",BBDD_Usiarios_Netflix[[#This Row],[Mes Último Pago]],"/",BBDD_Usiarios_Netflix[[#This Row],[Año Último Pago]]))</f>
        <v>45478</v>
      </c>
      <c r="M1558" s="4">
        <f>DATEDIF(BBDD_Usiarios_Netflix[[#This Row],[Fecha Suscripción]],BBDD_Usiarios_Netflix[[#This Row],[Fecha Último Pago]],"M")+1</f>
        <v>10</v>
      </c>
      <c r="N1558" s="4">
        <f>BBDD_Usiarios_Netflix[[#This Row],[Ingresos Mensuales]]*BBDD_Usiarios_Netflix[[#This Row],[Meses contratados]]</f>
        <v>100</v>
      </c>
      <c r="O1558" t="s">
        <v>46</v>
      </c>
      <c r="P1558" t="str">
        <f>IF(BBDD_Usiarios_Netflix[[#This Row],[País]]="","Desconocido",BBDD_Usiarios_Netflix[[#This Row],[País]])</f>
        <v>Méjico</v>
      </c>
      <c r="Q1558">
        <v>46</v>
      </c>
      <c r="R1558" t="s">
        <v>25</v>
      </c>
      <c r="S1558" t="s">
        <v>34</v>
      </c>
      <c r="T1558" t="s">
        <v>27</v>
      </c>
      <c r="U1558">
        <f>IF(IFERROR(VLOOKUP(BBDD_Usiarios_Netflix[[#This Row],[Identificador Usuario]],A1559:$A$5870,1,FALSE),0)&lt;&gt;0,1,0)</f>
        <v>0</v>
      </c>
      <c r="V1558" s="6" t="str">
        <f>IF(BBDD_Usiarios_Netflix[[#This Row],[Duración Plan]]="12 Meses",LEFT(BBDD_Usiarios_Netflix[[#This Row],[Duración Plan]],2),LEFT(BBDD_Usiarios_Netflix[[#This Row],[Duración Plan]],1))</f>
        <v>1</v>
      </c>
      <c r="W15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59" spans="1:23" x14ac:dyDescent="0.25">
      <c r="A1559">
        <v>1558</v>
      </c>
      <c r="B1559" t="s">
        <v>32</v>
      </c>
      <c r="C1559">
        <v>12</v>
      </c>
      <c r="D1559" s="3">
        <v>17</v>
      </c>
      <c r="E1559" s="3">
        <v>9</v>
      </c>
      <c r="F1559">
        <v>23</v>
      </c>
      <c r="G1559" s="1">
        <f>DATEVALUE(_xlfn.CONCAT(BBDD_Usiarios_Netflix[[#This Row],[Día Suscripción]],"/",BBDD_Usiarios_Netflix[[#This Row],[Mes Suscripción]],"/",BBDD_Usiarios_Netflix[[#This Row],[Año Suscripción]]))</f>
        <v>45186</v>
      </c>
      <c r="H1559" s="1">
        <v>6</v>
      </c>
      <c r="I1559" s="1">
        <v>7</v>
      </c>
      <c r="J1559" s="1">
        <v>24</v>
      </c>
      <c r="K1559" s="1" t="str">
        <f>TEXT(BBDD_Usiarios_Netflix[[#This Row],[Fecha Suscripción]],"dddd")</f>
        <v>domingo</v>
      </c>
      <c r="L1559" s="1">
        <f>DATEVALUE(_xlfn.CONCAT(BBDD_Usiarios_Netflix[[#This Row],[Día Último Pago]],"/",BBDD_Usiarios_Netflix[[#This Row],[Mes Último Pago]],"/",BBDD_Usiarios_Netflix[[#This Row],[Año Último Pago]]))</f>
        <v>45479</v>
      </c>
      <c r="M1559" s="4">
        <f>DATEDIF(BBDD_Usiarios_Netflix[[#This Row],[Fecha Suscripción]],BBDD_Usiarios_Netflix[[#This Row],[Fecha Último Pago]],"M")+1</f>
        <v>10</v>
      </c>
      <c r="N1559" s="4">
        <f>BBDD_Usiarios_Netflix[[#This Row],[Ingresos Mensuales]]*BBDD_Usiarios_Netflix[[#This Row],[Meses contratados]]</f>
        <v>120</v>
      </c>
      <c r="O1559" t="s">
        <v>44</v>
      </c>
      <c r="P1559" t="str">
        <f>IF(BBDD_Usiarios_Netflix[[#This Row],[País]]="","Desconocido",BBDD_Usiarios_Netflix[[#This Row],[País]])</f>
        <v>Desconocido</v>
      </c>
      <c r="Q1559">
        <v>35</v>
      </c>
      <c r="R1559" t="s">
        <v>25</v>
      </c>
      <c r="S1559" t="s">
        <v>26</v>
      </c>
      <c r="T1559" t="s">
        <v>27</v>
      </c>
      <c r="U1559">
        <f>IF(IFERROR(VLOOKUP(BBDD_Usiarios_Netflix[[#This Row],[Identificador Usuario]],A1560:$A$5870,1,FALSE),0)&lt;&gt;0,1,0)</f>
        <v>0</v>
      </c>
      <c r="V1559" s="6" t="str">
        <f>IF(BBDD_Usiarios_Netflix[[#This Row],[Duración Plan]]="12 Meses",LEFT(BBDD_Usiarios_Netflix[[#This Row],[Duración Plan]],2),LEFT(BBDD_Usiarios_Netflix[[#This Row],[Duración Plan]],1))</f>
        <v>1</v>
      </c>
      <c r="W15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60" spans="1:23" x14ac:dyDescent="0.25">
      <c r="A1560">
        <v>1559</v>
      </c>
      <c r="B1560" t="s">
        <v>28</v>
      </c>
      <c r="C1560">
        <v>14</v>
      </c>
      <c r="D1560" s="3">
        <v>16</v>
      </c>
      <c r="E1560" s="3">
        <v>9</v>
      </c>
      <c r="F1560">
        <v>23</v>
      </c>
      <c r="G1560" s="1">
        <f>DATEVALUE(_xlfn.CONCAT(BBDD_Usiarios_Netflix[[#This Row],[Día Suscripción]],"/",BBDD_Usiarios_Netflix[[#This Row],[Mes Suscripción]],"/",BBDD_Usiarios_Netflix[[#This Row],[Año Suscripción]]))</f>
        <v>45185</v>
      </c>
      <c r="H1560" s="1">
        <v>3</v>
      </c>
      <c r="I1560" s="1">
        <v>7</v>
      </c>
      <c r="J1560" s="1">
        <v>24</v>
      </c>
      <c r="K1560" s="1" t="str">
        <f>TEXT(BBDD_Usiarios_Netflix[[#This Row],[Fecha Suscripción]],"dddd")</f>
        <v>sábado</v>
      </c>
      <c r="L1560" s="1">
        <f>DATEVALUE(_xlfn.CONCAT(BBDD_Usiarios_Netflix[[#This Row],[Día Último Pago]],"/",BBDD_Usiarios_Netflix[[#This Row],[Mes Último Pago]],"/",BBDD_Usiarios_Netflix[[#This Row],[Año Último Pago]]))</f>
        <v>45476</v>
      </c>
      <c r="M1560" s="4">
        <f>DATEDIF(BBDD_Usiarios_Netflix[[#This Row],[Fecha Suscripción]],BBDD_Usiarios_Netflix[[#This Row],[Fecha Último Pago]],"M")+1</f>
        <v>10</v>
      </c>
      <c r="N1560" s="4">
        <f>BBDD_Usiarios_Netflix[[#This Row],[Ingresos Mensuales]]*BBDD_Usiarios_Netflix[[#This Row],[Meses contratados]]</f>
        <v>140</v>
      </c>
      <c r="O1560" t="s">
        <v>46</v>
      </c>
      <c r="P1560" t="str">
        <f>IF(BBDD_Usiarios_Netflix[[#This Row],[País]]="","Desconocido",BBDD_Usiarios_Netflix[[#This Row],[País]])</f>
        <v>Méjico</v>
      </c>
      <c r="Q1560">
        <v>30</v>
      </c>
      <c r="R1560" t="s">
        <v>25</v>
      </c>
      <c r="S1560" t="s">
        <v>31</v>
      </c>
      <c r="T1560" t="s">
        <v>38</v>
      </c>
      <c r="U1560">
        <f>IF(IFERROR(VLOOKUP(BBDD_Usiarios_Netflix[[#This Row],[Identificador Usuario]],A1561:$A$5870,1,FALSE),0)&lt;&gt;0,1,0)</f>
        <v>0</v>
      </c>
      <c r="V1560" s="6" t="str">
        <f>IF(BBDD_Usiarios_Netflix[[#This Row],[Duración Plan]]="12 Meses",LEFT(BBDD_Usiarios_Netflix[[#This Row],[Duración Plan]],2),LEFT(BBDD_Usiarios_Netflix[[#This Row],[Duración Plan]],1))</f>
        <v>3</v>
      </c>
      <c r="W15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61" spans="1:23" x14ac:dyDescent="0.25">
      <c r="A1561">
        <v>1560</v>
      </c>
      <c r="B1561" t="s">
        <v>23</v>
      </c>
      <c r="C1561">
        <v>10</v>
      </c>
      <c r="D1561" s="3">
        <v>12</v>
      </c>
      <c r="E1561" s="3">
        <v>9</v>
      </c>
      <c r="F1561">
        <v>23</v>
      </c>
      <c r="G1561" s="1">
        <f>DATEVALUE(_xlfn.CONCAT(BBDD_Usiarios_Netflix[[#This Row],[Día Suscripción]],"/",BBDD_Usiarios_Netflix[[#This Row],[Mes Suscripción]],"/",BBDD_Usiarios_Netflix[[#This Row],[Año Suscripción]]))</f>
        <v>45181</v>
      </c>
      <c r="H1561" s="1">
        <v>7</v>
      </c>
      <c r="I1561" s="1">
        <v>7</v>
      </c>
      <c r="J1561" s="1">
        <v>24</v>
      </c>
      <c r="K1561" s="1" t="str">
        <f>TEXT(BBDD_Usiarios_Netflix[[#This Row],[Fecha Suscripción]],"dddd")</f>
        <v>martes</v>
      </c>
      <c r="L1561" s="1">
        <f>DATEVALUE(_xlfn.CONCAT(BBDD_Usiarios_Netflix[[#This Row],[Día Último Pago]],"/",BBDD_Usiarios_Netflix[[#This Row],[Mes Último Pago]],"/",BBDD_Usiarios_Netflix[[#This Row],[Año Último Pago]]))</f>
        <v>45480</v>
      </c>
      <c r="M1561" s="4">
        <f>DATEDIF(BBDD_Usiarios_Netflix[[#This Row],[Fecha Suscripción]],BBDD_Usiarios_Netflix[[#This Row],[Fecha Último Pago]],"M")+1</f>
        <v>10</v>
      </c>
      <c r="N1561" s="4">
        <f>BBDD_Usiarios_Netflix[[#This Row],[Ingresos Mensuales]]*BBDD_Usiarios_Netflix[[#This Row],[Meses contratados]]</f>
        <v>100</v>
      </c>
      <c r="O1561" t="s">
        <v>42</v>
      </c>
      <c r="P1561" t="str">
        <f>IF(BBDD_Usiarios_Netflix[[#This Row],[País]]="","Desconocido",BBDD_Usiarios_Netflix[[#This Row],[País]])</f>
        <v>Reino Unido</v>
      </c>
      <c r="Q1561">
        <v>39</v>
      </c>
      <c r="R1561" t="s">
        <v>30</v>
      </c>
      <c r="S1561" t="s">
        <v>34</v>
      </c>
      <c r="T1561" t="s">
        <v>35</v>
      </c>
      <c r="U1561">
        <f>IF(IFERROR(VLOOKUP(BBDD_Usiarios_Netflix[[#This Row],[Identificador Usuario]],A1562:$A$5870,1,FALSE),0)&lt;&gt;0,1,0)</f>
        <v>0</v>
      </c>
      <c r="V1561" s="6" t="str">
        <f>IF(BBDD_Usiarios_Netflix[[#This Row],[Duración Plan]]="12 Meses",LEFT(BBDD_Usiarios_Netflix[[#This Row],[Duración Plan]],2),LEFT(BBDD_Usiarios_Netflix[[#This Row],[Duración Plan]],1))</f>
        <v>6</v>
      </c>
      <c r="W15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62" spans="1:23" x14ac:dyDescent="0.25">
      <c r="A1562">
        <v>1561</v>
      </c>
      <c r="B1562" t="s">
        <v>28</v>
      </c>
      <c r="C1562">
        <v>14</v>
      </c>
      <c r="D1562" s="3">
        <v>12</v>
      </c>
      <c r="E1562" s="3">
        <v>9</v>
      </c>
      <c r="F1562">
        <v>23</v>
      </c>
      <c r="G1562" s="1">
        <f>DATEVALUE(_xlfn.CONCAT(BBDD_Usiarios_Netflix[[#This Row],[Día Suscripción]],"/",BBDD_Usiarios_Netflix[[#This Row],[Mes Suscripción]],"/",BBDD_Usiarios_Netflix[[#This Row],[Año Suscripción]]))</f>
        <v>45181</v>
      </c>
      <c r="H1562" s="1">
        <v>6</v>
      </c>
      <c r="I1562" s="1">
        <v>7</v>
      </c>
      <c r="J1562" s="1">
        <v>24</v>
      </c>
      <c r="K1562" s="1" t="str">
        <f>TEXT(BBDD_Usiarios_Netflix[[#This Row],[Fecha Suscripción]],"dddd")</f>
        <v>martes</v>
      </c>
      <c r="L1562" s="1">
        <f>DATEVALUE(_xlfn.CONCAT(BBDD_Usiarios_Netflix[[#This Row],[Día Último Pago]],"/",BBDD_Usiarios_Netflix[[#This Row],[Mes Último Pago]],"/",BBDD_Usiarios_Netflix[[#This Row],[Año Último Pago]]))</f>
        <v>45479</v>
      </c>
      <c r="M1562" s="4">
        <f>DATEDIF(BBDD_Usiarios_Netflix[[#This Row],[Fecha Suscripción]],BBDD_Usiarios_Netflix[[#This Row],[Fecha Último Pago]],"M")+1</f>
        <v>10</v>
      </c>
      <c r="N1562" s="4">
        <f>BBDD_Usiarios_Netflix[[#This Row],[Ingresos Mensuales]]*BBDD_Usiarios_Netflix[[#This Row],[Meses contratados]]</f>
        <v>140</v>
      </c>
      <c r="O1562" t="s">
        <v>29</v>
      </c>
      <c r="P1562" t="str">
        <f>IF(BBDD_Usiarios_Netflix[[#This Row],[País]]="","Desconocido",BBDD_Usiarios_Netflix[[#This Row],[País]])</f>
        <v>EEUU</v>
      </c>
      <c r="Q1562">
        <v>41</v>
      </c>
      <c r="R1562" t="s">
        <v>25</v>
      </c>
      <c r="S1562" t="s">
        <v>36</v>
      </c>
      <c r="T1562" t="s">
        <v>38</v>
      </c>
      <c r="U1562">
        <f>IF(IFERROR(VLOOKUP(BBDD_Usiarios_Netflix[[#This Row],[Identificador Usuario]],A1563:$A$5870,1,FALSE),0)&lt;&gt;0,1,0)</f>
        <v>0</v>
      </c>
      <c r="V1562" s="6" t="str">
        <f>IF(BBDD_Usiarios_Netflix[[#This Row],[Duración Plan]]="12 Meses",LEFT(BBDD_Usiarios_Netflix[[#This Row],[Duración Plan]],2),LEFT(BBDD_Usiarios_Netflix[[#This Row],[Duración Plan]],1))</f>
        <v>3</v>
      </c>
      <c r="W15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63" spans="1:23" x14ac:dyDescent="0.25">
      <c r="A1563">
        <v>1562</v>
      </c>
      <c r="B1563" t="s">
        <v>23</v>
      </c>
      <c r="C1563">
        <v>10</v>
      </c>
      <c r="D1563" s="3">
        <v>29</v>
      </c>
      <c r="E1563" s="3">
        <v>8</v>
      </c>
      <c r="F1563">
        <v>23</v>
      </c>
      <c r="G1563" s="1">
        <f>DATEVALUE(_xlfn.CONCAT(BBDD_Usiarios_Netflix[[#This Row],[Día Suscripción]],"/",BBDD_Usiarios_Netflix[[#This Row],[Mes Suscripción]],"/",BBDD_Usiarios_Netflix[[#This Row],[Año Suscripción]]))</f>
        <v>45167</v>
      </c>
      <c r="H1563" s="1">
        <v>5</v>
      </c>
      <c r="I1563" s="1">
        <v>7</v>
      </c>
      <c r="J1563" s="1">
        <v>24</v>
      </c>
      <c r="K1563" s="1" t="str">
        <f>TEXT(BBDD_Usiarios_Netflix[[#This Row],[Fecha Suscripción]],"dddd")</f>
        <v>martes</v>
      </c>
      <c r="L1563" s="1">
        <f>DATEVALUE(_xlfn.CONCAT(BBDD_Usiarios_Netflix[[#This Row],[Día Último Pago]],"/",BBDD_Usiarios_Netflix[[#This Row],[Mes Último Pago]],"/",BBDD_Usiarios_Netflix[[#This Row],[Año Último Pago]]))</f>
        <v>45478</v>
      </c>
      <c r="M1563" s="4">
        <f>DATEDIF(BBDD_Usiarios_Netflix[[#This Row],[Fecha Suscripción]],BBDD_Usiarios_Netflix[[#This Row],[Fecha Último Pago]],"M")+1</f>
        <v>11</v>
      </c>
      <c r="N1563" s="4">
        <f>BBDD_Usiarios_Netflix[[#This Row],[Ingresos Mensuales]]*BBDD_Usiarios_Netflix[[#This Row],[Meses contratados]]</f>
        <v>110</v>
      </c>
      <c r="O1563" t="s">
        <v>29</v>
      </c>
      <c r="P1563" t="str">
        <f>IF(BBDD_Usiarios_Netflix[[#This Row],[País]]="","Desconocido",BBDD_Usiarios_Netflix[[#This Row],[País]])</f>
        <v>EEUU</v>
      </c>
      <c r="Q1563">
        <v>27</v>
      </c>
      <c r="R1563" t="s">
        <v>25</v>
      </c>
      <c r="S1563" t="s">
        <v>26</v>
      </c>
      <c r="T1563" t="s">
        <v>27</v>
      </c>
      <c r="U1563">
        <f>IF(IFERROR(VLOOKUP(BBDD_Usiarios_Netflix[[#This Row],[Identificador Usuario]],A1564:$A$5870,1,FALSE),0)&lt;&gt;0,1,0)</f>
        <v>0</v>
      </c>
      <c r="V1563" s="6" t="str">
        <f>IF(BBDD_Usiarios_Netflix[[#This Row],[Duración Plan]]="12 Meses",LEFT(BBDD_Usiarios_Netflix[[#This Row],[Duración Plan]],2),LEFT(BBDD_Usiarios_Netflix[[#This Row],[Duración Plan]],1))</f>
        <v>1</v>
      </c>
      <c r="W15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64" spans="1:23" x14ac:dyDescent="0.25">
      <c r="A1564">
        <v>1563</v>
      </c>
      <c r="B1564" t="s">
        <v>32</v>
      </c>
      <c r="C1564">
        <v>12</v>
      </c>
      <c r="D1564" s="3">
        <v>25</v>
      </c>
      <c r="E1564" s="3">
        <v>8</v>
      </c>
      <c r="F1564">
        <v>23</v>
      </c>
      <c r="G1564" s="1">
        <f>DATEVALUE(_xlfn.CONCAT(BBDD_Usiarios_Netflix[[#This Row],[Día Suscripción]],"/",BBDD_Usiarios_Netflix[[#This Row],[Mes Suscripción]],"/",BBDD_Usiarios_Netflix[[#This Row],[Año Suscripción]]))</f>
        <v>45163</v>
      </c>
      <c r="H1564" s="1">
        <v>3</v>
      </c>
      <c r="I1564" s="1">
        <v>7</v>
      </c>
      <c r="J1564" s="1">
        <v>24</v>
      </c>
      <c r="K1564" s="1" t="str">
        <f>TEXT(BBDD_Usiarios_Netflix[[#This Row],[Fecha Suscripción]],"dddd")</f>
        <v>viernes</v>
      </c>
      <c r="L1564" s="1">
        <f>DATEVALUE(_xlfn.CONCAT(BBDD_Usiarios_Netflix[[#This Row],[Día Último Pago]],"/",BBDD_Usiarios_Netflix[[#This Row],[Mes Último Pago]],"/",BBDD_Usiarios_Netflix[[#This Row],[Año Último Pago]]))</f>
        <v>45476</v>
      </c>
      <c r="M1564" s="4">
        <f>DATEDIF(BBDD_Usiarios_Netflix[[#This Row],[Fecha Suscripción]],BBDD_Usiarios_Netflix[[#This Row],[Fecha Último Pago]],"M")+1</f>
        <v>11</v>
      </c>
      <c r="N1564" s="4">
        <f>BBDD_Usiarios_Netflix[[#This Row],[Ingresos Mensuales]]*BBDD_Usiarios_Netflix[[#This Row],[Meses contratados]]</f>
        <v>132</v>
      </c>
      <c r="O1564" t="s">
        <v>45</v>
      </c>
      <c r="P1564" t="str">
        <f>IF(BBDD_Usiarios_Netflix[[#This Row],[País]]="","Desconocido",BBDD_Usiarios_Netflix[[#This Row],[País]])</f>
        <v>España</v>
      </c>
      <c r="Q1564">
        <v>42</v>
      </c>
      <c r="R1564" t="s">
        <v>25</v>
      </c>
      <c r="S1564" t="s">
        <v>36</v>
      </c>
      <c r="T1564" t="s">
        <v>38</v>
      </c>
      <c r="U1564">
        <f>IF(IFERROR(VLOOKUP(BBDD_Usiarios_Netflix[[#This Row],[Identificador Usuario]],A1565:$A$5870,1,FALSE),0)&lt;&gt;0,1,0)</f>
        <v>0</v>
      </c>
      <c r="V1564" s="6" t="str">
        <f>IF(BBDD_Usiarios_Netflix[[#This Row],[Duración Plan]]="12 Meses",LEFT(BBDD_Usiarios_Netflix[[#This Row],[Duración Plan]],2),LEFT(BBDD_Usiarios_Netflix[[#This Row],[Duración Plan]],1))</f>
        <v>3</v>
      </c>
      <c r="W15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65" spans="1:23" x14ac:dyDescent="0.25">
      <c r="A1565">
        <v>1564</v>
      </c>
      <c r="B1565" t="s">
        <v>32</v>
      </c>
      <c r="C1565">
        <v>12</v>
      </c>
      <c r="D1565" s="3">
        <v>15</v>
      </c>
      <c r="E1565" s="3">
        <v>8</v>
      </c>
      <c r="F1565">
        <v>23</v>
      </c>
      <c r="G1565" s="1">
        <f>DATEVALUE(_xlfn.CONCAT(BBDD_Usiarios_Netflix[[#This Row],[Día Suscripción]],"/",BBDD_Usiarios_Netflix[[#This Row],[Mes Suscripción]],"/",BBDD_Usiarios_Netflix[[#This Row],[Año Suscripción]]))</f>
        <v>45153</v>
      </c>
      <c r="H1565" s="1">
        <v>6</v>
      </c>
      <c r="I1565" s="1">
        <v>7</v>
      </c>
      <c r="J1565" s="1">
        <v>24</v>
      </c>
      <c r="K1565" s="1" t="str">
        <f>TEXT(BBDD_Usiarios_Netflix[[#This Row],[Fecha Suscripción]],"dddd")</f>
        <v>martes</v>
      </c>
      <c r="L1565" s="1">
        <f>DATEVALUE(_xlfn.CONCAT(BBDD_Usiarios_Netflix[[#This Row],[Día Último Pago]],"/",BBDD_Usiarios_Netflix[[#This Row],[Mes Último Pago]],"/",BBDD_Usiarios_Netflix[[#This Row],[Año Último Pago]]))</f>
        <v>45479</v>
      </c>
      <c r="M1565" s="4">
        <f>DATEDIF(BBDD_Usiarios_Netflix[[#This Row],[Fecha Suscripción]],BBDD_Usiarios_Netflix[[#This Row],[Fecha Último Pago]],"M")+1</f>
        <v>11</v>
      </c>
      <c r="N1565" s="4">
        <f>BBDD_Usiarios_Netflix[[#This Row],[Ingresos Mensuales]]*BBDD_Usiarios_Netflix[[#This Row],[Meses contratados]]</f>
        <v>132</v>
      </c>
      <c r="O1565" t="s">
        <v>37</v>
      </c>
      <c r="P1565" t="str">
        <f>IF(BBDD_Usiarios_Netflix[[#This Row],[País]]="","Desconocido",BBDD_Usiarios_Netflix[[#This Row],[País]])</f>
        <v>Brasil</v>
      </c>
      <c r="Q1565">
        <v>45</v>
      </c>
      <c r="R1565" t="s">
        <v>30</v>
      </c>
      <c r="S1565" t="s">
        <v>31</v>
      </c>
      <c r="T1565" t="s">
        <v>35</v>
      </c>
      <c r="U1565">
        <f>IF(IFERROR(VLOOKUP(BBDD_Usiarios_Netflix[[#This Row],[Identificador Usuario]],A1566:$A$5870,1,FALSE),0)&lt;&gt;0,1,0)</f>
        <v>0</v>
      </c>
      <c r="V1565" s="6" t="str">
        <f>IF(BBDD_Usiarios_Netflix[[#This Row],[Duración Plan]]="12 Meses",LEFT(BBDD_Usiarios_Netflix[[#This Row],[Duración Plan]],2),LEFT(BBDD_Usiarios_Netflix[[#This Row],[Duración Plan]],1))</f>
        <v>6</v>
      </c>
      <c r="W15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66" spans="1:23" x14ac:dyDescent="0.25">
      <c r="A1566">
        <v>1565</v>
      </c>
      <c r="B1566" t="s">
        <v>23</v>
      </c>
      <c r="C1566">
        <v>10</v>
      </c>
      <c r="D1566" s="3">
        <v>11</v>
      </c>
      <c r="E1566" s="3">
        <v>8</v>
      </c>
      <c r="F1566">
        <v>23</v>
      </c>
      <c r="G1566" s="1">
        <f>DATEVALUE(_xlfn.CONCAT(BBDD_Usiarios_Netflix[[#This Row],[Día Suscripción]],"/",BBDD_Usiarios_Netflix[[#This Row],[Mes Suscripción]],"/",BBDD_Usiarios_Netflix[[#This Row],[Año Suscripción]]))</f>
        <v>45149</v>
      </c>
      <c r="H1566" s="1">
        <v>7</v>
      </c>
      <c r="I1566" s="1">
        <v>7</v>
      </c>
      <c r="J1566" s="1">
        <v>24</v>
      </c>
      <c r="K1566" s="1" t="str">
        <f>TEXT(BBDD_Usiarios_Netflix[[#This Row],[Fecha Suscripción]],"dddd")</f>
        <v>viernes</v>
      </c>
      <c r="L1566" s="1">
        <f>DATEVALUE(_xlfn.CONCAT(BBDD_Usiarios_Netflix[[#This Row],[Día Último Pago]],"/",BBDD_Usiarios_Netflix[[#This Row],[Mes Último Pago]],"/",BBDD_Usiarios_Netflix[[#This Row],[Año Último Pago]]))</f>
        <v>45480</v>
      </c>
      <c r="M1566" s="4">
        <f>DATEDIF(BBDD_Usiarios_Netflix[[#This Row],[Fecha Suscripción]],BBDD_Usiarios_Netflix[[#This Row],[Fecha Último Pago]],"M")+1</f>
        <v>11</v>
      </c>
      <c r="N1566" s="4">
        <f>BBDD_Usiarios_Netflix[[#This Row],[Ingresos Mensuales]]*BBDD_Usiarios_Netflix[[#This Row],[Meses contratados]]</f>
        <v>110</v>
      </c>
      <c r="O1566" t="s">
        <v>40</v>
      </c>
      <c r="P1566" t="str">
        <f>IF(BBDD_Usiarios_Netflix[[#This Row],[País]]="","Desconocido",BBDD_Usiarios_Netflix[[#This Row],[País]])</f>
        <v>Italia</v>
      </c>
      <c r="Q1566">
        <v>36</v>
      </c>
      <c r="R1566" t="s">
        <v>30</v>
      </c>
      <c r="S1566" t="s">
        <v>34</v>
      </c>
      <c r="T1566" t="s">
        <v>38</v>
      </c>
      <c r="U1566">
        <f>IF(IFERROR(VLOOKUP(BBDD_Usiarios_Netflix[[#This Row],[Identificador Usuario]],A1567:$A$5870,1,FALSE),0)&lt;&gt;0,1,0)</f>
        <v>0</v>
      </c>
      <c r="V1566" s="6" t="str">
        <f>IF(BBDD_Usiarios_Netflix[[#This Row],[Duración Plan]]="12 Meses",LEFT(BBDD_Usiarios_Netflix[[#This Row],[Duración Plan]],2),LEFT(BBDD_Usiarios_Netflix[[#This Row],[Duración Plan]],1))</f>
        <v>3</v>
      </c>
      <c r="W15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67" spans="1:23" x14ac:dyDescent="0.25">
      <c r="A1567">
        <v>1566</v>
      </c>
      <c r="B1567" t="s">
        <v>28</v>
      </c>
      <c r="C1567">
        <v>14</v>
      </c>
      <c r="D1567" s="3">
        <v>10</v>
      </c>
      <c r="E1567" s="3">
        <v>8</v>
      </c>
      <c r="F1567">
        <v>23</v>
      </c>
      <c r="G1567" s="1">
        <f>DATEVALUE(_xlfn.CONCAT(BBDD_Usiarios_Netflix[[#This Row],[Día Suscripción]],"/",BBDD_Usiarios_Netflix[[#This Row],[Mes Suscripción]],"/",BBDD_Usiarios_Netflix[[#This Row],[Año Suscripción]]))</f>
        <v>45148</v>
      </c>
      <c r="H1567" s="1">
        <v>6</v>
      </c>
      <c r="I1567" s="1">
        <v>7</v>
      </c>
      <c r="J1567" s="1">
        <v>24</v>
      </c>
      <c r="K1567" s="1" t="str">
        <f>TEXT(BBDD_Usiarios_Netflix[[#This Row],[Fecha Suscripción]],"dddd")</f>
        <v>jueves</v>
      </c>
      <c r="L1567" s="1">
        <f>DATEVALUE(_xlfn.CONCAT(BBDD_Usiarios_Netflix[[#This Row],[Día Último Pago]],"/",BBDD_Usiarios_Netflix[[#This Row],[Mes Último Pago]],"/",BBDD_Usiarios_Netflix[[#This Row],[Año Último Pago]]))</f>
        <v>45479</v>
      </c>
      <c r="M1567" s="4">
        <f>DATEDIF(BBDD_Usiarios_Netflix[[#This Row],[Fecha Suscripción]],BBDD_Usiarios_Netflix[[#This Row],[Fecha Último Pago]],"M")+1</f>
        <v>11</v>
      </c>
      <c r="N1567" s="4">
        <f>BBDD_Usiarios_Netflix[[#This Row],[Ingresos Mensuales]]*BBDD_Usiarios_Netflix[[#This Row],[Meses contratados]]</f>
        <v>154</v>
      </c>
      <c r="O1567" t="s">
        <v>44</v>
      </c>
      <c r="P1567" t="str">
        <f>IF(BBDD_Usiarios_Netflix[[#This Row],[País]]="","Desconocido",BBDD_Usiarios_Netflix[[#This Row],[País]])</f>
        <v>Desconocido</v>
      </c>
      <c r="Q1567">
        <v>35</v>
      </c>
      <c r="R1567" t="s">
        <v>25</v>
      </c>
      <c r="S1567" t="s">
        <v>36</v>
      </c>
      <c r="T1567" t="s">
        <v>35</v>
      </c>
      <c r="U1567">
        <f>IF(IFERROR(VLOOKUP(BBDD_Usiarios_Netflix[[#This Row],[Identificador Usuario]],A1568:$A$5870,1,FALSE),0)&lt;&gt;0,1,0)</f>
        <v>0</v>
      </c>
      <c r="V1567" s="6" t="str">
        <f>IF(BBDD_Usiarios_Netflix[[#This Row],[Duración Plan]]="12 Meses",LEFT(BBDD_Usiarios_Netflix[[#This Row],[Duración Plan]],2),LEFT(BBDD_Usiarios_Netflix[[#This Row],[Duración Plan]],1))</f>
        <v>6</v>
      </c>
      <c r="W15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68" spans="1:23" x14ac:dyDescent="0.25">
      <c r="A1568">
        <v>1567</v>
      </c>
      <c r="B1568" t="s">
        <v>23</v>
      </c>
      <c r="C1568">
        <v>10</v>
      </c>
      <c r="D1568" s="3">
        <v>26</v>
      </c>
      <c r="E1568" s="3">
        <v>7</v>
      </c>
      <c r="F1568">
        <v>23</v>
      </c>
      <c r="G1568" s="1">
        <f>DATEVALUE(_xlfn.CONCAT(BBDD_Usiarios_Netflix[[#This Row],[Día Suscripción]],"/",BBDD_Usiarios_Netflix[[#This Row],[Mes Suscripción]],"/",BBDD_Usiarios_Netflix[[#This Row],[Año Suscripción]]))</f>
        <v>45133</v>
      </c>
      <c r="H1568" s="1">
        <v>4</v>
      </c>
      <c r="I1568" s="1">
        <v>7</v>
      </c>
      <c r="J1568" s="1">
        <v>24</v>
      </c>
      <c r="K1568" s="1" t="str">
        <f>TEXT(BBDD_Usiarios_Netflix[[#This Row],[Fecha Suscripción]],"dddd")</f>
        <v>miércoles</v>
      </c>
      <c r="L1568" s="1">
        <f>DATEVALUE(_xlfn.CONCAT(BBDD_Usiarios_Netflix[[#This Row],[Día Último Pago]],"/",BBDD_Usiarios_Netflix[[#This Row],[Mes Último Pago]],"/",BBDD_Usiarios_Netflix[[#This Row],[Año Último Pago]]))</f>
        <v>45477</v>
      </c>
      <c r="M1568" s="4">
        <f>DATEDIF(BBDD_Usiarios_Netflix[[#This Row],[Fecha Suscripción]],BBDD_Usiarios_Netflix[[#This Row],[Fecha Último Pago]],"M")+1</f>
        <v>12</v>
      </c>
      <c r="N1568" s="4">
        <f>BBDD_Usiarios_Netflix[[#This Row],[Ingresos Mensuales]]*BBDD_Usiarios_Netflix[[#This Row],[Meses contratados]]</f>
        <v>120</v>
      </c>
      <c r="O1568" t="s">
        <v>24</v>
      </c>
      <c r="P1568" t="str">
        <f>IF(BBDD_Usiarios_Netflix[[#This Row],[País]]="","Desconocido",BBDD_Usiarios_Netflix[[#This Row],[País]])</f>
        <v>Australia</v>
      </c>
      <c r="Q1568">
        <v>38</v>
      </c>
      <c r="R1568" t="s">
        <v>25</v>
      </c>
      <c r="S1568" t="s">
        <v>26</v>
      </c>
      <c r="T1568" t="s">
        <v>38</v>
      </c>
      <c r="U1568">
        <f>IF(IFERROR(VLOOKUP(BBDD_Usiarios_Netflix[[#This Row],[Identificador Usuario]],A1569:$A$5870,1,FALSE),0)&lt;&gt;0,1,0)</f>
        <v>0</v>
      </c>
      <c r="V1568" s="6" t="str">
        <f>IF(BBDD_Usiarios_Netflix[[#This Row],[Duración Plan]]="12 Meses",LEFT(BBDD_Usiarios_Netflix[[#This Row],[Duración Plan]],2),LEFT(BBDD_Usiarios_Netflix[[#This Row],[Duración Plan]],1))</f>
        <v>3</v>
      </c>
      <c r="W15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69" spans="1:23" x14ac:dyDescent="0.25">
      <c r="A1569">
        <v>1568</v>
      </c>
      <c r="B1569" t="s">
        <v>32</v>
      </c>
      <c r="C1569">
        <v>12</v>
      </c>
      <c r="D1569" s="3">
        <v>19</v>
      </c>
      <c r="E1569" s="3">
        <v>7</v>
      </c>
      <c r="F1569">
        <v>23</v>
      </c>
      <c r="G1569" s="1">
        <f>DATEVALUE(_xlfn.CONCAT(BBDD_Usiarios_Netflix[[#This Row],[Día Suscripción]],"/",BBDD_Usiarios_Netflix[[#This Row],[Mes Suscripción]],"/",BBDD_Usiarios_Netflix[[#This Row],[Año Suscripción]]))</f>
        <v>45126</v>
      </c>
      <c r="H1569" s="1">
        <v>6</v>
      </c>
      <c r="I1569" s="1">
        <v>7</v>
      </c>
      <c r="J1569" s="1">
        <v>24</v>
      </c>
      <c r="K1569" s="1" t="str">
        <f>TEXT(BBDD_Usiarios_Netflix[[#This Row],[Fecha Suscripción]],"dddd")</f>
        <v>miércoles</v>
      </c>
      <c r="L1569" s="1">
        <f>DATEVALUE(_xlfn.CONCAT(BBDD_Usiarios_Netflix[[#This Row],[Día Último Pago]],"/",BBDD_Usiarios_Netflix[[#This Row],[Mes Último Pago]],"/",BBDD_Usiarios_Netflix[[#This Row],[Año Último Pago]]))</f>
        <v>45479</v>
      </c>
      <c r="M1569" s="4">
        <f>DATEDIF(BBDD_Usiarios_Netflix[[#This Row],[Fecha Suscripción]],BBDD_Usiarios_Netflix[[#This Row],[Fecha Último Pago]],"M")+1</f>
        <v>12</v>
      </c>
      <c r="N1569" s="4">
        <f>BBDD_Usiarios_Netflix[[#This Row],[Ingresos Mensuales]]*BBDD_Usiarios_Netflix[[#This Row],[Meses contratados]]</f>
        <v>144</v>
      </c>
      <c r="O1569" t="s">
        <v>39</v>
      </c>
      <c r="P1569" t="str">
        <f>IF(BBDD_Usiarios_Netflix[[#This Row],[País]]="","Desconocido",BBDD_Usiarios_Netflix[[#This Row],[País]])</f>
        <v>Canadá</v>
      </c>
      <c r="Q1569">
        <v>41</v>
      </c>
      <c r="R1569" t="s">
        <v>30</v>
      </c>
      <c r="S1569" t="s">
        <v>34</v>
      </c>
      <c r="T1569" t="s">
        <v>38</v>
      </c>
      <c r="U1569">
        <f>IF(IFERROR(VLOOKUP(BBDD_Usiarios_Netflix[[#This Row],[Identificador Usuario]],A1570:$A$5870,1,FALSE),0)&lt;&gt;0,1,0)</f>
        <v>0</v>
      </c>
      <c r="V1569" s="6" t="str">
        <f>IF(BBDD_Usiarios_Netflix[[#This Row],[Duración Plan]]="12 Meses",LEFT(BBDD_Usiarios_Netflix[[#This Row],[Duración Plan]],2),LEFT(BBDD_Usiarios_Netflix[[#This Row],[Duración Plan]],1))</f>
        <v>3</v>
      </c>
      <c r="W15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70" spans="1:23" x14ac:dyDescent="0.25">
      <c r="A1570">
        <v>1569</v>
      </c>
      <c r="B1570" t="s">
        <v>28</v>
      </c>
      <c r="C1570">
        <v>14</v>
      </c>
      <c r="D1570" s="3">
        <v>17</v>
      </c>
      <c r="E1570" s="3">
        <v>7</v>
      </c>
      <c r="F1570">
        <v>23</v>
      </c>
      <c r="G1570" s="1">
        <f>DATEVALUE(_xlfn.CONCAT(BBDD_Usiarios_Netflix[[#This Row],[Día Suscripción]],"/",BBDD_Usiarios_Netflix[[#This Row],[Mes Suscripción]],"/",BBDD_Usiarios_Netflix[[#This Row],[Año Suscripción]]))</f>
        <v>45124</v>
      </c>
      <c r="H1570" s="1">
        <v>6</v>
      </c>
      <c r="I1570" s="1">
        <v>7</v>
      </c>
      <c r="J1570" s="1">
        <v>24</v>
      </c>
      <c r="K1570" s="1" t="str">
        <f>TEXT(BBDD_Usiarios_Netflix[[#This Row],[Fecha Suscripción]],"dddd")</f>
        <v>lunes</v>
      </c>
      <c r="L1570" s="1">
        <f>DATEVALUE(_xlfn.CONCAT(BBDD_Usiarios_Netflix[[#This Row],[Día Último Pago]],"/",BBDD_Usiarios_Netflix[[#This Row],[Mes Último Pago]],"/",BBDD_Usiarios_Netflix[[#This Row],[Año Último Pago]]))</f>
        <v>45479</v>
      </c>
      <c r="M1570" s="4">
        <f>DATEDIF(BBDD_Usiarios_Netflix[[#This Row],[Fecha Suscripción]],BBDD_Usiarios_Netflix[[#This Row],[Fecha Último Pago]],"M")+1</f>
        <v>12</v>
      </c>
      <c r="N1570" s="4">
        <f>BBDD_Usiarios_Netflix[[#This Row],[Ingresos Mensuales]]*BBDD_Usiarios_Netflix[[#This Row],[Meses contratados]]</f>
        <v>168</v>
      </c>
      <c r="O1570" t="s">
        <v>46</v>
      </c>
      <c r="P1570" t="str">
        <f>IF(BBDD_Usiarios_Netflix[[#This Row],[País]]="","Desconocido",BBDD_Usiarios_Netflix[[#This Row],[País]])</f>
        <v>Méjico</v>
      </c>
      <c r="Q1570">
        <v>43</v>
      </c>
      <c r="R1570" t="s">
        <v>25</v>
      </c>
      <c r="S1570" t="s">
        <v>31</v>
      </c>
      <c r="T1570" t="s">
        <v>27</v>
      </c>
      <c r="U1570">
        <f>IF(IFERROR(VLOOKUP(BBDD_Usiarios_Netflix[[#This Row],[Identificador Usuario]],A1571:$A$5870,1,FALSE),0)&lt;&gt;0,1,0)</f>
        <v>0</v>
      </c>
      <c r="V1570" s="6" t="str">
        <f>IF(BBDD_Usiarios_Netflix[[#This Row],[Duración Plan]]="12 Meses",LEFT(BBDD_Usiarios_Netflix[[#This Row],[Duración Plan]],2),LEFT(BBDD_Usiarios_Netflix[[#This Row],[Duración Plan]],1))</f>
        <v>1</v>
      </c>
      <c r="W15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71" spans="1:23" x14ac:dyDescent="0.25">
      <c r="A1571">
        <v>1570</v>
      </c>
      <c r="B1571" t="s">
        <v>23</v>
      </c>
      <c r="C1571">
        <v>10</v>
      </c>
      <c r="D1571" s="3">
        <v>17</v>
      </c>
      <c r="E1571" s="3">
        <v>7</v>
      </c>
      <c r="F1571">
        <v>23</v>
      </c>
      <c r="G1571" s="1">
        <f>DATEVALUE(_xlfn.CONCAT(BBDD_Usiarios_Netflix[[#This Row],[Día Suscripción]],"/",BBDD_Usiarios_Netflix[[#This Row],[Mes Suscripción]],"/",BBDD_Usiarios_Netflix[[#This Row],[Año Suscripción]]))</f>
        <v>45124</v>
      </c>
      <c r="H1571" s="1">
        <v>6</v>
      </c>
      <c r="I1571" s="1">
        <v>7</v>
      </c>
      <c r="J1571" s="1">
        <v>24</v>
      </c>
      <c r="K1571" s="1" t="str">
        <f>TEXT(BBDD_Usiarios_Netflix[[#This Row],[Fecha Suscripción]],"dddd")</f>
        <v>lunes</v>
      </c>
      <c r="L1571" s="1">
        <f>DATEVALUE(_xlfn.CONCAT(BBDD_Usiarios_Netflix[[#This Row],[Día Último Pago]],"/",BBDD_Usiarios_Netflix[[#This Row],[Mes Último Pago]],"/",BBDD_Usiarios_Netflix[[#This Row],[Año Último Pago]]))</f>
        <v>45479</v>
      </c>
      <c r="M1571" s="4">
        <f>DATEDIF(BBDD_Usiarios_Netflix[[#This Row],[Fecha Suscripción]],BBDD_Usiarios_Netflix[[#This Row],[Fecha Último Pago]],"M")+1</f>
        <v>12</v>
      </c>
      <c r="N1571" s="4">
        <f>BBDD_Usiarios_Netflix[[#This Row],[Ingresos Mensuales]]*BBDD_Usiarios_Netflix[[#This Row],[Meses contratados]]</f>
        <v>120</v>
      </c>
      <c r="O1571" t="s">
        <v>45</v>
      </c>
      <c r="P1571" t="str">
        <f>IF(BBDD_Usiarios_Netflix[[#This Row],[País]]="","Desconocido",BBDD_Usiarios_Netflix[[#This Row],[País]])</f>
        <v>España</v>
      </c>
      <c r="Q1571">
        <v>44</v>
      </c>
      <c r="R1571" t="s">
        <v>25</v>
      </c>
      <c r="S1571" t="s">
        <v>31</v>
      </c>
      <c r="T1571" t="s">
        <v>41</v>
      </c>
      <c r="U1571">
        <f>IF(IFERROR(VLOOKUP(BBDD_Usiarios_Netflix[[#This Row],[Identificador Usuario]],A1572:$A$5870,1,FALSE),0)&lt;&gt;0,1,0)</f>
        <v>0</v>
      </c>
      <c r="V1571" s="6" t="str">
        <f>IF(BBDD_Usiarios_Netflix[[#This Row],[Duración Plan]]="12 Meses",LEFT(BBDD_Usiarios_Netflix[[#This Row],[Duración Plan]],2),LEFT(BBDD_Usiarios_Netflix[[#This Row],[Duración Plan]],1))</f>
        <v>12</v>
      </c>
      <c r="W15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72" spans="1:23" x14ac:dyDescent="0.25">
      <c r="A1572">
        <v>1571</v>
      </c>
      <c r="B1572" t="s">
        <v>23</v>
      </c>
      <c r="C1572">
        <v>10</v>
      </c>
      <c r="D1572" s="3">
        <v>17</v>
      </c>
      <c r="E1572" s="3">
        <v>7</v>
      </c>
      <c r="F1572">
        <v>23</v>
      </c>
      <c r="G1572" s="1">
        <f>DATEVALUE(_xlfn.CONCAT(BBDD_Usiarios_Netflix[[#This Row],[Día Suscripción]],"/",BBDD_Usiarios_Netflix[[#This Row],[Mes Suscripción]],"/",BBDD_Usiarios_Netflix[[#This Row],[Año Suscripción]]))</f>
        <v>45124</v>
      </c>
      <c r="H1572" s="1">
        <v>4</v>
      </c>
      <c r="I1572" s="1">
        <v>7</v>
      </c>
      <c r="J1572" s="1">
        <v>24</v>
      </c>
      <c r="K1572" s="1" t="str">
        <f>TEXT(BBDD_Usiarios_Netflix[[#This Row],[Fecha Suscripción]],"dddd")</f>
        <v>lunes</v>
      </c>
      <c r="L1572" s="1">
        <f>DATEVALUE(_xlfn.CONCAT(BBDD_Usiarios_Netflix[[#This Row],[Día Último Pago]],"/",BBDD_Usiarios_Netflix[[#This Row],[Mes Último Pago]],"/",BBDD_Usiarios_Netflix[[#This Row],[Año Último Pago]]))</f>
        <v>45477</v>
      </c>
      <c r="M1572" s="4">
        <f>DATEDIF(BBDD_Usiarios_Netflix[[#This Row],[Fecha Suscripción]],BBDD_Usiarios_Netflix[[#This Row],[Fecha Último Pago]],"M")+1</f>
        <v>12</v>
      </c>
      <c r="N1572" s="4">
        <f>BBDD_Usiarios_Netflix[[#This Row],[Ingresos Mensuales]]*BBDD_Usiarios_Netflix[[#This Row],[Meses contratados]]</f>
        <v>120</v>
      </c>
      <c r="O1572" t="s">
        <v>45</v>
      </c>
      <c r="P1572" t="str">
        <f>IF(BBDD_Usiarios_Netflix[[#This Row],[País]]="","Desconocido",BBDD_Usiarios_Netflix[[#This Row],[País]])</f>
        <v>España</v>
      </c>
      <c r="Q1572">
        <v>35</v>
      </c>
      <c r="R1572" t="s">
        <v>25</v>
      </c>
      <c r="S1572" t="s">
        <v>31</v>
      </c>
      <c r="T1572" t="s">
        <v>27</v>
      </c>
      <c r="U1572">
        <f>IF(IFERROR(VLOOKUP(BBDD_Usiarios_Netflix[[#This Row],[Identificador Usuario]],A1573:$A$5870,1,FALSE),0)&lt;&gt;0,1,0)</f>
        <v>0</v>
      </c>
      <c r="V1572" s="6" t="str">
        <f>IF(BBDD_Usiarios_Netflix[[#This Row],[Duración Plan]]="12 Meses",LEFT(BBDD_Usiarios_Netflix[[#This Row],[Duración Plan]],2),LEFT(BBDD_Usiarios_Netflix[[#This Row],[Duración Plan]],1))</f>
        <v>1</v>
      </c>
      <c r="W15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73" spans="1:23" x14ac:dyDescent="0.25">
      <c r="A1573">
        <v>1572</v>
      </c>
      <c r="B1573" t="s">
        <v>23</v>
      </c>
      <c r="C1573">
        <v>10</v>
      </c>
      <c r="D1573" s="3">
        <v>11</v>
      </c>
      <c r="E1573" s="3">
        <v>7</v>
      </c>
      <c r="F1573">
        <v>23</v>
      </c>
      <c r="G1573" s="1">
        <f>DATEVALUE(_xlfn.CONCAT(BBDD_Usiarios_Netflix[[#This Row],[Día Suscripción]],"/",BBDD_Usiarios_Netflix[[#This Row],[Mes Suscripción]],"/",BBDD_Usiarios_Netflix[[#This Row],[Año Suscripción]]))</f>
        <v>45118</v>
      </c>
      <c r="H1573" s="1">
        <v>6</v>
      </c>
      <c r="I1573" s="1">
        <v>7</v>
      </c>
      <c r="J1573" s="1">
        <v>24</v>
      </c>
      <c r="K1573" s="1" t="str">
        <f>TEXT(BBDD_Usiarios_Netflix[[#This Row],[Fecha Suscripción]],"dddd")</f>
        <v>martes</v>
      </c>
      <c r="L1573" s="1">
        <f>DATEVALUE(_xlfn.CONCAT(BBDD_Usiarios_Netflix[[#This Row],[Día Último Pago]],"/",BBDD_Usiarios_Netflix[[#This Row],[Mes Último Pago]],"/",BBDD_Usiarios_Netflix[[#This Row],[Año Último Pago]]))</f>
        <v>45479</v>
      </c>
      <c r="M1573" s="4">
        <f>DATEDIF(BBDD_Usiarios_Netflix[[#This Row],[Fecha Suscripción]],BBDD_Usiarios_Netflix[[#This Row],[Fecha Último Pago]],"M")+1</f>
        <v>12</v>
      </c>
      <c r="N1573" s="4">
        <f>BBDD_Usiarios_Netflix[[#This Row],[Ingresos Mensuales]]*BBDD_Usiarios_Netflix[[#This Row],[Meses contratados]]</f>
        <v>120</v>
      </c>
      <c r="O1573" t="s">
        <v>33</v>
      </c>
      <c r="P1573" t="str">
        <f>IF(BBDD_Usiarios_Netflix[[#This Row],[País]]="","Desconocido",BBDD_Usiarios_Netflix[[#This Row],[País]])</f>
        <v>Francia</v>
      </c>
      <c r="Q1573">
        <v>39</v>
      </c>
      <c r="R1573" t="s">
        <v>25</v>
      </c>
      <c r="S1573" t="s">
        <v>36</v>
      </c>
      <c r="T1573" t="s">
        <v>35</v>
      </c>
      <c r="U1573">
        <f>IF(IFERROR(VLOOKUP(BBDD_Usiarios_Netflix[[#This Row],[Identificador Usuario]],A1574:$A$5870,1,FALSE),0)&lt;&gt;0,1,0)</f>
        <v>0</v>
      </c>
      <c r="V1573" s="6" t="str">
        <f>IF(BBDD_Usiarios_Netflix[[#This Row],[Duración Plan]]="12 Meses",LEFT(BBDD_Usiarios_Netflix[[#This Row],[Duración Plan]],2),LEFT(BBDD_Usiarios_Netflix[[#This Row],[Duración Plan]],1))</f>
        <v>6</v>
      </c>
      <c r="W15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74" spans="1:23" x14ac:dyDescent="0.25">
      <c r="A1574">
        <v>1573</v>
      </c>
      <c r="B1574" t="s">
        <v>32</v>
      </c>
      <c r="C1574">
        <v>12</v>
      </c>
      <c r="D1574" s="3">
        <v>7</v>
      </c>
      <c r="E1574" s="3">
        <v>7</v>
      </c>
      <c r="F1574">
        <v>23</v>
      </c>
      <c r="G1574" s="1">
        <f>DATEVALUE(_xlfn.CONCAT(BBDD_Usiarios_Netflix[[#This Row],[Día Suscripción]],"/",BBDD_Usiarios_Netflix[[#This Row],[Mes Suscripción]],"/",BBDD_Usiarios_Netflix[[#This Row],[Año Suscripción]]))</f>
        <v>45114</v>
      </c>
      <c r="H1574" s="1">
        <v>5</v>
      </c>
      <c r="I1574" s="1">
        <v>7</v>
      </c>
      <c r="J1574" s="1">
        <v>24</v>
      </c>
      <c r="K1574" s="1" t="str">
        <f>TEXT(BBDD_Usiarios_Netflix[[#This Row],[Fecha Suscripción]],"dddd")</f>
        <v>viernes</v>
      </c>
      <c r="L1574" s="1">
        <f>DATEVALUE(_xlfn.CONCAT(BBDD_Usiarios_Netflix[[#This Row],[Día Último Pago]],"/",BBDD_Usiarios_Netflix[[#This Row],[Mes Último Pago]],"/",BBDD_Usiarios_Netflix[[#This Row],[Año Último Pago]]))</f>
        <v>45478</v>
      </c>
      <c r="M1574" s="4">
        <f>DATEDIF(BBDD_Usiarios_Netflix[[#This Row],[Fecha Suscripción]],BBDD_Usiarios_Netflix[[#This Row],[Fecha Último Pago]],"M")+1</f>
        <v>12</v>
      </c>
      <c r="N1574" s="4">
        <f>BBDD_Usiarios_Netflix[[#This Row],[Ingresos Mensuales]]*BBDD_Usiarios_Netflix[[#This Row],[Meses contratados]]</f>
        <v>144</v>
      </c>
      <c r="O1574" t="s">
        <v>24</v>
      </c>
      <c r="P1574" t="str">
        <f>IF(BBDD_Usiarios_Netflix[[#This Row],[País]]="","Desconocido",BBDD_Usiarios_Netflix[[#This Row],[País]])</f>
        <v>Australia</v>
      </c>
      <c r="Q1574">
        <v>43</v>
      </c>
      <c r="R1574" t="s">
        <v>25</v>
      </c>
      <c r="S1574" t="s">
        <v>34</v>
      </c>
      <c r="T1574" t="s">
        <v>38</v>
      </c>
      <c r="U1574">
        <f>IF(IFERROR(VLOOKUP(BBDD_Usiarios_Netflix[[#This Row],[Identificador Usuario]],A1575:$A$5870,1,FALSE),0)&lt;&gt;0,1,0)</f>
        <v>0</v>
      </c>
      <c r="V1574" s="6" t="str">
        <f>IF(BBDD_Usiarios_Netflix[[#This Row],[Duración Plan]]="12 Meses",LEFT(BBDD_Usiarios_Netflix[[#This Row],[Duración Plan]],2),LEFT(BBDD_Usiarios_Netflix[[#This Row],[Duración Plan]],1))</f>
        <v>3</v>
      </c>
      <c r="W15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75" spans="1:23" x14ac:dyDescent="0.25">
      <c r="A1575">
        <v>1574</v>
      </c>
      <c r="B1575" t="s">
        <v>28</v>
      </c>
      <c r="C1575">
        <v>14</v>
      </c>
      <c r="D1575" s="3">
        <v>7</v>
      </c>
      <c r="E1575" s="3">
        <v>7</v>
      </c>
      <c r="F1575">
        <v>23</v>
      </c>
      <c r="G1575" s="1">
        <f>DATEVALUE(_xlfn.CONCAT(BBDD_Usiarios_Netflix[[#This Row],[Día Suscripción]],"/",BBDD_Usiarios_Netflix[[#This Row],[Mes Suscripción]],"/",BBDD_Usiarios_Netflix[[#This Row],[Año Suscripción]]))</f>
        <v>45114</v>
      </c>
      <c r="H1575" s="1">
        <v>6</v>
      </c>
      <c r="I1575" s="1">
        <v>7</v>
      </c>
      <c r="J1575" s="1">
        <v>24</v>
      </c>
      <c r="K1575" s="1" t="str">
        <f>TEXT(BBDD_Usiarios_Netflix[[#This Row],[Fecha Suscripción]],"dddd")</f>
        <v>viernes</v>
      </c>
      <c r="L1575" s="1">
        <f>DATEVALUE(_xlfn.CONCAT(BBDD_Usiarios_Netflix[[#This Row],[Día Último Pago]],"/",BBDD_Usiarios_Netflix[[#This Row],[Mes Último Pago]],"/",BBDD_Usiarios_Netflix[[#This Row],[Año Último Pago]]))</f>
        <v>45479</v>
      </c>
      <c r="M1575" s="4">
        <f>DATEDIF(BBDD_Usiarios_Netflix[[#This Row],[Fecha Suscripción]],BBDD_Usiarios_Netflix[[#This Row],[Fecha Último Pago]],"M")+1</f>
        <v>12</v>
      </c>
      <c r="N1575" s="4">
        <f>BBDD_Usiarios_Netflix[[#This Row],[Ingresos Mensuales]]*BBDD_Usiarios_Netflix[[#This Row],[Meses contratados]]</f>
        <v>168</v>
      </c>
      <c r="O1575" t="s">
        <v>29</v>
      </c>
      <c r="P1575" t="str">
        <f>IF(BBDD_Usiarios_Netflix[[#This Row],[País]]="","Desconocido",BBDD_Usiarios_Netflix[[#This Row],[País]])</f>
        <v>EEUU</v>
      </c>
      <c r="Q1575">
        <v>36</v>
      </c>
      <c r="R1575" t="s">
        <v>25</v>
      </c>
      <c r="S1575" t="s">
        <v>34</v>
      </c>
      <c r="T1575" t="s">
        <v>41</v>
      </c>
      <c r="U1575">
        <f>IF(IFERROR(VLOOKUP(BBDD_Usiarios_Netflix[[#This Row],[Identificador Usuario]],A1576:$A$5870,1,FALSE),0)&lt;&gt;0,1,0)</f>
        <v>0</v>
      </c>
      <c r="V1575" s="6" t="str">
        <f>IF(BBDD_Usiarios_Netflix[[#This Row],[Duración Plan]]="12 Meses",LEFT(BBDD_Usiarios_Netflix[[#This Row],[Duración Plan]],2),LEFT(BBDD_Usiarios_Netflix[[#This Row],[Duración Plan]],1))</f>
        <v>12</v>
      </c>
      <c r="W15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76" spans="1:23" x14ac:dyDescent="0.25">
      <c r="A1576">
        <v>1575</v>
      </c>
      <c r="B1576" t="s">
        <v>23</v>
      </c>
      <c r="C1576">
        <v>10</v>
      </c>
      <c r="D1576" s="3">
        <v>8</v>
      </c>
      <c r="E1576" s="3">
        <v>7</v>
      </c>
      <c r="F1576">
        <v>23</v>
      </c>
      <c r="G1576" s="1">
        <f>DATEVALUE(_xlfn.CONCAT(BBDD_Usiarios_Netflix[[#This Row],[Día Suscripción]],"/",BBDD_Usiarios_Netflix[[#This Row],[Mes Suscripción]],"/",BBDD_Usiarios_Netflix[[#This Row],[Año Suscripción]]))</f>
        <v>45115</v>
      </c>
      <c r="H1576" s="1">
        <v>5</v>
      </c>
      <c r="I1576" s="1">
        <v>7</v>
      </c>
      <c r="J1576" s="1">
        <v>24</v>
      </c>
      <c r="K1576" s="1" t="str">
        <f>TEXT(BBDD_Usiarios_Netflix[[#This Row],[Fecha Suscripción]],"dddd")</f>
        <v>sábado</v>
      </c>
      <c r="L1576" s="1">
        <f>DATEVALUE(_xlfn.CONCAT(BBDD_Usiarios_Netflix[[#This Row],[Día Último Pago]],"/",BBDD_Usiarios_Netflix[[#This Row],[Mes Último Pago]],"/",BBDD_Usiarios_Netflix[[#This Row],[Año Último Pago]]))</f>
        <v>45478</v>
      </c>
      <c r="M1576" s="4">
        <f>DATEDIF(BBDD_Usiarios_Netflix[[#This Row],[Fecha Suscripción]],BBDD_Usiarios_Netflix[[#This Row],[Fecha Último Pago]],"M")+1</f>
        <v>12</v>
      </c>
      <c r="N1576" s="4">
        <f>BBDD_Usiarios_Netflix[[#This Row],[Ingresos Mensuales]]*BBDD_Usiarios_Netflix[[#This Row],[Meses contratados]]</f>
        <v>120</v>
      </c>
      <c r="O1576" t="s">
        <v>39</v>
      </c>
      <c r="P1576" t="str">
        <f>IF(BBDD_Usiarios_Netflix[[#This Row],[País]]="","Desconocido",BBDD_Usiarios_Netflix[[#This Row],[País]])</f>
        <v>Canadá</v>
      </c>
      <c r="Q1576">
        <v>49</v>
      </c>
      <c r="R1576" t="s">
        <v>30</v>
      </c>
      <c r="S1576" t="s">
        <v>36</v>
      </c>
      <c r="T1576" t="s">
        <v>35</v>
      </c>
      <c r="U1576">
        <f>IF(IFERROR(VLOOKUP(BBDD_Usiarios_Netflix[[#This Row],[Identificador Usuario]],A1577:$A$5870,1,FALSE),0)&lt;&gt;0,1,0)</f>
        <v>0</v>
      </c>
      <c r="V1576" s="6" t="str">
        <f>IF(BBDD_Usiarios_Netflix[[#This Row],[Duración Plan]]="12 Meses",LEFT(BBDD_Usiarios_Netflix[[#This Row],[Duración Plan]],2),LEFT(BBDD_Usiarios_Netflix[[#This Row],[Duración Plan]],1))</f>
        <v>6</v>
      </c>
      <c r="W15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77" spans="1:23" x14ac:dyDescent="0.25">
      <c r="A1577">
        <v>1576</v>
      </c>
      <c r="B1577" t="s">
        <v>23</v>
      </c>
      <c r="C1577">
        <v>10</v>
      </c>
      <c r="D1577" s="3">
        <v>6</v>
      </c>
      <c r="E1577" s="3">
        <v>7</v>
      </c>
      <c r="F1577">
        <v>23</v>
      </c>
      <c r="G1577" s="1">
        <f>DATEVALUE(_xlfn.CONCAT(BBDD_Usiarios_Netflix[[#This Row],[Día Suscripción]],"/",BBDD_Usiarios_Netflix[[#This Row],[Mes Suscripción]],"/",BBDD_Usiarios_Netflix[[#This Row],[Año Suscripción]]))</f>
        <v>45113</v>
      </c>
      <c r="H1577" s="1">
        <v>8</v>
      </c>
      <c r="I1577" s="1">
        <v>7</v>
      </c>
      <c r="J1577" s="1">
        <v>24</v>
      </c>
      <c r="K1577" s="1" t="str">
        <f>TEXT(BBDD_Usiarios_Netflix[[#This Row],[Fecha Suscripción]],"dddd")</f>
        <v>jueves</v>
      </c>
      <c r="L1577" s="1">
        <f>DATEVALUE(_xlfn.CONCAT(BBDD_Usiarios_Netflix[[#This Row],[Día Último Pago]],"/",BBDD_Usiarios_Netflix[[#This Row],[Mes Último Pago]],"/",BBDD_Usiarios_Netflix[[#This Row],[Año Último Pago]]))</f>
        <v>45481</v>
      </c>
      <c r="M1577" s="4">
        <f>DATEDIF(BBDD_Usiarios_Netflix[[#This Row],[Fecha Suscripción]],BBDD_Usiarios_Netflix[[#This Row],[Fecha Último Pago]],"M")+1</f>
        <v>13</v>
      </c>
      <c r="N1577" s="4">
        <f>BBDD_Usiarios_Netflix[[#This Row],[Ingresos Mensuales]]*BBDD_Usiarios_Netflix[[#This Row],[Meses contratados]]</f>
        <v>130</v>
      </c>
      <c r="O1577" t="s">
        <v>29</v>
      </c>
      <c r="P1577" t="str">
        <f>IF(BBDD_Usiarios_Netflix[[#This Row],[País]]="","Desconocido",BBDD_Usiarios_Netflix[[#This Row],[País]])</f>
        <v>EEUU</v>
      </c>
      <c r="Q1577">
        <v>29</v>
      </c>
      <c r="R1577" t="s">
        <v>30</v>
      </c>
      <c r="S1577" t="s">
        <v>26</v>
      </c>
      <c r="T1577" t="s">
        <v>27</v>
      </c>
      <c r="U1577">
        <f>IF(IFERROR(VLOOKUP(BBDD_Usiarios_Netflix[[#This Row],[Identificador Usuario]],A1578:$A$5870,1,FALSE),0)&lt;&gt;0,1,0)</f>
        <v>0</v>
      </c>
      <c r="V1577" s="6" t="str">
        <f>IF(BBDD_Usiarios_Netflix[[#This Row],[Duración Plan]]="12 Meses",LEFT(BBDD_Usiarios_Netflix[[#This Row],[Duración Plan]],2),LEFT(BBDD_Usiarios_Netflix[[#This Row],[Duración Plan]],1))</f>
        <v>1</v>
      </c>
      <c r="W15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78" spans="1:23" x14ac:dyDescent="0.25">
      <c r="A1578">
        <v>1577</v>
      </c>
      <c r="B1578" t="s">
        <v>28</v>
      </c>
      <c r="C1578">
        <v>14</v>
      </c>
      <c r="D1578" s="3">
        <v>3</v>
      </c>
      <c r="E1578" s="3">
        <v>7</v>
      </c>
      <c r="F1578">
        <v>23</v>
      </c>
      <c r="G1578" s="1">
        <f>DATEVALUE(_xlfn.CONCAT(BBDD_Usiarios_Netflix[[#This Row],[Día Suscripción]],"/",BBDD_Usiarios_Netflix[[#This Row],[Mes Suscripción]],"/",BBDD_Usiarios_Netflix[[#This Row],[Año Suscripción]]))</f>
        <v>45110</v>
      </c>
      <c r="H1578" s="1">
        <v>4</v>
      </c>
      <c r="I1578" s="1">
        <v>7</v>
      </c>
      <c r="J1578" s="1">
        <v>24</v>
      </c>
      <c r="K1578" s="1" t="str">
        <f>TEXT(BBDD_Usiarios_Netflix[[#This Row],[Fecha Suscripción]],"dddd")</f>
        <v>lunes</v>
      </c>
      <c r="L1578" s="1">
        <f>DATEVALUE(_xlfn.CONCAT(BBDD_Usiarios_Netflix[[#This Row],[Día Último Pago]],"/",BBDD_Usiarios_Netflix[[#This Row],[Mes Último Pago]],"/",BBDD_Usiarios_Netflix[[#This Row],[Año Último Pago]]))</f>
        <v>45477</v>
      </c>
      <c r="M1578" s="4">
        <f>DATEDIF(BBDD_Usiarios_Netflix[[#This Row],[Fecha Suscripción]],BBDD_Usiarios_Netflix[[#This Row],[Fecha Último Pago]],"M")+1</f>
        <v>13</v>
      </c>
      <c r="N1578" s="4">
        <f>BBDD_Usiarios_Netflix[[#This Row],[Ingresos Mensuales]]*BBDD_Usiarios_Netflix[[#This Row],[Meses contratados]]</f>
        <v>182</v>
      </c>
      <c r="O1578" t="s">
        <v>39</v>
      </c>
      <c r="P1578" t="str">
        <f>IF(BBDD_Usiarios_Netflix[[#This Row],[País]]="","Desconocido",BBDD_Usiarios_Netflix[[#This Row],[País]])</f>
        <v>Canadá</v>
      </c>
      <c r="Q1578">
        <v>45</v>
      </c>
      <c r="R1578" t="s">
        <v>25</v>
      </c>
      <c r="S1578" t="s">
        <v>31</v>
      </c>
      <c r="T1578" t="s">
        <v>35</v>
      </c>
      <c r="U1578">
        <f>IF(IFERROR(VLOOKUP(BBDD_Usiarios_Netflix[[#This Row],[Identificador Usuario]],A1579:$A$5870,1,FALSE),0)&lt;&gt;0,1,0)</f>
        <v>0</v>
      </c>
      <c r="V1578" s="6" t="str">
        <f>IF(BBDD_Usiarios_Netflix[[#This Row],[Duración Plan]]="12 Meses",LEFT(BBDD_Usiarios_Netflix[[#This Row],[Duración Plan]],2),LEFT(BBDD_Usiarios_Netflix[[#This Row],[Duración Plan]],1))</f>
        <v>6</v>
      </c>
      <c r="W15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79" spans="1:23" x14ac:dyDescent="0.25">
      <c r="A1579">
        <v>1578</v>
      </c>
      <c r="B1579" t="s">
        <v>32</v>
      </c>
      <c r="C1579">
        <v>12</v>
      </c>
      <c r="D1579" s="3">
        <v>30</v>
      </c>
      <c r="E1579" s="3">
        <v>6</v>
      </c>
      <c r="F1579">
        <v>23</v>
      </c>
      <c r="G1579" s="1">
        <f>DATEVALUE(_xlfn.CONCAT(BBDD_Usiarios_Netflix[[#This Row],[Día Suscripción]],"/",BBDD_Usiarios_Netflix[[#This Row],[Mes Suscripción]],"/",BBDD_Usiarios_Netflix[[#This Row],[Año Suscripción]]))</f>
        <v>45107</v>
      </c>
      <c r="H1579" s="1">
        <v>6</v>
      </c>
      <c r="I1579" s="1">
        <v>7</v>
      </c>
      <c r="J1579" s="1">
        <v>24</v>
      </c>
      <c r="K1579" s="1" t="str">
        <f>TEXT(BBDD_Usiarios_Netflix[[#This Row],[Fecha Suscripción]],"dddd")</f>
        <v>viernes</v>
      </c>
      <c r="L1579" s="1">
        <f>DATEVALUE(_xlfn.CONCAT(BBDD_Usiarios_Netflix[[#This Row],[Día Último Pago]],"/",BBDD_Usiarios_Netflix[[#This Row],[Mes Último Pago]],"/",BBDD_Usiarios_Netflix[[#This Row],[Año Último Pago]]))</f>
        <v>45479</v>
      </c>
      <c r="M1579" s="4">
        <f>DATEDIF(BBDD_Usiarios_Netflix[[#This Row],[Fecha Suscripción]],BBDD_Usiarios_Netflix[[#This Row],[Fecha Último Pago]],"M")+1</f>
        <v>13</v>
      </c>
      <c r="N1579" s="4">
        <f>BBDD_Usiarios_Netflix[[#This Row],[Ingresos Mensuales]]*BBDD_Usiarios_Netflix[[#This Row],[Meses contratados]]</f>
        <v>156</v>
      </c>
      <c r="O1579" t="s">
        <v>39</v>
      </c>
      <c r="P1579" t="str">
        <f>IF(BBDD_Usiarios_Netflix[[#This Row],[País]]="","Desconocido",BBDD_Usiarios_Netflix[[#This Row],[País]])</f>
        <v>Canadá</v>
      </c>
      <c r="Q1579">
        <v>44</v>
      </c>
      <c r="R1579" t="s">
        <v>30</v>
      </c>
      <c r="S1579" t="s">
        <v>36</v>
      </c>
      <c r="T1579" t="s">
        <v>41</v>
      </c>
      <c r="U1579">
        <f>IF(IFERROR(VLOOKUP(BBDD_Usiarios_Netflix[[#This Row],[Identificador Usuario]],A1580:$A$5870,1,FALSE),0)&lt;&gt;0,1,0)</f>
        <v>0</v>
      </c>
      <c r="V1579" s="6" t="str">
        <f>IF(BBDD_Usiarios_Netflix[[#This Row],[Duración Plan]]="12 Meses",LEFT(BBDD_Usiarios_Netflix[[#This Row],[Duración Plan]],2),LEFT(BBDD_Usiarios_Netflix[[#This Row],[Duración Plan]],1))</f>
        <v>12</v>
      </c>
      <c r="W15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80" spans="1:23" x14ac:dyDescent="0.25">
      <c r="A1580">
        <v>1579</v>
      </c>
      <c r="B1580" t="s">
        <v>32</v>
      </c>
      <c r="C1580">
        <v>12</v>
      </c>
      <c r="D1580" s="3">
        <v>27</v>
      </c>
      <c r="E1580" s="3">
        <v>6</v>
      </c>
      <c r="F1580">
        <v>23</v>
      </c>
      <c r="G1580" s="1">
        <f>DATEVALUE(_xlfn.CONCAT(BBDD_Usiarios_Netflix[[#This Row],[Día Suscripción]],"/",BBDD_Usiarios_Netflix[[#This Row],[Mes Suscripción]],"/",BBDD_Usiarios_Netflix[[#This Row],[Año Suscripción]]))</f>
        <v>45104</v>
      </c>
      <c r="H1580" s="1">
        <v>4</v>
      </c>
      <c r="I1580" s="1">
        <v>7</v>
      </c>
      <c r="J1580" s="1">
        <v>24</v>
      </c>
      <c r="K1580" s="1" t="str">
        <f>TEXT(BBDD_Usiarios_Netflix[[#This Row],[Fecha Suscripción]],"dddd")</f>
        <v>martes</v>
      </c>
      <c r="L1580" s="1">
        <f>DATEVALUE(_xlfn.CONCAT(BBDD_Usiarios_Netflix[[#This Row],[Día Último Pago]],"/",BBDD_Usiarios_Netflix[[#This Row],[Mes Último Pago]],"/",BBDD_Usiarios_Netflix[[#This Row],[Año Último Pago]]))</f>
        <v>45477</v>
      </c>
      <c r="M1580" s="4">
        <f>DATEDIF(BBDD_Usiarios_Netflix[[#This Row],[Fecha Suscripción]],BBDD_Usiarios_Netflix[[#This Row],[Fecha Último Pago]],"M")+1</f>
        <v>13</v>
      </c>
      <c r="N1580" s="4">
        <f>BBDD_Usiarios_Netflix[[#This Row],[Ingresos Mensuales]]*BBDD_Usiarios_Netflix[[#This Row],[Meses contratados]]</f>
        <v>156</v>
      </c>
      <c r="O1580" t="s">
        <v>39</v>
      </c>
      <c r="P1580" t="str">
        <f>IF(BBDD_Usiarios_Netflix[[#This Row],[País]]="","Desconocido",BBDD_Usiarios_Netflix[[#This Row],[País]])</f>
        <v>Canadá</v>
      </c>
      <c r="Q1580">
        <v>40</v>
      </c>
      <c r="R1580" t="s">
        <v>30</v>
      </c>
      <c r="S1580" t="s">
        <v>34</v>
      </c>
      <c r="T1580" t="s">
        <v>41</v>
      </c>
      <c r="U1580">
        <f>IF(IFERROR(VLOOKUP(BBDD_Usiarios_Netflix[[#This Row],[Identificador Usuario]],A1581:$A$5870,1,FALSE),0)&lt;&gt;0,1,0)</f>
        <v>0</v>
      </c>
      <c r="V1580" s="6" t="str">
        <f>IF(BBDD_Usiarios_Netflix[[#This Row],[Duración Plan]]="12 Meses",LEFT(BBDD_Usiarios_Netflix[[#This Row],[Duración Plan]],2),LEFT(BBDD_Usiarios_Netflix[[#This Row],[Duración Plan]],1))</f>
        <v>12</v>
      </c>
      <c r="W15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81" spans="1:23" x14ac:dyDescent="0.25">
      <c r="A1581">
        <v>1580</v>
      </c>
      <c r="B1581" t="s">
        <v>23</v>
      </c>
      <c r="C1581">
        <v>10</v>
      </c>
      <c r="D1581" s="3">
        <v>26</v>
      </c>
      <c r="E1581" s="3">
        <v>6</v>
      </c>
      <c r="F1581">
        <v>23</v>
      </c>
      <c r="G1581" s="1">
        <f>DATEVALUE(_xlfn.CONCAT(BBDD_Usiarios_Netflix[[#This Row],[Día Suscripción]],"/",BBDD_Usiarios_Netflix[[#This Row],[Mes Suscripción]],"/",BBDD_Usiarios_Netflix[[#This Row],[Año Suscripción]]))</f>
        <v>45103</v>
      </c>
      <c r="H1581" s="1">
        <v>8</v>
      </c>
      <c r="I1581" s="1">
        <v>7</v>
      </c>
      <c r="J1581" s="1">
        <v>24</v>
      </c>
      <c r="K1581" s="1" t="str">
        <f>TEXT(BBDD_Usiarios_Netflix[[#This Row],[Fecha Suscripción]],"dddd")</f>
        <v>lunes</v>
      </c>
      <c r="L1581" s="1">
        <f>DATEVALUE(_xlfn.CONCAT(BBDD_Usiarios_Netflix[[#This Row],[Día Último Pago]],"/",BBDD_Usiarios_Netflix[[#This Row],[Mes Último Pago]],"/",BBDD_Usiarios_Netflix[[#This Row],[Año Último Pago]]))</f>
        <v>45481</v>
      </c>
      <c r="M1581" s="4">
        <f>DATEDIF(BBDD_Usiarios_Netflix[[#This Row],[Fecha Suscripción]],BBDD_Usiarios_Netflix[[#This Row],[Fecha Último Pago]],"M")+1</f>
        <v>13</v>
      </c>
      <c r="N1581" s="4">
        <f>BBDD_Usiarios_Netflix[[#This Row],[Ingresos Mensuales]]*BBDD_Usiarios_Netflix[[#This Row],[Meses contratados]]</f>
        <v>130</v>
      </c>
      <c r="O1581" t="s">
        <v>29</v>
      </c>
      <c r="P1581" t="str">
        <f>IF(BBDD_Usiarios_Netflix[[#This Row],[País]]="","Desconocido",BBDD_Usiarios_Netflix[[#This Row],[País]])</f>
        <v>EEUU</v>
      </c>
      <c r="Q1581">
        <v>51</v>
      </c>
      <c r="R1581" t="s">
        <v>30</v>
      </c>
      <c r="S1581" t="s">
        <v>34</v>
      </c>
      <c r="T1581" t="s">
        <v>38</v>
      </c>
      <c r="U1581">
        <f>IF(IFERROR(VLOOKUP(BBDD_Usiarios_Netflix[[#This Row],[Identificador Usuario]],A1582:$A$5870,1,FALSE),0)&lt;&gt;0,1,0)</f>
        <v>0</v>
      </c>
      <c r="V1581" s="6" t="str">
        <f>IF(BBDD_Usiarios_Netflix[[#This Row],[Duración Plan]]="12 Meses",LEFT(BBDD_Usiarios_Netflix[[#This Row],[Duración Plan]],2),LEFT(BBDD_Usiarios_Netflix[[#This Row],[Duración Plan]],1))</f>
        <v>3</v>
      </c>
      <c r="W15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82" spans="1:23" x14ac:dyDescent="0.25">
      <c r="A1582">
        <v>1581</v>
      </c>
      <c r="B1582" t="s">
        <v>28</v>
      </c>
      <c r="C1582">
        <v>14</v>
      </c>
      <c r="D1582" s="3">
        <v>27</v>
      </c>
      <c r="E1582" s="3">
        <v>6</v>
      </c>
      <c r="F1582">
        <v>23</v>
      </c>
      <c r="G1582" s="1">
        <f>DATEVALUE(_xlfn.CONCAT(BBDD_Usiarios_Netflix[[#This Row],[Día Suscripción]],"/",BBDD_Usiarios_Netflix[[#This Row],[Mes Suscripción]],"/",BBDD_Usiarios_Netflix[[#This Row],[Año Suscripción]]))</f>
        <v>45104</v>
      </c>
      <c r="H1582" s="1">
        <v>5</v>
      </c>
      <c r="I1582" s="1">
        <v>7</v>
      </c>
      <c r="J1582" s="1">
        <v>24</v>
      </c>
      <c r="K1582" s="1" t="str">
        <f>TEXT(BBDD_Usiarios_Netflix[[#This Row],[Fecha Suscripción]],"dddd")</f>
        <v>martes</v>
      </c>
      <c r="L1582" s="1">
        <f>DATEVALUE(_xlfn.CONCAT(BBDD_Usiarios_Netflix[[#This Row],[Día Último Pago]],"/",BBDD_Usiarios_Netflix[[#This Row],[Mes Último Pago]],"/",BBDD_Usiarios_Netflix[[#This Row],[Año Último Pago]]))</f>
        <v>45478</v>
      </c>
      <c r="M1582" s="4">
        <f>DATEDIF(BBDD_Usiarios_Netflix[[#This Row],[Fecha Suscripción]],BBDD_Usiarios_Netflix[[#This Row],[Fecha Último Pago]],"M")+1</f>
        <v>13</v>
      </c>
      <c r="N1582" s="4">
        <f>BBDD_Usiarios_Netflix[[#This Row],[Ingresos Mensuales]]*BBDD_Usiarios_Netflix[[#This Row],[Meses contratados]]</f>
        <v>182</v>
      </c>
      <c r="O1582" t="s">
        <v>24</v>
      </c>
      <c r="P1582" t="str">
        <f>IF(BBDD_Usiarios_Netflix[[#This Row],[País]]="","Desconocido",BBDD_Usiarios_Netflix[[#This Row],[País]])</f>
        <v>Australia</v>
      </c>
      <c r="Q1582">
        <v>30</v>
      </c>
      <c r="R1582" t="s">
        <v>30</v>
      </c>
      <c r="S1582" t="s">
        <v>34</v>
      </c>
      <c r="T1582" t="s">
        <v>27</v>
      </c>
      <c r="U1582">
        <f>IF(IFERROR(VLOOKUP(BBDD_Usiarios_Netflix[[#This Row],[Identificador Usuario]],A1583:$A$5870,1,FALSE),0)&lt;&gt;0,1,0)</f>
        <v>0</v>
      </c>
      <c r="V1582" s="6" t="str">
        <f>IF(BBDD_Usiarios_Netflix[[#This Row],[Duración Plan]]="12 Meses",LEFT(BBDD_Usiarios_Netflix[[#This Row],[Duración Plan]],2),LEFT(BBDD_Usiarios_Netflix[[#This Row],[Duración Plan]],1))</f>
        <v>1</v>
      </c>
      <c r="W15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83" spans="1:23" x14ac:dyDescent="0.25">
      <c r="A1583">
        <v>1582</v>
      </c>
      <c r="B1583" t="s">
        <v>32</v>
      </c>
      <c r="C1583">
        <v>12</v>
      </c>
      <c r="D1583" s="3">
        <v>28</v>
      </c>
      <c r="E1583" s="3">
        <v>6</v>
      </c>
      <c r="F1583">
        <v>23</v>
      </c>
      <c r="G1583" s="1">
        <f>DATEVALUE(_xlfn.CONCAT(BBDD_Usiarios_Netflix[[#This Row],[Día Suscripción]],"/",BBDD_Usiarios_Netflix[[#This Row],[Mes Suscripción]],"/",BBDD_Usiarios_Netflix[[#This Row],[Año Suscripción]]))</f>
        <v>45105</v>
      </c>
      <c r="H1583" s="1">
        <v>8</v>
      </c>
      <c r="I1583" s="1">
        <v>7</v>
      </c>
      <c r="J1583" s="1">
        <v>24</v>
      </c>
      <c r="K1583" s="1" t="str">
        <f>TEXT(BBDD_Usiarios_Netflix[[#This Row],[Fecha Suscripción]],"dddd")</f>
        <v>miércoles</v>
      </c>
      <c r="L1583" s="1">
        <f>DATEVALUE(_xlfn.CONCAT(BBDD_Usiarios_Netflix[[#This Row],[Día Último Pago]],"/",BBDD_Usiarios_Netflix[[#This Row],[Mes Último Pago]],"/",BBDD_Usiarios_Netflix[[#This Row],[Año Último Pago]]))</f>
        <v>45481</v>
      </c>
      <c r="M1583" s="4">
        <f>DATEDIF(BBDD_Usiarios_Netflix[[#This Row],[Fecha Suscripción]],BBDD_Usiarios_Netflix[[#This Row],[Fecha Último Pago]],"M")+1</f>
        <v>13</v>
      </c>
      <c r="N1583" s="4">
        <f>BBDD_Usiarios_Netflix[[#This Row],[Ingresos Mensuales]]*BBDD_Usiarios_Netflix[[#This Row],[Meses contratados]]</f>
        <v>156</v>
      </c>
      <c r="O1583" t="s">
        <v>24</v>
      </c>
      <c r="P1583" t="str">
        <f>IF(BBDD_Usiarios_Netflix[[#This Row],[País]]="","Desconocido",BBDD_Usiarios_Netflix[[#This Row],[País]])</f>
        <v>Australia</v>
      </c>
      <c r="Q1583">
        <v>50</v>
      </c>
      <c r="R1583" t="s">
        <v>25</v>
      </c>
      <c r="S1583" t="s">
        <v>34</v>
      </c>
      <c r="T1583" t="s">
        <v>27</v>
      </c>
      <c r="U1583">
        <f>IF(IFERROR(VLOOKUP(BBDD_Usiarios_Netflix[[#This Row],[Identificador Usuario]],A1584:$A$5870,1,FALSE),0)&lt;&gt;0,1,0)</f>
        <v>0</v>
      </c>
      <c r="V1583" s="6" t="str">
        <f>IF(BBDD_Usiarios_Netflix[[#This Row],[Duración Plan]]="12 Meses",LEFT(BBDD_Usiarios_Netflix[[#This Row],[Duración Plan]],2),LEFT(BBDD_Usiarios_Netflix[[#This Row],[Duración Plan]],1))</f>
        <v>1</v>
      </c>
      <c r="W15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84" spans="1:23" x14ac:dyDescent="0.25">
      <c r="A1584">
        <v>1583</v>
      </c>
      <c r="B1584" t="s">
        <v>23</v>
      </c>
      <c r="C1584">
        <v>10</v>
      </c>
      <c r="D1584" s="3">
        <v>30</v>
      </c>
      <c r="E1584" s="3">
        <v>6</v>
      </c>
      <c r="F1584">
        <v>23</v>
      </c>
      <c r="G1584" s="1">
        <f>DATEVALUE(_xlfn.CONCAT(BBDD_Usiarios_Netflix[[#This Row],[Día Suscripción]],"/",BBDD_Usiarios_Netflix[[#This Row],[Mes Suscripción]],"/",BBDD_Usiarios_Netflix[[#This Row],[Año Suscripción]]))</f>
        <v>45107</v>
      </c>
      <c r="H1584" s="1">
        <v>6</v>
      </c>
      <c r="I1584" s="1">
        <v>7</v>
      </c>
      <c r="J1584" s="1">
        <v>24</v>
      </c>
      <c r="K1584" s="1" t="str">
        <f>TEXT(BBDD_Usiarios_Netflix[[#This Row],[Fecha Suscripción]],"dddd")</f>
        <v>viernes</v>
      </c>
      <c r="L1584" s="1">
        <f>DATEVALUE(_xlfn.CONCAT(BBDD_Usiarios_Netflix[[#This Row],[Día Último Pago]],"/",BBDD_Usiarios_Netflix[[#This Row],[Mes Último Pago]],"/",BBDD_Usiarios_Netflix[[#This Row],[Año Último Pago]]))</f>
        <v>45479</v>
      </c>
      <c r="M1584" s="4">
        <f>DATEDIF(BBDD_Usiarios_Netflix[[#This Row],[Fecha Suscripción]],BBDD_Usiarios_Netflix[[#This Row],[Fecha Último Pago]],"M")+1</f>
        <v>13</v>
      </c>
      <c r="N1584" s="4">
        <f>BBDD_Usiarios_Netflix[[#This Row],[Ingresos Mensuales]]*BBDD_Usiarios_Netflix[[#This Row],[Meses contratados]]</f>
        <v>130</v>
      </c>
      <c r="O1584" t="s">
        <v>39</v>
      </c>
      <c r="P1584" t="str">
        <f>IF(BBDD_Usiarios_Netflix[[#This Row],[País]]="","Desconocido",BBDD_Usiarios_Netflix[[#This Row],[País]])</f>
        <v>Canadá</v>
      </c>
      <c r="Q1584">
        <v>39</v>
      </c>
      <c r="R1584" t="s">
        <v>25</v>
      </c>
      <c r="S1584" t="s">
        <v>31</v>
      </c>
      <c r="T1584" t="s">
        <v>38</v>
      </c>
      <c r="U1584">
        <f>IF(IFERROR(VLOOKUP(BBDD_Usiarios_Netflix[[#This Row],[Identificador Usuario]],A1585:$A$5870,1,FALSE),0)&lt;&gt;0,1,0)</f>
        <v>0</v>
      </c>
      <c r="V1584" s="6" t="str">
        <f>IF(BBDD_Usiarios_Netflix[[#This Row],[Duración Plan]]="12 Meses",LEFT(BBDD_Usiarios_Netflix[[#This Row],[Duración Plan]],2),LEFT(BBDD_Usiarios_Netflix[[#This Row],[Duración Plan]],1))</f>
        <v>3</v>
      </c>
      <c r="W15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85" spans="1:23" x14ac:dyDescent="0.25">
      <c r="A1585">
        <v>1584</v>
      </c>
      <c r="B1585" t="s">
        <v>32</v>
      </c>
      <c r="C1585">
        <v>12</v>
      </c>
      <c r="D1585" s="3">
        <v>2</v>
      </c>
      <c r="E1585" s="3">
        <v>7</v>
      </c>
      <c r="F1585">
        <v>23</v>
      </c>
      <c r="G1585" s="1">
        <f>DATEVALUE(_xlfn.CONCAT(BBDD_Usiarios_Netflix[[#This Row],[Día Suscripción]],"/",BBDD_Usiarios_Netflix[[#This Row],[Mes Suscripción]],"/",BBDD_Usiarios_Netflix[[#This Row],[Año Suscripción]]))</f>
        <v>45109</v>
      </c>
      <c r="H1585" s="1">
        <v>7</v>
      </c>
      <c r="I1585" s="1">
        <v>7</v>
      </c>
      <c r="J1585" s="1">
        <v>24</v>
      </c>
      <c r="K1585" s="1" t="str">
        <f>TEXT(BBDD_Usiarios_Netflix[[#This Row],[Fecha Suscripción]],"dddd")</f>
        <v>domingo</v>
      </c>
      <c r="L1585" s="1">
        <f>DATEVALUE(_xlfn.CONCAT(BBDD_Usiarios_Netflix[[#This Row],[Día Último Pago]],"/",BBDD_Usiarios_Netflix[[#This Row],[Mes Último Pago]],"/",BBDD_Usiarios_Netflix[[#This Row],[Año Último Pago]]))</f>
        <v>45480</v>
      </c>
      <c r="M1585" s="4">
        <f>DATEDIF(BBDD_Usiarios_Netflix[[#This Row],[Fecha Suscripción]],BBDD_Usiarios_Netflix[[#This Row],[Fecha Último Pago]],"M")+1</f>
        <v>13</v>
      </c>
      <c r="N1585" s="4">
        <f>BBDD_Usiarios_Netflix[[#This Row],[Ingresos Mensuales]]*BBDD_Usiarios_Netflix[[#This Row],[Meses contratados]]</f>
        <v>156</v>
      </c>
      <c r="O1585" t="s">
        <v>46</v>
      </c>
      <c r="P1585" t="str">
        <f>IF(BBDD_Usiarios_Netflix[[#This Row],[País]]="","Desconocido",BBDD_Usiarios_Netflix[[#This Row],[País]])</f>
        <v>Méjico</v>
      </c>
      <c r="Q1585">
        <v>51</v>
      </c>
      <c r="R1585" t="s">
        <v>25</v>
      </c>
      <c r="S1585" t="s">
        <v>31</v>
      </c>
      <c r="T1585" t="s">
        <v>27</v>
      </c>
      <c r="U1585">
        <f>IF(IFERROR(VLOOKUP(BBDD_Usiarios_Netflix[[#This Row],[Identificador Usuario]],A1586:$A$5870,1,FALSE),0)&lt;&gt;0,1,0)</f>
        <v>0</v>
      </c>
      <c r="V1585" s="6" t="str">
        <f>IF(BBDD_Usiarios_Netflix[[#This Row],[Duración Plan]]="12 Meses",LEFT(BBDD_Usiarios_Netflix[[#This Row],[Duración Plan]],2),LEFT(BBDD_Usiarios_Netflix[[#This Row],[Duración Plan]],1))</f>
        <v>1</v>
      </c>
      <c r="W15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86" spans="1:23" x14ac:dyDescent="0.25">
      <c r="A1586">
        <v>1585</v>
      </c>
      <c r="B1586" t="s">
        <v>28</v>
      </c>
      <c r="C1586">
        <v>14</v>
      </c>
      <c r="D1586" s="3">
        <v>5</v>
      </c>
      <c r="E1586" s="3">
        <v>7</v>
      </c>
      <c r="F1586">
        <v>23</v>
      </c>
      <c r="G1586" s="1">
        <f>DATEVALUE(_xlfn.CONCAT(BBDD_Usiarios_Netflix[[#This Row],[Día Suscripción]],"/",BBDD_Usiarios_Netflix[[#This Row],[Mes Suscripción]],"/",BBDD_Usiarios_Netflix[[#This Row],[Año Suscripción]]))</f>
        <v>45112</v>
      </c>
      <c r="H1586" s="1">
        <v>5</v>
      </c>
      <c r="I1586" s="1">
        <v>7</v>
      </c>
      <c r="J1586" s="1">
        <v>24</v>
      </c>
      <c r="K1586" s="1" t="str">
        <f>TEXT(BBDD_Usiarios_Netflix[[#This Row],[Fecha Suscripción]],"dddd")</f>
        <v>miércoles</v>
      </c>
      <c r="L1586" s="1">
        <f>DATEVALUE(_xlfn.CONCAT(BBDD_Usiarios_Netflix[[#This Row],[Día Último Pago]],"/",BBDD_Usiarios_Netflix[[#This Row],[Mes Último Pago]],"/",BBDD_Usiarios_Netflix[[#This Row],[Año Último Pago]]))</f>
        <v>45478</v>
      </c>
      <c r="M1586" s="4">
        <f>DATEDIF(BBDD_Usiarios_Netflix[[#This Row],[Fecha Suscripción]],BBDD_Usiarios_Netflix[[#This Row],[Fecha Último Pago]],"M")+1</f>
        <v>13</v>
      </c>
      <c r="N1586" s="4">
        <f>BBDD_Usiarios_Netflix[[#This Row],[Ingresos Mensuales]]*BBDD_Usiarios_Netflix[[#This Row],[Meses contratados]]</f>
        <v>182</v>
      </c>
      <c r="O1586" t="s">
        <v>44</v>
      </c>
      <c r="P1586" t="str">
        <f>IF(BBDD_Usiarios_Netflix[[#This Row],[País]]="","Desconocido",BBDD_Usiarios_Netflix[[#This Row],[País]])</f>
        <v>Desconocido</v>
      </c>
      <c r="Q1586">
        <v>42</v>
      </c>
      <c r="R1586" t="s">
        <v>25</v>
      </c>
      <c r="S1586" t="s">
        <v>36</v>
      </c>
      <c r="T1586" t="s">
        <v>27</v>
      </c>
      <c r="U1586">
        <f>IF(IFERROR(VLOOKUP(BBDD_Usiarios_Netflix[[#This Row],[Identificador Usuario]],A1587:$A$5870,1,FALSE),0)&lt;&gt;0,1,0)</f>
        <v>0</v>
      </c>
      <c r="V1586" s="6" t="str">
        <f>IF(BBDD_Usiarios_Netflix[[#This Row],[Duración Plan]]="12 Meses",LEFT(BBDD_Usiarios_Netflix[[#This Row],[Duración Plan]],2),LEFT(BBDD_Usiarios_Netflix[[#This Row],[Duración Plan]],1))</f>
        <v>1</v>
      </c>
      <c r="W15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87" spans="1:23" x14ac:dyDescent="0.25">
      <c r="A1587">
        <v>1586</v>
      </c>
      <c r="B1587" t="s">
        <v>23</v>
      </c>
      <c r="C1587">
        <v>10</v>
      </c>
      <c r="D1587" s="3">
        <v>11</v>
      </c>
      <c r="E1587" s="3">
        <v>7</v>
      </c>
      <c r="F1587">
        <v>23</v>
      </c>
      <c r="G1587" s="1">
        <f>DATEVALUE(_xlfn.CONCAT(BBDD_Usiarios_Netflix[[#This Row],[Día Suscripción]],"/",BBDD_Usiarios_Netflix[[#This Row],[Mes Suscripción]],"/",BBDD_Usiarios_Netflix[[#This Row],[Año Suscripción]]))</f>
        <v>45118</v>
      </c>
      <c r="H1587" s="1">
        <v>7</v>
      </c>
      <c r="I1587" s="1">
        <v>7</v>
      </c>
      <c r="J1587" s="1">
        <v>24</v>
      </c>
      <c r="K1587" s="1" t="str">
        <f>TEXT(BBDD_Usiarios_Netflix[[#This Row],[Fecha Suscripción]],"dddd")</f>
        <v>martes</v>
      </c>
      <c r="L1587" s="1">
        <f>DATEVALUE(_xlfn.CONCAT(BBDD_Usiarios_Netflix[[#This Row],[Día Último Pago]],"/",BBDD_Usiarios_Netflix[[#This Row],[Mes Último Pago]],"/",BBDD_Usiarios_Netflix[[#This Row],[Año Último Pago]]))</f>
        <v>45480</v>
      </c>
      <c r="M1587" s="4">
        <f>DATEDIF(BBDD_Usiarios_Netflix[[#This Row],[Fecha Suscripción]],BBDD_Usiarios_Netflix[[#This Row],[Fecha Último Pago]],"M")+1</f>
        <v>12</v>
      </c>
      <c r="N1587" s="4">
        <f>BBDD_Usiarios_Netflix[[#This Row],[Ingresos Mensuales]]*BBDD_Usiarios_Netflix[[#This Row],[Meses contratados]]</f>
        <v>120</v>
      </c>
      <c r="O1587" t="s">
        <v>24</v>
      </c>
      <c r="P1587" t="str">
        <f>IF(BBDD_Usiarios_Netflix[[#This Row],[País]]="","Desconocido",BBDD_Usiarios_Netflix[[#This Row],[País]])</f>
        <v>Australia</v>
      </c>
      <c r="Q1587">
        <v>34</v>
      </c>
      <c r="R1587" t="s">
        <v>30</v>
      </c>
      <c r="S1587" t="s">
        <v>31</v>
      </c>
      <c r="T1587" t="s">
        <v>27</v>
      </c>
      <c r="U1587">
        <f>IF(IFERROR(VLOOKUP(BBDD_Usiarios_Netflix[[#This Row],[Identificador Usuario]],A1588:$A$5870,1,FALSE),0)&lt;&gt;0,1,0)</f>
        <v>0</v>
      </c>
      <c r="V1587" s="6" t="str">
        <f>IF(BBDD_Usiarios_Netflix[[#This Row],[Duración Plan]]="12 Meses",LEFT(BBDD_Usiarios_Netflix[[#This Row],[Duración Plan]],2),LEFT(BBDD_Usiarios_Netflix[[#This Row],[Duración Plan]],1))</f>
        <v>1</v>
      </c>
      <c r="W15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88" spans="1:23" x14ac:dyDescent="0.25">
      <c r="A1588">
        <v>1587</v>
      </c>
      <c r="B1588" t="s">
        <v>28</v>
      </c>
      <c r="C1588">
        <v>14</v>
      </c>
      <c r="D1588" s="3">
        <v>18</v>
      </c>
      <c r="E1588" s="3">
        <v>7</v>
      </c>
      <c r="F1588">
        <v>23</v>
      </c>
      <c r="G1588" s="1">
        <f>DATEVALUE(_xlfn.CONCAT(BBDD_Usiarios_Netflix[[#This Row],[Día Suscripción]],"/",BBDD_Usiarios_Netflix[[#This Row],[Mes Suscripción]],"/",BBDD_Usiarios_Netflix[[#This Row],[Año Suscripción]]))</f>
        <v>45125</v>
      </c>
      <c r="H1588" s="1">
        <v>6</v>
      </c>
      <c r="I1588" s="1">
        <v>7</v>
      </c>
      <c r="J1588" s="1">
        <v>24</v>
      </c>
      <c r="K1588" s="1" t="str">
        <f>TEXT(BBDD_Usiarios_Netflix[[#This Row],[Fecha Suscripción]],"dddd")</f>
        <v>martes</v>
      </c>
      <c r="L1588" s="1">
        <f>DATEVALUE(_xlfn.CONCAT(BBDD_Usiarios_Netflix[[#This Row],[Día Último Pago]],"/",BBDD_Usiarios_Netflix[[#This Row],[Mes Último Pago]],"/",BBDD_Usiarios_Netflix[[#This Row],[Año Último Pago]]))</f>
        <v>45479</v>
      </c>
      <c r="M1588" s="4">
        <f>DATEDIF(BBDD_Usiarios_Netflix[[#This Row],[Fecha Suscripción]],BBDD_Usiarios_Netflix[[#This Row],[Fecha Último Pago]],"M")+1</f>
        <v>12</v>
      </c>
      <c r="N1588" s="4">
        <f>BBDD_Usiarios_Netflix[[#This Row],[Ingresos Mensuales]]*BBDD_Usiarios_Netflix[[#This Row],[Meses contratados]]</f>
        <v>168</v>
      </c>
      <c r="O1588" t="s">
        <v>33</v>
      </c>
      <c r="P1588" t="str">
        <f>IF(BBDD_Usiarios_Netflix[[#This Row],[País]]="","Desconocido",BBDD_Usiarios_Netflix[[#This Row],[País]])</f>
        <v>Francia</v>
      </c>
      <c r="Q1588">
        <v>28</v>
      </c>
      <c r="R1588" t="s">
        <v>25</v>
      </c>
      <c r="S1588" t="s">
        <v>31</v>
      </c>
      <c r="T1588" t="s">
        <v>38</v>
      </c>
      <c r="U1588">
        <f>IF(IFERROR(VLOOKUP(BBDD_Usiarios_Netflix[[#This Row],[Identificador Usuario]],A1589:$A$5870,1,FALSE),0)&lt;&gt;0,1,0)</f>
        <v>0</v>
      </c>
      <c r="V1588" s="6" t="str">
        <f>IF(BBDD_Usiarios_Netflix[[#This Row],[Duración Plan]]="12 Meses",LEFT(BBDD_Usiarios_Netflix[[#This Row],[Duración Plan]],2),LEFT(BBDD_Usiarios_Netflix[[#This Row],[Duración Plan]],1))</f>
        <v>3</v>
      </c>
      <c r="W15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89" spans="1:23" x14ac:dyDescent="0.25">
      <c r="A1589">
        <v>1588</v>
      </c>
      <c r="B1589" t="s">
        <v>32</v>
      </c>
      <c r="C1589">
        <v>12</v>
      </c>
      <c r="D1589" s="3">
        <v>25</v>
      </c>
      <c r="E1589" s="3">
        <v>7</v>
      </c>
      <c r="F1589">
        <v>23</v>
      </c>
      <c r="G1589" s="1">
        <f>DATEVALUE(_xlfn.CONCAT(BBDD_Usiarios_Netflix[[#This Row],[Día Suscripción]],"/",BBDD_Usiarios_Netflix[[#This Row],[Mes Suscripción]],"/",BBDD_Usiarios_Netflix[[#This Row],[Año Suscripción]]))</f>
        <v>45132</v>
      </c>
      <c r="H1589" s="1">
        <v>7</v>
      </c>
      <c r="I1589" s="1">
        <v>7</v>
      </c>
      <c r="J1589" s="1">
        <v>24</v>
      </c>
      <c r="K1589" s="1" t="str">
        <f>TEXT(BBDD_Usiarios_Netflix[[#This Row],[Fecha Suscripción]],"dddd")</f>
        <v>martes</v>
      </c>
      <c r="L1589" s="1">
        <f>DATEVALUE(_xlfn.CONCAT(BBDD_Usiarios_Netflix[[#This Row],[Día Último Pago]],"/",BBDD_Usiarios_Netflix[[#This Row],[Mes Último Pago]],"/",BBDD_Usiarios_Netflix[[#This Row],[Año Último Pago]]))</f>
        <v>45480</v>
      </c>
      <c r="M1589" s="4">
        <f>DATEDIF(BBDD_Usiarios_Netflix[[#This Row],[Fecha Suscripción]],BBDD_Usiarios_Netflix[[#This Row],[Fecha Último Pago]],"M")+1</f>
        <v>12</v>
      </c>
      <c r="N1589" s="4">
        <f>BBDD_Usiarios_Netflix[[#This Row],[Ingresos Mensuales]]*BBDD_Usiarios_Netflix[[#This Row],[Meses contratados]]</f>
        <v>144</v>
      </c>
      <c r="O1589" t="s">
        <v>24</v>
      </c>
      <c r="P1589" t="str">
        <f>IF(BBDD_Usiarios_Netflix[[#This Row],[País]]="","Desconocido",BBDD_Usiarios_Netflix[[#This Row],[País]])</f>
        <v>Australia</v>
      </c>
      <c r="Q1589">
        <v>43</v>
      </c>
      <c r="R1589" t="s">
        <v>25</v>
      </c>
      <c r="S1589" t="s">
        <v>31</v>
      </c>
      <c r="T1589" t="s">
        <v>27</v>
      </c>
      <c r="U1589">
        <f>IF(IFERROR(VLOOKUP(BBDD_Usiarios_Netflix[[#This Row],[Identificador Usuario]],A1590:$A$5870,1,FALSE),0)&lt;&gt;0,1,0)</f>
        <v>0</v>
      </c>
      <c r="V1589" s="6" t="str">
        <f>IF(BBDD_Usiarios_Netflix[[#This Row],[Duración Plan]]="12 Meses",LEFT(BBDD_Usiarios_Netflix[[#This Row],[Duración Plan]],2),LEFT(BBDD_Usiarios_Netflix[[#This Row],[Duración Plan]],1))</f>
        <v>1</v>
      </c>
      <c r="W15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90" spans="1:23" x14ac:dyDescent="0.25">
      <c r="A1590">
        <v>1589</v>
      </c>
      <c r="B1590" t="s">
        <v>23</v>
      </c>
      <c r="C1590">
        <v>10</v>
      </c>
      <c r="D1590" s="3">
        <v>28</v>
      </c>
      <c r="E1590" s="3">
        <v>7</v>
      </c>
      <c r="F1590">
        <v>23</v>
      </c>
      <c r="G1590" s="1">
        <f>DATEVALUE(_xlfn.CONCAT(BBDD_Usiarios_Netflix[[#This Row],[Día Suscripción]],"/",BBDD_Usiarios_Netflix[[#This Row],[Mes Suscripción]],"/",BBDD_Usiarios_Netflix[[#This Row],[Año Suscripción]]))</f>
        <v>45135</v>
      </c>
      <c r="H1590" s="1">
        <v>6</v>
      </c>
      <c r="I1590" s="1">
        <v>7</v>
      </c>
      <c r="J1590" s="1">
        <v>24</v>
      </c>
      <c r="K1590" s="1" t="str">
        <f>TEXT(BBDD_Usiarios_Netflix[[#This Row],[Fecha Suscripción]],"dddd")</f>
        <v>viernes</v>
      </c>
      <c r="L1590" s="1">
        <f>DATEVALUE(_xlfn.CONCAT(BBDD_Usiarios_Netflix[[#This Row],[Día Último Pago]],"/",BBDD_Usiarios_Netflix[[#This Row],[Mes Último Pago]],"/",BBDD_Usiarios_Netflix[[#This Row],[Año Último Pago]]))</f>
        <v>45479</v>
      </c>
      <c r="M1590" s="4">
        <f>DATEDIF(BBDD_Usiarios_Netflix[[#This Row],[Fecha Suscripción]],BBDD_Usiarios_Netflix[[#This Row],[Fecha Último Pago]],"M")+1</f>
        <v>12</v>
      </c>
      <c r="N1590" s="4">
        <f>BBDD_Usiarios_Netflix[[#This Row],[Ingresos Mensuales]]*BBDD_Usiarios_Netflix[[#This Row],[Meses contratados]]</f>
        <v>120</v>
      </c>
      <c r="O1590" t="s">
        <v>43</v>
      </c>
      <c r="P1590" t="str">
        <f>IF(BBDD_Usiarios_Netflix[[#This Row],[País]]="","Desconocido",BBDD_Usiarios_Netflix[[#This Row],[País]])</f>
        <v>Alemania</v>
      </c>
      <c r="Q1590">
        <v>27</v>
      </c>
      <c r="R1590" t="s">
        <v>30</v>
      </c>
      <c r="S1590" t="s">
        <v>31</v>
      </c>
      <c r="T1590" t="s">
        <v>41</v>
      </c>
      <c r="U1590">
        <f>IF(IFERROR(VLOOKUP(BBDD_Usiarios_Netflix[[#This Row],[Identificador Usuario]],A1591:$A$5870,1,FALSE),0)&lt;&gt;0,1,0)</f>
        <v>0</v>
      </c>
      <c r="V1590" s="6" t="str">
        <f>IF(BBDD_Usiarios_Netflix[[#This Row],[Duración Plan]]="12 Meses",LEFT(BBDD_Usiarios_Netflix[[#This Row],[Duración Plan]],2),LEFT(BBDD_Usiarios_Netflix[[#This Row],[Duración Plan]],1))</f>
        <v>12</v>
      </c>
      <c r="W15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591" spans="1:23" x14ac:dyDescent="0.25">
      <c r="A1591">
        <v>1590</v>
      </c>
      <c r="B1591" t="s">
        <v>32</v>
      </c>
      <c r="C1591">
        <v>12</v>
      </c>
      <c r="D1591" s="3">
        <v>5</v>
      </c>
      <c r="E1591" s="3">
        <v>8</v>
      </c>
      <c r="F1591">
        <v>23</v>
      </c>
      <c r="G1591" s="1">
        <f>DATEVALUE(_xlfn.CONCAT(BBDD_Usiarios_Netflix[[#This Row],[Día Suscripción]],"/",BBDD_Usiarios_Netflix[[#This Row],[Mes Suscripción]],"/",BBDD_Usiarios_Netflix[[#This Row],[Año Suscripción]]))</f>
        <v>45143</v>
      </c>
      <c r="H1591" s="1">
        <v>8</v>
      </c>
      <c r="I1591" s="1">
        <v>7</v>
      </c>
      <c r="J1591" s="1">
        <v>24</v>
      </c>
      <c r="K1591" s="1" t="str">
        <f>TEXT(BBDD_Usiarios_Netflix[[#This Row],[Fecha Suscripción]],"dddd")</f>
        <v>sábado</v>
      </c>
      <c r="L1591" s="1">
        <f>DATEVALUE(_xlfn.CONCAT(BBDD_Usiarios_Netflix[[#This Row],[Día Último Pago]],"/",BBDD_Usiarios_Netflix[[#This Row],[Mes Último Pago]],"/",BBDD_Usiarios_Netflix[[#This Row],[Año Último Pago]]))</f>
        <v>45481</v>
      </c>
      <c r="M1591" s="4">
        <f>DATEDIF(BBDD_Usiarios_Netflix[[#This Row],[Fecha Suscripción]],BBDD_Usiarios_Netflix[[#This Row],[Fecha Último Pago]],"M")+1</f>
        <v>12</v>
      </c>
      <c r="N1591" s="4">
        <f>BBDD_Usiarios_Netflix[[#This Row],[Ingresos Mensuales]]*BBDD_Usiarios_Netflix[[#This Row],[Meses contratados]]</f>
        <v>144</v>
      </c>
      <c r="O1591" t="s">
        <v>39</v>
      </c>
      <c r="P1591" t="str">
        <f>IF(BBDD_Usiarios_Netflix[[#This Row],[País]]="","Desconocido",BBDD_Usiarios_Netflix[[#This Row],[País]])</f>
        <v>Canadá</v>
      </c>
      <c r="Q1591">
        <v>49</v>
      </c>
      <c r="R1591" t="s">
        <v>30</v>
      </c>
      <c r="S1591" t="s">
        <v>34</v>
      </c>
      <c r="T1591" t="s">
        <v>38</v>
      </c>
      <c r="U1591">
        <f>IF(IFERROR(VLOOKUP(BBDD_Usiarios_Netflix[[#This Row],[Identificador Usuario]],A1592:$A$5870,1,FALSE),0)&lt;&gt;0,1,0)</f>
        <v>0</v>
      </c>
      <c r="V1591" s="6" t="str">
        <f>IF(BBDD_Usiarios_Netflix[[#This Row],[Duración Plan]]="12 Meses",LEFT(BBDD_Usiarios_Netflix[[#This Row],[Duración Plan]],2),LEFT(BBDD_Usiarios_Netflix[[#This Row],[Duración Plan]],1))</f>
        <v>3</v>
      </c>
      <c r="W15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92" spans="1:23" x14ac:dyDescent="0.25">
      <c r="A1592">
        <v>1591</v>
      </c>
      <c r="B1592" t="s">
        <v>28</v>
      </c>
      <c r="C1592">
        <v>14</v>
      </c>
      <c r="D1592" s="3">
        <v>9</v>
      </c>
      <c r="E1592" s="3">
        <v>8</v>
      </c>
      <c r="F1592">
        <v>23</v>
      </c>
      <c r="G1592" s="1">
        <f>DATEVALUE(_xlfn.CONCAT(BBDD_Usiarios_Netflix[[#This Row],[Día Suscripción]],"/",BBDD_Usiarios_Netflix[[#This Row],[Mes Suscripción]],"/",BBDD_Usiarios_Netflix[[#This Row],[Año Suscripción]]))</f>
        <v>45147</v>
      </c>
      <c r="H1592" s="1">
        <v>5</v>
      </c>
      <c r="I1592" s="1">
        <v>7</v>
      </c>
      <c r="J1592" s="1">
        <v>24</v>
      </c>
      <c r="K1592" s="1" t="str">
        <f>TEXT(BBDD_Usiarios_Netflix[[#This Row],[Fecha Suscripción]],"dddd")</f>
        <v>miércoles</v>
      </c>
      <c r="L1592" s="1">
        <f>DATEVALUE(_xlfn.CONCAT(BBDD_Usiarios_Netflix[[#This Row],[Día Último Pago]],"/",BBDD_Usiarios_Netflix[[#This Row],[Mes Último Pago]],"/",BBDD_Usiarios_Netflix[[#This Row],[Año Último Pago]]))</f>
        <v>45478</v>
      </c>
      <c r="M1592" s="4">
        <f>DATEDIF(BBDD_Usiarios_Netflix[[#This Row],[Fecha Suscripción]],BBDD_Usiarios_Netflix[[#This Row],[Fecha Último Pago]],"M")+1</f>
        <v>11</v>
      </c>
      <c r="N1592" s="4">
        <f>BBDD_Usiarios_Netflix[[#This Row],[Ingresos Mensuales]]*BBDD_Usiarios_Netflix[[#This Row],[Meses contratados]]</f>
        <v>154</v>
      </c>
      <c r="O1592" t="s">
        <v>29</v>
      </c>
      <c r="P1592" t="str">
        <f>IF(BBDD_Usiarios_Netflix[[#This Row],[País]]="","Desconocido",BBDD_Usiarios_Netflix[[#This Row],[País]])</f>
        <v>EEUU</v>
      </c>
      <c r="Q1592">
        <v>35</v>
      </c>
      <c r="R1592" t="s">
        <v>30</v>
      </c>
      <c r="S1592" t="s">
        <v>36</v>
      </c>
      <c r="T1592" t="s">
        <v>38</v>
      </c>
      <c r="U1592">
        <f>IF(IFERROR(VLOOKUP(BBDD_Usiarios_Netflix[[#This Row],[Identificador Usuario]],A1593:$A$5870,1,FALSE),0)&lt;&gt;0,1,0)</f>
        <v>0</v>
      </c>
      <c r="V1592" s="6" t="str">
        <f>IF(BBDD_Usiarios_Netflix[[#This Row],[Duración Plan]]="12 Meses",LEFT(BBDD_Usiarios_Netflix[[#This Row],[Duración Plan]],2),LEFT(BBDD_Usiarios_Netflix[[#This Row],[Duración Plan]],1))</f>
        <v>3</v>
      </c>
      <c r="W15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593" spans="1:23" x14ac:dyDescent="0.25">
      <c r="A1593">
        <v>1592</v>
      </c>
      <c r="B1593" t="s">
        <v>23</v>
      </c>
      <c r="C1593">
        <v>10</v>
      </c>
      <c r="D1593" s="3">
        <v>14</v>
      </c>
      <c r="E1593" s="3">
        <v>8</v>
      </c>
      <c r="F1593">
        <v>23</v>
      </c>
      <c r="G1593" s="1">
        <f>DATEVALUE(_xlfn.CONCAT(BBDD_Usiarios_Netflix[[#This Row],[Día Suscripción]],"/",BBDD_Usiarios_Netflix[[#This Row],[Mes Suscripción]],"/",BBDD_Usiarios_Netflix[[#This Row],[Año Suscripción]]))</f>
        <v>45152</v>
      </c>
      <c r="H1593" s="1">
        <v>6</v>
      </c>
      <c r="I1593" s="1">
        <v>7</v>
      </c>
      <c r="J1593" s="1">
        <v>24</v>
      </c>
      <c r="K1593" s="1" t="str">
        <f>TEXT(BBDD_Usiarios_Netflix[[#This Row],[Fecha Suscripción]],"dddd")</f>
        <v>lunes</v>
      </c>
      <c r="L1593" s="1">
        <f>DATEVALUE(_xlfn.CONCAT(BBDD_Usiarios_Netflix[[#This Row],[Día Último Pago]],"/",BBDD_Usiarios_Netflix[[#This Row],[Mes Último Pago]],"/",BBDD_Usiarios_Netflix[[#This Row],[Año Último Pago]]))</f>
        <v>45479</v>
      </c>
      <c r="M1593" s="4">
        <f>DATEDIF(BBDD_Usiarios_Netflix[[#This Row],[Fecha Suscripción]],BBDD_Usiarios_Netflix[[#This Row],[Fecha Último Pago]],"M")+1</f>
        <v>11</v>
      </c>
      <c r="N1593" s="4">
        <f>BBDD_Usiarios_Netflix[[#This Row],[Ingresos Mensuales]]*BBDD_Usiarios_Netflix[[#This Row],[Meses contratados]]</f>
        <v>110</v>
      </c>
      <c r="O1593" t="s">
        <v>45</v>
      </c>
      <c r="P1593" t="str">
        <f>IF(BBDD_Usiarios_Netflix[[#This Row],[País]]="","Desconocido",BBDD_Usiarios_Netflix[[#This Row],[País]])</f>
        <v>España</v>
      </c>
      <c r="Q1593">
        <v>34</v>
      </c>
      <c r="R1593" t="s">
        <v>25</v>
      </c>
      <c r="S1593" t="s">
        <v>31</v>
      </c>
      <c r="T1593" t="s">
        <v>35</v>
      </c>
      <c r="U1593">
        <f>IF(IFERROR(VLOOKUP(BBDD_Usiarios_Netflix[[#This Row],[Identificador Usuario]],A1594:$A$5870,1,FALSE),0)&lt;&gt;0,1,0)</f>
        <v>0</v>
      </c>
      <c r="V1593" s="6" t="str">
        <f>IF(BBDD_Usiarios_Netflix[[#This Row],[Duración Plan]]="12 Meses",LEFT(BBDD_Usiarios_Netflix[[#This Row],[Duración Plan]],2),LEFT(BBDD_Usiarios_Netflix[[#This Row],[Duración Plan]],1))</f>
        <v>6</v>
      </c>
      <c r="W15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94" spans="1:23" x14ac:dyDescent="0.25">
      <c r="A1594">
        <v>1593</v>
      </c>
      <c r="B1594" t="s">
        <v>32</v>
      </c>
      <c r="C1594">
        <v>12</v>
      </c>
      <c r="D1594" s="3">
        <v>15</v>
      </c>
      <c r="E1594" s="3">
        <v>8</v>
      </c>
      <c r="F1594">
        <v>23</v>
      </c>
      <c r="G1594" s="1">
        <f>DATEVALUE(_xlfn.CONCAT(BBDD_Usiarios_Netflix[[#This Row],[Día Suscripción]],"/",BBDD_Usiarios_Netflix[[#This Row],[Mes Suscripción]],"/",BBDD_Usiarios_Netflix[[#This Row],[Año Suscripción]]))</f>
        <v>45153</v>
      </c>
      <c r="H1594" s="1">
        <v>5</v>
      </c>
      <c r="I1594" s="1">
        <v>7</v>
      </c>
      <c r="J1594" s="1">
        <v>24</v>
      </c>
      <c r="K1594" s="1" t="str">
        <f>TEXT(BBDD_Usiarios_Netflix[[#This Row],[Fecha Suscripción]],"dddd")</f>
        <v>martes</v>
      </c>
      <c r="L1594" s="1">
        <f>DATEVALUE(_xlfn.CONCAT(BBDD_Usiarios_Netflix[[#This Row],[Día Último Pago]],"/",BBDD_Usiarios_Netflix[[#This Row],[Mes Último Pago]],"/",BBDD_Usiarios_Netflix[[#This Row],[Año Último Pago]]))</f>
        <v>45478</v>
      </c>
      <c r="M1594" s="4">
        <f>DATEDIF(BBDD_Usiarios_Netflix[[#This Row],[Fecha Suscripción]],BBDD_Usiarios_Netflix[[#This Row],[Fecha Último Pago]],"M")+1</f>
        <v>11</v>
      </c>
      <c r="N1594" s="4">
        <f>BBDD_Usiarios_Netflix[[#This Row],[Ingresos Mensuales]]*BBDD_Usiarios_Netflix[[#This Row],[Meses contratados]]</f>
        <v>132</v>
      </c>
      <c r="O1594" t="s">
        <v>39</v>
      </c>
      <c r="P1594" t="str">
        <f>IF(BBDD_Usiarios_Netflix[[#This Row],[País]]="","Desconocido",BBDD_Usiarios_Netflix[[#This Row],[País]])</f>
        <v>Canadá</v>
      </c>
      <c r="Q1594">
        <v>28</v>
      </c>
      <c r="R1594" t="s">
        <v>25</v>
      </c>
      <c r="S1594" t="s">
        <v>26</v>
      </c>
      <c r="T1594" t="s">
        <v>35</v>
      </c>
      <c r="U1594">
        <f>IF(IFERROR(VLOOKUP(BBDD_Usiarios_Netflix[[#This Row],[Identificador Usuario]],A1595:$A$5870,1,FALSE),0)&lt;&gt;0,1,0)</f>
        <v>0</v>
      </c>
      <c r="V1594" s="6" t="str">
        <f>IF(BBDD_Usiarios_Netflix[[#This Row],[Duración Plan]]="12 Meses",LEFT(BBDD_Usiarios_Netflix[[#This Row],[Duración Plan]],2),LEFT(BBDD_Usiarios_Netflix[[#This Row],[Duración Plan]],1))</f>
        <v>6</v>
      </c>
      <c r="W15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595" spans="1:23" x14ac:dyDescent="0.25">
      <c r="A1595">
        <v>1594</v>
      </c>
      <c r="B1595" t="s">
        <v>28</v>
      </c>
      <c r="C1595">
        <v>14</v>
      </c>
      <c r="D1595" s="3">
        <v>16</v>
      </c>
      <c r="E1595" s="3">
        <v>8</v>
      </c>
      <c r="F1595">
        <v>23</v>
      </c>
      <c r="G1595" s="1">
        <f>DATEVALUE(_xlfn.CONCAT(BBDD_Usiarios_Netflix[[#This Row],[Día Suscripción]],"/",BBDD_Usiarios_Netflix[[#This Row],[Mes Suscripción]],"/",BBDD_Usiarios_Netflix[[#This Row],[Año Suscripción]]))</f>
        <v>45154</v>
      </c>
      <c r="H1595" s="1">
        <v>7</v>
      </c>
      <c r="I1595" s="1">
        <v>7</v>
      </c>
      <c r="J1595" s="1">
        <v>24</v>
      </c>
      <c r="K1595" s="1" t="str">
        <f>TEXT(BBDD_Usiarios_Netflix[[#This Row],[Fecha Suscripción]],"dddd")</f>
        <v>miércoles</v>
      </c>
      <c r="L1595" s="1">
        <f>DATEVALUE(_xlfn.CONCAT(BBDD_Usiarios_Netflix[[#This Row],[Día Último Pago]],"/",BBDD_Usiarios_Netflix[[#This Row],[Mes Último Pago]],"/",BBDD_Usiarios_Netflix[[#This Row],[Año Último Pago]]))</f>
        <v>45480</v>
      </c>
      <c r="M1595" s="4">
        <f>DATEDIF(BBDD_Usiarios_Netflix[[#This Row],[Fecha Suscripción]],BBDD_Usiarios_Netflix[[#This Row],[Fecha Último Pago]],"M")+1</f>
        <v>11</v>
      </c>
      <c r="N1595" s="4">
        <f>BBDD_Usiarios_Netflix[[#This Row],[Ingresos Mensuales]]*BBDD_Usiarios_Netflix[[#This Row],[Meses contratados]]</f>
        <v>154</v>
      </c>
      <c r="O1595" t="s">
        <v>29</v>
      </c>
      <c r="P1595" t="str">
        <f>IF(BBDD_Usiarios_Netflix[[#This Row],[País]]="","Desconocido",BBDD_Usiarios_Netflix[[#This Row],[País]])</f>
        <v>EEUU</v>
      </c>
      <c r="Q1595">
        <v>49</v>
      </c>
      <c r="R1595" t="s">
        <v>30</v>
      </c>
      <c r="S1595" t="s">
        <v>31</v>
      </c>
      <c r="T1595" t="s">
        <v>27</v>
      </c>
      <c r="U1595">
        <f>IF(IFERROR(VLOOKUP(BBDD_Usiarios_Netflix[[#This Row],[Identificador Usuario]],A1596:$A$5870,1,FALSE),0)&lt;&gt;0,1,0)</f>
        <v>0</v>
      </c>
      <c r="V1595" s="6" t="str">
        <f>IF(BBDD_Usiarios_Netflix[[#This Row],[Duración Plan]]="12 Meses",LEFT(BBDD_Usiarios_Netflix[[#This Row],[Duración Plan]],2),LEFT(BBDD_Usiarios_Netflix[[#This Row],[Duración Plan]],1))</f>
        <v>1</v>
      </c>
      <c r="W15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96" spans="1:23" x14ac:dyDescent="0.25">
      <c r="A1596">
        <v>1595</v>
      </c>
      <c r="B1596" t="s">
        <v>23</v>
      </c>
      <c r="C1596">
        <v>10</v>
      </c>
      <c r="D1596" s="3">
        <v>25</v>
      </c>
      <c r="E1596" s="3">
        <v>8</v>
      </c>
      <c r="F1596">
        <v>23</v>
      </c>
      <c r="G1596" s="1">
        <f>DATEVALUE(_xlfn.CONCAT(BBDD_Usiarios_Netflix[[#This Row],[Día Suscripción]],"/",BBDD_Usiarios_Netflix[[#This Row],[Mes Suscripción]],"/",BBDD_Usiarios_Netflix[[#This Row],[Año Suscripción]]))</f>
        <v>45163</v>
      </c>
      <c r="H1596" s="1">
        <v>4</v>
      </c>
      <c r="I1596" s="1">
        <v>7</v>
      </c>
      <c r="J1596" s="1">
        <v>24</v>
      </c>
      <c r="K1596" s="1" t="str">
        <f>TEXT(BBDD_Usiarios_Netflix[[#This Row],[Fecha Suscripción]],"dddd")</f>
        <v>viernes</v>
      </c>
      <c r="L1596" s="1">
        <f>DATEVALUE(_xlfn.CONCAT(BBDD_Usiarios_Netflix[[#This Row],[Día Último Pago]],"/",BBDD_Usiarios_Netflix[[#This Row],[Mes Último Pago]],"/",BBDD_Usiarios_Netflix[[#This Row],[Año Último Pago]]))</f>
        <v>45477</v>
      </c>
      <c r="M1596" s="4">
        <f>DATEDIF(BBDD_Usiarios_Netflix[[#This Row],[Fecha Suscripción]],BBDD_Usiarios_Netflix[[#This Row],[Fecha Último Pago]],"M")+1</f>
        <v>11</v>
      </c>
      <c r="N1596" s="4">
        <f>BBDD_Usiarios_Netflix[[#This Row],[Ingresos Mensuales]]*BBDD_Usiarios_Netflix[[#This Row],[Meses contratados]]</f>
        <v>110</v>
      </c>
      <c r="O1596" t="s">
        <v>24</v>
      </c>
      <c r="P1596" t="str">
        <f>IF(BBDD_Usiarios_Netflix[[#This Row],[País]]="","Desconocido",BBDD_Usiarios_Netflix[[#This Row],[País]])</f>
        <v>Australia</v>
      </c>
      <c r="Q1596">
        <v>51</v>
      </c>
      <c r="R1596" t="s">
        <v>30</v>
      </c>
      <c r="S1596" t="s">
        <v>31</v>
      </c>
      <c r="T1596" t="s">
        <v>27</v>
      </c>
      <c r="U1596">
        <f>IF(IFERROR(VLOOKUP(BBDD_Usiarios_Netflix[[#This Row],[Identificador Usuario]],A1597:$A$5870,1,FALSE),0)&lt;&gt;0,1,0)</f>
        <v>0</v>
      </c>
      <c r="V1596" s="6" t="str">
        <f>IF(BBDD_Usiarios_Netflix[[#This Row],[Duración Plan]]="12 Meses",LEFT(BBDD_Usiarios_Netflix[[#This Row],[Duración Plan]],2),LEFT(BBDD_Usiarios_Netflix[[#This Row],[Duración Plan]],1))</f>
        <v>1</v>
      </c>
      <c r="W15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97" spans="1:23" x14ac:dyDescent="0.25">
      <c r="A1597">
        <v>1596</v>
      </c>
      <c r="B1597" t="s">
        <v>28</v>
      </c>
      <c r="C1597">
        <v>14</v>
      </c>
      <c r="D1597" s="3">
        <v>27</v>
      </c>
      <c r="E1597" s="3">
        <v>8</v>
      </c>
      <c r="F1597">
        <v>23</v>
      </c>
      <c r="G1597" s="1">
        <f>DATEVALUE(_xlfn.CONCAT(BBDD_Usiarios_Netflix[[#This Row],[Día Suscripción]],"/",BBDD_Usiarios_Netflix[[#This Row],[Mes Suscripción]],"/",BBDD_Usiarios_Netflix[[#This Row],[Año Suscripción]]))</f>
        <v>45165</v>
      </c>
      <c r="H1597" s="1">
        <v>6</v>
      </c>
      <c r="I1597" s="1">
        <v>7</v>
      </c>
      <c r="J1597" s="1">
        <v>24</v>
      </c>
      <c r="K1597" s="1" t="str">
        <f>TEXT(BBDD_Usiarios_Netflix[[#This Row],[Fecha Suscripción]],"dddd")</f>
        <v>domingo</v>
      </c>
      <c r="L1597" s="1">
        <f>DATEVALUE(_xlfn.CONCAT(BBDD_Usiarios_Netflix[[#This Row],[Día Último Pago]],"/",BBDD_Usiarios_Netflix[[#This Row],[Mes Último Pago]],"/",BBDD_Usiarios_Netflix[[#This Row],[Año Último Pago]]))</f>
        <v>45479</v>
      </c>
      <c r="M1597" s="4">
        <f>DATEDIF(BBDD_Usiarios_Netflix[[#This Row],[Fecha Suscripción]],BBDD_Usiarios_Netflix[[#This Row],[Fecha Último Pago]],"M")+1</f>
        <v>11</v>
      </c>
      <c r="N1597" s="4">
        <f>BBDD_Usiarios_Netflix[[#This Row],[Ingresos Mensuales]]*BBDD_Usiarios_Netflix[[#This Row],[Meses contratados]]</f>
        <v>154</v>
      </c>
      <c r="O1597" t="s">
        <v>42</v>
      </c>
      <c r="P1597" t="str">
        <f>IF(BBDD_Usiarios_Netflix[[#This Row],[País]]="","Desconocido",BBDD_Usiarios_Netflix[[#This Row],[País]])</f>
        <v>Reino Unido</v>
      </c>
      <c r="Q1597">
        <v>36</v>
      </c>
      <c r="R1597" t="s">
        <v>25</v>
      </c>
      <c r="S1597" t="s">
        <v>36</v>
      </c>
      <c r="T1597" t="s">
        <v>27</v>
      </c>
      <c r="U1597">
        <f>IF(IFERROR(VLOOKUP(BBDD_Usiarios_Netflix[[#This Row],[Identificador Usuario]],A1598:$A$5870,1,FALSE),0)&lt;&gt;0,1,0)</f>
        <v>0</v>
      </c>
      <c r="V1597" s="6" t="str">
        <f>IF(BBDD_Usiarios_Netflix[[#This Row],[Duración Plan]]="12 Meses",LEFT(BBDD_Usiarios_Netflix[[#This Row],[Duración Plan]],2),LEFT(BBDD_Usiarios_Netflix[[#This Row],[Duración Plan]],1))</f>
        <v>1</v>
      </c>
      <c r="W15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98" spans="1:23" x14ac:dyDescent="0.25">
      <c r="A1598">
        <v>1597</v>
      </c>
      <c r="B1598" t="s">
        <v>23</v>
      </c>
      <c r="C1598">
        <v>10</v>
      </c>
      <c r="D1598" s="3">
        <v>6</v>
      </c>
      <c r="E1598" s="3">
        <v>9</v>
      </c>
      <c r="F1598">
        <v>23</v>
      </c>
      <c r="G1598" s="1">
        <f>DATEVALUE(_xlfn.CONCAT(BBDD_Usiarios_Netflix[[#This Row],[Día Suscripción]],"/",BBDD_Usiarios_Netflix[[#This Row],[Mes Suscripción]],"/",BBDD_Usiarios_Netflix[[#This Row],[Año Suscripción]]))</f>
        <v>45175</v>
      </c>
      <c r="H1598" s="1">
        <v>6</v>
      </c>
      <c r="I1598" s="1">
        <v>7</v>
      </c>
      <c r="J1598" s="1">
        <v>24</v>
      </c>
      <c r="K1598" s="1" t="str">
        <f>TEXT(BBDD_Usiarios_Netflix[[#This Row],[Fecha Suscripción]],"dddd")</f>
        <v>miércoles</v>
      </c>
      <c r="L1598" s="1">
        <f>DATEVALUE(_xlfn.CONCAT(BBDD_Usiarios_Netflix[[#This Row],[Día Último Pago]],"/",BBDD_Usiarios_Netflix[[#This Row],[Mes Último Pago]],"/",BBDD_Usiarios_Netflix[[#This Row],[Año Último Pago]]))</f>
        <v>45479</v>
      </c>
      <c r="M1598" s="4">
        <f>DATEDIF(BBDD_Usiarios_Netflix[[#This Row],[Fecha Suscripción]],BBDD_Usiarios_Netflix[[#This Row],[Fecha Último Pago]],"M")+1</f>
        <v>11</v>
      </c>
      <c r="N1598" s="4">
        <f>BBDD_Usiarios_Netflix[[#This Row],[Ingresos Mensuales]]*BBDD_Usiarios_Netflix[[#This Row],[Meses contratados]]</f>
        <v>110</v>
      </c>
      <c r="O1598" t="s">
        <v>39</v>
      </c>
      <c r="P1598" t="str">
        <f>IF(BBDD_Usiarios_Netflix[[#This Row],[País]]="","Desconocido",BBDD_Usiarios_Netflix[[#This Row],[País]])</f>
        <v>Canadá</v>
      </c>
      <c r="Q1598">
        <v>37</v>
      </c>
      <c r="R1598" t="s">
        <v>25</v>
      </c>
      <c r="S1598" t="s">
        <v>34</v>
      </c>
      <c r="T1598" t="s">
        <v>27</v>
      </c>
      <c r="U1598">
        <f>IF(IFERROR(VLOOKUP(BBDD_Usiarios_Netflix[[#This Row],[Identificador Usuario]],A1599:$A$5870,1,FALSE),0)&lt;&gt;0,1,0)</f>
        <v>0</v>
      </c>
      <c r="V1598" s="6" t="str">
        <f>IF(BBDD_Usiarios_Netflix[[#This Row],[Duración Plan]]="12 Meses",LEFT(BBDD_Usiarios_Netflix[[#This Row],[Duración Plan]],2),LEFT(BBDD_Usiarios_Netflix[[#This Row],[Duración Plan]],1))</f>
        <v>1</v>
      </c>
      <c r="W15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599" spans="1:23" x14ac:dyDescent="0.25">
      <c r="A1599">
        <v>1598</v>
      </c>
      <c r="B1599" t="s">
        <v>32</v>
      </c>
      <c r="C1599">
        <v>12</v>
      </c>
      <c r="D1599" s="3">
        <v>8</v>
      </c>
      <c r="E1599" s="3">
        <v>9</v>
      </c>
      <c r="F1599">
        <v>23</v>
      </c>
      <c r="G1599" s="1">
        <f>DATEVALUE(_xlfn.CONCAT(BBDD_Usiarios_Netflix[[#This Row],[Día Suscripción]],"/",BBDD_Usiarios_Netflix[[#This Row],[Mes Suscripción]],"/",BBDD_Usiarios_Netflix[[#This Row],[Año Suscripción]]))</f>
        <v>45177</v>
      </c>
      <c r="H1599" s="1">
        <v>7</v>
      </c>
      <c r="I1599" s="1">
        <v>7</v>
      </c>
      <c r="J1599" s="1">
        <v>24</v>
      </c>
      <c r="K1599" s="1" t="str">
        <f>TEXT(BBDD_Usiarios_Netflix[[#This Row],[Fecha Suscripción]],"dddd")</f>
        <v>viernes</v>
      </c>
      <c r="L1599" s="1">
        <f>DATEVALUE(_xlfn.CONCAT(BBDD_Usiarios_Netflix[[#This Row],[Día Último Pago]],"/",BBDD_Usiarios_Netflix[[#This Row],[Mes Último Pago]],"/",BBDD_Usiarios_Netflix[[#This Row],[Año Último Pago]]))</f>
        <v>45480</v>
      </c>
      <c r="M1599" s="4">
        <f>DATEDIF(BBDD_Usiarios_Netflix[[#This Row],[Fecha Suscripción]],BBDD_Usiarios_Netflix[[#This Row],[Fecha Último Pago]],"M")+1</f>
        <v>10</v>
      </c>
      <c r="N1599" s="4">
        <f>BBDD_Usiarios_Netflix[[#This Row],[Ingresos Mensuales]]*BBDD_Usiarios_Netflix[[#This Row],[Meses contratados]]</f>
        <v>120</v>
      </c>
      <c r="O1599" t="s">
        <v>42</v>
      </c>
      <c r="P1599" t="str">
        <f>IF(BBDD_Usiarios_Netflix[[#This Row],[País]]="","Desconocido",BBDD_Usiarios_Netflix[[#This Row],[País]])</f>
        <v>Reino Unido</v>
      </c>
      <c r="Q1599">
        <v>48</v>
      </c>
      <c r="R1599" t="s">
        <v>25</v>
      </c>
      <c r="S1599" t="s">
        <v>36</v>
      </c>
      <c r="T1599" t="s">
        <v>35</v>
      </c>
      <c r="U1599">
        <f>IF(IFERROR(VLOOKUP(BBDD_Usiarios_Netflix[[#This Row],[Identificador Usuario]],A1600:$A$5870,1,FALSE),0)&lt;&gt;0,1,0)</f>
        <v>0</v>
      </c>
      <c r="V1599" s="6" t="str">
        <f>IF(BBDD_Usiarios_Netflix[[#This Row],[Duración Plan]]="12 Meses",LEFT(BBDD_Usiarios_Netflix[[#This Row],[Duración Plan]],2),LEFT(BBDD_Usiarios_Netflix[[#This Row],[Duración Plan]],1))</f>
        <v>6</v>
      </c>
      <c r="W15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00" spans="1:23" x14ac:dyDescent="0.25">
      <c r="A1600">
        <v>1599</v>
      </c>
      <c r="B1600" t="s">
        <v>32</v>
      </c>
      <c r="C1600">
        <v>12</v>
      </c>
      <c r="D1600" s="3">
        <v>13</v>
      </c>
      <c r="E1600" s="3">
        <v>9</v>
      </c>
      <c r="F1600">
        <v>23</v>
      </c>
      <c r="G1600" s="1">
        <f>DATEVALUE(_xlfn.CONCAT(BBDD_Usiarios_Netflix[[#This Row],[Día Suscripción]],"/",BBDD_Usiarios_Netflix[[#This Row],[Mes Suscripción]],"/",BBDD_Usiarios_Netflix[[#This Row],[Año Suscripción]]))</f>
        <v>45182</v>
      </c>
      <c r="H1600" s="1">
        <v>4</v>
      </c>
      <c r="I1600" s="1">
        <v>7</v>
      </c>
      <c r="J1600" s="1">
        <v>24</v>
      </c>
      <c r="K1600" s="1" t="str">
        <f>TEXT(BBDD_Usiarios_Netflix[[#This Row],[Fecha Suscripción]],"dddd")</f>
        <v>miércoles</v>
      </c>
      <c r="L1600" s="1">
        <f>DATEVALUE(_xlfn.CONCAT(BBDD_Usiarios_Netflix[[#This Row],[Día Último Pago]],"/",BBDD_Usiarios_Netflix[[#This Row],[Mes Último Pago]],"/",BBDD_Usiarios_Netflix[[#This Row],[Año Último Pago]]))</f>
        <v>45477</v>
      </c>
      <c r="M1600" s="4">
        <f>DATEDIF(BBDD_Usiarios_Netflix[[#This Row],[Fecha Suscripción]],BBDD_Usiarios_Netflix[[#This Row],[Fecha Último Pago]],"M")+1</f>
        <v>10</v>
      </c>
      <c r="N1600" s="4">
        <f>BBDD_Usiarios_Netflix[[#This Row],[Ingresos Mensuales]]*BBDD_Usiarios_Netflix[[#This Row],[Meses contratados]]</f>
        <v>120</v>
      </c>
      <c r="O1600" t="s">
        <v>43</v>
      </c>
      <c r="P1600" t="str">
        <f>IF(BBDD_Usiarios_Netflix[[#This Row],[País]]="","Desconocido",BBDD_Usiarios_Netflix[[#This Row],[País]])</f>
        <v>Alemania</v>
      </c>
      <c r="Q1600">
        <v>45</v>
      </c>
      <c r="R1600" t="s">
        <v>30</v>
      </c>
      <c r="S1600" t="s">
        <v>34</v>
      </c>
      <c r="T1600" t="s">
        <v>38</v>
      </c>
      <c r="U1600">
        <f>IF(IFERROR(VLOOKUP(BBDD_Usiarios_Netflix[[#This Row],[Identificador Usuario]],A1601:$A$5870,1,FALSE),0)&lt;&gt;0,1,0)</f>
        <v>0</v>
      </c>
      <c r="V1600" s="6" t="str">
        <f>IF(BBDD_Usiarios_Netflix[[#This Row],[Duración Plan]]="12 Meses",LEFT(BBDD_Usiarios_Netflix[[#This Row],[Duración Plan]],2),LEFT(BBDD_Usiarios_Netflix[[#This Row],[Duración Plan]],1))</f>
        <v>3</v>
      </c>
      <c r="W16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01" spans="1:23" x14ac:dyDescent="0.25">
      <c r="A1601">
        <v>1600</v>
      </c>
      <c r="B1601" t="s">
        <v>23</v>
      </c>
      <c r="C1601">
        <v>10</v>
      </c>
      <c r="D1601" s="3">
        <v>15</v>
      </c>
      <c r="E1601" s="3">
        <v>9</v>
      </c>
      <c r="F1601">
        <v>23</v>
      </c>
      <c r="G1601" s="1">
        <f>DATEVALUE(_xlfn.CONCAT(BBDD_Usiarios_Netflix[[#This Row],[Día Suscripción]],"/",BBDD_Usiarios_Netflix[[#This Row],[Mes Suscripción]],"/",BBDD_Usiarios_Netflix[[#This Row],[Año Suscripción]]))</f>
        <v>45184</v>
      </c>
      <c r="H1601" s="1">
        <v>6</v>
      </c>
      <c r="I1601" s="1">
        <v>7</v>
      </c>
      <c r="J1601" s="1">
        <v>24</v>
      </c>
      <c r="K1601" s="1" t="str">
        <f>TEXT(BBDD_Usiarios_Netflix[[#This Row],[Fecha Suscripción]],"dddd")</f>
        <v>viernes</v>
      </c>
      <c r="L1601" s="1">
        <f>DATEVALUE(_xlfn.CONCAT(BBDD_Usiarios_Netflix[[#This Row],[Día Último Pago]],"/",BBDD_Usiarios_Netflix[[#This Row],[Mes Último Pago]],"/",BBDD_Usiarios_Netflix[[#This Row],[Año Último Pago]]))</f>
        <v>45479</v>
      </c>
      <c r="M1601" s="4">
        <f>DATEDIF(BBDD_Usiarios_Netflix[[#This Row],[Fecha Suscripción]],BBDD_Usiarios_Netflix[[#This Row],[Fecha Último Pago]],"M")+1</f>
        <v>10</v>
      </c>
      <c r="N1601" s="4">
        <f>BBDD_Usiarios_Netflix[[#This Row],[Ingresos Mensuales]]*BBDD_Usiarios_Netflix[[#This Row],[Meses contratados]]</f>
        <v>100</v>
      </c>
      <c r="O1601" t="s">
        <v>44</v>
      </c>
      <c r="P1601" t="str">
        <f>IF(BBDD_Usiarios_Netflix[[#This Row],[País]]="","Desconocido",BBDD_Usiarios_Netflix[[#This Row],[País]])</f>
        <v>Desconocido</v>
      </c>
      <c r="Q1601">
        <v>39</v>
      </c>
      <c r="R1601" t="s">
        <v>25</v>
      </c>
      <c r="S1601" t="s">
        <v>31</v>
      </c>
      <c r="T1601" t="s">
        <v>27</v>
      </c>
      <c r="U1601">
        <f>IF(IFERROR(VLOOKUP(BBDD_Usiarios_Netflix[[#This Row],[Identificador Usuario]],A1602:$A$5870,1,FALSE),0)&lt;&gt;0,1,0)</f>
        <v>0</v>
      </c>
      <c r="V1601" s="6" t="str">
        <f>IF(BBDD_Usiarios_Netflix[[#This Row],[Duración Plan]]="12 Meses",LEFT(BBDD_Usiarios_Netflix[[#This Row],[Duración Plan]],2),LEFT(BBDD_Usiarios_Netflix[[#This Row],[Duración Plan]],1))</f>
        <v>1</v>
      </c>
      <c r="W16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02" spans="1:23" x14ac:dyDescent="0.25">
      <c r="A1602">
        <v>1601</v>
      </c>
      <c r="B1602" t="s">
        <v>28</v>
      </c>
      <c r="C1602">
        <v>14</v>
      </c>
      <c r="D1602" s="3">
        <v>19</v>
      </c>
      <c r="E1602" s="3">
        <v>9</v>
      </c>
      <c r="F1602">
        <v>23</v>
      </c>
      <c r="G1602" s="1">
        <f>DATEVALUE(_xlfn.CONCAT(BBDD_Usiarios_Netflix[[#This Row],[Día Suscripción]],"/",BBDD_Usiarios_Netflix[[#This Row],[Mes Suscripción]],"/",BBDD_Usiarios_Netflix[[#This Row],[Año Suscripción]]))</f>
        <v>45188</v>
      </c>
      <c r="H1602" s="1">
        <v>5</v>
      </c>
      <c r="I1602" s="1">
        <v>7</v>
      </c>
      <c r="J1602" s="1">
        <v>24</v>
      </c>
      <c r="K1602" s="1" t="str">
        <f>TEXT(BBDD_Usiarios_Netflix[[#This Row],[Fecha Suscripción]],"dddd")</f>
        <v>martes</v>
      </c>
      <c r="L1602" s="1">
        <f>DATEVALUE(_xlfn.CONCAT(BBDD_Usiarios_Netflix[[#This Row],[Día Último Pago]],"/",BBDD_Usiarios_Netflix[[#This Row],[Mes Último Pago]],"/",BBDD_Usiarios_Netflix[[#This Row],[Año Último Pago]]))</f>
        <v>45478</v>
      </c>
      <c r="M1602" s="4">
        <f>DATEDIF(BBDD_Usiarios_Netflix[[#This Row],[Fecha Suscripción]],BBDD_Usiarios_Netflix[[#This Row],[Fecha Último Pago]],"M")+1</f>
        <v>10</v>
      </c>
      <c r="N1602" s="4">
        <f>BBDD_Usiarios_Netflix[[#This Row],[Ingresos Mensuales]]*BBDD_Usiarios_Netflix[[#This Row],[Meses contratados]]</f>
        <v>140</v>
      </c>
      <c r="O1602" t="s">
        <v>29</v>
      </c>
      <c r="P1602" t="str">
        <f>IF(BBDD_Usiarios_Netflix[[#This Row],[País]]="","Desconocido",BBDD_Usiarios_Netflix[[#This Row],[País]])</f>
        <v>EEUU</v>
      </c>
      <c r="Q1602">
        <v>39</v>
      </c>
      <c r="R1602" t="s">
        <v>25</v>
      </c>
      <c r="S1602" t="s">
        <v>26</v>
      </c>
      <c r="T1602" t="s">
        <v>41</v>
      </c>
      <c r="U1602">
        <f>IF(IFERROR(VLOOKUP(BBDD_Usiarios_Netflix[[#This Row],[Identificador Usuario]],A1603:$A$5870,1,FALSE),0)&lt;&gt;0,1,0)</f>
        <v>0</v>
      </c>
      <c r="V1602" s="6" t="str">
        <f>IF(BBDD_Usiarios_Netflix[[#This Row],[Duración Plan]]="12 Meses",LEFT(BBDD_Usiarios_Netflix[[#This Row],[Duración Plan]],2),LEFT(BBDD_Usiarios_Netflix[[#This Row],[Duración Plan]],1))</f>
        <v>12</v>
      </c>
      <c r="W16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03" spans="1:23" x14ac:dyDescent="0.25">
      <c r="A1603">
        <v>1602</v>
      </c>
      <c r="B1603" t="s">
        <v>23</v>
      </c>
      <c r="C1603">
        <v>10</v>
      </c>
      <c r="D1603" s="3">
        <v>22</v>
      </c>
      <c r="E1603" s="3">
        <v>9</v>
      </c>
      <c r="F1603">
        <v>23</v>
      </c>
      <c r="G1603" s="1">
        <f>DATEVALUE(_xlfn.CONCAT(BBDD_Usiarios_Netflix[[#This Row],[Día Suscripción]],"/",BBDD_Usiarios_Netflix[[#This Row],[Mes Suscripción]],"/",BBDD_Usiarios_Netflix[[#This Row],[Año Suscripción]]))</f>
        <v>45191</v>
      </c>
      <c r="H1603" s="1">
        <v>7</v>
      </c>
      <c r="I1603" s="1">
        <v>7</v>
      </c>
      <c r="J1603" s="1">
        <v>24</v>
      </c>
      <c r="K1603" s="1" t="str">
        <f>TEXT(BBDD_Usiarios_Netflix[[#This Row],[Fecha Suscripción]],"dddd")</f>
        <v>viernes</v>
      </c>
      <c r="L1603" s="1">
        <f>DATEVALUE(_xlfn.CONCAT(BBDD_Usiarios_Netflix[[#This Row],[Día Último Pago]],"/",BBDD_Usiarios_Netflix[[#This Row],[Mes Último Pago]],"/",BBDD_Usiarios_Netflix[[#This Row],[Año Último Pago]]))</f>
        <v>45480</v>
      </c>
      <c r="M1603" s="4">
        <f>DATEDIF(BBDD_Usiarios_Netflix[[#This Row],[Fecha Suscripción]],BBDD_Usiarios_Netflix[[#This Row],[Fecha Último Pago]],"M")+1</f>
        <v>10</v>
      </c>
      <c r="N1603" s="4">
        <f>BBDD_Usiarios_Netflix[[#This Row],[Ingresos Mensuales]]*BBDD_Usiarios_Netflix[[#This Row],[Meses contratados]]</f>
        <v>100</v>
      </c>
      <c r="O1603" t="s">
        <v>33</v>
      </c>
      <c r="P1603" t="str">
        <f>IF(BBDD_Usiarios_Netflix[[#This Row],[País]]="","Desconocido",BBDD_Usiarios_Netflix[[#This Row],[País]])</f>
        <v>Francia</v>
      </c>
      <c r="Q1603">
        <v>46</v>
      </c>
      <c r="R1603" t="s">
        <v>30</v>
      </c>
      <c r="S1603" t="s">
        <v>34</v>
      </c>
      <c r="T1603" t="s">
        <v>27</v>
      </c>
      <c r="U1603">
        <f>IF(IFERROR(VLOOKUP(BBDD_Usiarios_Netflix[[#This Row],[Identificador Usuario]],A1604:$A$5870,1,FALSE),0)&lt;&gt;0,1,0)</f>
        <v>0</v>
      </c>
      <c r="V1603" s="6" t="str">
        <f>IF(BBDD_Usiarios_Netflix[[#This Row],[Duración Plan]]="12 Meses",LEFT(BBDD_Usiarios_Netflix[[#This Row],[Duración Plan]],2),LEFT(BBDD_Usiarios_Netflix[[#This Row],[Duración Plan]],1))</f>
        <v>1</v>
      </c>
      <c r="W16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04" spans="1:23" x14ac:dyDescent="0.25">
      <c r="A1604">
        <v>1603</v>
      </c>
      <c r="B1604" t="s">
        <v>32</v>
      </c>
      <c r="C1604">
        <v>12</v>
      </c>
      <c r="D1604" s="3">
        <v>24</v>
      </c>
      <c r="E1604" s="3">
        <v>9</v>
      </c>
      <c r="F1604">
        <v>23</v>
      </c>
      <c r="G1604" s="1">
        <f>DATEVALUE(_xlfn.CONCAT(BBDD_Usiarios_Netflix[[#This Row],[Día Suscripción]],"/",BBDD_Usiarios_Netflix[[#This Row],[Mes Suscripción]],"/",BBDD_Usiarios_Netflix[[#This Row],[Año Suscripción]]))</f>
        <v>45193</v>
      </c>
      <c r="H1604" s="1">
        <v>6</v>
      </c>
      <c r="I1604" s="1">
        <v>7</v>
      </c>
      <c r="J1604" s="1">
        <v>24</v>
      </c>
      <c r="K1604" s="1" t="str">
        <f>TEXT(BBDD_Usiarios_Netflix[[#This Row],[Fecha Suscripción]],"dddd")</f>
        <v>domingo</v>
      </c>
      <c r="L1604" s="1">
        <f>DATEVALUE(_xlfn.CONCAT(BBDD_Usiarios_Netflix[[#This Row],[Día Último Pago]],"/",BBDD_Usiarios_Netflix[[#This Row],[Mes Último Pago]],"/",BBDD_Usiarios_Netflix[[#This Row],[Año Último Pago]]))</f>
        <v>45479</v>
      </c>
      <c r="M1604" s="4">
        <f>DATEDIF(BBDD_Usiarios_Netflix[[#This Row],[Fecha Suscripción]],BBDD_Usiarios_Netflix[[#This Row],[Fecha Último Pago]],"M")+1</f>
        <v>10</v>
      </c>
      <c r="N1604" s="4">
        <f>BBDD_Usiarios_Netflix[[#This Row],[Ingresos Mensuales]]*BBDD_Usiarios_Netflix[[#This Row],[Meses contratados]]</f>
        <v>120</v>
      </c>
      <c r="O1604" t="s">
        <v>33</v>
      </c>
      <c r="P1604" t="str">
        <f>IF(BBDD_Usiarios_Netflix[[#This Row],[País]]="","Desconocido",BBDD_Usiarios_Netflix[[#This Row],[País]])</f>
        <v>Francia</v>
      </c>
      <c r="Q1604">
        <v>30</v>
      </c>
      <c r="R1604" t="s">
        <v>30</v>
      </c>
      <c r="S1604" t="s">
        <v>26</v>
      </c>
      <c r="T1604" t="s">
        <v>35</v>
      </c>
      <c r="U1604">
        <f>IF(IFERROR(VLOOKUP(BBDD_Usiarios_Netflix[[#This Row],[Identificador Usuario]],A1605:$A$5870,1,FALSE),0)&lt;&gt;0,1,0)</f>
        <v>0</v>
      </c>
      <c r="V1604" s="6" t="str">
        <f>IF(BBDD_Usiarios_Netflix[[#This Row],[Duración Plan]]="12 Meses",LEFT(BBDD_Usiarios_Netflix[[#This Row],[Duración Plan]],2),LEFT(BBDD_Usiarios_Netflix[[#This Row],[Duración Plan]],1))</f>
        <v>6</v>
      </c>
      <c r="W16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05" spans="1:23" x14ac:dyDescent="0.25">
      <c r="A1605">
        <v>1604</v>
      </c>
      <c r="B1605" t="s">
        <v>28</v>
      </c>
      <c r="C1605">
        <v>14</v>
      </c>
      <c r="D1605" s="3">
        <v>30</v>
      </c>
      <c r="E1605" s="3">
        <v>9</v>
      </c>
      <c r="F1605">
        <v>23</v>
      </c>
      <c r="G1605" s="1">
        <f>DATEVALUE(_xlfn.CONCAT(BBDD_Usiarios_Netflix[[#This Row],[Día Suscripción]],"/",BBDD_Usiarios_Netflix[[#This Row],[Mes Suscripción]],"/",BBDD_Usiarios_Netflix[[#This Row],[Año Suscripción]]))</f>
        <v>45199</v>
      </c>
      <c r="H1605" s="1">
        <v>6</v>
      </c>
      <c r="I1605" s="1">
        <v>7</v>
      </c>
      <c r="J1605" s="1">
        <v>24</v>
      </c>
      <c r="K1605" s="1" t="str">
        <f>TEXT(BBDD_Usiarios_Netflix[[#This Row],[Fecha Suscripción]],"dddd")</f>
        <v>sábado</v>
      </c>
      <c r="L1605" s="1">
        <f>DATEVALUE(_xlfn.CONCAT(BBDD_Usiarios_Netflix[[#This Row],[Día Último Pago]],"/",BBDD_Usiarios_Netflix[[#This Row],[Mes Último Pago]],"/",BBDD_Usiarios_Netflix[[#This Row],[Año Último Pago]]))</f>
        <v>45479</v>
      </c>
      <c r="M1605" s="4">
        <f>DATEDIF(BBDD_Usiarios_Netflix[[#This Row],[Fecha Suscripción]],BBDD_Usiarios_Netflix[[#This Row],[Fecha Último Pago]],"M")+1</f>
        <v>10</v>
      </c>
      <c r="N1605" s="4">
        <f>BBDD_Usiarios_Netflix[[#This Row],[Ingresos Mensuales]]*BBDD_Usiarios_Netflix[[#This Row],[Meses contratados]]</f>
        <v>140</v>
      </c>
      <c r="O1605" t="s">
        <v>42</v>
      </c>
      <c r="P1605" t="str">
        <f>IF(BBDD_Usiarios_Netflix[[#This Row],[País]]="","Desconocido",BBDD_Usiarios_Netflix[[#This Row],[País]])</f>
        <v>Reino Unido</v>
      </c>
      <c r="Q1605">
        <v>32</v>
      </c>
      <c r="R1605" t="s">
        <v>30</v>
      </c>
      <c r="S1605" t="s">
        <v>26</v>
      </c>
      <c r="T1605" t="s">
        <v>38</v>
      </c>
      <c r="U1605">
        <f>IF(IFERROR(VLOOKUP(BBDD_Usiarios_Netflix[[#This Row],[Identificador Usuario]],A1606:$A$5870,1,FALSE),0)&lt;&gt;0,1,0)</f>
        <v>0</v>
      </c>
      <c r="V1605" s="6" t="str">
        <f>IF(BBDD_Usiarios_Netflix[[#This Row],[Duración Plan]]="12 Meses",LEFT(BBDD_Usiarios_Netflix[[#This Row],[Duración Plan]],2),LEFT(BBDD_Usiarios_Netflix[[#This Row],[Duración Plan]],1))</f>
        <v>3</v>
      </c>
      <c r="W16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06" spans="1:23" x14ac:dyDescent="0.25">
      <c r="A1606">
        <v>1605</v>
      </c>
      <c r="B1606" t="s">
        <v>23</v>
      </c>
      <c r="C1606">
        <v>10</v>
      </c>
      <c r="D1606" s="3">
        <v>3</v>
      </c>
      <c r="E1606" s="3">
        <v>10</v>
      </c>
      <c r="F1606">
        <v>23</v>
      </c>
      <c r="G1606" s="1">
        <f>DATEVALUE(_xlfn.CONCAT(BBDD_Usiarios_Netflix[[#This Row],[Día Suscripción]],"/",BBDD_Usiarios_Netflix[[#This Row],[Mes Suscripción]],"/",BBDD_Usiarios_Netflix[[#This Row],[Año Suscripción]]))</f>
        <v>45202</v>
      </c>
      <c r="H1606" s="1">
        <v>5</v>
      </c>
      <c r="I1606" s="1">
        <v>7</v>
      </c>
      <c r="J1606" s="1">
        <v>24</v>
      </c>
      <c r="K1606" s="1" t="str">
        <f>TEXT(BBDD_Usiarios_Netflix[[#This Row],[Fecha Suscripción]],"dddd")</f>
        <v>martes</v>
      </c>
      <c r="L1606" s="1">
        <f>DATEVALUE(_xlfn.CONCAT(BBDD_Usiarios_Netflix[[#This Row],[Día Último Pago]],"/",BBDD_Usiarios_Netflix[[#This Row],[Mes Último Pago]],"/",BBDD_Usiarios_Netflix[[#This Row],[Año Último Pago]]))</f>
        <v>45478</v>
      </c>
      <c r="M1606" s="4">
        <f>DATEDIF(BBDD_Usiarios_Netflix[[#This Row],[Fecha Suscripción]],BBDD_Usiarios_Netflix[[#This Row],[Fecha Último Pago]],"M")+1</f>
        <v>10</v>
      </c>
      <c r="N1606" s="4">
        <f>BBDD_Usiarios_Netflix[[#This Row],[Ingresos Mensuales]]*BBDD_Usiarios_Netflix[[#This Row],[Meses contratados]]</f>
        <v>100</v>
      </c>
      <c r="O1606" t="s">
        <v>44</v>
      </c>
      <c r="P1606" t="str">
        <f>IF(BBDD_Usiarios_Netflix[[#This Row],[País]]="","Desconocido",BBDD_Usiarios_Netflix[[#This Row],[País]])</f>
        <v>Desconocido</v>
      </c>
      <c r="Q1606">
        <v>39</v>
      </c>
      <c r="R1606" t="s">
        <v>25</v>
      </c>
      <c r="S1606" t="s">
        <v>36</v>
      </c>
      <c r="T1606" t="s">
        <v>27</v>
      </c>
      <c r="U1606">
        <f>IF(IFERROR(VLOOKUP(BBDD_Usiarios_Netflix[[#This Row],[Identificador Usuario]],A1607:$A$5870,1,FALSE),0)&lt;&gt;0,1,0)</f>
        <v>0</v>
      </c>
      <c r="V1606" s="6" t="str">
        <f>IF(BBDD_Usiarios_Netflix[[#This Row],[Duración Plan]]="12 Meses",LEFT(BBDD_Usiarios_Netflix[[#This Row],[Duración Plan]],2),LEFT(BBDD_Usiarios_Netflix[[#This Row],[Duración Plan]],1))</f>
        <v>1</v>
      </c>
      <c r="W16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07" spans="1:23" x14ac:dyDescent="0.25">
      <c r="A1607">
        <v>1606</v>
      </c>
      <c r="B1607" t="s">
        <v>28</v>
      </c>
      <c r="C1607">
        <v>14</v>
      </c>
      <c r="D1607" s="3">
        <v>8</v>
      </c>
      <c r="E1607" s="3">
        <v>10</v>
      </c>
      <c r="F1607">
        <v>23</v>
      </c>
      <c r="G1607" s="1">
        <f>DATEVALUE(_xlfn.CONCAT(BBDD_Usiarios_Netflix[[#This Row],[Día Suscripción]],"/",BBDD_Usiarios_Netflix[[#This Row],[Mes Suscripción]],"/",BBDD_Usiarios_Netflix[[#This Row],[Año Suscripción]]))</f>
        <v>45207</v>
      </c>
      <c r="H1607" s="1">
        <v>7</v>
      </c>
      <c r="I1607" s="1">
        <v>7</v>
      </c>
      <c r="J1607" s="1">
        <v>24</v>
      </c>
      <c r="K1607" s="1" t="str">
        <f>TEXT(BBDD_Usiarios_Netflix[[#This Row],[Fecha Suscripción]],"dddd")</f>
        <v>domingo</v>
      </c>
      <c r="L1607" s="1">
        <f>DATEVALUE(_xlfn.CONCAT(BBDD_Usiarios_Netflix[[#This Row],[Día Último Pago]],"/",BBDD_Usiarios_Netflix[[#This Row],[Mes Último Pago]],"/",BBDD_Usiarios_Netflix[[#This Row],[Año Último Pago]]))</f>
        <v>45480</v>
      </c>
      <c r="M1607" s="4">
        <f>DATEDIF(BBDD_Usiarios_Netflix[[#This Row],[Fecha Suscripción]],BBDD_Usiarios_Netflix[[#This Row],[Fecha Último Pago]],"M")+1</f>
        <v>9</v>
      </c>
      <c r="N1607" s="4">
        <f>BBDD_Usiarios_Netflix[[#This Row],[Ingresos Mensuales]]*BBDD_Usiarios_Netflix[[#This Row],[Meses contratados]]</f>
        <v>126</v>
      </c>
      <c r="O1607" t="s">
        <v>45</v>
      </c>
      <c r="P1607" t="str">
        <f>IF(BBDD_Usiarios_Netflix[[#This Row],[País]]="","Desconocido",BBDD_Usiarios_Netflix[[#This Row],[País]])</f>
        <v>España</v>
      </c>
      <c r="Q1607">
        <v>35</v>
      </c>
      <c r="R1607" t="s">
        <v>30</v>
      </c>
      <c r="S1607" t="s">
        <v>26</v>
      </c>
      <c r="T1607" t="s">
        <v>35</v>
      </c>
      <c r="U1607">
        <f>IF(IFERROR(VLOOKUP(BBDD_Usiarios_Netflix[[#This Row],[Identificador Usuario]],A1608:$A$5870,1,FALSE),0)&lt;&gt;0,1,0)</f>
        <v>0</v>
      </c>
      <c r="V1607" s="6" t="str">
        <f>IF(BBDD_Usiarios_Netflix[[#This Row],[Duración Plan]]="12 Meses",LEFT(BBDD_Usiarios_Netflix[[#This Row],[Duración Plan]],2),LEFT(BBDD_Usiarios_Netflix[[#This Row],[Duración Plan]],1))</f>
        <v>6</v>
      </c>
      <c r="W16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08" spans="1:23" x14ac:dyDescent="0.25">
      <c r="A1608">
        <v>1607</v>
      </c>
      <c r="B1608" t="s">
        <v>23</v>
      </c>
      <c r="C1608">
        <v>10</v>
      </c>
      <c r="D1608" s="3">
        <v>9</v>
      </c>
      <c r="E1608" s="3">
        <v>10</v>
      </c>
      <c r="F1608">
        <v>23</v>
      </c>
      <c r="G1608" s="1">
        <f>DATEVALUE(_xlfn.CONCAT(BBDD_Usiarios_Netflix[[#This Row],[Día Suscripción]],"/",BBDD_Usiarios_Netflix[[#This Row],[Mes Suscripción]],"/",BBDD_Usiarios_Netflix[[#This Row],[Año Suscripción]]))</f>
        <v>45208</v>
      </c>
      <c r="H1608" s="1">
        <v>7</v>
      </c>
      <c r="I1608" s="1">
        <v>7</v>
      </c>
      <c r="J1608" s="1">
        <v>24</v>
      </c>
      <c r="K1608" s="1" t="str">
        <f>TEXT(BBDD_Usiarios_Netflix[[#This Row],[Fecha Suscripción]],"dddd")</f>
        <v>lunes</v>
      </c>
      <c r="L1608" s="1">
        <f>DATEVALUE(_xlfn.CONCAT(BBDD_Usiarios_Netflix[[#This Row],[Día Último Pago]],"/",BBDD_Usiarios_Netflix[[#This Row],[Mes Último Pago]],"/",BBDD_Usiarios_Netflix[[#This Row],[Año Último Pago]]))</f>
        <v>45480</v>
      </c>
      <c r="M1608" s="4">
        <f>DATEDIF(BBDD_Usiarios_Netflix[[#This Row],[Fecha Suscripción]],BBDD_Usiarios_Netflix[[#This Row],[Fecha Último Pago]],"M")+1</f>
        <v>9</v>
      </c>
      <c r="N1608" s="4">
        <f>BBDD_Usiarios_Netflix[[#This Row],[Ingresos Mensuales]]*BBDD_Usiarios_Netflix[[#This Row],[Meses contratados]]</f>
        <v>90</v>
      </c>
      <c r="O1608" t="s">
        <v>44</v>
      </c>
      <c r="P1608" t="str">
        <f>IF(BBDD_Usiarios_Netflix[[#This Row],[País]]="","Desconocido",BBDD_Usiarios_Netflix[[#This Row],[País]])</f>
        <v>Desconocido</v>
      </c>
      <c r="Q1608">
        <v>41</v>
      </c>
      <c r="R1608" t="s">
        <v>30</v>
      </c>
      <c r="S1608" t="s">
        <v>26</v>
      </c>
      <c r="T1608" t="s">
        <v>41</v>
      </c>
      <c r="U1608">
        <f>IF(IFERROR(VLOOKUP(BBDD_Usiarios_Netflix[[#This Row],[Identificador Usuario]],A1609:$A$5870,1,FALSE),0)&lt;&gt;0,1,0)</f>
        <v>0</v>
      </c>
      <c r="V1608" s="6" t="str">
        <f>IF(BBDD_Usiarios_Netflix[[#This Row],[Duración Plan]]="12 Meses",LEFT(BBDD_Usiarios_Netflix[[#This Row],[Duración Plan]],2),LEFT(BBDD_Usiarios_Netflix[[#This Row],[Duración Plan]],1))</f>
        <v>12</v>
      </c>
      <c r="W16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09" spans="1:23" x14ac:dyDescent="0.25">
      <c r="A1609">
        <v>1608</v>
      </c>
      <c r="B1609" t="s">
        <v>32</v>
      </c>
      <c r="C1609">
        <v>12</v>
      </c>
      <c r="D1609" s="3">
        <v>12</v>
      </c>
      <c r="E1609" s="3">
        <v>10</v>
      </c>
      <c r="F1609">
        <v>23</v>
      </c>
      <c r="G1609" s="1">
        <f>DATEVALUE(_xlfn.CONCAT(BBDD_Usiarios_Netflix[[#This Row],[Día Suscripción]],"/",BBDD_Usiarios_Netflix[[#This Row],[Mes Suscripción]],"/",BBDD_Usiarios_Netflix[[#This Row],[Año Suscripción]]))</f>
        <v>45211</v>
      </c>
      <c r="H1609" s="1">
        <v>8</v>
      </c>
      <c r="I1609" s="1">
        <v>7</v>
      </c>
      <c r="J1609" s="1">
        <v>24</v>
      </c>
      <c r="K1609" s="1" t="str">
        <f>TEXT(BBDD_Usiarios_Netflix[[#This Row],[Fecha Suscripción]],"dddd")</f>
        <v>jueves</v>
      </c>
      <c r="L1609" s="1">
        <f>DATEVALUE(_xlfn.CONCAT(BBDD_Usiarios_Netflix[[#This Row],[Día Último Pago]],"/",BBDD_Usiarios_Netflix[[#This Row],[Mes Último Pago]],"/",BBDD_Usiarios_Netflix[[#This Row],[Año Último Pago]]))</f>
        <v>45481</v>
      </c>
      <c r="M1609" s="4">
        <f>DATEDIF(BBDD_Usiarios_Netflix[[#This Row],[Fecha Suscripción]],BBDD_Usiarios_Netflix[[#This Row],[Fecha Último Pago]],"M")+1</f>
        <v>9</v>
      </c>
      <c r="N1609" s="4">
        <f>BBDD_Usiarios_Netflix[[#This Row],[Ingresos Mensuales]]*BBDD_Usiarios_Netflix[[#This Row],[Meses contratados]]</f>
        <v>108</v>
      </c>
      <c r="O1609" t="s">
        <v>40</v>
      </c>
      <c r="P1609" t="str">
        <f>IF(BBDD_Usiarios_Netflix[[#This Row],[País]]="","Desconocido",BBDD_Usiarios_Netflix[[#This Row],[País]])</f>
        <v>Italia</v>
      </c>
      <c r="Q1609">
        <v>32</v>
      </c>
      <c r="R1609" t="s">
        <v>30</v>
      </c>
      <c r="S1609" t="s">
        <v>34</v>
      </c>
      <c r="T1609" t="s">
        <v>27</v>
      </c>
      <c r="U1609">
        <f>IF(IFERROR(VLOOKUP(BBDD_Usiarios_Netflix[[#This Row],[Identificador Usuario]],A1610:$A$5870,1,FALSE),0)&lt;&gt;0,1,0)</f>
        <v>0</v>
      </c>
      <c r="V1609" s="6" t="str">
        <f>IF(BBDD_Usiarios_Netflix[[#This Row],[Duración Plan]]="12 Meses",LEFT(BBDD_Usiarios_Netflix[[#This Row],[Duración Plan]],2),LEFT(BBDD_Usiarios_Netflix[[#This Row],[Duración Plan]],1))</f>
        <v>1</v>
      </c>
      <c r="W16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10" spans="1:23" x14ac:dyDescent="0.25">
      <c r="A1610">
        <v>1609</v>
      </c>
      <c r="B1610" t="s">
        <v>32</v>
      </c>
      <c r="C1610">
        <v>12</v>
      </c>
      <c r="D1610" s="3">
        <v>15</v>
      </c>
      <c r="E1610" s="3">
        <v>10</v>
      </c>
      <c r="F1610">
        <v>23</v>
      </c>
      <c r="G1610" s="1">
        <f>DATEVALUE(_xlfn.CONCAT(BBDD_Usiarios_Netflix[[#This Row],[Día Suscripción]],"/",BBDD_Usiarios_Netflix[[#This Row],[Mes Suscripción]],"/",BBDD_Usiarios_Netflix[[#This Row],[Año Suscripción]]))</f>
        <v>45214</v>
      </c>
      <c r="H1610" s="1">
        <v>6</v>
      </c>
      <c r="I1610" s="1">
        <v>7</v>
      </c>
      <c r="J1610" s="1">
        <v>24</v>
      </c>
      <c r="K1610" s="1" t="str">
        <f>TEXT(BBDD_Usiarios_Netflix[[#This Row],[Fecha Suscripción]],"dddd")</f>
        <v>domingo</v>
      </c>
      <c r="L1610" s="1">
        <f>DATEVALUE(_xlfn.CONCAT(BBDD_Usiarios_Netflix[[#This Row],[Día Último Pago]],"/",BBDD_Usiarios_Netflix[[#This Row],[Mes Último Pago]],"/",BBDD_Usiarios_Netflix[[#This Row],[Año Último Pago]]))</f>
        <v>45479</v>
      </c>
      <c r="M1610" s="4">
        <f>DATEDIF(BBDD_Usiarios_Netflix[[#This Row],[Fecha Suscripción]],BBDD_Usiarios_Netflix[[#This Row],[Fecha Último Pago]],"M")+1</f>
        <v>9</v>
      </c>
      <c r="N1610" s="4">
        <f>BBDD_Usiarios_Netflix[[#This Row],[Ingresos Mensuales]]*BBDD_Usiarios_Netflix[[#This Row],[Meses contratados]]</f>
        <v>108</v>
      </c>
      <c r="O1610" t="s">
        <v>42</v>
      </c>
      <c r="P1610" t="str">
        <f>IF(BBDD_Usiarios_Netflix[[#This Row],[País]]="","Desconocido",BBDD_Usiarios_Netflix[[#This Row],[País]])</f>
        <v>Reino Unido</v>
      </c>
      <c r="Q1610">
        <v>41</v>
      </c>
      <c r="R1610" t="s">
        <v>30</v>
      </c>
      <c r="S1610" t="s">
        <v>34</v>
      </c>
      <c r="T1610" t="s">
        <v>35</v>
      </c>
      <c r="U1610">
        <f>IF(IFERROR(VLOOKUP(BBDD_Usiarios_Netflix[[#This Row],[Identificador Usuario]],A1611:$A$5870,1,FALSE),0)&lt;&gt;0,1,0)</f>
        <v>0</v>
      </c>
      <c r="V1610" s="6" t="str">
        <f>IF(BBDD_Usiarios_Netflix[[#This Row],[Duración Plan]]="12 Meses",LEFT(BBDD_Usiarios_Netflix[[#This Row],[Duración Plan]],2),LEFT(BBDD_Usiarios_Netflix[[#This Row],[Duración Plan]],1))</f>
        <v>6</v>
      </c>
      <c r="W16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11" spans="1:23" x14ac:dyDescent="0.25">
      <c r="A1611">
        <v>1610</v>
      </c>
      <c r="B1611" t="s">
        <v>23</v>
      </c>
      <c r="C1611">
        <v>10</v>
      </c>
      <c r="D1611" s="3">
        <v>17</v>
      </c>
      <c r="E1611" s="3">
        <v>10</v>
      </c>
      <c r="F1611">
        <v>23</v>
      </c>
      <c r="G1611" s="1">
        <f>DATEVALUE(_xlfn.CONCAT(BBDD_Usiarios_Netflix[[#This Row],[Día Suscripción]],"/",BBDD_Usiarios_Netflix[[#This Row],[Mes Suscripción]],"/",BBDD_Usiarios_Netflix[[#This Row],[Año Suscripción]]))</f>
        <v>45216</v>
      </c>
      <c r="H1611" s="1">
        <v>6</v>
      </c>
      <c r="I1611" s="1">
        <v>7</v>
      </c>
      <c r="J1611" s="1">
        <v>24</v>
      </c>
      <c r="K1611" s="1" t="str">
        <f>TEXT(BBDD_Usiarios_Netflix[[#This Row],[Fecha Suscripción]],"dddd")</f>
        <v>martes</v>
      </c>
      <c r="L1611" s="1">
        <f>DATEVALUE(_xlfn.CONCAT(BBDD_Usiarios_Netflix[[#This Row],[Día Último Pago]],"/",BBDD_Usiarios_Netflix[[#This Row],[Mes Último Pago]],"/",BBDD_Usiarios_Netflix[[#This Row],[Año Último Pago]]))</f>
        <v>45479</v>
      </c>
      <c r="M1611" s="4">
        <f>DATEDIF(BBDD_Usiarios_Netflix[[#This Row],[Fecha Suscripción]],BBDD_Usiarios_Netflix[[#This Row],[Fecha Último Pago]],"M")+1</f>
        <v>9</v>
      </c>
      <c r="N1611" s="4">
        <f>BBDD_Usiarios_Netflix[[#This Row],[Ingresos Mensuales]]*BBDD_Usiarios_Netflix[[#This Row],[Meses contratados]]</f>
        <v>90</v>
      </c>
      <c r="O1611" t="s">
        <v>39</v>
      </c>
      <c r="P1611" t="str">
        <f>IF(BBDD_Usiarios_Netflix[[#This Row],[País]]="","Desconocido",BBDD_Usiarios_Netflix[[#This Row],[País]])</f>
        <v>Canadá</v>
      </c>
      <c r="Q1611">
        <v>36</v>
      </c>
      <c r="R1611" t="s">
        <v>30</v>
      </c>
      <c r="S1611" t="s">
        <v>34</v>
      </c>
      <c r="T1611" t="s">
        <v>41</v>
      </c>
      <c r="U1611">
        <f>IF(IFERROR(VLOOKUP(BBDD_Usiarios_Netflix[[#This Row],[Identificador Usuario]],A1612:$A$5870,1,FALSE),0)&lt;&gt;0,1,0)</f>
        <v>0</v>
      </c>
      <c r="V1611" s="6" t="str">
        <f>IF(BBDD_Usiarios_Netflix[[#This Row],[Duración Plan]]="12 Meses",LEFT(BBDD_Usiarios_Netflix[[#This Row],[Duración Plan]],2),LEFT(BBDD_Usiarios_Netflix[[#This Row],[Duración Plan]],1))</f>
        <v>12</v>
      </c>
      <c r="W16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12" spans="1:23" x14ac:dyDescent="0.25">
      <c r="A1612">
        <v>1611</v>
      </c>
      <c r="B1612" t="s">
        <v>28</v>
      </c>
      <c r="C1612">
        <v>14</v>
      </c>
      <c r="D1612" s="3">
        <v>19</v>
      </c>
      <c r="E1612" s="3">
        <v>10</v>
      </c>
      <c r="F1612">
        <v>23</v>
      </c>
      <c r="G1612" s="1">
        <f>DATEVALUE(_xlfn.CONCAT(BBDD_Usiarios_Netflix[[#This Row],[Día Suscripción]],"/",BBDD_Usiarios_Netflix[[#This Row],[Mes Suscripción]],"/",BBDD_Usiarios_Netflix[[#This Row],[Año Suscripción]]))</f>
        <v>45218</v>
      </c>
      <c r="H1612" s="1">
        <v>7</v>
      </c>
      <c r="I1612" s="1">
        <v>7</v>
      </c>
      <c r="J1612" s="1">
        <v>24</v>
      </c>
      <c r="K1612" s="1" t="str">
        <f>TEXT(BBDD_Usiarios_Netflix[[#This Row],[Fecha Suscripción]],"dddd")</f>
        <v>jueves</v>
      </c>
      <c r="L1612" s="1">
        <f>DATEVALUE(_xlfn.CONCAT(BBDD_Usiarios_Netflix[[#This Row],[Día Último Pago]],"/",BBDD_Usiarios_Netflix[[#This Row],[Mes Último Pago]],"/",BBDD_Usiarios_Netflix[[#This Row],[Año Último Pago]]))</f>
        <v>45480</v>
      </c>
      <c r="M1612" s="4">
        <f>DATEDIF(BBDD_Usiarios_Netflix[[#This Row],[Fecha Suscripción]],BBDD_Usiarios_Netflix[[#This Row],[Fecha Último Pago]],"M")+1</f>
        <v>9</v>
      </c>
      <c r="N1612" s="4">
        <f>BBDD_Usiarios_Netflix[[#This Row],[Ingresos Mensuales]]*BBDD_Usiarios_Netflix[[#This Row],[Meses contratados]]</f>
        <v>126</v>
      </c>
      <c r="O1612" t="s">
        <v>24</v>
      </c>
      <c r="P1612" t="str">
        <f>IF(BBDD_Usiarios_Netflix[[#This Row],[País]]="","Desconocido",BBDD_Usiarios_Netflix[[#This Row],[País]])</f>
        <v>Australia</v>
      </c>
      <c r="Q1612">
        <v>49</v>
      </c>
      <c r="R1612" t="s">
        <v>25</v>
      </c>
      <c r="S1612" t="s">
        <v>36</v>
      </c>
      <c r="T1612" t="s">
        <v>35</v>
      </c>
      <c r="U1612">
        <f>IF(IFERROR(VLOOKUP(BBDD_Usiarios_Netflix[[#This Row],[Identificador Usuario]],A1613:$A$5870,1,FALSE),0)&lt;&gt;0,1,0)</f>
        <v>0</v>
      </c>
      <c r="V1612" s="6" t="str">
        <f>IF(BBDD_Usiarios_Netflix[[#This Row],[Duración Plan]]="12 Meses",LEFT(BBDD_Usiarios_Netflix[[#This Row],[Duración Plan]],2),LEFT(BBDD_Usiarios_Netflix[[#This Row],[Duración Plan]],1))</f>
        <v>6</v>
      </c>
      <c r="W16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13" spans="1:23" x14ac:dyDescent="0.25">
      <c r="A1613">
        <v>1612</v>
      </c>
      <c r="B1613" t="s">
        <v>23</v>
      </c>
      <c r="C1613">
        <v>10</v>
      </c>
      <c r="D1613" s="3">
        <v>22</v>
      </c>
      <c r="E1613" s="3">
        <v>10</v>
      </c>
      <c r="F1613">
        <v>23</v>
      </c>
      <c r="G1613" s="1">
        <f>DATEVALUE(_xlfn.CONCAT(BBDD_Usiarios_Netflix[[#This Row],[Día Suscripción]],"/",BBDD_Usiarios_Netflix[[#This Row],[Mes Suscripción]],"/",BBDD_Usiarios_Netflix[[#This Row],[Año Suscripción]]))</f>
        <v>45221</v>
      </c>
      <c r="H1613" s="1">
        <v>9</v>
      </c>
      <c r="I1613" s="1">
        <v>7</v>
      </c>
      <c r="J1613" s="1">
        <v>24</v>
      </c>
      <c r="K1613" s="1" t="str">
        <f>TEXT(BBDD_Usiarios_Netflix[[#This Row],[Fecha Suscripción]],"dddd")</f>
        <v>domingo</v>
      </c>
      <c r="L1613" s="1">
        <f>DATEVALUE(_xlfn.CONCAT(BBDD_Usiarios_Netflix[[#This Row],[Día Último Pago]],"/",BBDD_Usiarios_Netflix[[#This Row],[Mes Último Pago]],"/",BBDD_Usiarios_Netflix[[#This Row],[Año Último Pago]]))</f>
        <v>45482</v>
      </c>
      <c r="M1613" s="4">
        <f>DATEDIF(BBDD_Usiarios_Netflix[[#This Row],[Fecha Suscripción]],BBDD_Usiarios_Netflix[[#This Row],[Fecha Último Pago]],"M")+1</f>
        <v>9</v>
      </c>
      <c r="N1613" s="4">
        <f>BBDD_Usiarios_Netflix[[#This Row],[Ingresos Mensuales]]*BBDD_Usiarios_Netflix[[#This Row],[Meses contratados]]</f>
        <v>90</v>
      </c>
      <c r="O1613" t="s">
        <v>42</v>
      </c>
      <c r="P1613" t="str">
        <f>IF(BBDD_Usiarios_Netflix[[#This Row],[País]]="","Desconocido",BBDD_Usiarios_Netflix[[#This Row],[País]])</f>
        <v>Reino Unido</v>
      </c>
      <c r="Q1613">
        <v>30</v>
      </c>
      <c r="R1613" t="s">
        <v>30</v>
      </c>
      <c r="S1613" t="s">
        <v>26</v>
      </c>
      <c r="T1613" t="s">
        <v>27</v>
      </c>
      <c r="U1613">
        <f>IF(IFERROR(VLOOKUP(BBDD_Usiarios_Netflix[[#This Row],[Identificador Usuario]],A1614:$A$5870,1,FALSE),0)&lt;&gt;0,1,0)</f>
        <v>0</v>
      </c>
      <c r="V1613" s="6" t="str">
        <f>IF(BBDD_Usiarios_Netflix[[#This Row],[Duración Plan]]="12 Meses",LEFT(BBDD_Usiarios_Netflix[[#This Row],[Duración Plan]],2),LEFT(BBDD_Usiarios_Netflix[[#This Row],[Duración Plan]],1))</f>
        <v>1</v>
      </c>
      <c r="W16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14" spans="1:23" x14ac:dyDescent="0.25">
      <c r="A1614">
        <v>1613</v>
      </c>
      <c r="B1614" t="s">
        <v>32</v>
      </c>
      <c r="C1614">
        <v>12</v>
      </c>
      <c r="D1614" s="3">
        <v>23</v>
      </c>
      <c r="E1614" s="3">
        <v>10</v>
      </c>
      <c r="F1614">
        <v>23</v>
      </c>
      <c r="G1614" s="1">
        <f>DATEVALUE(_xlfn.CONCAT(BBDD_Usiarios_Netflix[[#This Row],[Día Suscripción]],"/",BBDD_Usiarios_Netflix[[#This Row],[Mes Suscripción]],"/",BBDD_Usiarios_Netflix[[#This Row],[Año Suscripción]]))</f>
        <v>45222</v>
      </c>
      <c r="H1614" s="1">
        <v>6</v>
      </c>
      <c r="I1614" s="1">
        <v>7</v>
      </c>
      <c r="J1614" s="1">
        <v>24</v>
      </c>
      <c r="K1614" s="1" t="str">
        <f>TEXT(BBDD_Usiarios_Netflix[[#This Row],[Fecha Suscripción]],"dddd")</f>
        <v>lunes</v>
      </c>
      <c r="L1614" s="1">
        <f>DATEVALUE(_xlfn.CONCAT(BBDD_Usiarios_Netflix[[#This Row],[Día Último Pago]],"/",BBDD_Usiarios_Netflix[[#This Row],[Mes Último Pago]],"/",BBDD_Usiarios_Netflix[[#This Row],[Año Último Pago]]))</f>
        <v>45479</v>
      </c>
      <c r="M1614" s="4">
        <f>DATEDIF(BBDD_Usiarios_Netflix[[#This Row],[Fecha Suscripción]],BBDD_Usiarios_Netflix[[#This Row],[Fecha Último Pago]],"M")+1</f>
        <v>9</v>
      </c>
      <c r="N1614" s="4">
        <f>BBDD_Usiarios_Netflix[[#This Row],[Ingresos Mensuales]]*BBDD_Usiarios_Netflix[[#This Row],[Meses contratados]]</f>
        <v>108</v>
      </c>
      <c r="O1614" t="s">
        <v>37</v>
      </c>
      <c r="P1614" t="str">
        <f>IF(BBDD_Usiarios_Netflix[[#This Row],[País]]="","Desconocido",BBDD_Usiarios_Netflix[[#This Row],[País]])</f>
        <v>Brasil</v>
      </c>
      <c r="Q1614">
        <v>40</v>
      </c>
      <c r="R1614" t="s">
        <v>30</v>
      </c>
      <c r="S1614" t="s">
        <v>26</v>
      </c>
      <c r="T1614" t="s">
        <v>38</v>
      </c>
      <c r="U1614">
        <f>IF(IFERROR(VLOOKUP(BBDD_Usiarios_Netflix[[#This Row],[Identificador Usuario]],A1615:$A$5870,1,FALSE),0)&lt;&gt;0,1,0)</f>
        <v>0</v>
      </c>
      <c r="V1614" s="6" t="str">
        <f>IF(BBDD_Usiarios_Netflix[[#This Row],[Duración Plan]]="12 Meses",LEFT(BBDD_Usiarios_Netflix[[#This Row],[Duración Plan]],2),LEFT(BBDD_Usiarios_Netflix[[#This Row],[Duración Plan]],1))</f>
        <v>3</v>
      </c>
      <c r="W16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15" spans="1:23" x14ac:dyDescent="0.25">
      <c r="A1615">
        <v>1614</v>
      </c>
      <c r="B1615" t="s">
        <v>28</v>
      </c>
      <c r="C1615">
        <v>14</v>
      </c>
      <c r="D1615" s="3">
        <v>27</v>
      </c>
      <c r="E1615" s="3">
        <v>10</v>
      </c>
      <c r="F1615">
        <v>23</v>
      </c>
      <c r="G1615" s="1">
        <f>DATEVALUE(_xlfn.CONCAT(BBDD_Usiarios_Netflix[[#This Row],[Día Suscripción]],"/",BBDD_Usiarios_Netflix[[#This Row],[Mes Suscripción]],"/",BBDD_Usiarios_Netflix[[#This Row],[Año Suscripción]]))</f>
        <v>45226</v>
      </c>
      <c r="H1615" s="1">
        <v>7</v>
      </c>
      <c r="I1615" s="1">
        <v>7</v>
      </c>
      <c r="J1615" s="1">
        <v>24</v>
      </c>
      <c r="K1615" s="1" t="str">
        <f>TEXT(BBDD_Usiarios_Netflix[[#This Row],[Fecha Suscripción]],"dddd")</f>
        <v>viernes</v>
      </c>
      <c r="L1615" s="1">
        <f>DATEVALUE(_xlfn.CONCAT(BBDD_Usiarios_Netflix[[#This Row],[Día Último Pago]],"/",BBDD_Usiarios_Netflix[[#This Row],[Mes Último Pago]],"/",BBDD_Usiarios_Netflix[[#This Row],[Año Último Pago]]))</f>
        <v>45480</v>
      </c>
      <c r="M1615" s="4">
        <f>DATEDIF(BBDD_Usiarios_Netflix[[#This Row],[Fecha Suscripción]],BBDD_Usiarios_Netflix[[#This Row],[Fecha Último Pago]],"M")+1</f>
        <v>9</v>
      </c>
      <c r="N1615" s="4">
        <f>BBDD_Usiarios_Netflix[[#This Row],[Ingresos Mensuales]]*BBDD_Usiarios_Netflix[[#This Row],[Meses contratados]]</f>
        <v>126</v>
      </c>
      <c r="O1615" t="s">
        <v>29</v>
      </c>
      <c r="P1615" t="str">
        <f>IF(BBDD_Usiarios_Netflix[[#This Row],[País]]="","Desconocido",BBDD_Usiarios_Netflix[[#This Row],[País]])</f>
        <v>EEUU</v>
      </c>
      <c r="Q1615">
        <v>46</v>
      </c>
      <c r="R1615" t="s">
        <v>30</v>
      </c>
      <c r="S1615" t="s">
        <v>31</v>
      </c>
      <c r="T1615" t="s">
        <v>35</v>
      </c>
      <c r="U1615">
        <f>IF(IFERROR(VLOOKUP(BBDD_Usiarios_Netflix[[#This Row],[Identificador Usuario]],A1616:$A$5870,1,FALSE),0)&lt;&gt;0,1,0)</f>
        <v>0</v>
      </c>
      <c r="V1615" s="6" t="str">
        <f>IF(BBDD_Usiarios_Netflix[[#This Row],[Duración Plan]]="12 Meses",LEFT(BBDD_Usiarios_Netflix[[#This Row],[Duración Plan]],2),LEFT(BBDD_Usiarios_Netflix[[#This Row],[Duración Plan]],1))</f>
        <v>6</v>
      </c>
      <c r="W16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16" spans="1:23" x14ac:dyDescent="0.25">
      <c r="A1616">
        <v>1615</v>
      </c>
      <c r="B1616" t="s">
        <v>23</v>
      </c>
      <c r="C1616">
        <v>10</v>
      </c>
      <c r="D1616" s="3">
        <v>28</v>
      </c>
      <c r="E1616" s="3">
        <v>10</v>
      </c>
      <c r="F1616">
        <v>23</v>
      </c>
      <c r="G1616" s="1">
        <f>DATEVALUE(_xlfn.CONCAT(BBDD_Usiarios_Netflix[[#This Row],[Día Suscripción]],"/",BBDD_Usiarios_Netflix[[#This Row],[Mes Suscripción]],"/",BBDD_Usiarios_Netflix[[#This Row],[Año Suscripción]]))</f>
        <v>45227</v>
      </c>
      <c r="H1616" s="1">
        <v>6</v>
      </c>
      <c r="I1616" s="1">
        <v>7</v>
      </c>
      <c r="J1616" s="1">
        <v>24</v>
      </c>
      <c r="K1616" s="1" t="str">
        <f>TEXT(BBDD_Usiarios_Netflix[[#This Row],[Fecha Suscripción]],"dddd")</f>
        <v>sábado</v>
      </c>
      <c r="L1616" s="1">
        <f>DATEVALUE(_xlfn.CONCAT(BBDD_Usiarios_Netflix[[#This Row],[Día Último Pago]],"/",BBDD_Usiarios_Netflix[[#This Row],[Mes Último Pago]],"/",BBDD_Usiarios_Netflix[[#This Row],[Año Último Pago]]))</f>
        <v>45479</v>
      </c>
      <c r="M1616" s="4">
        <f>DATEDIF(BBDD_Usiarios_Netflix[[#This Row],[Fecha Suscripción]],BBDD_Usiarios_Netflix[[#This Row],[Fecha Último Pago]],"M")+1</f>
        <v>9</v>
      </c>
      <c r="N1616" s="4">
        <f>BBDD_Usiarios_Netflix[[#This Row],[Ingresos Mensuales]]*BBDD_Usiarios_Netflix[[#This Row],[Meses contratados]]</f>
        <v>90</v>
      </c>
      <c r="O1616" t="s">
        <v>24</v>
      </c>
      <c r="P1616" t="str">
        <f>IF(BBDD_Usiarios_Netflix[[#This Row],[País]]="","Desconocido",BBDD_Usiarios_Netflix[[#This Row],[País]])</f>
        <v>Australia</v>
      </c>
      <c r="Q1616">
        <v>30</v>
      </c>
      <c r="R1616" t="s">
        <v>30</v>
      </c>
      <c r="S1616" t="s">
        <v>34</v>
      </c>
      <c r="T1616" t="s">
        <v>27</v>
      </c>
      <c r="U1616">
        <f>IF(IFERROR(VLOOKUP(BBDD_Usiarios_Netflix[[#This Row],[Identificador Usuario]],A1617:$A$5870,1,FALSE),0)&lt;&gt;0,1,0)</f>
        <v>0</v>
      </c>
      <c r="V1616" s="6" t="str">
        <f>IF(BBDD_Usiarios_Netflix[[#This Row],[Duración Plan]]="12 Meses",LEFT(BBDD_Usiarios_Netflix[[#This Row],[Duración Plan]],2),LEFT(BBDD_Usiarios_Netflix[[#This Row],[Duración Plan]],1))</f>
        <v>1</v>
      </c>
      <c r="W16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17" spans="1:23" x14ac:dyDescent="0.25">
      <c r="A1617">
        <v>1616</v>
      </c>
      <c r="B1617" t="s">
        <v>28</v>
      </c>
      <c r="C1617">
        <v>14</v>
      </c>
      <c r="D1617" s="3">
        <v>1</v>
      </c>
      <c r="E1617" s="3">
        <v>11</v>
      </c>
      <c r="F1617">
        <v>23</v>
      </c>
      <c r="G1617" s="1">
        <f>DATEVALUE(_xlfn.CONCAT(BBDD_Usiarios_Netflix[[#This Row],[Día Suscripción]],"/",BBDD_Usiarios_Netflix[[#This Row],[Mes Suscripción]],"/",BBDD_Usiarios_Netflix[[#This Row],[Año Suscripción]]))</f>
        <v>45231</v>
      </c>
      <c r="H1617" s="1">
        <v>8</v>
      </c>
      <c r="I1617" s="1">
        <v>7</v>
      </c>
      <c r="J1617" s="1">
        <v>24</v>
      </c>
      <c r="K1617" s="1" t="str">
        <f>TEXT(BBDD_Usiarios_Netflix[[#This Row],[Fecha Suscripción]],"dddd")</f>
        <v>miércoles</v>
      </c>
      <c r="L1617" s="1">
        <f>DATEVALUE(_xlfn.CONCAT(BBDD_Usiarios_Netflix[[#This Row],[Día Último Pago]],"/",BBDD_Usiarios_Netflix[[#This Row],[Mes Último Pago]],"/",BBDD_Usiarios_Netflix[[#This Row],[Año Último Pago]]))</f>
        <v>45481</v>
      </c>
      <c r="M1617" s="4">
        <f>DATEDIF(BBDD_Usiarios_Netflix[[#This Row],[Fecha Suscripción]],BBDD_Usiarios_Netflix[[#This Row],[Fecha Último Pago]],"M")+1</f>
        <v>9</v>
      </c>
      <c r="N1617" s="4">
        <f>BBDD_Usiarios_Netflix[[#This Row],[Ingresos Mensuales]]*BBDD_Usiarios_Netflix[[#This Row],[Meses contratados]]</f>
        <v>126</v>
      </c>
      <c r="O1617" t="s">
        <v>40</v>
      </c>
      <c r="P1617" t="str">
        <f>IF(BBDD_Usiarios_Netflix[[#This Row],[País]]="","Desconocido",BBDD_Usiarios_Netflix[[#This Row],[País]])</f>
        <v>Italia</v>
      </c>
      <c r="Q1617">
        <v>48</v>
      </c>
      <c r="R1617" t="s">
        <v>25</v>
      </c>
      <c r="S1617" t="s">
        <v>36</v>
      </c>
      <c r="T1617" t="s">
        <v>38</v>
      </c>
      <c r="U1617">
        <f>IF(IFERROR(VLOOKUP(BBDD_Usiarios_Netflix[[#This Row],[Identificador Usuario]],A1618:$A$5870,1,FALSE),0)&lt;&gt;0,1,0)</f>
        <v>0</v>
      </c>
      <c r="V1617" s="6" t="str">
        <f>IF(BBDD_Usiarios_Netflix[[#This Row],[Duración Plan]]="12 Meses",LEFT(BBDD_Usiarios_Netflix[[#This Row],[Duración Plan]],2),LEFT(BBDD_Usiarios_Netflix[[#This Row],[Duración Plan]],1))</f>
        <v>3</v>
      </c>
      <c r="W16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18" spans="1:23" x14ac:dyDescent="0.25">
      <c r="A1618">
        <v>1617</v>
      </c>
      <c r="B1618" t="s">
        <v>23</v>
      </c>
      <c r="C1618">
        <v>10</v>
      </c>
      <c r="D1618" s="3">
        <v>4</v>
      </c>
      <c r="E1618" s="3">
        <v>11</v>
      </c>
      <c r="F1618">
        <v>23</v>
      </c>
      <c r="G1618" s="1">
        <f>DATEVALUE(_xlfn.CONCAT(BBDD_Usiarios_Netflix[[#This Row],[Día Suscripción]],"/",BBDD_Usiarios_Netflix[[#This Row],[Mes Suscripción]],"/",BBDD_Usiarios_Netflix[[#This Row],[Año Suscripción]]))</f>
        <v>45234</v>
      </c>
      <c r="H1618" s="1">
        <v>5</v>
      </c>
      <c r="I1618" s="1">
        <v>7</v>
      </c>
      <c r="J1618" s="1">
        <v>24</v>
      </c>
      <c r="K1618" s="1" t="str">
        <f>TEXT(BBDD_Usiarios_Netflix[[#This Row],[Fecha Suscripción]],"dddd")</f>
        <v>sábado</v>
      </c>
      <c r="L1618" s="1">
        <f>DATEVALUE(_xlfn.CONCAT(BBDD_Usiarios_Netflix[[#This Row],[Día Último Pago]],"/",BBDD_Usiarios_Netflix[[#This Row],[Mes Último Pago]],"/",BBDD_Usiarios_Netflix[[#This Row],[Año Último Pago]]))</f>
        <v>45478</v>
      </c>
      <c r="M1618" s="4">
        <f>DATEDIF(BBDD_Usiarios_Netflix[[#This Row],[Fecha Suscripción]],BBDD_Usiarios_Netflix[[#This Row],[Fecha Último Pago]],"M")+1</f>
        <v>9</v>
      </c>
      <c r="N1618" s="4">
        <f>BBDD_Usiarios_Netflix[[#This Row],[Ingresos Mensuales]]*BBDD_Usiarios_Netflix[[#This Row],[Meses contratados]]</f>
        <v>90</v>
      </c>
      <c r="O1618" t="s">
        <v>42</v>
      </c>
      <c r="P1618" t="str">
        <f>IF(BBDD_Usiarios_Netflix[[#This Row],[País]]="","Desconocido",BBDD_Usiarios_Netflix[[#This Row],[País]])</f>
        <v>Reino Unido</v>
      </c>
      <c r="Q1618">
        <v>50</v>
      </c>
      <c r="R1618" t="s">
        <v>25</v>
      </c>
      <c r="S1618" t="s">
        <v>31</v>
      </c>
      <c r="T1618" t="s">
        <v>35</v>
      </c>
      <c r="U1618">
        <f>IF(IFERROR(VLOOKUP(BBDD_Usiarios_Netflix[[#This Row],[Identificador Usuario]],A1619:$A$5870,1,FALSE),0)&lt;&gt;0,1,0)</f>
        <v>0</v>
      </c>
      <c r="V1618" s="6" t="str">
        <f>IF(BBDD_Usiarios_Netflix[[#This Row],[Duración Plan]]="12 Meses",LEFT(BBDD_Usiarios_Netflix[[#This Row],[Duración Plan]],2),LEFT(BBDD_Usiarios_Netflix[[#This Row],[Duración Plan]],1))</f>
        <v>6</v>
      </c>
      <c r="W16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19" spans="1:23" x14ac:dyDescent="0.25">
      <c r="A1619">
        <v>1618</v>
      </c>
      <c r="B1619" t="s">
        <v>32</v>
      </c>
      <c r="C1619">
        <v>12</v>
      </c>
      <c r="D1619" s="3">
        <v>5</v>
      </c>
      <c r="E1619" s="3">
        <v>11</v>
      </c>
      <c r="F1619">
        <v>23</v>
      </c>
      <c r="G1619" s="1">
        <f>DATEVALUE(_xlfn.CONCAT(BBDD_Usiarios_Netflix[[#This Row],[Día Suscripción]],"/",BBDD_Usiarios_Netflix[[#This Row],[Mes Suscripción]],"/",BBDD_Usiarios_Netflix[[#This Row],[Año Suscripción]]))</f>
        <v>45235</v>
      </c>
      <c r="H1619" s="1">
        <v>6</v>
      </c>
      <c r="I1619" s="1">
        <v>7</v>
      </c>
      <c r="J1619" s="1">
        <v>24</v>
      </c>
      <c r="K1619" s="1" t="str">
        <f>TEXT(BBDD_Usiarios_Netflix[[#This Row],[Fecha Suscripción]],"dddd")</f>
        <v>domingo</v>
      </c>
      <c r="L1619" s="1">
        <f>DATEVALUE(_xlfn.CONCAT(BBDD_Usiarios_Netflix[[#This Row],[Día Último Pago]],"/",BBDD_Usiarios_Netflix[[#This Row],[Mes Último Pago]],"/",BBDD_Usiarios_Netflix[[#This Row],[Año Último Pago]]))</f>
        <v>45479</v>
      </c>
      <c r="M1619" s="4">
        <f>DATEDIF(BBDD_Usiarios_Netflix[[#This Row],[Fecha Suscripción]],BBDD_Usiarios_Netflix[[#This Row],[Fecha Último Pago]],"M")+1</f>
        <v>9</v>
      </c>
      <c r="N1619" s="4">
        <f>BBDD_Usiarios_Netflix[[#This Row],[Ingresos Mensuales]]*BBDD_Usiarios_Netflix[[#This Row],[Meses contratados]]</f>
        <v>108</v>
      </c>
      <c r="O1619" t="s">
        <v>39</v>
      </c>
      <c r="P1619" t="str">
        <f>IF(BBDD_Usiarios_Netflix[[#This Row],[País]]="","Desconocido",BBDD_Usiarios_Netflix[[#This Row],[País]])</f>
        <v>Canadá</v>
      </c>
      <c r="Q1619">
        <v>27</v>
      </c>
      <c r="R1619" t="s">
        <v>25</v>
      </c>
      <c r="S1619" t="s">
        <v>34</v>
      </c>
      <c r="T1619" t="s">
        <v>27</v>
      </c>
      <c r="U1619">
        <f>IF(IFERROR(VLOOKUP(BBDD_Usiarios_Netflix[[#This Row],[Identificador Usuario]],A1620:$A$5870,1,FALSE),0)&lt;&gt;0,1,0)</f>
        <v>0</v>
      </c>
      <c r="V1619" s="6" t="str">
        <f>IF(BBDD_Usiarios_Netflix[[#This Row],[Duración Plan]]="12 Meses",LEFT(BBDD_Usiarios_Netflix[[#This Row],[Duración Plan]],2),LEFT(BBDD_Usiarios_Netflix[[#This Row],[Duración Plan]],1))</f>
        <v>1</v>
      </c>
      <c r="W16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20" spans="1:23" x14ac:dyDescent="0.25">
      <c r="A1620">
        <v>1619</v>
      </c>
      <c r="B1620" t="s">
        <v>32</v>
      </c>
      <c r="C1620">
        <v>12</v>
      </c>
      <c r="D1620" s="3">
        <v>4</v>
      </c>
      <c r="E1620" s="3">
        <v>11</v>
      </c>
      <c r="F1620">
        <v>23</v>
      </c>
      <c r="G1620" s="1">
        <f>DATEVALUE(_xlfn.CONCAT(BBDD_Usiarios_Netflix[[#This Row],[Día Suscripción]],"/",BBDD_Usiarios_Netflix[[#This Row],[Mes Suscripción]],"/",BBDD_Usiarios_Netflix[[#This Row],[Año Suscripción]]))</f>
        <v>45234</v>
      </c>
      <c r="H1620" s="1">
        <v>7</v>
      </c>
      <c r="I1620" s="1">
        <v>7</v>
      </c>
      <c r="J1620" s="1">
        <v>24</v>
      </c>
      <c r="K1620" s="1" t="str">
        <f>TEXT(BBDD_Usiarios_Netflix[[#This Row],[Fecha Suscripción]],"dddd")</f>
        <v>sábado</v>
      </c>
      <c r="L1620" s="1">
        <f>DATEVALUE(_xlfn.CONCAT(BBDD_Usiarios_Netflix[[#This Row],[Día Último Pago]],"/",BBDD_Usiarios_Netflix[[#This Row],[Mes Último Pago]],"/",BBDD_Usiarios_Netflix[[#This Row],[Año Último Pago]]))</f>
        <v>45480</v>
      </c>
      <c r="M1620" s="4">
        <f>DATEDIF(BBDD_Usiarios_Netflix[[#This Row],[Fecha Suscripción]],BBDD_Usiarios_Netflix[[#This Row],[Fecha Último Pago]],"M")+1</f>
        <v>9</v>
      </c>
      <c r="N1620" s="4">
        <f>BBDD_Usiarios_Netflix[[#This Row],[Ingresos Mensuales]]*BBDD_Usiarios_Netflix[[#This Row],[Meses contratados]]</f>
        <v>108</v>
      </c>
      <c r="O1620" t="s">
        <v>40</v>
      </c>
      <c r="P1620" t="str">
        <f>IF(BBDD_Usiarios_Netflix[[#This Row],[País]]="","Desconocido",BBDD_Usiarios_Netflix[[#This Row],[País]])</f>
        <v>Italia</v>
      </c>
      <c r="Q1620">
        <v>51</v>
      </c>
      <c r="R1620" t="s">
        <v>30</v>
      </c>
      <c r="S1620" t="s">
        <v>36</v>
      </c>
      <c r="T1620" t="s">
        <v>38</v>
      </c>
      <c r="U1620">
        <f>IF(IFERROR(VLOOKUP(BBDD_Usiarios_Netflix[[#This Row],[Identificador Usuario]],A1621:$A$5870,1,FALSE),0)&lt;&gt;0,1,0)</f>
        <v>0</v>
      </c>
      <c r="V1620" s="6" t="str">
        <f>IF(BBDD_Usiarios_Netflix[[#This Row],[Duración Plan]]="12 Meses",LEFT(BBDD_Usiarios_Netflix[[#This Row],[Duración Plan]],2),LEFT(BBDD_Usiarios_Netflix[[#This Row],[Duración Plan]],1))</f>
        <v>3</v>
      </c>
      <c r="W16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21" spans="1:23" x14ac:dyDescent="0.25">
      <c r="A1621">
        <v>1620</v>
      </c>
      <c r="B1621" t="s">
        <v>23</v>
      </c>
      <c r="C1621">
        <v>10</v>
      </c>
      <c r="D1621" s="3">
        <v>5</v>
      </c>
      <c r="E1621" s="3">
        <v>11</v>
      </c>
      <c r="F1621">
        <v>23</v>
      </c>
      <c r="G1621" s="1">
        <f>DATEVALUE(_xlfn.CONCAT(BBDD_Usiarios_Netflix[[#This Row],[Día Suscripción]],"/",BBDD_Usiarios_Netflix[[#This Row],[Mes Suscripción]],"/",BBDD_Usiarios_Netflix[[#This Row],[Año Suscripción]]))</f>
        <v>45235</v>
      </c>
      <c r="H1621" s="1">
        <v>7</v>
      </c>
      <c r="I1621" s="1">
        <v>7</v>
      </c>
      <c r="J1621" s="1">
        <v>24</v>
      </c>
      <c r="K1621" s="1" t="str">
        <f>TEXT(BBDD_Usiarios_Netflix[[#This Row],[Fecha Suscripción]],"dddd")</f>
        <v>domingo</v>
      </c>
      <c r="L1621" s="1">
        <f>DATEVALUE(_xlfn.CONCAT(BBDD_Usiarios_Netflix[[#This Row],[Día Último Pago]],"/",BBDD_Usiarios_Netflix[[#This Row],[Mes Último Pago]],"/",BBDD_Usiarios_Netflix[[#This Row],[Año Último Pago]]))</f>
        <v>45480</v>
      </c>
      <c r="M1621" s="4">
        <f>DATEDIF(BBDD_Usiarios_Netflix[[#This Row],[Fecha Suscripción]],BBDD_Usiarios_Netflix[[#This Row],[Fecha Último Pago]],"M")+1</f>
        <v>9</v>
      </c>
      <c r="N1621" s="4">
        <f>BBDD_Usiarios_Netflix[[#This Row],[Ingresos Mensuales]]*BBDD_Usiarios_Netflix[[#This Row],[Meses contratados]]</f>
        <v>90</v>
      </c>
      <c r="O1621" t="s">
        <v>29</v>
      </c>
      <c r="P1621" t="str">
        <f>IF(BBDD_Usiarios_Netflix[[#This Row],[País]]="","Desconocido",BBDD_Usiarios_Netflix[[#This Row],[País]])</f>
        <v>EEUU</v>
      </c>
      <c r="Q1621">
        <v>38</v>
      </c>
      <c r="R1621" t="s">
        <v>25</v>
      </c>
      <c r="S1621" t="s">
        <v>26</v>
      </c>
      <c r="T1621" t="s">
        <v>27</v>
      </c>
      <c r="U1621">
        <f>IF(IFERROR(VLOOKUP(BBDD_Usiarios_Netflix[[#This Row],[Identificador Usuario]],A1622:$A$5870,1,FALSE),0)&lt;&gt;0,1,0)</f>
        <v>0</v>
      </c>
      <c r="V1621" s="6" t="str">
        <f>IF(BBDD_Usiarios_Netflix[[#This Row],[Duración Plan]]="12 Meses",LEFT(BBDD_Usiarios_Netflix[[#This Row],[Duración Plan]],2),LEFT(BBDD_Usiarios_Netflix[[#This Row],[Duración Plan]],1))</f>
        <v>1</v>
      </c>
      <c r="W16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22" spans="1:23" x14ac:dyDescent="0.25">
      <c r="A1622">
        <v>1621</v>
      </c>
      <c r="B1622" t="s">
        <v>28</v>
      </c>
      <c r="C1622">
        <v>14</v>
      </c>
      <c r="D1622" s="3">
        <v>4</v>
      </c>
      <c r="E1622" s="3">
        <v>11</v>
      </c>
      <c r="F1622">
        <v>23</v>
      </c>
      <c r="G1622" s="1">
        <f>DATEVALUE(_xlfn.CONCAT(BBDD_Usiarios_Netflix[[#This Row],[Día Suscripción]],"/",BBDD_Usiarios_Netflix[[#This Row],[Mes Suscripción]],"/",BBDD_Usiarios_Netflix[[#This Row],[Año Suscripción]]))</f>
        <v>45234</v>
      </c>
      <c r="H1622" s="1">
        <v>5</v>
      </c>
      <c r="I1622" s="1">
        <v>7</v>
      </c>
      <c r="J1622" s="1">
        <v>24</v>
      </c>
      <c r="K1622" s="1" t="str">
        <f>TEXT(BBDD_Usiarios_Netflix[[#This Row],[Fecha Suscripción]],"dddd")</f>
        <v>sábado</v>
      </c>
      <c r="L1622" s="1">
        <f>DATEVALUE(_xlfn.CONCAT(BBDD_Usiarios_Netflix[[#This Row],[Día Último Pago]],"/",BBDD_Usiarios_Netflix[[#This Row],[Mes Último Pago]],"/",BBDD_Usiarios_Netflix[[#This Row],[Año Último Pago]]))</f>
        <v>45478</v>
      </c>
      <c r="M1622" s="4">
        <f>DATEDIF(BBDD_Usiarios_Netflix[[#This Row],[Fecha Suscripción]],BBDD_Usiarios_Netflix[[#This Row],[Fecha Último Pago]],"M")+1</f>
        <v>9</v>
      </c>
      <c r="N1622" s="4">
        <f>BBDD_Usiarios_Netflix[[#This Row],[Ingresos Mensuales]]*BBDD_Usiarios_Netflix[[#This Row],[Meses contratados]]</f>
        <v>126</v>
      </c>
      <c r="O1622" t="s">
        <v>44</v>
      </c>
      <c r="P1622" t="str">
        <f>IF(BBDD_Usiarios_Netflix[[#This Row],[País]]="","Desconocido",BBDD_Usiarios_Netflix[[#This Row],[País]])</f>
        <v>Desconocido</v>
      </c>
      <c r="Q1622">
        <v>39</v>
      </c>
      <c r="R1622" t="s">
        <v>25</v>
      </c>
      <c r="S1622" t="s">
        <v>36</v>
      </c>
      <c r="T1622" t="s">
        <v>38</v>
      </c>
      <c r="U1622">
        <f>IF(IFERROR(VLOOKUP(BBDD_Usiarios_Netflix[[#This Row],[Identificador Usuario]],A1623:$A$5870,1,FALSE),0)&lt;&gt;0,1,0)</f>
        <v>0</v>
      </c>
      <c r="V1622" s="6" t="str">
        <f>IF(BBDD_Usiarios_Netflix[[#This Row],[Duración Plan]]="12 Meses",LEFT(BBDD_Usiarios_Netflix[[#This Row],[Duración Plan]],2),LEFT(BBDD_Usiarios_Netflix[[#This Row],[Duración Plan]],1))</f>
        <v>3</v>
      </c>
      <c r="W16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23" spans="1:23" x14ac:dyDescent="0.25">
      <c r="A1623">
        <v>1622</v>
      </c>
      <c r="B1623" t="s">
        <v>23</v>
      </c>
      <c r="C1623">
        <v>10</v>
      </c>
      <c r="D1623" s="3">
        <v>5</v>
      </c>
      <c r="E1623" s="3">
        <v>11</v>
      </c>
      <c r="F1623">
        <v>23</v>
      </c>
      <c r="G1623" s="1">
        <f>DATEVALUE(_xlfn.CONCAT(BBDD_Usiarios_Netflix[[#This Row],[Día Suscripción]],"/",BBDD_Usiarios_Netflix[[#This Row],[Mes Suscripción]],"/",BBDD_Usiarios_Netflix[[#This Row],[Año Suscripción]]))</f>
        <v>45235</v>
      </c>
      <c r="H1623" s="1">
        <v>5</v>
      </c>
      <c r="I1623" s="1">
        <v>7</v>
      </c>
      <c r="J1623" s="1">
        <v>24</v>
      </c>
      <c r="K1623" s="1" t="str">
        <f>TEXT(BBDD_Usiarios_Netflix[[#This Row],[Fecha Suscripción]],"dddd")</f>
        <v>domingo</v>
      </c>
      <c r="L1623" s="1">
        <f>DATEVALUE(_xlfn.CONCAT(BBDD_Usiarios_Netflix[[#This Row],[Día Último Pago]],"/",BBDD_Usiarios_Netflix[[#This Row],[Mes Último Pago]],"/",BBDD_Usiarios_Netflix[[#This Row],[Año Último Pago]]))</f>
        <v>45478</v>
      </c>
      <c r="M1623" s="4">
        <f>DATEDIF(BBDD_Usiarios_Netflix[[#This Row],[Fecha Suscripción]],BBDD_Usiarios_Netflix[[#This Row],[Fecha Último Pago]],"M")+1</f>
        <v>9</v>
      </c>
      <c r="N1623" s="4">
        <f>BBDD_Usiarios_Netflix[[#This Row],[Ingresos Mensuales]]*BBDD_Usiarios_Netflix[[#This Row],[Meses contratados]]</f>
        <v>90</v>
      </c>
      <c r="O1623" t="s">
        <v>43</v>
      </c>
      <c r="P1623" t="str">
        <f>IF(BBDD_Usiarios_Netflix[[#This Row],[País]]="","Desconocido",BBDD_Usiarios_Netflix[[#This Row],[País]])</f>
        <v>Alemania</v>
      </c>
      <c r="Q1623">
        <v>45</v>
      </c>
      <c r="R1623" t="s">
        <v>30</v>
      </c>
      <c r="S1623" t="s">
        <v>34</v>
      </c>
      <c r="T1623" t="s">
        <v>27</v>
      </c>
      <c r="U1623">
        <f>IF(IFERROR(VLOOKUP(BBDD_Usiarios_Netflix[[#This Row],[Identificador Usuario]],A1624:$A$5870,1,FALSE),0)&lt;&gt;0,1,0)</f>
        <v>0</v>
      </c>
      <c r="V1623" s="6" t="str">
        <f>IF(BBDD_Usiarios_Netflix[[#This Row],[Duración Plan]]="12 Meses",LEFT(BBDD_Usiarios_Netflix[[#This Row],[Duración Plan]],2),LEFT(BBDD_Usiarios_Netflix[[#This Row],[Duración Plan]],1))</f>
        <v>1</v>
      </c>
      <c r="W16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24" spans="1:23" x14ac:dyDescent="0.25">
      <c r="A1624">
        <v>1623</v>
      </c>
      <c r="B1624" t="s">
        <v>32</v>
      </c>
      <c r="C1624">
        <v>12</v>
      </c>
      <c r="D1624" s="3">
        <v>3</v>
      </c>
      <c r="E1624" s="3">
        <v>11</v>
      </c>
      <c r="F1624">
        <v>23</v>
      </c>
      <c r="G1624" s="1">
        <f>DATEVALUE(_xlfn.CONCAT(BBDD_Usiarios_Netflix[[#This Row],[Día Suscripción]],"/",BBDD_Usiarios_Netflix[[#This Row],[Mes Suscripción]],"/",BBDD_Usiarios_Netflix[[#This Row],[Año Suscripción]]))</f>
        <v>45233</v>
      </c>
      <c r="H1624" s="1">
        <v>6</v>
      </c>
      <c r="I1624" s="1">
        <v>7</v>
      </c>
      <c r="J1624" s="1">
        <v>24</v>
      </c>
      <c r="K1624" s="1" t="str">
        <f>TEXT(BBDD_Usiarios_Netflix[[#This Row],[Fecha Suscripción]],"dddd")</f>
        <v>viernes</v>
      </c>
      <c r="L1624" s="1">
        <f>DATEVALUE(_xlfn.CONCAT(BBDD_Usiarios_Netflix[[#This Row],[Día Último Pago]],"/",BBDD_Usiarios_Netflix[[#This Row],[Mes Último Pago]],"/",BBDD_Usiarios_Netflix[[#This Row],[Año Último Pago]]))</f>
        <v>45479</v>
      </c>
      <c r="M1624" s="4">
        <f>DATEDIF(BBDD_Usiarios_Netflix[[#This Row],[Fecha Suscripción]],BBDD_Usiarios_Netflix[[#This Row],[Fecha Último Pago]],"M")+1</f>
        <v>9</v>
      </c>
      <c r="N1624" s="4">
        <f>BBDD_Usiarios_Netflix[[#This Row],[Ingresos Mensuales]]*BBDD_Usiarios_Netflix[[#This Row],[Meses contratados]]</f>
        <v>108</v>
      </c>
      <c r="O1624" t="s">
        <v>40</v>
      </c>
      <c r="P1624" t="str">
        <f>IF(BBDD_Usiarios_Netflix[[#This Row],[País]]="","Desconocido",BBDD_Usiarios_Netflix[[#This Row],[País]])</f>
        <v>Italia</v>
      </c>
      <c r="Q1624">
        <v>29</v>
      </c>
      <c r="R1624" t="s">
        <v>25</v>
      </c>
      <c r="S1624" t="s">
        <v>36</v>
      </c>
      <c r="T1624" t="s">
        <v>41</v>
      </c>
      <c r="U1624">
        <f>IF(IFERROR(VLOOKUP(BBDD_Usiarios_Netflix[[#This Row],[Identificador Usuario]],A1625:$A$5870,1,FALSE),0)&lt;&gt;0,1,0)</f>
        <v>0</v>
      </c>
      <c r="V1624" s="6" t="str">
        <f>IF(BBDD_Usiarios_Netflix[[#This Row],[Duración Plan]]="12 Meses",LEFT(BBDD_Usiarios_Netflix[[#This Row],[Duración Plan]],2),LEFT(BBDD_Usiarios_Netflix[[#This Row],[Duración Plan]],1))</f>
        <v>12</v>
      </c>
      <c r="W16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25" spans="1:23" x14ac:dyDescent="0.25">
      <c r="A1625">
        <v>1624</v>
      </c>
      <c r="B1625" t="s">
        <v>28</v>
      </c>
      <c r="C1625">
        <v>14</v>
      </c>
      <c r="D1625" s="3">
        <v>31</v>
      </c>
      <c r="E1625" s="3">
        <v>10</v>
      </c>
      <c r="F1625">
        <v>23</v>
      </c>
      <c r="G1625" s="1">
        <f>DATEVALUE(_xlfn.CONCAT(BBDD_Usiarios_Netflix[[#This Row],[Día Suscripción]],"/",BBDD_Usiarios_Netflix[[#This Row],[Mes Suscripción]],"/",BBDD_Usiarios_Netflix[[#This Row],[Año Suscripción]]))</f>
        <v>45230</v>
      </c>
      <c r="H1625" s="1">
        <v>7</v>
      </c>
      <c r="I1625" s="1">
        <v>7</v>
      </c>
      <c r="J1625" s="1">
        <v>24</v>
      </c>
      <c r="K1625" s="1" t="str">
        <f>TEXT(BBDD_Usiarios_Netflix[[#This Row],[Fecha Suscripción]],"dddd")</f>
        <v>martes</v>
      </c>
      <c r="L1625" s="1">
        <f>DATEVALUE(_xlfn.CONCAT(BBDD_Usiarios_Netflix[[#This Row],[Día Último Pago]],"/",BBDD_Usiarios_Netflix[[#This Row],[Mes Último Pago]],"/",BBDD_Usiarios_Netflix[[#This Row],[Año Último Pago]]))</f>
        <v>45480</v>
      </c>
      <c r="M1625" s="4">
        <f>DATEDIF(BBDD_Usiarios_Netflix[[#This Row],[Fecha Suscripción]],BBDD_Usiarios_Netflix[[#This Row],[Fecha Último Pago]],"M")+1</f>
        <v>9</v>
      </c>
      <c r="N1625" s="4">
        <f>BBDD_Usiarios_Netflix[[#This Row],[Ingresos Mensuales]]*BBDD_Usiarios_Netflix[[#This Row],[Meses contratados]]</f>
        <v>126</v>
      </c>
      <c r="O1625" t="s">
        <v>42</v>
      </c>
      <c r="P1625" t="str">
        <f>IF(BBDD_Usiarios_Netflix[[#This Row],[País]]="","Desconocido",BBDD_Usiarios_Netflix[[#This Row],[País]])</f>
        <v>Reino Unido</v>
      </c>
      <c r="Q1625">
        <v>35</v>
      </c>
      <c r="R1625" t="s">
        <v>25</v>
      </c>
      <c r="S1625" t="s">
        <v>26</v>
      </c>
      <c r="T1625" t="s">
        <v>35</v>
      </c>
      <c r="U1625">
        <f>IF(IFERROR(VLOOKUP(BBDD_Usiarios_Netflix[[#This Row],[Identificador Usuario]],A1626:$A$5870,1,FALSE),0)&lt;&gt;0,1,0)</f>
        <v>0</v>
      </c>
      <c r="V1625" s="6" t="str">
        <f>IF(BBDD_Usiarios_Netflix[[#This Row],[Duración Plan]]="12 Meses",LEFT(BBDD_Usiarios_Netflix[[#This Row],[Duración Plan]],2),LEFT(BBDD_Usiarios_Netflix[[#This Row],[Duración Plan]],1))</f>
        <v>6</v>
      </c>
      <c r="W16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26" spans="1:23" x14ac:dyDescent="0.25">
      <c r="A1626">
        <v>1625</v>
      </c>
      <c r="B1626" t="s">
        <v>23</v>
      </c>
      <c r="C1626">
        <v>10</v>
      </c>
      <c r="D1626" s="3">
        <v>26</v>
      </c>
      <c r="E1626" s="3">
        <v>10</v>
      </c>
      <c r="F1626">
        <v>23</v>
      </c>
      <c r="G1626" s="1">
        <f>DATEVALUE(_xlfn.CONCAT(BBDD_Usiarios_Netflix[[#This Row],[Día Suscripción]],"/",BBDD_Usiarios_Netflix[[#This Row],[Mes Suscripción]],"/",BBDD_Usiarios_Netflix[[#This Row],[Año Suscripción]]))</f>
        <v>45225</v>
      </c>
      <c r="H1626" s="1">
        <v>4</v>
      </c>
      <c r="I1626" s="1">
        <v>7</v>
      </c>
      <c r="J1626" s="1">
        <v>24</v>
      </c>
      <c r="K1626" s="1" t="str">
        <f>TEXT(BBDD_Usiarios_Netflix[[#This Row],[Fecha Suscripción]],"dddd")</f>
        <v>jueves</v>
      </c>
      <c r="L1626" s="1">
        <f>DATEVALUE(_xlfn.CONCAT(BBDD_Usiarios_Netflix[[#This Row],[Día Último Pago]],"/",BBDD_Usiarios_Netflix[[#This Row],[Mes Último Pago]],"/",BBDD_Usiarios_Netflix[[#This Row],[Año Último Pago]]))</f>
        <v>45477</v>
      </c>
      <c r="M1626" s="4">
        <f>DATEDIF(BBDD_Usiarios_Netflix[[#This Row],[Fecha Suscripción]],BBDD_Usiarios_Netflix[[#This Row],[Fecha Último Pago]],"M")+1</f>
        <v>9</v>
      </c>
      <c r="N1626" s="4">
        <f>BBDD_Usiarios_Netflix[[#This Row],[Ingresos Mensuales]]*BBDD_Usiarios_Netflix[[#This Row],[Meses contratados]]</f>
        <v>90</v>
      </c>
      <c r="O1626" t="s">
        <v>43</v>
      </c>
      <c r="P1626" t="str">
        <f>IF(BBDD_Usiarios_Netflix[[#This Row],[País]]="","Desconocido",BBDD_Usiarios_Netflix[[#This Row],[País]])</f>
        <v>Alemania</v>
      </c>
      <c r="Q1626">
        <v>51</v>
      </c>
      <c r="R1626" t="s">
        <v>30</v>
      </c>
      <c r="S1626" t="s">
        <v>34</v>
      </c>
      <c r="T1626" t="s">
        <v>27</v>
      </c>
      <c r="U1626">
        <f>IF(IFERROR(VLOOKUP(BBDD_Usiarios_Netflix[[#This Row],[Identificador Usuario]],A1627:$A$5870,1,FALSE),0)&lt;&gt;0,1,0)</f>
        <v>0</v>
      </c>
      <c r="V1626" s="6" t="str">
        <f>IF(BBDD_Usiarios_Netflix[[#This Row],[Duración Plan]]="12 Meses",LEFT(BBDD_Usiarios_Netflix[[#This Row],[Duración Plan]],2),LEFT(BBDD_Usiarios_Netflix[[#This Row],[Duración Plan]],1))</f>
        <v>1</v>
      </c>
      <c r="W16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27" spans="1:23" x14ac:dyDescent="0.25">
      <c r="A1627">
        <v>1626</v>
      </c>
      <c r="B1627" t="s">
        <v>28</v>
      </c>
      <c r="C1627">
        <v>14</v>
      </c>
      <c r="D1627" s="3">
        <v>16</v>
      </c>
      <c r="E1627" s="3">
        <v>10</v>
      </c>
      <c r="F1627">
        <v>23</v>
      </c>
      <c r="G1627" s="1">
        <f>DATEVALUE(_xlfn.CONCAT(BBDD_Usiarios_Netflix[[#This Row],[Día Suscripción]],"/",BBDD_Usiarios_Netflix[[#This Row],[Mes Suscripción]],"/",BBDD_Usiarios_Netflix[[#This Row],[Año Suscripción]]))</f>
        <v>45215</v>
      </c>
      <c r="H1627" s="1">
        <v>6</v>
      </c>
      <c r="I1627" s="1">
        <v>7</v>
      </c>
      <c r="J1627" s="1">
        <v>24</v>
      </c>
      <c r="K1627" s="1" t="str">
        <f>TEXT(BBDD_Usiarios_Netflix[[#This Row],[Fecha Suscripción]],"dddd")</f>
        <v>lunes</v>
      </c>
      <c r="L1627" s="1">
        <f>DATEVALUE(_xlfn.CONCAT(BBDD_Usiarios_Netflix[[#This Row],[Día Último Pago]],"/",BBDD_Usiarios_Netflix[[#This Row],[Mes Último Pago]],"/",BBDD_Usiarios_Netflix[[#This Row],[Año Último Pago]]))</f>
        <v>45479</v>
      </c>
      <c r="M1627" s="4">
        <f>DATEDIF(BBDD_Usiarios_Netflix[[#This Row],[Fecha Suscripción]],BBDD_Usiarios_Netflix[[#This Row],[Fecha Último Pago]],"M")+1</f>
        <v>9</v>
      </c>
      <c r="N1627" s="4">
        <f>BBDD_Usiarios_Netflix[[#This Row],[Ingresos Mensuales]]*BBDD_Usiarios_Netflix[[#This Row],[Meses contratados]]</f>
        <v>126</v>
      </c>
      <c r="O1627" t="s">
        <v>33</v>
      </c>
      <c r="P1627" t="str">
        <f>IF(BBDD_Usiarios_Netflix[[#This Row],[País]]="","Desconocido",BBDD_Usiarios_Netflix[[#This Row],[País]])</f>
        <v>Francia</v>
      </c>
      <c r="Q1627">
        <v>51</v>
      </c>
      <c r="R1627" t="s">
        <v>25</v>
      </c>
      <c r="S1627" t="s">
        <v>34</v>
      </c>
      <c r="T1627" t="s">
        <v>27</v>
      </c>
      <c r="U1627">
        <f>IF(IFERROR(VLOOKUP(BBDD_Usiarios_Netflix[[#This Row],[Identificador Usuario]],A1628:$A$5870,1,FALSE),0)&lt;&gt;0,1,0)</f>
        <v>0</v>
      </c>
      <c r="V1627" s="6" t="str">
        <f>IF(BBDD_Usiarios_Netflix[[#This Row],[Duración Plan]]="12 Meses",LEFT(BBDD_Usiarios_Netflix[[#This Row],[Duración Plan]],2),LEFT(BBDD_Usiarios_Netflix[[#This Row],[Duración Plan]],1))</f>
        <v>1</v>
      </c>
      <c r="W16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28" spans="1:23" x14ac:dyDescent="0.25">
      <c r="A1628">
        <v>1627</v>
      </c>
      <c r="B1628" t="s">
        <v>23</v>
      </c>
      <c r="C1628">
        <v>10</v>
      </c>
      <c r="D1628" s="3">
        <v>16</v>
      </c>
      <c r="E1628" s="3">
        <v>10</v>
      </c>
      <c r="F1628">
        <v>23</v>
      </c>
      <c r="G1628" s="1">
        <f>DATEVALUE(_xlfn.CONCAT(BBDD_Usiarios_Netflix[[#This Row],[Día Suscripción]],"/",BBDD_Usiarios_Netflix[[#This Row],[Mes Suscripción]],"/",BBDD_Usiarios_Netflix[[#This Row],[Año Suscripción]]))</f>
        <v>45215</v>
      </c>
      <c r="H1628" s="1">
        <v>7</v>
      </c>
      <c r="I1628" s="1">
        <v>7</v>
      </c>
      <c r="J1628" s="1">
        <v>24</v>
      </c>
      <c r="K1628" s="1" t="str">
        <f>TEXT(BBDD_Usiarios_Netflix[[#This Row],[Fecha Suscripción]],"dddd")</f>
        <v>lunes</v>
      </c>
      <c r="L1628" s="1">
        <f>DATEVALUE(_xlfn.CONCAT(BBDD_Usiarios_Netflix[[#This Row],[Día Último Pago]],"/",BBDD_Usiarios_Netflix[[#This Row],[Mes Último Pago]],"/",BBDD_Usiarios_Netflix[[#This Row],[Año Último Pago]]))</f>
        <v>45480</v>
      </c>
      <c r="M1628" s="4">
        <f>DATEDIF(BBDD_Usiarios_Netflix[[#This Row],[Fecha Suscripción]],BBDD_Usiarios_Netflix[[#This Row],[Fecha Último Pago]],"M")+1</f>
        <v>9</v>
      </c>
      <c r="N1628" s="4">
        <f>BBDD_Usiarios_Netflix[[#This Row],[Ingresos Mensuales]]*BBDD_Usiarios_Netflix[[#This Row],[Meses contratados]]</f>
        <v>90</v>
      </c>
      <c r="O1628" t="s">
        <v>46</v>
      </c>
      <c r="P1628" t="str">
        <f>IF(BBDD_Usiarios_Netflix[[#This Row],[País]]="","Desconocido",BBDD_Usiarios_Netflix[[#This Row],[País]])</f>
        <v>Méjico</v>
      </c>
      <c r="Q1628">
        <v>42</v>
      </c>
      <c r="R1628" t="s">
        <v>30</v>
      </c>
      <c r="S1628" t="s">
        <v>26</v>
      </c>
      <c r="T1628" t="s">
        <v>41</v>
      </c>
      <c r="U1628">
        <f>IF(IFERROR(VLOOKUP(BBDD_Usiarios_Netflix[[#This Row],[Identificador Usuario]],A1629:$A$5870,1,FALSE),0)&lt;&gt;0,1,0)</f>
        <v>0</v>
      </c>
      <c r="V1628" s="6" t="str">
        <f>IF(BBDD_Usiarios_Netflix[[#This Row],[Duración Plan]]="12 Meses",LEFT(BBDD_Usiarios_Netflix[[#This Row],[Duración Plan]],2),LEFT(BBDD_Usiarios_Netflix[[#This Row],[Duración Plan]],1))</f>
        <v>12</v>
      </c>
      <c r="W16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29" spans="1:23" x14ac:dyDescent="0.25">
      <c r="A1629">
        <v>1628</v>
      </c>
      <c r="B1629" t="s">
        <v>32</v>
      </c>
      <c r="C1629">
        <v>12</v>
      </c>
      <c r="D1629" s="3">
        <v>17</v>
      </c>
      <c r="E1629" s="3">
        <v>9</v>
      </c>
      <c r="F1629">
        <v>23</v>
      </c>
      <c r="G1629" s="1">
        <f>DATEVALUE(_xlfn.CONCAT(BBDD_Usiarios_Netflix[[#This Row],[Día Suscripción]],"/",BBDD_Usiarios_Netflix[[#This Row],[Mes Suscripción]],"/",BBDD_Usiarios_Netflix[[#This Row],[Año Suscripción]]))</f>
        <v>45186</v>
      </c>
      <c r="H1629" s="1">
        <v>6</v>
      </c>
      <c r="I1629" s="1">
        <v>7</v>
      </c>
      <c r="J1629" s="1">
        <v>24</v>
      </c>
      <c r="K1629" s="1" t="str">
        <f>TEXT(BBDD_Usiarios_Netflix[[#This Row],[Fecha Suscripción]],"dddd")</f>
        <v>domingo</v>
      </c>
      <c r="L1629" s="1">
        <f>DATEVALUE(_xlfn.CONCAT(BBDD_Usiarios_Netflix[[#This Row],[Día Último Pago]],"/",BBDD_Usiarios_Netflix[[#This Row],[Mes Último Pago]],"/",BBDD_Usiarios_Netflix[[#This Row],[Año Último Pago]]))</f>
        <v>45479</v>
      </c>
      <c r="M1629" s="4">
        <f>DATEDIF(BBDD_Usiarios_Netflix[[#This Row],[Fecha Suscripción]],BBDD_Usiarios_Netflix[[#This Row],[Fecha Último Pago]],"M")+1</f>
        <v>10</v>
      </c>
      <c r="N1629" s="4">
        <f>BBDD_Usiarios_Netflix[[#This Row],[Ingresos Mensuales]]*BBDD_Usiarios_Netflix[[#This Row],[Meses contratados]]</f>
        <v>120</v>
      </c>
      <c r="O1629" t="s">
        <v>37</v>
      </c>
      <c r="P1629" t="str">
        <f>IF(BBDD_Usiarios_Netflix[[#This Row],[País]]="","Desconocido",BBDD_Usiarios_Netflix[[#This Row],[País]])</f>
        <v>Brasil</v>
      </c>
      <c r="Q1629">
        <v>48</v>
      </c>
      <c r="R1629" t="s">
        <v>30</v>
      </c>
      <c r="S1629" t="s">
        <v>36</v>
      </c>
      <c r="T1629" t="s">
        <v>38</v>
      </c>
      <c r="U1629">
        <f>IF(IFERROR(VLOOKUP(BBDD_Usiarios_Netflix[[#This Row],[Identificador Usuario]],A1630:$A$5870,1,FALSE),0)&lt;&gt;0,1,0)</f>
        <v>0</v>
      </c>
      <c r="V1629" s="6" t="str">
        <f>IF(BBDD_Usiarios_Netflix[[#This Row],[Duración Plan]]="12 Meses",LEFT(BBDD_Usiarios_Netflix[[#This Row],[Duración Plan]],2),LEFT(BBDD_Usiarios_Netflix[[#This Row],[Duración Plan]],1))</f>
        <v>3</v>
      </c>
      <c r="W16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30" spans="1:23" x14ac:dyDescent="0.25">
      <c r="A1630">
        <v>1629</v>
      </c>
      <c r="B1630" t="s">
        <v>32</v>
      </c>
      <c r="C1630">
        <v>12</v>
      </c>
      <c r="D1630" s="3">
        <v>12</v>
      </c>
      <c r="E1630" s="3">
        <v>9</v>
      </c>
      <c r="F1630">
        <v>23</v>
      </c>
      <c r="G1630" s="1">
        <f>DATEVALUE(_xlfn.CONCAT(BBDD_Usiarios_Netflix[[#This Row],[Día Suscripción]],"/",BBDD_Usiarios_Netflix[[#This Row],[Mes Suscripción]],"/",BBDD_Usiarios_Netflix[[#This Row],[Año Suscripción]]))</f>
        <v>45181</v>
      </c>
      <c r="H1630" s="1">
        <v>4</v>
      </c>
      <c r="I1630" s="1">
        <v>7</v>
      </c>
      <c r="J1630" s="1">
        <v>24</v>
      </c>
      <c r="K1630" s="1" t="str">
        <f>TEXT(BBDD_Usiarios_Netflix[[#This Row],[Fecha Suscripción]],"dddd")</f>
        <v>martes</v>
      </c>
      <c r="L1630" s="1">
        <f>DATEVALUE(_xlfn.CONCAT(BBDD_Usiarios_Netflix[[#This Row],[Día Último Pago]],"/",BBDD_Usiarios_Netflix[[#This Row],[Mes Último Pago]],"/",BBDD_Usiarios_Netflix[[#This Row],[Año Último Pago]]))</f>
        <v>45477</v>
      </c>
      <c r="M1630" s="4">
        <f>DATEDIF(BBDD_Usiarios_Netflix[[#This Row],[Fecha Suscripción]],BBDD_Usiarios_Netflix[[#This Row],[Fecha Último Pago]],"M")+1</f>
        <v>10</v>
      </c>
      <c r="N1630" s="4">
        <f>BBDD_Usiarios_Netflix[[#This Row],[Ingresos Mensuales]]*BBDD_Usiarios_Netflix[[#This Row],[Meses contratados]]</f>
        <v>120</v>
      </c>
      <c r="O1630" t="s">
        <v>39</v>
      </c>
      <c r="P1630" t="str">
        <f>IF(BBDD_Usiarios_Netflix[[#This Row],[País]]="","Desconocido",BBDD_Usiarios_Netflix[[#This Row],[País]])</f>
        <v>Canadá</v>
      </c>
      <c r="Q1630">
        <v>40</v>
      </c>
      <c r="R1630" t="s">
        <v>25</v>
      </c>
      <c r="S1630" t="s">
        <v>34</v>
      </c>
      <c r="T1630" t="s">
        <v>35</v>
      </c>
      <c r="U1630">
        <f>IF(IFERROR(VLOOKUP(BBDD_Usiarios_Netflix[[#This Row],[Identificador Usuario]],A1631:$A$5870,1,FALSE),0)&lt;&gt;0,1,0)</f>
        <v>0</v>
      </c>
      <c r="V1630" s="6" t="str">
        <f>IF(BBDD_Usiarios_Netflix[[#This Row],[Duración Plan]]="12 Meses",LEFT(BBDD_Usiarios_Netflix[[#This Row],[Duración Plan]],2),LEFT(BBDD_Usiarios_Netflix[[#This Row],[Duración Plan]],1))</f>
        <v>6</v>
      </c>
      <c r="W16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31" spans="1:23" x14ac:dyDescent="0.25">
      <c r="A1631">
        <v>1630</v>
      </c>
      <c r="B1631" t="s">
        <v>23</v>
      </c>
      <c r="C1631">
        <v>10</v>
      </c>
      <c r="D1631" s="3">
        <v>13</v>
      </c>
      <c r="E1631" s="3">
        <v>9</v>
      </c>
      <c r="F1631">
        <v>23</v>
      </c>
      <c r="G1631" s="1">
        <f>DATEVALUE(_xlfn.CONCAT(BBDD_Usiarios_Netflix[[#This Row],[Día Suscripción]],"/",BBDD_Usiarios_Netflix[[#This Row],[Mes Suscripción]],"/",BBDD_Usiarios_Netflix[[#This Row],[Año Suscripción]]))</f>
        <v>45182</v>
      </c>
      <c r="H1631" s="1">
        <v>7</v>
      </c>
      <c r="I1631" s="1">
        <v>7</v>
      </c>
      <c r="J1631" s="1">
        <v>24</v>
      </c>
      <c r="K1631" s="1" t="str">
        <f>TEXT(BBDD_Usiarios_Netflix[[#This Row],[Fecha Suscripción]],"dddd")</f>
        <v>miércoles</v>
      </c>
      <c r="L1631" s="1">
        <f>DATEVALUE(_xlfn.CONCAT(BBDD_Usiarios_Netflix[[#This Row],[Día Último Pago]],"/",BBDD_Usiarios_Netflix[[#This Row],[Mes Último Pago]],"/",BBDD_Usiarios_Netflix[[#This Row],[Año Último Pago]]))</f>
        <v>45480</v>
      </c>
      <c r="M1631" s="4">
        <f>DATEDIF(BBDD_Usiarios_Netflix[[#This Row],[Fecha Suscripción]],BBDD_Usiarios_Netflix[[#This Row],[Fecha Último Pago]],"M")+1</f>
        <v>10</v>
      </c>
      <c r="N1631" s="4">
        <f>BBDD_Usiarios_Netflix[[#This Row],[Ingresos Mensuales]]*BBDD_Usiarios_Netflix[[#This Row],[Meses contratados]]</f>
        <v>100</v>
      </c>
      <c r="O1631" t="s">
        <v>42</v>
      </c>
      <c r="P1631" t="str">
        <f>IF(BBDD_Usiarios_Netflix[[#This Row],[País]]="","Desconocido",BBDD_Usiarios_Netflix[[#This Row],[País]])</f>
        <v>Reino Unido</v>
      </c>
      <c r="Q1631">
        <v>39</v>
      </c>
      <c r="R1631" t="s">
        <v>25</v>
      </c>
      <c r="S1631" t="s">
        <v>34</v>
      </c>
      <c r="T1631" t="s">
        <v>35</v>
      </c>
      <c r="U1631">
        <f>IF(IFERROR(VLOOKUP(BBDD_Usiarios_Netflix[[#This Row],[Identificador Usuario]],A1632:$A$5870,1,FALSE),0)&lt;&gt;0,1,0)</f>
        <v>0</v>
      </c>
      <c r="V1631" s="6" t="str">
        <f>IF(BBDD_Usiarios_Netflix[[#This Row],[Duración Plan]]="12 Meses",LEFT(BBDD_Usiarios_Netflix[[#This Row],[Duración Plan]],2),LEFT(BBDD_Usiarios_Netflix[[#This Row],[Duración Plan]],1))</f>
        <v>6</v>
      </c>
      <c r="W16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32" spans="1:23" x14ac:dyDescent="0.25">
      <c r="A1632">
        <v>1631</v>
      </c>
      <c r="B1632" t="s">
        <v>28</v>
      </c>
      <c r="C1632">
        <v>14</v>
      </c>
      <c r="D1632" s="3">
        <v>9</v>
      </c>
      <c r="E1632" s="3">
        <v>9</v>
      </c>
      <c r="F1632">
        <v>23</v>
      </c>
      <c r="G1632" s="1">
        <f>DATEVALUE(_xlfn.CONCAT(BBDD_Usiarios_Netflix[[#This Row],[Día Suscripción]],"/",BBDD_Usiarios_Netflix[[#This Row],[Mes Suscripción]],"/",BBDD_Usiarios_Netflix[[#This Row],[Año Suscripción]]))</f>
        <v>45178</v>
      </c>
      <c r="H1632" s="1">
        <v>7</v>
      </c>
      <c r="I1632" s="1">
        <v>7</v>
      </c>
      <c r="J1632" s="1">
        <v>24</v>
      </c>
      <c r="K1632" s="1" t="str">
        <f>TEXT(BBDD_Usiarios_Netflix[[#This Row],[Fecha Suscripción]],"dddd")</f>
        <v>sábado</v>
      </c>
      <c r="L1632" s="1">
        <f>DATEVALUE(_xlfn.CONCAT(BBDD_Usiarios_Netflix[[#This Row],[Día Último Pago]],"/",BBDD_Usiarios_Netflix[[#This Row],[Mes Último Pago]],"/",BBDD_Usiarios_Netflix[[#This Row],[Año Último Pago]]))</f>
        <v>45480</v>
      </c>
      <c r="M1632" s="4">
        <f>DATEDIF(BBDD_Usiarios_Netflix[[#This Row],[Fecha Suscripción]],BBDD_Usiarios_Netflix[[#This Row],[Fecha Último Pago]],"M")+1</f>
        <v>10</v>
      </c>
      <c r="N1632" s="4">
        <f>BBDD_Usiarios_Netflix[[#This Row],[Ingresos Mensuales]]*BBDD_Usiarios_Netflix[[#This Row],[Meses contratados]]</f>
        <v>140</v>
      </c>
      <c r="O1632" t="s">
        <v>24</v>
      </c>
      <c r="P1632" t="str">
        <f>IF(BBDD_Usiarios_Netflix[[#This Row],[País]]="","Desconocido",BBDD_Usiarios_Netflix[[#This Row],[País]])</f>
        <v>Australia</v>
      </c>
      <c r="Q1632">
        <v>44</v>
      </c>
      <c r="R1632" t="s">
        <v>25</v>
      </c>
      <c r="S1632" t="s">
        <v>36</v>
      </c>
      <c r="T1632" t="s">
        <v>38</v>
      </c>
      <c r="U1632">
        <f>IF(IFERROR(VLOOKUP(BBDD_Usiarios_Netflix[[#This Row],[Identificador Usuario]],A1633:$A$5870,1,FALSE),0)&lt;&gt;0,1,0)</f>
        <v>0</v>
      </c>
      <c r="V1632" s="6" t="str">
        <f>IF(BBDD_Usiarios_Netflix[[#This Row],[Duración Plan]]="12 Meses",LEFT(BBDD_Usiarios_Netflix[[#This Row],[Duración Plan]],2),LEFT(BBDD_Usiarios_Netflix[[#This Row],[Duración Plan]],1))</f>
        <v>3</v>
      </c>
      <c r="W16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33" spans="1:23" x14ac:dyDescent="0.25">
      <c r="A1633">
        <v>1632</v>
      </c>
      <c r="B1633" t="s">
        <v>23</v>
      </c>
      <c r="C1633">
        <v>10</v>
      </c>
      <c r="D1633" s="3">
        <v>3</v>
      </c>
      <c r="E1633" s="3">
        <v>9</v>
      </c>
      <c r="F1633">
        <v>23</v>
      </c>
      <c r="G1633" s="1">
        <f>DATEVALUE(_xlfn.CONCAT(BBDD_Usiarios_Netflix[[#This Row],[Día Suscripción]],"/",BBDD_Usiarios_Netflix[[#This Row],[Mes Suscripción]],"/",BBDD_Usiarios_Netflix[[#This Row],[Año Suscripción]]))</f>
        <v>45172</v>
      </c>
      <c r="H1633" s="1">
        <v>6</v>
      </c>
      <c r="I1633" s="1">
        <v>7</v>
      </c>
      <c r="J1633" s="1">
        <v>24</v>
      </c>
      <c r="K1633" s="1" t="str">
        <f>TEXT(BBDD_Usiarios_Netflix[[#This Row],[Fecha Suscripción]],"dddd")</f>
        <v>domingo</v>
      </c>
      <c r="L1633" s="1">
        <f>DATEVALUE(_xlfn.CONCAT(BBDD_Usiarios_Netflix[[#This Row],[Día Último Pago]],"/",BBDD_Usiarios_Netflix[[#This Row],[Mes Último Pago]],"/",BBDD_Usiarios_Netflix[[#This Row],[Año Último Pago]]))</f>
        <v>45479</v>
      </c>
      <c r="M1633" s="4">
        <f>DATEDIF(BBDD_Usiarios_Netflix[[#This Row],[Fecha Suscripción]],BBDD_Usiarios_Netflix[[#This Row],[Fecha Último Pago]],"M")+1</f>
        <v>11</v>
      </c>
      <c r="N1633" s="4">
        <f>BBDD_Usiarios_Netflix[[#This Row],[Ingresos Mensuales]]*BBDD_Usiarios_Netflix[[#This Row],[Meses contratados]]</f>
        <v>110</v>
      </c>
      <c r="O1633" t="s">
        <v>29</v>
      </c>
      <c r="P1633" t="str">
        <f>IF(BBDD_Usiarios_Netflix[[#This Row],[País]]="","Desconocido",BBDD_Usiarios_Netflix[[#This Row],[País]])</f>
        <v>EEUU</v>
      </c>
      <c r="Q1633">
        <v>27</v>
      </c>
      <c r="R1633" t="s">
        <v>30</v>
      </c>
      <c r="S1633" t="s">
        <v>36</v>
      </c>
      <c r="T1633" t="s">
        <v>27</v>
      </c>
      <c r="U1633">
        <f>IF(IFERROR(VLOOKUP(BBDD_Usiarios_Netflix[[#This Row],[Identificador Usuario]],A1634:$A$5870,1,FALSE),0)&lt;&gt;0,1,0)</f>
        <v>0</v>
      </c>
      <c r="V1633" s="6" t="str">
        <f>IF(BBDD_Usiarios_Netflix[[#This Row],[Duración Plan]]="12 Meses",LEFT(BBDD_Usiarios_Netflix[[#This Row],[Duración Plan]],2),LEFT(BBDD_Usiarios_Netflix[[#This Row],[Duración Plan]],1))</f>
        <v>1</v>
      </c>
      <c r="W16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34" spans="1:23" x14ac:dyDescent="0.25">
      <c r="A1634">
        <v>1633</v>
      </c>
      <c r="B1634" t="s">
        <v>32</v>
      </c>
      <c r="C1634">
        <v>12</v>
      </c>
      <c r="D1634" s="3">
        <v>31</v>
      </c>
      <c r="E1634" s="3">
        <v>8</v>
      </c>
      <c r="F1634">
        <v>23</v>
      </c>
      <c r="G1634" s="1">
        <f>DATEVALUE(_xlfn.CONCAT(BBDD_Usiarios_Netflix[[#This Row],[Día Suscripción]],"/",BBDD_Usiarios_Netflix[[#This Row],[Mes Suscripción]],"/",BBDD_Usiarios_Netflix[[#This Row],[Año Suscripción]]))</f>
        <v>45169</v>
      </c>
      <c r="H1634" s="1">
        <v>5</v>
      </c>
      <c r="I1634" s="1">
        <v>7</v>
      </c>
      <c r="J1634" s="1">
        <v>24</v>
      </c>
      <c r="K1634" s="1" t="str">
        <f>TEXT(BBDD_Usiarios_Netflix[[#This Row],[Fecha Suscripción]],"dddd")</f>
        <v>jueves</v>
      </c>
      <c r="L1634" s="1">
        <f>DATEVALUE(_xlfn.CONCAT(BBDD_Usiarios_Netflix[[#This Row],[Día Último Pago]],"/",BBDD_Usiarios_Netflix[[#This Row],[Mes Último Pago]],"/",BBDD_Usiarios_Netflix[[#This Row],[Año Último Pago]]))</f>
        <v>45478</v>
      </c>
      <c r="M1634" s="4">
        <f>DATEDIF(BBDD_Usiarios_Netflix[[#This Row],[Fecha Suscripción]],BBDD_Usiarios_Netflix[[#This Row],[Fecha Último Pago]],"M")+1</f>
        <v>11</v>
      </c>
      <c r="N1634" s="4">
        <f>BBDD_Usiarios_Netflix[[#This Row],[Ingresos Mensuales]]*BBDD_Usiarios_Netflix[[#This Row],[Meses contratados]]</f>
        <v>132</v>
      </c>
      <c r="O1634" t="s">
        <v>42</v>
      </c>
      <c r="P1634" t="str">
        <f>IF(BBDD_Usiarios_Netflix[[#This Row],[País]]="","Desconocido",BBDD_Usiarios_Netflix[[#This Row],[País]])</f>
        <v>Reino Unido</v>
      </c>
      <c r="Q1634">
        <v>35</v>
      </c>
      <c r="R1634" t="s">
        <v>25</v>
      </c>
      <c r="S1634" t="s">
        <v>31</v>
      </c>
      <c r="T1634" t="s">
        <v>27</v>
      </c>
      <c r="U1634">
        <f>IF(IFERROR(VLOOKUP(BBDD_Usiarios_Netflix[[#This Row],[Identificador Usuario]],A1635:$A$5870,1,FALSE),0)&lt;&gt;0,1,0)</f>
        <v>0</v>
      </c>
      <c r="V1634" s="6" t="str">
        <f>IF(BBDD_Usiarios_Netflix[[#This Row],[Duración Plan]]="12 Meses",LEFT(BBDD_Usiarios_Netflix[[#This Row],[Duración Plan]],2),LEFT(BBDD_Usiarios_Netflix[[#This Row],[Duración Plan]],1))</f>
        <v>1</v>
      </c>
      <c r="W16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35" spans="1:23" x14ac:dyDescent="0.25">
      <c r="A1635">
        <v>1634</v>
      </c>
      <c r="B1635" t="s">
        <v>28</v>
      </c>
      <c r="C1635">
        <v>14</v>
      </c>
      <c r="D1635" s="3">
        <v>25</v>
      </c>
      <c r="E1635" s="3">
        <v>8</v>
      </c>
      <c r="F1635">
        <v>23</v>
      </c>
      <c r="G1635" s="1">
        <f>DATEVALUE(_xlfn.CONCAT(BBDD_Usiarios_Netflix[[#This Row],[Día Suscripción]],"/",BBDD_Usiarios_Netflix[[#This Row],[Mes Suscripción]],"/",BBDD_Usiarios_Netflix[[#This Row],[Año Suscripción]]))</f>
        <v>45163</v>
      </c>
      <c r="H1635" s="1">
        <v>7</v>
      </c>
      <c r="I1635" s="1">
        <v>7</v>
      </c>
      <c r="J1635" s="1">
        <v>24</v>
      </c>
      <c r="K1635" s="1" t="str">
        <f>TEXT(BBDD_Usiarios_Netflix[[#This Row],[Fecha Suscripción]],"dddd")</f>
        <v>viernes</v>
      </c>
      <c r="L1635" s="1">
        <f>DATEVALUE(_xlfn.CONCAT(BBDD_Usiarios_Netflix[[#This Row],[Día Último Pago]],"/",BBDD_Usiarios_Netflix[[#This Row],[Mes Último Pago]],"/",BBDD_Usiarios_Netflix[[#This Row],[Año Último Pago]]))</f>
        <v>45480</v>
      </c>
      <c r="M1635" s="4">
        <f>DATEDIF(BBDD_Usiarios_Netflix[[#This Row],[Fecha Suscripción]],BBDD_Usiarios_Netflix[[#This Row],[Fecha Último Pago]],"M")+1</f>
        <v>11</v>
      </c>
      <c r="N1635" s="4">
        <f>BBDD_Usiarios_Netflix[[#This Row],[Ingresos Mensuales]]*BBDD_Usiarios_Netflix[[#This Row],[Meses contratados]]</f>
        <v>154</v>
      </c>
      <c r="O1635" t="s">
        <v>24</v>
      </c>
      <c r="P1635" t="str">
        <f>IF(BBDD_Usiarios_Netflix[[#This Row],[País]]="","Desconocido",BBDD_Usiarios_Netflix[[#This Row],[País]])</f>
        <v>Australia</v>
      </c>
      <c r="Q1635">
        <v>45</v>
      </c>
      <c r="R1635" t="s">
        <v>25</v>
      </c>
      <c r="S1635" t="s">
        <v>34</v>
      </c>
      <c r="T1635" t="s">
        <v>41</v>
      </c>
      <c r="U1635">
        <f>IF(IFERROR(VLOOKUP(BBDD_Usiarios_Netflix[[#This Row],[Identificador Usuario]],A1636:$A$5870,1,FALSE),0)&lt;&gt;0,1,0)</f>
        <v>0</v>
      </c>
      <c r="V1635" s="6" t="str">
        <f>IF(BBDD_Usiarios_Netflix[[#This Row],[Duración Plan]]="12 Meses",LEFT(BBDD_Usiarios_Netflix[[#This Row],[Duración Plan]],2),LEFT(BBDD_Usiarios_Netflix[[#This Row],[Duración Plan]],1))</f>
        <v>12</v>
      </c>
      <c r="W16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36" spans="1:23" x14ac:dyDescent="0.25">
      <c r="A1636">
        <v>1635</v>
      </c>
      <c r="B1636" t="s">
        <v>23</v>
      </c>
      <c r="C1636">
        <v>10</v>
      </c>
      <c r="D1636" s="3">
        <v>15</v>
      </c>
      <c r="E1636" s="3">
        <v>8</v>
      </c>
      <c r="F1636">
        <v>23</v>
      </c>
      <c r="G1636" s="1">
        <f>DATEVALUE(_xlfn.CONCAT(BBDD_Usiarios_Netflix[[#This Row],[Día Suscripción]],"/",BBDD_Usiarios_Netflix[[#This Row],[Mes Suscripción]],"/",BBDD_Usiarios_Netflix[[#This Row],[Año Suscripción]]))</f>
        <v>45153</v>
      </c>
      <c r="H1636" s="1">
        <v>7</v>
      </c>
      <c r="I1636" s="1">
        <v>7</v>
      </c>
      <c r="J1636" s="1">
        <v>24</v>
      </c>
      <c r="K1636" s="1" t="str">
        <f>TEXT(BBDD_Usiarios_Netflix[[#This Row],[Fecha Suscripción]],"dddd")</f>
        <v>martes</v>
      </c>
      <c r="L1636" s="1">
        <f>DATEVALUE(_xlfn.CONCAT(BBDD_Usiarios_Netflix[[#This Row],[Día Último Pago]],"/",BBDD_Usiarios_Netflix[[#This Row],[Mes Último Pago]],"/",BBDD_Usiarios_Netflix[[#This Row],[Año Último Pago]]))</f>
        <v>45480</v>
      </c>
      <c r="M1636" s="4">
        <f>DATEDIF(BBDD_Usiarios_Netflix[[#This Row],[Fecha Suscripción]],BBDD_Usiarios_Netflix[[#This Row],[Fecha Último Pago]],"M")+1</f>
        <v>11</v>
      </c>
      <c r="N1636" s="4">
        <f>BBDD_Usiarios_Netflix[[#This Row],[Ingresos Mensuales]]*BBDD_Usiarios_Netflix[[#This Row],[Meses contratados]]</f>
        <v>110</v>
      </c>
      <c r="O1636" t="s">
        <v>39</v>
      </c>
      <c r="P1636" t="str">
        <f>IF(BBDD_Usiarios_Netflix[[#This Row],[País]]="","Desconocido",BBDD_Usiarios_Netflix[[#This Row],[País]])</f>
        <v>Canadá</v>
      </c>
      <c r="Q1636">
        <v>33</v>
      </c>
      <c r="R1636" t="s">
        <v>25</v>
      </c>
      <c r="S1636" t="s">
        <v>31</v>
      </c>
      <c r="T1636" t="s">
        <v>41</v>
      </c>
      <c r="U1636">
        <f>IF(IFERROR(VLOOKUP(BBDD_Usiarios_Netflix[[#This Row],[Identificador Usuario]],A1637:$A$5870,1,FALSE),0)&lt;&gt;0,1,0)</f>
        <v>0</v>
      </c>
      <c r="V1636" s="6" t="str">
        <f>IF(BBDD_Usiarios_Netflix[[#This Row],[Duración Plan]]="12 Meses",LEFT(BBDD_Usiarios_Netflix[[#This Row],[Duración Plan]],2),LEFT(BBDD_Usiarios_Netflix[[#This Row],[Duración Plan]],1))</f>
        <v>12</v>
      </c>
      <c r="W16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37" spans="1:23" x14ac:dyDescent="0.25">
      <c r="A1637">
        <v>1636</v>
      </c>
      <c r="B1637" t="s">
        <v>28</v>
      </c>
      <c r="C1637">
        <v>14</v>
      </c>
      <c r="D1637" s="3">
        <v>16</v>
      </c>
      <c r="E1637" s="3">
        <v>8</v>
      </c>
      <c r="F1637">
        <v>23</v>
      </c>
      <c r="G1637" s="1">
        <f>DATEVALUE(_xlfn.CONCAT(BBDD_Usiarios_Netflix[[#This Row],[Día Suscripción]],"/",BBDD_Usiarios_Netflix[[#This Row],[Mes Suscripción]],"/",BBDD_Usiarios_Netflix[[#This Row],[Año Suscripción]]))</f>
        <v>45154</v>
      </c>
      <c r="H1637" s="1">
        <v>7</v>
      </c>
      <c r="I1637" s="1">
        <v>7</v>
      </c>
      <c r="J1637" s="1">
        <v>24</v>
      </c>
      <c r="K1637" s="1" t="str">
        <f>TEXT(BBDD_Usiarios_Netflix[[#This Row],[Fecha Suscripción]],"dddd")</f>
        <v>miércoles</v>
      </c>
      <c r="L1637" s="1">
        <f>DATEVALUE(_xlfn.CONCAT(BBDD_Usiarios_Netflix[[#This Row],[Día Último Pago]],"/",BBDD_Usiarios_Netflix[[#This Row],[Mes Último Pago]],"/",BBDD_Usiarios_Netflix[[#This Row],[Año Último Pago]]))</f>
        <v>45480</v>
      </c>
      <c r="M1637" s="4">
        <f>DATEDIF(BBDD_Usiarios_Netflix[[#This Row],[Fecha Suscripción]],BBDD_Usiarios_Netflix[[#This Row],[Fecha Último Pago]],"M")+1</f>
        <v>11</v>
      </c>
      <c r="N1637" s="4">
        <f>BBDD_Usiarios_Netflix[[#This Row],[Ingresos Mensuales]]*BBDD_Usiarios_Netflix[[#This Row],[Meses contratados]]</f>
        <v>154</v>
      </c>
      <c r="O1637" t="s">
        <v>39</v>
      </c>
      <c r="P1637" t="str">
        <f>IF(BBDD_Usiarios_Netflix[[#This Row],[País]]="","Desconocido",BBDD_Usiarios_Netflix[[#This Row],[País]])</f>
        <v>Canadá</v>
      </c>
      <c r="Q1637">
        <v>32</v>
      </c>
      <c r="R1637" t="s">
        <v>30</v>
      </c>
      <c r="S1637" t="s">
        <v>34</v>
      </c>
      <c r="T1637" t="s">
        <v>38</v>
      </c>
      <c r="U1637">
        <f>IF(IFERROR(VLOOKUP(BBDD_Usiarios_Netflix[[#This Row],[Identificador Usuario]],A1638:$A$5870,1,FALSE),0)&lt;&gt;0,1,0)</f>
        <v>0</v>
      </c>
      <c r="V1637" s="6" t="str">
        <f>IF(BBDD_Usiarios_Netflix[[#This Row],[Duración Plan]]="12 Meses",LEFT(BBDD_Usiarios_Netflix[[#This Row],[Duración Plan]],2),LEFT(BBDD_Usiarios_Netflix[[#This Row],[Duración Plan]],1))</f>
        <v>3</v>
      </c>
      <c r="W16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38" spans="1:23" x14ac:dyDescent="0.25">
      <c r="A1638">
        <v>1637</v>
      </c>
      <c r="B1638" t="s">
        <v>23</v>
      </c>
      <c r="C1638">
        <v>10</v>
      </c>
      <c r="D1638" s="3">
        <v>28</v>
      </c>
      <c r="E1638" s="3">
        <v>7</v>
      </c>
      <c r="F1638">
        <v>23</v>
      </c>
      <c r="G1638" s="1">
        <f>DATEVALUE(_xlfn.CONCAT(BBDD_Usiarios_Netflix[[#This Row],[Día Suscripción]],"/",BBDD_Usiarios_Netflix[[#This Row],[Mes Suscripción]],"/",BBDD_Usiarios_Netflix[[#This Row],[Año Suscripción]]))</f>
        <v>45135</v>
      </c>
      <c r="H1638" s="1">
        <v>5</v>
      </c>
      <c r="I1638" s="1">
        <v>7</v>
      </c>
      <c r="J1638" s="1">
        <v>24</v>
      </c>
      <c r="K1638" s="1" t="str">
        <f>TEXT(BBDD_Usiarios_Netflix[[#This Row],[Fecha Suscripción]],"dddd")</f>
        <v>viernes</v>
      </c>
      <c r="L1638" s="1">
        <f>DATEVALUE(_xlfn.CONCAT(BBDD_Usiarios_Netflix[[#This Row],[Día Último Pago]],"/",BBDD_Usiarios_Netflix[[#This Row],[Mes Último Pago]],"/",BBDD_Usiarios_Netflix[[#This Row],[Año Último Pago]]))</f>
        <v>45478</v>
      </c>
      <c r="M1638" s="4">
        <f>DATEDIF(BBDD_Usiarios_Netflix[[#This Row],[Fecha Suscripción]],BBDD_Usiarios_Netflix[[#This Row],[Fecha Último Pago]],"M")+1</f>
        <v>12</v>
      </c>
      <c r="N1638" s="4">
        <f>BBDD_Usiarios_Netflix[[#This Row],[Ingresos Mensuales]]*BBDD_Usiarios_Netflix[[#This Row],[Meses contratados]]</f>
        <v>120</v>
      </c>
      <c r="O1638" t="s">
        <v>24</v>
      </c>
      <c r="P1638" t="str">
        <f>IF(BBDD_Usiarios_Netflix[[#This Row],[País]]="","Desconocido",BBDD_Usiarios_Netflix[[#This Row],[País]])</f>
        <v>Australia</v>
      </c>
      <c r="Q1638">
        <v>51</v>
      </c>
      <c r="R1638" t="s">
        <v>30</v>
      </c>
      <c r="S1638" t="s">
        <v>36</v>
      </c>
      <c r="T1638" t="s">
        <v>27</v>
      </c>
      <c r="U1638">
        <f>IF(IFERROR(VLOOKUP(BBDD_Usiarios_Netflix[[#This Row],[Identificador Usuario]],A1639:$A$5870,1,FALSE),0)&lt;&gt;0,1,0)</f>
        <v>0</v>
      </c>
      <c r="V1638" s="6" t="str">
        <f>IF(BBDD_Usiarios_Netflix[[#This Row],[Duración Plan]]="12 Meses",LEFT(BBDD_Usiarios_Netflix[[#This Row],[Duración Plan]],2),LEFT(BBDD_Usiarios_Netflix[[#This Row],[Duración Plan]],1))</f>
        <v>1</v>
      </c>
      <c r="W16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39" spans="1:23" x14ac:dyDescent="0.25">
      <c r="A1639">
        <v>1638</v>
      </c>
      <c r="B1639" t="s">
        <v>32</v>
      </c>
      <c r="C1639">
        <v>12</v>
      </c>
      <c r="D1639" s="3">
        <v>28</v>
      </c>
      <c r="E1639" s="3">
        <v>7</v>
      </c>
      <c r="F1639">
        <v>23</v>
      </c>
      <c r="G1639" s="1">
        <f>DATEVALUE(_xlfn.CONCAT(BBDD_Usiarios_Netflix[[#This Row],[Día Suscripción]],"/",BBDD_Usiarios_Netflix[[#This Row],[Mes Suscripción]],"/",BBDD_Usiarios_Netflix[[#This Row],[Año Suscripción]]))</f>
        <v>45135</v>
      </c>
      <c r="H1639" s="1">
        <v>6</v>
      </c>
      <c r="I1639" s="1">
        <v>7</v>
      </c>
      <c r="J1639" s="1">
        <v>24</v>
      </c>
      <c r="K1639" s="1" t="str">
        <f>TEXT(BBDD_Usiarios_Netflix[[#This Row],[Fecha Suscripción]],"dddd")</f>
        <v>viernes</v>
      </c>
      <c r="L1639" s="1">
        <f>DATEVALUE(_xlfn.CONCAT(BBDD_Usiarios_Netflix[[#This Row],[Día Último Pago]],"/",BBDD_Usiarios_Netflix[[#This Row],[Mes Último Pago]],"/",BBDD_Usiarios_Netflix[[#This Row],[Año Último Pago]]))</f>
        <v>45479</v>
      </c>
      <c r="M1639" s="4">
        <f>DATEDIF(BBDD_Usiarios_Netflix[[#This Row],[Fecha Suscripción]],BBDD_Usiarios_Netflix[[#This Row],[Fecha Último Pago]],"M")+1</f>
        <v>12</v>
      </c>
      <c r="N1639" s="4">
        <f>BBDD_Usiarios_Netflix[[#This Row],[Ingresos Mensuales]]*BBDD_Usiarios_Netflix[[#This Row],[Meses contratados]]</f>
        <v>144</v>
      </c>
      <c r="O1639" t="s">
        <v>42</v>
      </c>
      <c r="P1639" t="str">
        <f>IF(BBDD_Usiarios_Netflix[[#This Row],[País]]="","Desconocido",BBDD_Usiarios_Netflix[[#This Row],[País]])</f>
        <v>Reino Unido</v>
      </c>
      <c r="Q1639">
        <v>40</v>
      </c>
      <c r="R1639" t="s">
        <v>30</v>
      </c>
      <c r="S1639" t="s">
        <v>31</v>
      </c>
      <c r="T1639" t="s">
        <v>27</v>
      </c>
      <c r="U1639">
        <f>IF(IFERROR(VLOOKUP(BBDD_Usiarios_Netflix[[#This Row],[Identificador Usuario]],A1640:$A$5870,1,FALSE),0)&lt;&gt;0,1,0)</f>
        <v>0</v>
      </c>
      <c r="V1639" s="6" t="str">
        <f>IF(BBDD_Usiarios_Netflix[[#This Row],[Duración Plan]]="12 Meses",LEFT(BBDD_Usiarios_Netflix[[#This Row],[Duración Plan]],2),LEFT(BBDD_Usiarios_Netflix[[#This Row],[Duración Plan]],1))</f>
        <v>1</v>
      </c>
      <c r="W16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40" spans="1:23" x14ac:dyDescent="0.25">
      <c r="A1640">
        <v>1639</v>
      </c>
      <c r="B1640" t="s">
        <v>32</v>
      </c>
      <c r="C1640">
        <v>12</v>
      </c>
      <c r="D1640" s="3">
        <v>22</v>
      </c>
      <c r="E1640" s="3">
        <v>7</v>
      </c>
      <c r="F1640">
        <v>23</v>
      </c>
      <c r="G1640" s="1">
        <f>DATEVALUE(_xlfn.CONCAT(BBDD_Usiarios_Netflix[[#This Row],[Día Suscripción]],"/",BBDD_Usiarios_Netflix[[#This Row],[Mes Suscripción]],"/",BBDD_Usiarios_Netflix[[#This Row],[Año Suscripción]]))</f>
        <v>45129</v>
      </c>
      <c r="H1640" s="1">
        <v>6</v>
      </c>
      <c r="I1640" s="1">
        <v>7</v>
      </c>
      <c r="J1640" s="1">
        <v>24</v>
      </c>
      <c r="K1640" s="1" t="str">
        <f>TEXT(BBDD_Usiarios_Netflix[[#This Row],[Fecha Suscripción]],"dddd")</f>
        <v>sábado</v>
      </c>
      <c r="L1640" s="1">
        <f>DATEVALUE(_xlfn.CONCAT(BBDD_Usiarios_Netflix[[#This Row],[Día Último Pago]],"/",BBDD_Usiarios_Netflix[[#This Row],[Mes Último Pago]],"/",BBDD_Usiarios_Netflix[[#This Row],[Año Último Pago]]))</f>
        <v>45479</v>
      </c>
      <c r="M1640" s="4">
        <f>DATEDIF(BBDD_Usiarios_Netflix[[#This Row],[Fecha Suscripción]],BBDD_Usiarios_Netflix[[#This Row],[Fecha Último Pago]],"M")+1</f>
        <v>12</v>
      </c>
      <c r="N1640" s="4">
        <f>BBDD_Usiarios_Netflix[[#This Row],[Ingresos Mensuales]]*BBDD_Usiarios_Netflix[[#This Row],[Meses contratados]]</f>
        <v>144</v>
      </c>
      <c r="O1640" t="s">
        <v>39</v>
      </c>
      <c r="P1640" t="str">
        <f>IF(BBDD_Usiarios_Netflix[[#This Row],[País]]="","Desconocido",BBDD_Usiarios_Netflix[[#This Row],[País]])</f>
        <v>Canadá</v>
      </c>
      <c r="Q1640">
        <v>47</v>
      </c>
      <c r="R1640" t="s">
        <v>25</v>
      </c>
      <c r="S1640" t="s">
        <v>36</v>
      </c>
      <c r="T1640" t="s">
        <v>35</v>
      </c>
      <c r="U1640">
        <f>IF(IFERROR(VLOOKUP(BBDD_Usiarios_Netflix[[#This Row],[Identificador Usuario]],A1641:$A$5870,1,FALSE),0)&lt;&gt;0,1,0)</f>
        <v>0</v>
      </c>
      <c r="V1640" s="6" t="str">
        <f>IF(BBDD_Usiarios_Netflix[[#This Row],[Duración Plan]]="12 Meses",LEFT(BBDD_Usiarios_Netflix[[#This Row],[Duración Plan]],2),LEFT(BBDD_Usiarios_Netflix[[#This Row],[Duración Plan]],1))</f>
        <v>6</v>
      </c>
      <c r="W16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41" spans="1:23" x14ac:dyDescent="0.25">
      <c r="A1641">
        <v>1640</v>
      </c>
      <c r="B1641" t="s">
        <v>23</v>
      </c>
      <c r="C1641">
        <v>10</v>
      </c>
      <c r="D1641" s="3">
        <v>19</v>
      </c>
      <c r="E1641" s="3">
        <v>7</v>
      </c>
      <c r="F1641">
        <v>23</v>
      </c>
      <c r="G1641" s="1">
        <f>DATEVALUE(_xlfn.CONCAT(BBDD_Usiarios_Netflix[[#This Row],[Día Suscripción]],"/",BBDD_Usiarios_Netflix[[#This Row],[Mes Suscripción]],"/",BBDD_Usiarios_Netflix[[#This Row],[Año Suscripción]]))</f>
        <v>45126</v>
      </c>
      <c r="H1641" s="1">
        <v>6</v>
      </c>
      <c r="I1641" s="1">
        <v>7</v>
      </c>
      <c r="J1641" s="1">
        <v>24</v>
      </c>
      <c r="K1641" s="1" t="str">
        <f>TEXT(BBDD_Usiarios_Netflix[[#This Row],[Fecha Suscripción]],"dddd")</f>
        <v>miércoles</v>
      </c>
      <c r="L1641" s="1">
        <f>DATEVALUE(_xlfn.CONCAT(BBDD_Usiarios_Netflix[[#This Row],[Día Último Pago]],"/",BBDD_Usiarios_Netflix[[#This Row],[Mes Último Pago]],"/",BBDD_Usiarios_Netflix[[#This Row],[Año Último Pago]]))</f>
        <v>45479</v>
      </c>
      <c r="M1641" s="4">
        <f>DATEDIF(BBDD_Usiarios_Netflix[[#This Row],[Fecha Suscripción]],BBDD_Usiarios_Netflix[[#This Row],[Fecha Último Pago]],"M")+1</f>
        <v>12</v>
      </c>
      <c r="N1641" s="4">
        <f>BBDD_Usiarios_Netflix[[#This Row],[Ingresos Mensuales]]*BBDD_Usiarios_Netflix[[#This Row],[Meses contratados]]</f>
        <v>120</v>
      </c>
      <c r="O1641" t="s">
        <v>45</v>
      </c>
      <c r="P1641" t="str">
        <f>IF(BBDD_Usiarios_Netflix[[#This Row],[País]]="","Desconocido",BBDD_Usiarios_Netflix[[#This Row],[País]])</f>
        <v>España</v>
      </c>
      <c r="Q1641">
        <v>42</v>
      </c>
      <c r="R1641" t="s">
        <v>25</v>
      </c>
      <c r="S1641" t="s">
        <v>34</v>
      </c>
      <c r="T1641" t="s">
        <v>38</v>
      </c>
      <c r="U1641">
        <f>IF(IFERROR(VLOOKUP(BBDD_Usiarios_Netflix[[#This Row],[Identificador Usuario]],A1642:$A$5870,1,FALSE),0)&lt;&gt;0,1,0)</f>
        <v>0</v>
      </c>
      <c r="V1641" s="6" t="str">
        <f>IF(BBDD_Usiarios_Netflix[[#This Row],[Duración Plan]]="12 Meses",LEFT(BBDD_Usiarios_Netflix[[#This Row],[Duración Plan]],2),LEFT(BBDD_Usiarios_Netflix[[#This Row],[Duración Plan]],1))</f>
        <v>3</v>
      </c>
      <c r="W16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42" spans="1:23" x14ac:dyDescent="0.25">
      <c r="A1642">
        <v>1641</v>
      </c>
      <c r="B1642" t="s">
        <v>28</v>
      </c>
      <c r="C1642">
        <v>14</v>
      </c>
      <c r="D1642" s="3">
        <v>16</v>
      </c>
      <c r="E1642" s="3">
        <v>7</v>
      </c>
      <c r="F1642">
        <v>23</v>
      </c>
      <c r="G1642" s="1">
        <f>DATEVALUE(_xlfn.CONCAT(BBDD_Usiarios_Netflix[[#This Row],[Día Suscripción]],"/",BBDD_Usiarios_Netflix[[#This Row],[Mes Suscripción]],"/",BBDD_Usiarios_Netflix[[#This Row],[Año Suscripción]]))</f>
        <v>45123</v>
      </c>
      <c r="H1642" s="1">
        <v>6</v>
      </c>
      <c r="I1642" s="1">
        <v>7</v>
      </c>
      <c r="J1642" s="1">
        <v>24</v>
      </c>
      <c r="K1642" s="1" t="str">
        <f>TEXT(BBDD_Usiarios_Netflix[[#This Row],[Fecha Suscripción]],"dddd")</f>
        <v>domingo</v>
      </c>
      <c r="L1642" s="1">
        <f>DATEVALUE(_xlfn.CONCAT(BBDD_Usiarios_Netflix[[#This Row],[Día Último Pago]],"/",BBDD_Usiarios_Netflix[[#This Row],[Mes Último Pago]],"/",BBDD_Usiarios_Netflix[[#This Row],[Año Último Pago]]))</f>
        <v>45479</v>
      </c>
      <c r="M1642" s="4">
        <f>DATEDIF(BBDD_Usiarios_Netflix[[#This Row],[Fecha Suscripción]],BBDD_Usiarios_Netflix[[#This Row],[Fecha Último Pago]],"M")+1</f>
        <v>12</v>
      </c>
      <c r="N1642" s="4">
        <f>BBDD_Usiarios_Netflix[[#This Row],[Ingresos Mensuales]]*BBDD_Usiarios_Netflix[[#This Row],[Meses contratados]]</f>
        <v>168</v>
      </c>
      <c r="O1642" t="s">
        <v>33</v>
      </c>
      <c r="P1642" t="str">
        <f>IF(BBDD_Usiarios_Netflix[[#This Row],[País]]="","Desconocido",BBDD_Usiarios_Netflix[[#This Row],[País]])</f>
        <v>Francia</v>
      </c>
      <c r="Q1642">
        <v>41</v>
      </c>
      <c r="R1642" t="s">
        <v>25</v>
      </c>
      <c r="S1642" t="s">
        <v>31</v>
      </c>
      <c r="T1642" t="s">
        <v>38</v>
      </c>
      <c r="U1642">
        <f>IF(IFERROR(VLOOKUP(BBDD_Usiarios_Netflix[[#This Row],[Identificador Usuario]],A1643:$A$5870,1,FALSE),0)&lt;&gt;0,1,0)</f>
        <v>0</v>
      </c>
      <c r="V1642" s="6" t="str">
        <f>IF(BBDD_Usiarios_Netflix[[#This Row],[Duración Plan]]="12 Meses",LEFT(BBDD_Usiarios_Netflix[[#This Row],[Duración Plan]],2),LEFT(BBDD_Usiarios_Netflix[[#This Row],[Duración Plan]],1))</f>
        <v>3</v>
      </c>
      <c r="W16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43" spans="1:23" x14ac:dyDescent="0.25">
      <c r="A1643">
        <v>1642</v>
      </c>
      <c r="B1643" t="s">
        <v>23</v>
      </c>
      <c r="C1643">
        <v>10</v>
      </c>
      <c r="D1643" s="3">
        <v>15</v>
      </c>
      <c r="E1643" s="3">
        <v>7</v>
      </c>
      <c r="F1643">
        <v>23</v>
      </c>
      <c r="G1643" s="1">
        <f>DATEVALUE(_xlfn.CONCAT(BBDD_Usiarios_Netflix[[#This Row],[Día Suscripción]],"/",BBDD_Usiarios_Netflix[[#This Row],[Mes Suscripción]],"/",BBDD_Usiarios_Netflix[[#This Row],[Año Suscripción]]))</f>
        <v>45122</v>
      </c>
      <c r="H1643" s="1">
        <v>9</v>
      </c>
      <c r="I1643" s="1">
        <v>7</v>
      </c>
      <c r="J1643" s="1">
        <v>24</v>
      </c>
      <c r="K1643" s="1" t="str">
        <f>TEXT(BBDD_Usiarios_Netflix[[#This Row],[Fecha Suscripción]],"dddd")</f>
        <v>sábado</v>
      </c>
      <c r="L1643" s="1">
        <f>DATEVALUE(_xlfn.CONCAT(BBDD_Usiarios_Netflix[[#This Row],[Día Último Pago]],"/",BBDD_Usiarios_Netflix[[#This Row],[Mes Último Pago]],"/",BBDD_Usiarios_Netflix[[#This Row],[Año Último Pago]]))</f>
        <v>45482</v>
      </c>
      <c r="M1643" s="4">
        <f>DATEDIF(BBDD_Usiarios_Netflix[[#This Row],[Fecha Suscripción]],BBDD_Usiarios_Netflix[[#This Row],[Fecha Último Pago]],"M")+1</f>
        <v>12</v>
      </c>
      <c r="N1643" s="4">
        <f>BBDD_Usiarios_Netflix[[#This Row],[Ingresos Mensuales]]*BBDD_Usiarios_Netflix[[#This Row],[Meses contratados]]</f>
        <v>120</v>
      </c>
      <c r="O1643" t="s">
        <v>37</v>
      </c>
      <c r="P1643" t="str">
        <f>IF(BBDD_Usiarios_Netflix[[#This Row],[País]]="","Desconocido",BBDD_Usiarios_Netflix[[#This Row],[País]])</f>
        <v>Brasil</v>
      </c>
      <c r="Q1643">
        <v>43</v>
      </c>
      <c r="R1643" t="s">
        <v>25</v>
      </c>
      <c r="S1643" t="s">
        <v>31</v>
      </c>
      <c r="T1643" t="s">
        <v>27</v>
      </c>
      <c r="U1643">
        <f>IF(IFERROR(VLOOKUP(BBDD_Usiarios_Netflix[[#This Row],[Identificador Usuario]],A1644:$A$5870,1,FALSE),0)&lt;&gt;0,1,0)</f>
        <v>0</v>
      </c>
      <c r="V1643" s="6" t="str">
        <f>IF(BBDD_Usiarios_Netflix[[#This Row],[Duración Plan]]="12 Meses",LEFT(BBDD_Usiarios_Netflix[[#This Row],[Duración Plan]],2),LEFT(BBDD_Usiarios_Netflix[[#This Row],[Duración Plan]],1))</f>
        <v>1</v>
      </c>
      <c r="W16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44" spans="1:23" x14ac:dyDescent="0.25">
      <c r="A1644">
        <v>1643</v>
      </c>
      <c r="B1644" t="s">
        <v>32</v>
      </c>
      <c r="C1644">
        <v>12</v>
      </c>
      <c r="D1644" s="3">
        <v>16</v>
      </c>
      <c r="E1644" s="3">
        <v>7</v>
      </c>
      <c r="F1644">
        <v>23</v>
      </c>
      <c r="G1644" s="1">
        <f>DATEVALUE(_xlfn.CONCAT(BBDD_Usiarios_Netflix[[#This Row],[Día Suscripción]],"/",BBDD_Usiarios_Netflix[[#This Row],[Mes Suscripción]],"/",BBDD_Usiarios_Netflix[[#This Row],[Año Suscripción]]))</f>
        <v>45123</v>
      </c>
      <c r="H1644" s="1">
        <v>5</v>
      </c>
      <c r="I1644" s="1">
        <v>7</v>
      </c>
      <c r="J1644" s="1">
        <v>24</v>
      </c>
      <c r="K1644" s="1" t="str">
        <f>TEXT(BBDD_Usiarios_Netflix[[#This Row],[Fecha Suscripción]],"dddd")</f>
        <v>domingo</v>
      </c>
      <c r="L1644" s="1">
        <f>DATEVALUE(_xlfn.CONCAT(BBDD_Usiarios_Netflix[[#This Row],[Día Último Pago]],"/",BBDD_Usiarios_Netflix[[#This Row],[Mes Último Pago]],"/",BBDD_Usiarios_Netflix[[#This Row],[Año Último Pago]]))</f>
        <v>45478</v>
      </c>
      <c r="M1644" s="4">
        <f>DATEDIF(BBDD_Usiarios_Netflix[[#This Row],[Fecha Suscripción]],BBDD_Usiarios_Netflix[[#This Row],[Fecha Último Pago]],"M")+1</f>
        <v>12</v>
      </c>
      <c r="N1644" s="4">
        <f>BBDD_Usiarios_Netflix[[#This Row],[Ingresos Mensuales]]*BBDD_Usiarios_Netflix[[#This Row],[Meses contratados]]</f>
        <v>144</v>
      </c>
      <c r="O1644" t="s">
        <v>24</v>
      </c>
      <c r="P1644" t="str">
        <f>IF(BBDD_Usiarios_Netflix[[#This Row],[País]]="","Desconocido",BBDD_Usiarios_Netflix[[#This Row],[País]])</f>
        <v>Australia</v>
      </c>
      <c r="Q1644">
        <v>42</v>
      </c>
      <c r="R1644" t="s">
        <v>30</v>
      </c>
      <c r="S1644" t="s">
        <v>31</v>
      </c>
      <c r="T1644" t="s">
        <v>27</v>
      </c>
      <c r="U1644">
        <f>IF(IFERROR(VLOOKUP(BBDD_Usiarios_Netflix[[#This Row],[Identificador Usuario]],A1645:$A$5870,1,FALSE),0)&lt;&gt;0,1,0)</f>
        <v>0</v>
      </c>
      <c r="V1644" s="6" t="str">
        <f>IF(BBDD_Usiarios_Netflix[[#This Row],[Duración Plan]]="12 Meses",LEFT(BBDD_Usiarios_Netflix[[#This Row],[Duración Plan]],2),LEFT(BBDD_Usiarios_Netflix[[#This Row],[Duración Plan]],1))</f>
        <v>1</v>
      </c>
      <c r="W16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45" spans="1:23" x14ac:dyDescent="0.25">
      <c r="A1645">
        <v>1644</v>
      </c>
      <c r="B1645" t="s">
        <v>28</v>
      </c>
      <c r="C1645">
        <v>14</v>
      </c>
      <c r="D1645" s="3">
        <v>9</v>
      </c>
      <c r="E1645" s="3">
        <v>7</v>
      </c>
      <c r="F1645">
        <v>23</v>
      </c>
      <c r="G1645" s="1">
        <f>DATEVALUE(_xlfn.CONCAT(BBDD_Usiarios_Netflix[[#This Row],[Día Suscripción]],"/",BBDD_Usiarios_Netflix[[#This Row],[Mes Suscripción]],"/",BBDD_Usiarios_Netflix[[#This Row],[Año Suscripción]]))</f>
        <v>45116</v>
      </c>
      <c r="H1645" s="1">
        <v>6</v>
      </c>
      <c r="I1645" s="1">
        <v>7</v>
      </c>
      <c r="J1645" s="1">
        <v>24</v>
      </c>
      <c r="K1645" s="1" t="str">
        <f>TEXT(BBDD_Usiarios_Netflix[[#This Row],[Fecha Suscripción]],"dddd")</f>
        <v>domingo</v>
      </c>
      <c r="L1645" s="1">
        <f>DATEVALUE(_xlfn.CONCAT(BBDD_Usiarios_Netflix[[#This Row],[Día Último Pago]],"/",BBDD_Usiarios_Netflix[[#This Row],[Mes Último Pago]],"/",BBDD_Usiarios_Netflix[[#This Row],[Año Último Pago]]))</f>
        <v>45479</v>
      </c>
      <c r="M1645" s="4">
        <f>DATEDIF(BBDD_Usiarios_Netflix[[#This Row],[Fecha Suscripción]],BBDD_Usiarios_Netflix[[#This Row],[Fecha Último Pago]],"M")+1</f>
        <v>12</v>
      </c>
      <c r="N1645" s="4">
        <f>BBDD_Usiarios_Netflix[[#This Row],[Ingresos Mensuales]]*BBDD_Usiarios_Netflix[[#This Row],[Meses contratados]]</f>
        <v>168</v>
      </c>
      <c r="O1645" t="s">
        <v>45</v>
      </c>
      <c r="P1645" t="str">
        <f>IF(BBDD_Usiarios_Netflix[[#This Row],[País]]="","Desconocido",BBDD_Usiarios_Netflix[[#This Row],[País]])</f>
        <v>España</v>
      </c>
      <c r="Q1645">
        <v>28</v>
      </c>
      <c r="R1645" t="s">
        <v>25</v>
      </c>
      <c r="S1645" t="s">
        <v>26</v>
      </c>
      <c r="T1645" t="s">
        <v>27</v>
      </c>
      <c r="U1645">
        <f>IF(IFERROR(VLOOKUP(BBDD_Usiarios_Netflix[[#This Row],[Identificador Usuario]],A1646:$A$5870,1,FALSE),0)&lt;&gt;0,1,0)</f>
        <v>0</v>
      </c>
      <c r="V1645" s="6" t="str">
        <f>IF(BBDD_Usiarios_Netflix[[#This Row],[Duración Plan]]="12 Meses",LEFT(BBDD_Usiarios_Netflix[[#This Row],[Duración Plan]],2),LEFT(BBDD_Usiarios_Netflix[[#This Row],[Duración Plan]],1))</f>
        <v>1</v>
      </c>
      <c r="W16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46" spans="1:23" x14ac:dyDescent="0.25">
      <c r="A1646">
        <v>1645</v>
      </c>
      <c r="B1646" t="s">
        <v>23</v>
      </c>
      <c r="C1646">
        <v>10</v>
      </c>
      <c r="D1646" s="3">
        <v>7</v>
      </c>
      <c r="E1646" s="3">
        <v>7</v>
      </c>
      <c r="F1646">
        <v>23</v>
      </c>
      <c r="G1646" s="1">
        <f>DATEVALUE(_xlfn.CONCAT(BBDD_Usiarios_Netflix[[#This Row],[Día Suscripción]],"/",BBDD_Usiarios_Netflix[[#This Row],[Mes Suscripción]],"/",BBDD_Usiarios_Netflix[[#This Row],[Año Suscripción]]))</f>
        <v>45114</v>
      </c>
      <c r="H1646" s="1">
        <v>5</v>
      </c>
      <c r="I1646" s="1">
        <v>7</v>
      </c>
      <c r="J1646" s="1">
        <v>24</v>
      </c>
      <c r="K1646" s="1" t="str">
        <f>TEXT(BBDD_Usiarios_Netflix[[#This Row],[Fecha Suscripción]],"dddd")</f>
        <v>viernes</v>
      </c>
      <c r="L1646" s="1">
        <f>DATEVALUE(_xlfn.CONCAT(BBDD_Usiarios_Netflix[[#This Row],[Día Último Pago]],"/",BBDD_Usiarios_Netflix[[#This Row],[Mes Último Pago]],"/",BBDD_Usiarios_Netflix[[#This Row],[Año Último Pago]]))</f>
        <v>45478</v>
      </c>
      <c r="M1646" s="4">
        <f>DATEDIF(BBDD_Usiarios_Netflix[[#This Row],[Fecha Suscripción]],BBDD_Usiarios_Netflix[[#This Row],[Fecha Último Pago]],"M")+1</f>
        <v>12</v>
      </c>
      <c r="N1646" s="4">
        <f>BBDD_Usiarios_Netflix[[#This Row],[Ingresos Mensuales]]*BBDD_Usiarios_Netflix[[#This Row],[Meses contratados]]</f>
        <v>120</v>
      </c>
      <c r="O1646" t="s">
        <v>24</v>
      </c>
      <c r="P1646" t="str">
        <f>IF(BBDD_Usiarios_Netflix[[#This Row],[País]]="","Desconocido",BBDD_Usiarios_Netflix[[#This Row],[País]])</f>
        <v>Australia</v>
      </c>
      <c r="Q1646">
        <v>40</v>
      </c>
      <c r="R1646" t="s">
        <v>30</v>
      </c>
      <c r="S1646" t="s">
        <v>36</v>
      </c>
      <c r="T1646" t="s">
        <v>38</v>
      </c>
      <c r="U1646">
        <f>IF(IFERROR(VLOOKUP(BBDD_Usiarios_Netflix[[#This Row],[Identificador Usuario]],A1647:$A$5870,1,FALSE),0)&lt;&gt;0,1,0)</f>
        <v>0</v>
      </c>
      <c r="V1646" s="6" t="str">
        <f>IF(BBDD_Usiarios_Netflix[[#This Row],[Duración Plan]]="12 Meses",LEFT(BBDD_Usiarios_Netflix[[#This Row],[Duración Plan]],2),LEFT(BBDD_Usiarios_Netflix[[#This Row],[Duración Plan]],1))</f>
        <v>3</v>
      </c>
      <c r="W16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47" spans="1:23" x14ac:dyDescent="0.25">
      <c r="A1647">
        <v>1646</v>
      </c>
      <c r="B1647" t="s">
        <v>23</v>
      </c>
      <c r="C1647">
        <v>10</v>
      </c>
      <c r="D1647" s="3">
        <v>7</v>
      </c>
      <c r="E1647" s="3">
        <v>7</v>
      </c>
      <c r="F1647">
        <v>23</v>
      </c>
      <c r="G1647" s="1">
        <f>DATEVALUE(_xlfn.CONCAT(BBDD_Usiarios_Netflix[[#This Row],[Día Suscripción]],"/",BBDD_Usiarios_Netflix[[#This Row],[Mes Suscripción]],"/",BBDD_Usiarios_Netflix[[#This Row],[Año Suscripción]]))</f>
        <v>45114</v>
      </c>
      <c r="H1647" s="1">
        <v>9</v>
      </c>
      <c r="I1647" s="1">
        <v>7</v>
      </c>
      <c r="J1647" s="1">
        <v>24</v>
      </c>
      <c r="K1647" s="1" t="str">
        <f>TEXT(BBDD_Usiarios_Netflix[[#This Row],[Fecha Suscripción]],"dddd")</f>
        <v>viernes</v>
      </c>
      <c r="L1647" s="1">
        <f>DATEVALUE(_xlfn.CONCAT(BBDD_Usiarios_Netflix[[#This Row],[Día Último Pago]],"/",BBDD_Usiarios_Netflix[[#This Row],[Mes Último Pago]],"/",BBDD_Usiarios_Netflix[[#This Row],[Año Último Pago]]))</f>
        <v>45482</v>
      </c>
      <c r="M1647" s="4">
        <f>DATEDIF(BBDD_Usiarios_Netflix[[#This Row],[Fecha Suscripción]],BBDD_Usiarios_Netflix[[#This Row],[Fecha Último Pago]],"M")+1</f>
        <v>13</v>
      </c>
      <c r="N1647" s="4">
        <f>BBDD_Usiarios_Netflix[[#This Row],[Ingresos Mensuales]]*BBDD_Usiarios_Netflix[[#This Row],[Meses contratados]]</f>
        <v>130</v>
      </c>
      <c r="O1647" t="s">
        <v>29</v>
      </c>
      <c r="P1647" t="str">
        <f>IF(BBDD_Usiarios_Netflix[[#This Row],[País]]="","Desconocido",BBDD_Usiarios_Netflix[[#This Row],[País]])</f>
        <v>EEUU</v>
      </c>
      <c r="Q1647">
        <v>46</v>
      </c>
      <c r="R1647" t="s">
        <v>30</v>
      </c>
      <c r="S1647" t="s">
        <v>31</v>
      </c>
      <c r="T1647" t="s">
        <v>38</v>
      </c>
      <c r="U1647">
        <f>IF(IFERROR(VLOOKUP(BBDD_Usiarios_Netflix[[#This Row],[Identificador Usuario]],A1648:$A$5870,1,FALSE),0)&lt;&gt;0,1,0)</f>
        <v>0</v>
      </c>
      <c r="V1647" s="6" t="str">
        <f>IF(BBDD_Usiarios_Netflix[[#This Row],[Duración Plan]]="12 Meses",LEFT(BBDD_Usiarios_Netflix[[#This Row],[Duración Plan]],2),LEFT(BBDD_Usiarios_Netflix[[#This Row],[Duración Plan]],1))</f>
        <v>3</v>
      </c>
      <c r="W16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48" spans="1:23" x14ac:dyDescent="0.25">
      <c r="A1648">
        <v>1647</v>
      </c>
      <c r="B1648" t="s">
        <v>23</v>
      </c>
      <c r="C1648">
        <v>10</v>
      </c>
      <c r="D1648" s="3">
        <v>6</v>
      </c>
      <c r="E1648" s="3">
        <v>7</v>
      </c>
      <c r="F1648">
        <v>23</v>
      </c>
      <c r="G1648" s="1">
        <f>DATEVALUE(_xlfn.CONCAT(BBDD_Usiarios_Netflix[[#This Row],[Día Suscripción]],"/",BBDD_Usiarios_Netflix[[#This Row],[Mes Suscripción]],"/",BBDD_Usiarios_Netflix[[#This Row],[Año Suscripción]]))</f>
        <v>45113</v>
      </c>
      <c r="H1648" s="1">
        <v>5</v>
      </c>
      <c r="I1648" s="1">
        <v>7</v>
      </c>
      <c r="J1648" s="1">
        <v>24</v>
      </c>
      <c r="K1648" s="1" t="str">
        <f>TEXT(BBDD_Usiarios_Netflix[[#This Row],[Fecha Suscripción]],"dddd")</f>
        <v>jueves</v>
      </c>
      <c r="L1648" s="1">
        <f>DATEVALUE(_xlfn.CONCAT(BBDD_Usiarios_Netflix[[#This Row],[Día Último Pago]],"/",BBDD_Usiarios_Netflix[[#This Row],[Mes Último Pago]],"/",BBDD_Usiarios_Netflix[[#This Row],[Año Último Pago]]))</f>
        <v>45478</v>
      </c>
      <c r="M1648" s="4">
        <f>DATEDIF(BBDD_Usiarios_Netflix[[#This Row],[Fecha Suscripción]],BBDD_Usiarios_Netflix[[#This Row],[Fecha Último Pago]],"M")+1</f>
        <v>12</v>
      </c>
      <c r="N1648" s="4">
        <f>BBDD_Usiarios_Netflix[[#This Row],[Ingresos Mensuales]]*BBDD_Usiarios_Netflix[[#This Row],[Meses contratados]]</f>
        <v>120</v>
      </c>
      <c r="O1648" t="s">
        <v>24</v>
      </c>
      <c r="P1648" t="str">
        <f>IF(BBDD_Usiarios_Netflix[[#This Row],[País]]="","Desconocido",BBDD_Usiarios_Netflix[[#This Row],[País]])</f>
        <v>Australia</v>
      </c>
      <c r="Q1648">
        <v>39</v>
      </c>
      <c r="R1648" t="s">
        <v>30</v>
      </c>
      <c r="S1648" t="s">
        <v>36</v>
      </c>
      <c r="T1648" t="s">
        <v>27</v>
      </c>
      <c r="U1648">
        <f>IF(IFERROR(VLOOKUP(BBDD_Usiarios_Netflix[[#This Row],[Identificador Usuario]],A1649:$A$5870,1,FALSE),0)&lt;&gt;0,1,0)</f>
        <v>0</v>
      </c>
      <c r="V1648" s="6" t="str">
        <f>IF(BBDD_Usiarios_Netflix[[#This Row],[Duración Plan]]="12 Meses",LEFT(BBDD_Usiarios_Netflix[[#This Row],[Duración Plan]],2),LEFT(BBDD_Usiarios_Netflix[[#This Row],[Duración Plan]],1))</f>
        <v>1</v>
      </c>
      <c r="W16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49" spans="1:23" x14ac:dyDescent="0.25">
      <c r="A1649">
        <v>1648</v>
      </c>
      <c r="B1649" t="s">
        <v>32</v>
      </c>
      <c r="C1649">
        <v>12</v>
      </c>
      <c r="D1649" s="3">
        <v>30</v>
      </c>
      <c r="E1649" s="3">
        <v>6</v>
      </c>
      <c r="F1649">
        <v>23</v>
      </c>
      <c r="G1649" s="1">
        <f>DATEVALUE(_xlfn.CONCAT(BBDD_Usiarios_Netflix[[#This Row],[Día Suscripción]],"/",BBDD_Usiarios_Netflix[[#This Row],[Mes Suscripción]],"/",BBDD_Usiarios_Netflix[[#This Row],[Año Suscripción]]))</f>
        <v>45107</v>
      </c>
      <c r="H1649" s="1">
        <v>6</v>
      </c>
      <c r="I1649" s="1">
        <v>7</v>
      </c>
      <c r="J1649" s="1">
        <v>24</v>
      </c>
      <c r="K1649" s="1" t="str">
        <f>TEXT(BBDD_Usiarios_Netflix[[#This Row],[Fecha Suscripción]],"dddd")</f>
        <v>viernes</v>
      </c>
      <c r="L1649" s="1">
        <f>DATEVALUE(_xlfn.CONCAT(BBDD_Usiarios_Netflix[[#This Row],[Día Último Pago]],"/",BBDD_Usiarios_Netflix[[#This Row],[Mes Último Pago]],"/",BBDD_Usiarios_Netflix[[#This Row],[Año Último Pago]]))</f>
        <v>45479</v>
      </c>
      <c r="M1649" s="4">
        <f>DATEDIF(BBDD_Usiarios_Netflix[[#This Row],[Fecha Suscripción]],BBDD_Usiarios_Netflix[[#This Row],[Fecha Último Pago]],"M")+1</f>
        <v>13</v>
      </c>
      <c r="N1649" s="4">
        <f>BBDD_Usiarios_Netflix[[#This Row],[Ingresos Mensuales]]*BBDD_Usiarios_Netflix[[#This Row],[Meses contratados]]</f>
        <v>156</v>
      </c>
      <c r="O1649" t="s">
        <v>39</v>
      </c>
      <c r="P1649" t="str">
        <f>IF(BBDD_Usiarios_Netflix[[#This Row],[País]]="","Desconocido",BBDD_Usiarios_Netflix[[#This Row],[País]])</f>
        <v>Canadá</v>
      </c>
      <c r="Q1649">
        <v>41</v>
      </c>
      <c r="R1649" t="s">
        <v>30</v>
      </c>
      <c r="S1649" t="s">
        <v>26</v>
      </c>
      <c r="T1649" t="s">
        <v>41</v>
      </c>
      <c r="U1649">
        <f>IF(IFERROR(VLOOKUP(BBDD_Usiarios_Netflix[[#This Row],[Identificador Usuario]],A1650:$A$5870,1,FALSE),0)&lt;&gt;0,1,0)</f>
        <v>0</v>
      </c>
      <c r="V1649" s="6" t="str">
        <f>IF(BBDD_Usiarios_Netflix[[#This Row],[Duración Plan]]="12 Meses",LEFT(BBDD_Usiarios_Netflix[[#This Row],[Duración Plan]],2),LEFT(BBDD_Usiarios_Netflix[[#This Row],[Duración Plan]],1))</f>
        <v>12</v>
      </c>
      <c r="W16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50" spans="1:23" x14ac:dyDescent="0.25">
      <c r="A1650">
        <v>1649</v>
      </c>
      <c r="B1650" t="s">
        <v>28</v>
      </c>
      <c r="C1650">
        <v>14</v>
      </c>
      <c r="D1650" s="3">
        <v>27</v>
      </c>
      <c r="E1650" s="3">
        <v>6</v>
      </c>
      <c r="F1650">
        <v>23</v>
      </c>
      <c r="G1650" s="1">
        <f>DATEVALUE(_xlfn.CONCAT(BBDD_Usiarios_Netflix[[#This Row],[Día Suscripción]],"/",BBDD_Usiarios_Netflix[[#This Row],[Mes Suscripción]],"/",BBDD_Usiarios_Netflix[[#This Row],[Año Suscripción]]))</f>
        <v>45104</v>
      </c>
      <c r="H1650" s="1">
        <v>5</v>
      </c>
      <c r="I1650" s="1">
        <v>7</v>
      </c>
      <c r="J1650" s="1">
        <v>24</v>
      </c>
      <c r="K1650" s="1" t="str">
        <f>TEXT(BBDD_Usiarios_Netflix[[#This Row],[Fecha Suscripción]],"dddd")</f>
        <v>martes</v>
      </c>
      <c r="L1650" s="1">
        <f>DATEVALUE(_xlfn.CONCAT(BBDD_Usiarios_Netflix[[#This Row],[Día Último Pago]],"/",BBDD_Usiarios_Netflix[[#This Row],[Mes Último Pago]],"/",BBDD_Usiarios_Netflix[[#This Row],[Año Último Pago]]))</f>
        <v>45478</v>
      </c>
      <c r="M1650" s="4">
        <f>DATEDIF(BBDD_Usiarios_Netflix[[#This Row],[Fecha Suscripción]],BBDD_Usiarios_Netflix[[#This Row],[Fecha Último Pago]],"M")+1</f>
        <v>13</v>
      </c>
      <c r="N1650" s="4">
        <f>BBDD_Usiarios_Netflix[[#This Row],[Ingresos Mensuales]]*BBDD_Usiarios_Netflix[[#This Row],[Meses contratados]]</f>
        <v>182</v>
      </c>
      <c r="O1650" t="s">
        <v>39</v>
      </c>
      <c r="P1650" t="str">
        <f>IF(BBDD_Usiarios_Netflix[[#This Row],[País]]="","Desconocido",BBDD_Usiarios_Netflix[[#This Row],[País]])</f>
        <v>Canadá</v>
      </c>
      <c r="Q1650">
        <v>30</v>
      </c>
      <c r="R1650" t="s">
        <v>25</v>
      </c>
      <c r="S1650" t="s">
        <v>31</v>
      </c>
      <c r="T1650" t="s">
        <v>38</v>
      </c>
      <c r="U1650">
        <f>IF(IFERROR(VLOOKUP(BBDD_Usiarios_Netflix[[#This Row],[Identificador Usuario]],A1651:$A$5870,1,FALSE),0)&lt;&gt;0,1,0)</f>
        <v>0</v>
      </c>
      <c r="V1650" s="6" t="str">
        <f>IF(BBDD_Usiarios_Netflix[[#This Row],[Duración Plan]]="12 Meses",LEFT(BBDD_Usiarios_Netflix[[#This Row],[Duración Plan]],2),LEFT(BBDD_Usiarios_Netflix[[#This Row],[Duración Plan]],1))</f>
        <v>3</v>
      </c>
      <c r="W16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51" spans="1:23" x14ac:dyDescent="0.25">
      <c r="A1651">
        <v>1650</v>
      </c>
      <c r="B1651" t="s">
        <v>23</v>
      </c>
      <c r="C1651">
        <v>10</v>
      </c>
      <c r="D1651" s="3">
        <v>28</v>
      </c>
      <c r="E1651" s="3">
        <v>6</v>
      </c>
      <c r="F1651">
        <v>23</v>
      </c>
      <c r="G1651" s="1">
        <f>DATEVALUE(_xlfn.CONCAT(BBDD_Usiarios_Netflix[[#This Row],[Día Suscripción]],"/",BBDD_Usiarios_Netflix[[#This Row],[Mes Suscripción]],"/",BBDD_Usiarios_Netflix[[#This Row],[Año Suscripción]]))</f>
        <v>45105</v>
      </c>
      <c r="H1651" s="1">
        <v>8</v>
      </c>
      <c r="I1651" s="1">
        <v>7</v>
      </c>
      <c r="J1651" s="1">
        <v>24</v>
      </c>
      <c r="K1651" s="1" t="str">
        <f>TEXT(BBDD_Usiarios_Netflix[[#This Row],[Fecha Suscripción]],"dddd")</f>
        <v>miércoles</v>
      </c>
      <c r="L1651" s="1">
        <f>DATEVALUE(_xlfn.CONCAT(BBDD_Usiarios_Netflix[[#This Row],[Día Último Pago]],"/",BBDD_Usiarios_Netflix[[#This Row],[Mes Último Pago]],"/",BBDD_Usiarios_Netflix[[#This Row],[Año Último Pago]]))</f>
        <v>45481</v>
      </c>
      <c r="M1651" s="4">
        <f>DATEDIF(BBDD_Usiarios_Netflix[[#This Row],[Fecha Suscripción]],BBDD_Usiarios_Netflix[[#This Row],[Fecha Último Pago]],"M")+1</f>
        <v>13</v>
      </c>
      <c r="N1651" s="4">
        <f>BBDD_Usiarios_Netflix[[#This Row],[Ingresos Mensuales]]*BBDD_Usiarios_Netflix[[#This Row],[Meses contratados]]</f>
        <v>130</v>
      </c>
      <c r="O1651" t="s">
        <v>33</v>
      </c>
      <c r="P1651" t="str">
        <f>IF(BBDD_Usiarios_Netflix[[#This Row],[País]]="","Desconocido",BBDD_Usiarios_Netflix[[#This Row],[País]])</f>
        <v>Francia</v>
      </c>
      <c r="Q1651">
        <v>32</v>
      </c>
      <c r="R1651" t="s">
        <v>25</v>
      </c>
      <c r="S1651" t="s">
        <v>31</v>
      </c>
      <c r="T1651" t="s">
        <v>27</v>
      </c>
      <c r="U1651">
        <f>IF(IFERROR(VLOOKUP(BBDD_Usiarios_Netflix[[#This Row],[Identificador Usuario]],A1652:$A$5870,1,FALSE),0)&lt;&gt;0,1,0)</f>
        <v>0</v>
      </c>
      <c r="V1651" s="6" t="str">
        <f>IF(BBDD_Usiarios_Netflix[[#This Row],[Duración Plan]]="12 Meses",LEFT(BBDD_Usiarios_Netflix[[#This Row],[Duración Plan]],2),LEFT(BBDD_Usiarios_Netflix[[#This Row],[Duración Plan]],1))</f>
        <v>1</v>
      </c>
      <c r="W16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52" spans="1:23" x14ac:dyDescent="0.25">
      <c r="A1652">
        <v>1651</v>
      </c>
      <c r="B1652" t="s">
        <v>23</v>
      </c>
      <c r="C1652">
        <v>10</v>
      </c>
      <c r="D1652" s="3">
        <v>28</v>
      </c>
      <c r="E1652" s="3">
        <v>6</v>
      </c>
      <c r="F1652">
        <v>23</v>
      </c>
      <c r="G1652" s="1">
        <f>DATEVALUE(_xlfn.CONCAT(BBDD_Usiarios_Netflix[[#This Row],[Día Suscripción]],"/",BBDD_Usiarios_Netflix[[#This Row],[Mes Suscripción]],"/",BBDD_Usiarios_Netflix[[#This Row],[Año Suscripción]]))</f>
        <v>45105</v>
      </c>
      <c r="H1652" s="1">
        <v>6</v>
      </c>
      <c r="I1652" s="1">
        <v>7</v>
      </c>
      <c r="J1652" s="1">
        <v>24</v>
      </c>
      <c r="K1652" s="1" t="str">
        <f>TEXT(BBDD_Usiarios_Netflix[[#This Row],[Fecha Suscripción]],"dddd")</f>
        <v>miércoles</v>
      </c>
      <c r="L1652" s="1">
        <f>DATEVALUE(_xlfn.CONCAT(BBDD_Usiarios_Netflix[[#This Row],[Día Último Pago]],"/",BBDD_Usiarios_Netflix[[#This Row],[Mes Último Pago]],"/",BBDD_Usiarios_Netflix[[#This Row],[Año Último Pago]]))</f>
        <v>45479</v>
      </c>
      <c r="M1652" s="4">
        <f>DATEDIF(BBDD_Usiarios_Netflix[[#This Row],[Fecha Suscripción]],BBDD_Usiarios_Netflix[[#This Row],[Fecha Último Pago]],"M")+1</f>
        <v>13</v>
      </c>
      <c r="N1652" s="4">
        <f>BBDD_Usiarios_Netflix[[#This Row],[Ingresos Mensuales]]*BBDD_Usiarios_Netflix[[#This Row],[Meses contratados]]</f>
        <v>130</v>
      </c>
      <c r="O1652" t="s">
        <v>33</v>
      </c>
      <c r="P1652" t="str">
        <f>IF(BBDD_Usiarios_Netflix[[#This Row],[País]]="","Desconocido",BBDD_Usiarios_Netflix[[#This Row],[País]])</f>
        <v>Francia</v>
      </c>
      <c r="Q1652">
        <v>38</v>
      </c>
      <c r="R1652" t="s">
        <v>25</v>
      </c>
      <c r="S1652" t="s">
        <v>34</v>
      </c>
      <c r="T1652" t="s">
        <v>27</v>
      </c>
      <c r="U1652">
        <f>IF(IFERROR(VLOOKUP(BBDD_Usiarios_Netflix[[#This Row],[Identificador Usuario]],A1653:$A$5870,1,FALSE),0)&lt;&gt;0,1,0)</f>
        <v>0</v>
      </c>
      <c r="V1652" s="6" t="str">
        <f>IF(BBDD_Usiarios_Netflix[[#This Row],[Duración Plan]]="12 Meses",LEFT(BBDD_Usiarios_Netflix[[#This Row],[Duración Plan]],2),LEFT(BBDD_Usiarios_Netflix[[#This Row],[Duración Plan]],1))</f>
        <v>1</v>
      </c>
      <c r="W16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53" spans="1:23" x14ac:dyDescent="0.25">
      <c r="A1653">
        <v>1652</v>
      </c>
      <c r="B1653" t="s">
        <v>28</v>
      </c>
      <c r="C1653">
        <v>14</v>
      </c>
      <c r="D1653" s="3">
        <v>29</v>
      </c>
      <c r="E1653" s="3">
        <v>6</v>
      </c>
      <c r="F1653">
        <v>23</v>
      </c>
      <c r="G1653" s="1">
        <f>DATEVALUE(_xlfn.CONCAT(BBDD_Usiarios_Netflix[[#This Row],[Día Suscripción]],"/",BBDD_Usiarios_Netflix[[#This Row],[Mes Suscripción]],"/",BBDD_Usiarios_Netflix[[#This Row],[Año Suscripción]]))</f>
        <v>45106</v>
      </c>
      <c r="H1653" s="1">
        <v>8</v>
      </c>
      <c r="I1653" s="1">
        <v>7</v>
      </c>
      <c r="J1653" s="1">
        <v>24</v>
      </c>
      <c r="K1653" s="1" t="str">
        <f>TEXT(BBDD_Usiarios_Netflix[[#This Row],[Fecha Suscripción]],"dddd")</f>
        <v>jueves</v>
      </c>
      <c r="L1653" s="1">
        <f>DATEVALUE(_xlfn.CONCAT(BBDD_Usiarios_Netflix[[#This Row],[Día Último Pago]],"/",BBDD_Usiarios_Netflix[[#This Row],[Mes Último Pago]],"/",BBDD_Usiarios_Netflix[[#This Row],[Año Último Pago]]))</f>
        <v>45481</v>
      </c>
      <c r="M1653" s="4">
        <f>DATEDIF(BBDD_Usiarios_Netflix[[#This Row],[Fecha Suscripción]],BBDD_Usiarios_Netflix[[#This Row],[Fecha Último Pago]],"M")+1</f>
        <v>13</v>
      </c>
      <c r="N1653" s="4">
        <f>BBDD_Usiarios_Netflix[[#This Row],[Ingresos Mensuales]]*BBDD_Usiarios_Netflix[[#This Row],[Meses contratados]]</f>
        <v>182</v>
      </c>
      <c r="O1653" t="s">
        <v>43</v>
      </c>
      <c r="P1653" t="str">
        <f>IF(BBDD_Usiarios_Netflix[[#This Row],[País]]="","Desconocido",BBDD_Usiarios_Netflix[[#This Row],[País]])</f>
        <v>Alemania</v>
      </c>
      <c r="Q1653">
        <v>38</v>
      </c>
      <c r="R1653" t="s">
        <v>25</v>
      </c>
      <c r="S1653" t="s">
        <v>31</v>
      </c>
      <c r="T1653" t="s">
        <v>35</v>
      </c>
      <c r="U1653">
        <f>IF(IFERROR(VLOOKUP(BBDD_Usiarios_Netflix[[#This Row],[Identificador Usuario]],A1654:$A$5870,1,FALSE),0)&lt;&gt;0,1,0)</f>
        <v>0</v>
      </c>
      <c r="V1653" s="6" t="str">
        <f>IF(BBDD_Usiarios_Netflix[[#This Row],[Duración Plan]]="12 Meses",LEFT(BBDD_Usiarios_Netflix[[#This Row],[Duración Plan]],2),LEFT(BBDD_Usiarios_Netflix[[#This Row],[Duración Plan]],1))</f>
        <v>6</v>
      </c>
      <c r="W16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54" spans="1:23" x14ac:dyDescent="0.25">
      <c r="A1654">
        <v>1653</v>
      </c>
      <c r="B1654" t="s">
        <v>32</v>
      </c>
      <c r="C1654">
        <v>12</v>
      </c>
      <c r="D1654" s="3">
        <v>1</v>
      </c>
      <c r="E1654" s="3">
        <v>7</v>
      </c>
      <c r="F1654">
        <v>23</v>
      </c>
      <c r="G1654" s="1">
        <f>DATEVALUE(_xlfn.CONCAT(BBDD_Usiarios_Netflix[[#This Row],[Día Suscripción]],"/",BBDD_Usiarios_Netflix[[#This Row],[Mes Suscripción]],"/",BBDD_Usiarios_Netflix[[#This Row],[Año Suscripción]]))</f>
        <v>45108</v>
      </c>
      <c r="H1654" s="1">
        <v>6</v>
      </c>
      <c r="I1654" s="1">
        <v>7</v>
      </c>
      <c r="J1654" s="1">
        <v>24</v>
      </c>
      <c r="K1654" s="1" t="str">
        <f>TEXT(BBDD_Usiarios_Netflix[[#This Row],[Fecha Suscripción]],"dddd")</f>
        <v>sábado</v>
      </c>
      <c r="L1654" s="1">
        <f>DATEVALUE(_xlfn.CONCAT(BBDD_Usiarios_Netflix[[#This Row],[Día Último Pago]],"/",BBDD_Usiarios_Netflix[[#This Row],[Mes Último Pago]],"/",BBDD_Usiarios_Netflix[[#This Row],[Año Último Pago]]))</f>
        <v>45479</v>
      </c>
      <c r="M1654" s="4">
        <f>DATEDIF(BBDD_Usiarios_Netflix[[#This Row],[Fecha Suscripción]],BBDD_Usiarios_Netflix[[#This Row],[Fecha Último Pago]],"M")+1</f>
        <v>13</v>
      </c>
      <c r="N1654" s="4">
        <f>BBDD_Usiarios_Netflix[[#This Row],[Ingresos Mensuales]]*BBDD_Usiarios_Netflix[[#This Row],[Meses contratados]]</f>
        <v>156</v>
      </c>
      <c r="O1654" t="s">
        <v>29</v>
      </c>
      <c r="P1654" t="str">
        <f>IF(BBDD_Usiarios_Netflix[[#This Row],[País]]="","Desconocido",BBDD_Usiarios_Netflix[[#This Row],[País]])</f>
        <v>EEUU</v>
      </c>
      <c r="Q1654">
        <v>32</v>
      </c>
      <c r="R1654" t="s">
        <v>25</v>
      </c>
      <c r="S1654" t="s">
        <v>26</v>
      </c>
      <c r="T1654" t="s">
        <v>27</v>
      </c>
      <c r="U1654">
        <f>IF(IFERROR(VLOOKUP(BBDD_Usiarios_Netflix[[#This Row],[Identificador Usuario]],A1655:$A$5870,1,FALSE),0)&lt;&gt;0,1,0)</f>
        <v>0</v>
      </c>
      <c r="V1654" s="6" t="str">
        <f>IF(BBDD_Usiarios_Netflix[[#This Row],[Duración Plan]]="12 Meses",LEFT(BBDD_Usiarios_Netflix[[#This Row],[Duración Plan]],2),LEFT(BBDD_Usiarios_Netflix[[#This Row],[Duración Plan]],1))</f>
        <v>1</v>
      </c>
      <c r="W16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55" spans="1:23" x14ac:dyDescent="0.25">
      <c r="A1655">
        <v>1654</v>
      </c>
      <c r="B1655" t="s">
        <v>32</v>
      </c>
      <c r="C1655">
        <v>12</v>
      </c>
      <c r="D1655" s="3">
        <v>3</v>
      </c>
      <c r="E1655" s="3">
        <v>7</v>
      </c>
      <c r="F1655">
        <v>23</v>
      </c>
      <c r="G1655" s="1">
        <f>DATEVALUE(_xlfn.CONCAT(BBDD_Usiarios_Netflix[[#This Row],[Día Suscripción]],"/",BBDD_Usiarios_Netflix[[#This Row],[Mes Suscripción]],"/",BBDD_Usiarios_Netflix[[#This Row],[Año Suscripción]]))</f>
        <v>45110</v>
      </c>
      <c r="H1655" s="1">
        <v>7</v>
      </c>
      <c r="I1655" s="1">
        <v>7</v>
      </c>
      <c r="J1655" s="1">
        <v>24</v>
      </c>
      <c r="K1655" s="1" t="str">
        <f>TEXT(BBDD_Usiarios_Netflix[[#This Row],[Fecha Suscripción]],"dddd")</f>
        <v>lunes</v>
      </c>
      <c r="L1655" s="1">
        <f>DATEVALUE(_xlfn.CONCAT(BBDD_Usiarios_Netflix[[#This Row],[Día Último Pago]],"/",BBDD_Usiarios_Netflix[[#This Row],[Mes Último Pago]],"/",BBDD_Usiarios_Netflix[[#This Row],[Año Último Pago]]))</f>
        <v>45480</v>
      </c>
      <c r="M1655" s="4">
        <f>DATEDIF(BBDD_Usiarios_Netflix[[#This Row],[Fecha Suscripción]],BBDD_Usiarios_Netflix[[#This Row],[Fecha Último Pago]],"M")+1</f>
        <v>13</v>
      </c>
      <c r="N1655" s="4">
        <f>BBDD_Usiarios_Netflix[[#This Row],[Ingresos Mensuales]]*BBDD_Usiarios_Netflix[[#This Row],[Meses contratados]]</f>
        <v>156</v>
      </c>
      <c r="O1655" t="s">
        <v>42</v>
      </c>
      <c r="P1655" t="str">
        <f>IF(BBDD_Usiarios_Netflix[[#This Row],[País]]="","Desconocido",BBDD_Usiarios_Netflix[[#This Row],[País]])</f>
        <v>Reino Unido</v>
      </c>
      <c r="Q1655">
        <v>27</v>
      </c>
      <c r="R1655" t="s">
        <v>25</v>
      </c>
      <c r="S1655" t="s">
        <v>31</v>
      </c>
      <c r="T1655" t="s">
        <v>27</v>
      </c>
      <c r="U1655">
        <f>IF(IFERROR(VLOOKUP(BBDD_Usiarios_Netflix[[#This Row],[Identificador Usuario]],A1656:$A$5870,1,FALSE),0)&lt;&gt;0,1,0)</f>
        <v>0</v>
      </c>
      <c r="V1655" s="6" t="str">
        <f>IF(BBDD_Usiarios_Netflix[[#This Row],[Duración Plan]]="12 Meses",LEFT(BBDD_Usiarios_Netflix[[#This Row],[Duración Plan]],2),LEFT(BBDD_Usiarios_Netflix[[#This Row],[Duración Plan]],1))</f>
        <v>1</v>
      </c>
      <c r="W16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56" spans="1:23" x14ac:dyDescent="0.25">
      <c r="A1656">
        <v>1655</v>
      </c>
      <c r="B1656" t="s">
        <v>23</v>
      </c>
      <c r="C1656">
        <v>10</v>
      </c>
      <c r="D1656" s="3">
        <v>4</v>
      </c>
      <c r="E1656" s="3">
        <v>7</v>
      </c>
      <c r="F1656">
        <v>23</v>
      </c>
      <c r="G1656" s="1">
        <f>DATEVALUE(_xlfn.CONCAT(BBDD_Usiarios_Netflix[[#This Row],[Día Suscripción]],"/",BBDD_Usiarios_Netflix[[#This Row],[Mes Suscripción]],"/",BBDD_Usiarios_Netflix[[#This Row],[Año Suscripción]]))</f>
        <v>45111</v>
      </c>
      <c r="H1656" s="1">
        <v>6</v>
      </c>
      <c r="I1656" s="1">
        <v>7</v>
      </c>
      <c r="J1656" s="1">
        <v>24</v>
      </c>
      <c r="K1656" s="1" t="str">
        <f>TEXT(BBDD_Usiarios_Netflix[[#This Row],[Fecha Suscripción]],"dddd")</f>
        <v>martes</v>
      </c>
      <c r="L1656" s="1">
        <f>DATEVALUE(_xlfn.CONCAT(BBDD_Usiarios_Netflix[[#This Row],[Día Último Pago]],"/",BBDD_Usiarios_Netflix[[#This Row],[Mes Último Pago]],"/",BBDD_Usiarios_Netflix[[#This Row],[Año Último Pago]]))</f>
        <v>45479</v>
      </c>
      <c r="M1656" s="4">
        <f>DATEDIF(BBDD_Usiarios_Netflix[[#This Row],[Fecha Suscripción]],BBDD_Usiarios_Netflix[[#This Row],[Fecha Último Pago]],"M")+1</f>
        <v>13</v>
      </c>
      <c r="N1656" s="4">
        <f>BBDD_Usiarios_Netflix[[#This Row],[Ingresos Mensuales]]*BBDD_Usiarios_Netflix[[#This Row],[Meses contratados]]</f>
        <v>130</v>
      </c>
      <c r="O1656" t="s">
        <v>29</v>
      </c>
      <c r="P1656" t="str">
        <f>IF(BBDD_Usiarios_Netflix[[#This Row],[País]]="","Desconocido",BBDD_Usiarios_Netflix[[#This Row],[País]])</f>
        <v>EEUU</v>
      </c>
      <c r="Q1656">
        <v>50</v>
      </c>
      <c r="R1656" t="s">
        <v>30</v>
      </c>
      <c r="S1656" t="s">
        <v>31</v>
      </c>
      <c r="T1656" t="s">
        <v>38</v>
      </c>
      <c r="U1656">
        <f>IF(IFERROR(VLOOKUP(BBDD_Usiarios_Netflix[[#This Row],[Identificador Usuario]],A1657:$A$5870,1,FALSE),0)&lt;&gt;0,1,0)</f>
        <v>0</v>
      </c>
      <c r="V1656" s="6" t="str">
        <f>IF(BBDD_Usiarios_Netflix[[#This Row],[Duración Plan]]="12 Meses",LEFT(BBDD_Usiarios_Netflix[[#This Row],[Duración Plan]],2),LEFT(BBDD_Usiarios_Netflix[[#This Row],[Duración Plan]],1))</f>
        <v>3</v>
      </c>
      <c r="W16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57" spans="1:23" x14ac:dyDescent="0.25">
      <c r="A1657">
        <v>1656</v>
      </c>
      <c r="B1657" t="s">
        <v>28</v>
      </c>
      <c r="C1657">
        <v>14</v>
      </c>
      <c r="D1657" s="3">
        <v>10</v>
      </c>
      <c r="E1657" s="3">
        <v>7</v>
      </c>
      <c r="F1657">
        <v>23</v>
      </c>
      <c r="G1657" s="1">
        <f>DATEVALUE(_xlfn.CONCAT(BBDD_Usiarios_Netflix[[#This Row],[Día Suscripción]],"/",BBDD_Usiarios_Netflix[[#This Row],[Mes Suscripción]],"/",BBDD_Usiarios_Netflix[[#This Row],[Año Suscripción]]))</f>
        <v>45117</v>
      </c>
      <c r="H1657" s="1">
        <v>7</v>
      </c>
      <c r="I1657" s="1">
        <v>7</v>
      </c>
      <c r="J1657" s="1">
        <v>24</v>
      </c>
      <c r="K1657" s="1" t="str">
        <f>TEXT(BBDD_Usiarios_Netflix[[#This Row],[Fecha Suscripción]],"dddd")</f>
        <v>lunes</v>
      </c>
      <c r="L1657" s="1">
        <f>DATEVALUE(_xlfn.CONCAT(BBDD_Usiarios_Netflix[[#This Row],[Día Último Pago]],"/",BBDD_Usiarios_Netflix[[#This Row],[Mes Último Pago]],"/",BBDD_Usiarios_Netflix[[#This Row],[Año Último Pago]]))</f>
        <v>45480</v>
      </c>
      <c r="M1657" s="4">
        <f>DATEDIF(BBDD_Usiarios_Netflix[[#This Row],[Fecha Suscripción]],BBDD_Usiarios_Netflix[[#This Row],[Fecha Último Pago]],"M")+1</f>
        <v>12</v>
      </c>
      <c r="N1657" s="4">
        <f>BBDD_Usiarios_Netflix[[#This Row],[Ingresos Mensuales]]*BBDD_Usiarios_Netflix[[#This Row],[Meses contratados]]</f>
        <v>168</v>
      </c>
      <c r="O1657" t="s">
        <v>43</v>
      </c>
      <c r="P1657" t="str">
        <f>IF(BBDD_Usiarios_Netflix[[#This Row],[País]]="","Desconocido",BBDD_Usiarios_Netflix[[#This Row],[País]])</f>
        <v>Alemania</v>
      </c>
      <c r="Q1657">
        <v>30</v>
      </c>
      <c r="R1657" t="s">
        <v>25</v>
      </c>
      <c r="S1657" t="s">
        <v>26</v>
      </c>
      <c r="T1657" t="s">
        <v>35</v>
      </c>
      <c r="U1657">
        <f>IF(IFERROR(VLOOKUP(BBDD_Usiarios_Netflix[[#This Row],[Identificador Usuario]],A1658:$A$5870,1,FALSE),0)&lt;&gt;0,1,0)</f>
        <v>0</v>
      </c>
      <c r="V1657" s="6" t="str">
        <f>IF(BBDD_Usiarios_Netflix[[#This Row],[Duración Plan]]="12 Meses",LEFT(BBDD_Usiarios_Netflix[[#This Row],[Duración Plan]],2),LEFT(BBDD_Usiarios_Netflix[[#This Row],[Duración Plan]],1))</f>
        <v>6</v>
      </c>
      <c r="W16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58" spans="1:23" x14ac:dyDescent="0.25">
      <c r="A1658">
        <v>1657</v>
      </c>
      <c r="B1658" t="s">
        <v>32</v>
      </c>
      <c r="C1658">
        <v>12</v>
      </c>
      <c r="D1658" s="3">
        <v>23</v>
      </c>
      <c r="E1658" s="3">
        <v>7</v>
      </c>
      <c r="F1658">
        <v>23</v>
      </c>
      <c r="G1658" s="1">
        <f>DATEVALUE(_xlfn.CONCAT(BBDD_Usiarios_Netflix[[#This Row],[Día Suscripción]],"/",BBDD_Usiarios_Netflix[[#This Row],[Mes Suscripción]],"/",BBDD_Usiarios_Netflix[[#This Row],[Año Suscripción]]))</f>
        <v>45130</v>
      </c>
      <c r="H1658" s="1">
        <v>6</v>
      </c>
      <c r="I1658" s="1">
        <v>7</v>
      </c>
      <c r="J1658" s="1">
        <v>24</v>
      </c>
      <c r="K1658" s="1" t="str">
        <f>TEXT(BBDD_Usiarios_Netflix[[#This Row],[Fecha Suscripción]],"dddd")</f>
        <v>domingo</v>
      </c>
      <c r="L1658" s="1">
        <f>DATEVALUE(_xlfn.CONCAT(BBDD_Usiarios_Netflix[[#This Row],[Día Último Pago]],"/",BBDD_Usiarios_Netflix[[#This Row],[Mes Último Pago]],"/",BBDD_Usiarios_Netflix[[#This Row],[Año Último Pago]]))</f>
        <v>45479</v>
      </c>
      <c r="M1658" s="4">
        <f>DATEDIF(BBDD_Usiarios_Netflix[[#This Row],[Fecha Suscripción]],BBDD_Usiarios_Netflix[[#This Row],[Fecha Último Pago]],"M")+1</f>
        <v>12</v>
      </c>
      <c r="N1658" s="4">
        <f>BBDD_Usiarios_Netflix[[#This Row],[Ingresos Mensuales]]*BBDD_Usiarios_Netflix[[#This Row],[Meses contratados]]</f>
        <v>144</v>
      </c>
      <c r="O1658" t="s">
        <v>42</v>
      </c>
      <c r="P1658" t="str">
        <f>IF(BBDD_Usiarios_Netflix[[#This Row],[País]]="","Desconocido",BBDD_Usiarios_Netflix[[#This Row],[País]])</f>
        <v>Reino Unido</v>
      </c>
      <c r="Q1658">
        <v>49</v>
      </c>
      <c r="R1658" t="s">
        <v>25</v>
      </c>
      <c r="S1658" t="s">
        <v>26</v>
      </c>
      <c r="T1658" t="s">
        <v>38</v>
      </c>
      <c r="U1658">
        <f>IF(IFERROR(VLOOKUP(BBDD_Usiarios_Netflix[[#This Row],[Identificador Usuario]],A1659:$A$5870,1,FALSE),0)&lt;&gt;0,1,0)</f>
        <v>0</v>
      </c>
      <c r="V1658" s="6" t="str">
        <f>IF(BBDD_Usiarios_Netflix[[#This Row],[Duración Plan]]="12 Meses",LEFT(BBDD_Usiarios_Netflix[[#This Row],[Duración Plan]],2),LEFT(BBDD_Usiarios_Netflix[[#This Row],[Duración Plan]],1))</f>
        <v>3</v>
      </c>
      <c r="W16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59" spans="1:23" x14ac:dyDescent="0.25">
      <c r="A1659">
        <v>1658</v>
      </c>
      <c r="B1659" t="s">
        <v>23</v>
      </c>
      <c r="C1659">
        <v>10</v>
      </c>
      <c r="D1659" s="3">
        <v>24</v>
      </c>
      <c r="E1659" s="3">
        <v>7</v>
      </c>
      <c r="F1659">
        <v>23</v>
      </c>
      <c r="G1659" s="1">
        <f>DATEVALUE(_xlfn.CONCAT(BBDD_Usiarios_Netflix[[#This Row],[Día Suscripción]],"/",BBDD_Usiarios_Netflix[[#This Row],[Mes Suscripción]],"/",BBDD_Usiarios_Netflix[[#This Row],[Año Suscripción]]))</f>
        <v>45131</v>
      </c>
      <c r="H1659" s="1">
        <v>7</v>
      </c>
      <c r="I1659" s="1">
        <v>7</v>
      </c>
      <c r="J1659" s="1">
        <v>24</v>
      </c>
      <c r="K1659" s="1" t="str">
        <f>TEXT(BBDD_Usiarios_Netflix[[#This Row],[Fecha Suscripción]],"dddd")</f>
        <v>lunes</v>
      </c>
      <c r="L1659" s="1">
        <f>DATEVALUE(_xlfn.CONCAT(BBDD_Usiarios_Netflix[[#This Row],[Día Último Pago]],"/",BBDD_Usiarios_Netflix[[#This Row],[Mes Último Pago]],"/",BBDD_Usiarios_Netflix[[#This Row],[Año Último Pago]]))</f>
        <v>45480</v>
      </c>
      <c r="M1659" s="4">
        <f>DATEDIF(BBDD_Usiarios_Netflix[[#This Row],[Fecha Suscripción]],BBDD_Usiarios_Netflix[[#This Row],[Fecha Último Pago]],"M")+1</f>
        <v>12</v>
      </c>
      <c r="N1659" s="4">
        <f>BBDD_Usiarios_Netflix[[#This Row],[Ingresos Mensuales]]*BBDD_Usiarios_Netflix[[#This Row],[Meses contratados]]</f>
        <v>120</v>
      </c>
      <c r="O1659" t="s">
        <v>40</v>
      </c>
      <c r="P1659" t="str">
        <f>IF(BBDD_Usiarios_Netflix[[#This Row],[País]]="","Desconocido",BBDD_Usiarios_Netflix[[#This Row],[País]])</f>
        <v>Italia</v>
      </c>
      <c r="Q1659">
        <v>32</v>
      </c>
      <c r="R1659" t="s">
        <v>30</v>
      </c>
      <c r="S1659" t="s">
        <v>36</v>
      </c>
      <c r="T1659" t="s">
        <v>41</v>
      </c>
      <c r="U1659">
        <f>IF(IFERROR(VLOOKUP(BBDD_Usiarios_Netflix[[#This Row],[Identificador Usuario]],A1660:$A$5870,1,FALSE),0)&lt;&gt;0,1,0)</f>
        <v>0</v>
      </c>
      <c r="V1659" s="6" t="str">
        <f>IF(BBDD_Usiarios_Netflix[[#This Row],[Duración Plan]]="12 Meses",LEFT(BBDD_Usiarios_Netflix[[#This Row],[Duración Plan]],2),LEFT(BBDD_Usiarios_Netflix[[#This Row],[Duración Plan]],1))</f>
        <v>12</v>
      </c>
      <c r="W16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60" spans="1:23" x14ac:dyDescent="0.25">
      <c r="A1660">
        <v>1659</v>
      </c>
      <c r="B1660" t="s">
        <v>32</v>
      </c>
      <c r="C1660">
        <v>12</v>
      </c>
      <c r="D1660" s="3">
        <v>26</v>
      </c>
      <c r="E1660" s="3">
        <v>7</v>
      </c>
      <c r="F1660">
        <v>23</v>
      </c>
      <c r="G1660" s="1">
        <f>DATEVALUE(_xlfn.CONCAT(BBDD_Usiarios_Netflix[[#This Row],[Día Suscripción]],"/",BBDD_Usiarios_Netflix[[#This Row],[Mes Suscripción]],"/",BBDD_Usiarios_Netflix[[#This Row],[Año Suscripción]]))</f>
        <v>45133</v>
      </c>
      <c r="H1660" s="1">
        <v>6</v>
      </c>
      <c r="I1660" s="1">
        <v>7</v>
      </c>
      <c r="J1660" s="1">
        <v>24</v>
      </c>
      <c r="K1660" s="1" t="str">
        <f>TEXT(BBDD_Usiarios_Netflix[[#This Row],[Fecha Suscripción]],"dddd")</f>
        <v>miércoles</v>
      </c>
      <c r="L1660" s="1">
        <f>DATEVALUE(_xlfn.CONCAT(BBDD_Usiarios_Netflix[[#This Row],[Día Último Pago]],"/",BBDD_Usiarios_Netflix[[#This Row],[Mes Último Pago]],"/",BBDD_Usiarios_Netflix[[#This Row],[Año Último Pago]]))</f>
        <v>45479</v>
      </c>
      <c r="M1660" s="4">
        <f>DATEDIF(BBDD_Usiarios_Netflix[[#This Row],[Fecha Suscripción]],BBDD_Usiarios_Netflix[[#This Row],[Fecha Último Pago]],"M")+1</f>
        <v>12</v>
      </c>
      <c r="N1660" s="4">
        <f>BBDD_Usiarios_Netflix[[#This Row],[Ingresos Mensuales]]*BBDD_Usiarios_Netflix[[#This Row],[Meses contratados]]</f>
        <v>144</v>
      </c>
      <c r="O1660" t="s">
        <v>45</v>
      </c>
      <c r="P1660" t="str">
        <f>IF(BBDD_Usiarios_Netflix[[#This Row],[País]]="","Desconocido",BBDD_Usiarios_Netflix[[#This Row],[País]])</f>
        <v>España</v>
      </c>
      <c r="Q1660">
        <v>35</v>
      </c>
      <c r="R1660" t="s">
        <v>25</v>
      </c>
      <c r="S1660" t="s">
        <v>26</v>
      </c>
      <c r="T1660" t="s">
        <v>41</v>
      </c>
      <c r="U1660">
        <f>IF(IFERROR(VLOOKUP(BBDD_Usiarios_Netflix[[#This Row],[Identificador Usuario]],A1661:$A$5870,1,FALSE),0)&lt;&gt;0,1,0)</f>
        <v>0</v>
      </c>
      <c r="V1660" s="6" t="str">
        <f>IF(BBDD_Usiarios_Netflix[[#This Row],[Duración Plan]]="12 Meses",LEFT(BBDD_Usiarios_Netflix[[#This Row],[Duración Plan]],2),LEFT(BBDD_Usiarios_Netflix[[#This Row],[Duración Plan]],1))</f>
        <v>12</v>
      </c>
      <c r="W16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61" spans="1:23" x14ac:dyDescent="0.25">
      <c r="A1661">
        <v>1660</v>
      </c>
      <c r="B1661" t="s">
        <v>28</v>
      </c>
      <c r="C1661">
        <v>14</v>
      </c>
      <c r="D1661" s="3">
        <v>7</v>
      </c>
      <c r="E1661" s="3">
        <v>8</v>
      </c>
      <c r="F1661">
        <v>23</v>
      </c>
      <c r="G1661" s="1">
        <f>DATEVALUE(_xlfn.CONCAT(BBDD_Usiarios_Netflix[[#This Row],[Día Suscripción]],"/",BBDD_Usiarios_Netflix[[#This Row],[Mes Suscripción]],"/",BBDD_Usiarios_Netflix[[#This Row],[Año Suscripción]]))</f>
        <v>45145</v>
      </c>
      <c r="H1661" s="1">
        <v>8</v>
      </c>
      <c r="I1661" s="1">
        <v>7</v>
      </c>
      <c r="J1661" s="1">
        <v>24</v>
      </c>
      <c r="K1661" s="1" t="str">
        <f>TEXT(BBDD_Usiarios_Netflix[[#This Row],[Fecha Suscripción]],"dddd")</f>
        <v>lunes</v>
      </c>
      <c r="L1661" s="1">
        <f>DATEVALUE(_xlfn.CONCAT(BBDD_Usiarios_Netflix[[#This Row],[Día Último Pago]],"/",BBDD_Usiarios_Netflix[[#This Row],[Mes Último Pago]],"/",BBDD_Usiarios_Netflix[[#This Row],[Año Último Pago]]))</f>
        <v>45481</v>
      </c>
      <c r="M1661" s="4">
        <f>DATEDIF(BBDD_Usiarios_Netflix[[#This Row],[Fecha Suscripción]],BBDD_Usiarios_Netflix[[#This Row],[Fecha Último Pago]],"M")+1</f>
        <v>12</v>
      </c>
      <c r="N1661" s="4">
        <f>BBDD_Usiarios_Netflix[[#This Row],[Ingresos Mensuales]]*BBDD_Usiarios_Netflix[[#This Row],[Meses contratados]]</f>
        <v>168</v>
      </c>
      <c r="O1661" t="s">
        <v>44</v>
      </c>
      <c r="P1661" t="str">
        <f>IF(BBDD_Usiarios_Netflix[[#This Row],[País]]="","Desconocido",BBDD_Usiarios_Netflix[[#This Row],[País]])</f>
        <v>Desconocido</v>
      </c>
      <c r="Q1661">
        <v>44</v>
      </c>
      <c r="R1661" t="s">
        <v>25</v>
      </c>
      <c r="S1661" t="s">
        <v>31</v>
      </c>
      <c r="T1661" t="s">
        <v>35</v>
      </c>
      <c r="U1661">
        <f>IF(IFERROR(VLOOKUP(BBDD_Usiarios_Netflix[[#This Row],[Identificador Usuario]],A1662:$A$5870,1,FALSE),0)&lt;&gt;0,1,0)</f>
        <v>0</v>
      </c>
      <c r="V1661" s="6" t="str">
        <f>IF(BBDD_Usiarios_Netflix[[#This Row],[Duración Plan]]="12 Meses",LEFT(BBDD_Usiarios_Netflix[[#This Row],[Duración Plan]],2),LEFT(BBDD_Usiarios_Netflix[[#This Row],[Duración Plan]],1))</f>
        <v>6</v>
      </c>
      <c r="W16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62" spans="1:23" x14ac:dyDescent="0.25">
      <c r="A1662">
        <v>1661</v>
      </c>
      <c r="B1662" t="s">
        <v>23</v>
      </c>
      <c r="C1662">
        <v>10</v>
      </c>
      <c r="D1662" s="3">
        <v>10</v>
      </c>
      <c r="E1662" s="3">
        <v>8</v>
      </c>
      <c r="F1662">
        <v>23</v>
      </c>
      <c r="G1662" s="1">
        <f>DATEVALUE(_xlfn.CONCAT(BBDD_Usiarios_Netflix[[#This Row],[Día Suscripción]],"/",BBDD_Usiarios_Netflix[[#This Row],[Mes Suscripción]],"/",BBDD_Usiarios_Netflix[[#This Row],[Año Suscripción]]))</f>
        <v>45148</v>
      </c>
      <c r="H1662" s="1">
        <v>5</v>
      </c>
      <c r="I1662" s="1">
        <v>7</v>
      </c>
      <c r="J1662" s="1">
        <v>24</v>
      </c>
      <c r="K1662" s="1" t="str">
        <f>TEXT(BBDD_Usiarios_Netflix[[#This Row],[Fecha Suscripción]],"dddd")</f>
        <v>jueves</v>
      </c>
      <c r="L1662" s="1">
        <f>DATEVALUE(_xlfn.CONCAT(BBDD_Usiarios_Netflix[[#This Row],[Día Último Pago]],"/",BBDD_Usiarios_Netflix[[#This Row],[Mes Último Pago]],"/",BBDD_Usiarios_Netflix[[#This Row],[Año Último Pago]]))</f>
        <v>45478</v>
      </c>
      <c r="M1662" s="4">
        <f>DATEDIF(BBDD_Usiarios_Netflix[[#This Row],[Fecha Suscripción]],BBDD_Usiarios_Netflix[[#This Row],[Fecha Último Pago]],"M")+1</f>
        <v>11</v>
      </c>
      <c r="N1662" s="4">
        <f>BBDD_Usiarios_Netflix[[#This Row],[Ingresos Mensuales]]*BBDD_Usiarios_Netflix[[#This Row],[Meses contratados]]</f>
        <v>110</v>
      </c>
      <c r="O1662" t="s">
        <v>42</v>
      </c>
      <c r="P1662" t="str">
        <f>IF(BBDD_Usiarios_Netflix[[#This Row],[País]]="","Desconocido",BBDD_Usiarios_Netflix[[#This Row],[País]])</f>
        <v>Reino Unido</v>
      </c>
      <c r="Q1662">
        <v>49</v>
      </c>
      <c r="R1662" t="s">
        <v>30</v>
      </c>
      <c r="S1662" t="s">
        <v>36</v>
      </c>
      <c r="T1662" t="s">
        <v>27</v>
      </c>
      <c r="U1662">
        <f>IF(IFERROR(VLOOKUP(BBDD_Usiarios_Netflix[[#This Row],[Identificador Usuario]],A1663:$A$5870,1,FALSE),0)&lt;&gt;0,1,0)</f>
        <v>0</v>
      </c>
      <c r="V1662" s="6" t="str">
        <f>IF(BBDD_Usiarios_Netflix[[#This Row],[Duración Plan]]="12 Meses",LEFT(BBDD_Usiarios_Netflix[[#This Row],[Duración Plan]],2),LEFT(BBDD_Usiarios_Netflix[[#This Row],[Duración Plan]],1))</f>
        <v>1</v>
      </c>
      <c r="W16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63" spans="1:23" x14ac:dyDescent="0.25">
      <c r="A1663">
        <v>1662</v>
      </c>
      <c r="B1663" t="s">
        <v>28</v>
      </c>
      <c r="C1663">
        <v>14</v>
      </c>
      <c r="D1663" s="3">
        <v>14</v>
      </c>
      <c r="E1663" s="3">
        <v>8</v>
      </c>
      <c r="F1663">
        <v>23</v>
      </c>
      <c r="G1663" s="1">
        <f>DATEVALUE(_xlfn.CONCAT(BBDD_Usiarios_Netflix[[#This Row],[Día Suscripción]],"/",BBDD_Usiarios_Netflix[[#This Row],[Mes Suscripción]],"/",BBDD_Usiarios_Netflix[[#This Row],[Año Suscripción]]))</f>
        <v>45152</v>
      </c>
      <c r="H1663" s="1">
        <v>6</v>
      </c>
      <c r="I1663" s="1">
        <v>7</v>
      </c>
      <c r="J1663" s="1">
        <v>24</v>
      </c>
      <c r="K1663" s="1" t="str">
        <f>TEXT(BBDD_Usiarios_Netflix[[#This Row],[Fecha Suscripción]],"dddd")</f>
        <v>lunes</v>
      </c>
      <c r="L1663" s="1">
        <f>DATEVALUE(_xlfn.CONCAT(BBDD_Usiarios_Netflix[[#This Row],[Día Último Pago]],"/",BBDD_Usiarios_Netflix[[#This Row],[Mes Último Pago]],"/",BBDD_Usiarios_Netflix[[#This Row],[Año Último Pago]]))</f>
        <v>45479</v>
      </c>
      <c r="M1663" s="4">
        <f>DATEDIF(BBDD_Usiarios_Netflix[[#This Row],[Fecha Suscripción]],BBDD_Usiarios_Netflix[[#This Row],[Fecha Último Pago]],"M")+1</f>
        <v>11</v>
      </c>
      <c r="N1663" s="4">
        <f>BBDD_Usiarios_Netflix[[#This Row],[Ingresos Mensuales]]*BBDD_Usiarios_Netflix[[#This Row],[Meses contratados]]</f>
        <v>154</v>
      </c>
      <c r="O1663" t="s">
        <v>33</v>
      </c>
      <c r="P1663" t="str">
        <f>IF(BBDD_Usiarios_Netflix[[#This Row],[País]]="","Desconocido",BBDD_Usiarios_Netflix[[#This Row],[País]])</f>
        <v>Francia</v>
      </c>
      <c r="Q1663">
        <v>39</v>
      </c>
      <c r="R1663" t="s">
        <v>25</v>
      </c>
      <c r="S1663" t="s">
        <v>26</v>
      </c>
      <c r="T1663" t="s">
        <v>41</v>
      </c>
      <c r="U1663">
        <f>IF(IFERROR(VLOOKUP(BBDD_Usiarios_Netflix[[#This Row],[Identificador Usuario]],A1664:$A$5870,1,FALSE),0)&lt;&gt;0,1,0)</f>
        <v>0</v>
      </c>
      <c r="V1663" s="6" t="str">
        <f>IF(BBDD_Usiarios_Netflix[[#This Row],[Duración Plan]]="12 Meses",LEFT(BBDD_Usiarios_Netflix[[#This Row],[Duración Plan]],2),LEFT(BBDD_Usiarios_Netflix[[#This Row],[Duración Plan]],1))</f>
        <v>12</v>
      </c>
      <c r="W16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64" spans="1:23" x14ac:dyDescent="0.25">
      <c r="A1664">
        <v>1663</v>
      </c>
      <c r="B1664" t="s">
        <v>32</v>
      </c>
      <c r="C1664">
        <v>12</v>
      </c>
      <c r="D1664" s="3">
        <v>16</v>
      </c>
      <c r="E1664" s="3">
        <v>8</v>
      </c>
      <c r="F1664">
        <v>23</v>
      </c>
      <c r="G1664" s="1">
        <f>DATEVALUE(_xlfn.CONCAT(BBDD_Usiarios_Netflix[[#This Row],[Día Suscripción]],"/",BBDD_Usiarios_Netflix[[#This Row],[Mes Suscripción]],"/",BBDD_Usiarios_Netflix[[#This Row],[Año Suscripción]]))</f>
        <v>45154</v>
      </c>
      <c r="H1664" s="1">
        <v>6</v>
      </c>
      <c r="I1664" s="1">
        <v>7</v>
      </c>
      <c r="J1664" s="1">
        <v>24</v>
      </c>
      <c r="K1664" s="1" t="str">
        <f>TEXT(BBDD_Usiarios_Netflix[[#This Row],[Fecha Suscripción]],"dddd")</f>
        <v>miércoles</v>
      </c>
      <c r="L1664" s="1">
        <f>DATEVALUE(_xlfn.CONCAT(BBDD_Usiarios_Netflix[[#This Row],[Día Último Pago]],"/",BBDD_Usiarios_Netflix[[#This Row],[Mes Último Pago]],"/",BBDD_Usiarios_Netflix[[#This Row],[Año Último Pago]]))</f>
        <v>45479</v>
      </c>
      <c r="M1664" s="4">
        <f>DATEDIF(BBDD_Usiarios_Netflix[[#This Row],[Fecha Suscripción]],BBDD_Usiarios_Netflix[[#This Row],[Fecha Último Pago]],"M")+1</f>
        <v>11</v>
      </c>
      <c r="N1664" s="4">
        <f>BBDD_Usiarios_Netflix[[#This Row],[Ingresos Mensuales]]*BBDD_Usiarios_Netflix[[#This Row],[Meses contratados]]</f>
        <v>132</v>
      </c>
      <c r="O1664" t="s">
        <v>33</v>
      </c>
      <c r="P1664" t="str">
        <f>IF(BBDD_Usiarios_Netflix[[#This Row],[País]]="","Desconocido",BBDD_Usiarios_Netflix[[#This Row],[País]])</f>
        <v>Francia</v>
      </c>
      <c r="Q1664">
        <v>38</v>
      </c>
      <c r="R1664" t="s">
        <v>30</v>
      </c>
      <c r="S1664" t="s">
        <v>26</v>
      </c>
      <c r="T1664" t="s">
        <v>41</v>
      </c>
      <c r="U1664">
        <f>IF(IFERROR(VLOOKUP(BBDD_Usiarios_Netflix[[#This Row],[Identificador Usuario]],A1665:$A$5870,1,FALSE),0)&lt;&gt;0,1,0)</f>
        <v>0</v>
      </c>
      <c r="V1664" s="6" t="str">
        <f>IF(BBDD_Usiarios_Netflix[[#This Row],[Duración Plan]]="12 Meses",LEFT(BBDD_Usiarios_Netflix[[#This Row],[Duración Plan]],2),LEFT(BBDD_Usiarios_Netflix[[#This Row],[Duración Plan]],1))</f>
        <v>12</v>
      </c>
      <c r="W16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65" spans="1:23" x14ac:dyDescent="0.25">
      <c r="A1665">
        <v>1664</v>
      </c>
      <c r="B1665" t="s">
        <v>23</v>
      </c>
      <c r="C1665">
        <v>10</v>
      </c>
      <c r="D1665" s="3">
        <v>20</v>
      </c>
      <c r="E1665" s="3">
        <v>8</v>
      </c>
      <c r="F1665">
        <v>23</v>
      </c>
      <c r="G1665" s="1">
        <f>DATEVALUE(_xlfn.CONCAT(BBDD_Usiarios_Netflix[[#This Row],[Día Suscripción]],"/",BBDD_Usiarios_Netflix[[#This Row],[Mes Suscripción]],"/",BBDD_Usiarios_Netflix[[#This Row],[Año Suscripción]]))</f>
        <v>45158</v>
      </c>
      <c r="H1665" s="1">
        <v>8</v>
      </c>
      <c r="I1665" s="1">
        <v>7</v>
      </c>
      <c r="J1665" s="1">
        <v>24</v>
      </c>
      <c r="K1665" s="1" t="str">
        <f>TEXT(BBDD_Usiarios_Netflix[[#This Row],[Fecha Suscripción]],"dddd")</f>
        <v>domingo</v>
      </c>
      <c r="L1665" s="1">
        <f>DATEVALUE(_xlfn.CONCAT(BBDD_Usiarios_Netflix[[#This Row],[Día Último Pago]],"/",BBDD_Usiarios_Netflix[[#This Row],[Mes Último Pago]],"/",BBDD_Usiarios_Netflix[[#This Row],[Año Último Pago]]))</f>
        <v>45481</v>
      </c>
      <c r="M1665" s="4">
        <f>DATEDIF(BBDD_Usiarios_Netflix[[#This Row],[Fecha Suscripción]],BBDD_Usiarios_Netflix[[#This Row],[Fecha Último Pago]],"M")+1</f>
        <v>11</v>
      </c>
      <c r="N1665" s="4">
        <f>BBDD_Usiarios_Netflix[[#This Row],[Ingresos Mensuales]]*BBDD_Usiarios_Netflix[[#This Row],[Meses contratados]]</f>
        <v>110</v>
      </c>
      <c r="O1665" t="s">
        <v>29</v>
      </c>
      <c r="P1665" t="str">
        <f>IF(BBDD_Usiarios_Netflix[[#This Row],[País]]="","Desconocido",BBDD_Usiarios_Netflix[[#This Row],[País]])</f>
        <v>EEUU</v>
      </c>
      <c r="Q1665">
        <v>38</v>
      </c>
      <c r="R1665" t="s">
        <v>30</v>
      </c>
      <c r="S1665" t="s">
        <v>36</v>
      </c>
      <c r="T1665" t="s">
        <v>41</v>
      </c>
      <c r="U1665">
        <f>IF(IFERROR(VLOOKUP(BBDD_Usiarios_Netflix[[#This Row],[Identificador Usuario]],A1666:$A$5870,1,FALSE),0)&lt;&gt;0,1,0)</f>
        <v>0</v>
      </c>
      <c r="V1665" s="6" t="str">
        <f>IF(BBDD_Usiarios_Netflix[[#This Row],[Duración Plan]]="12 Meses",LEFT(BBDD_Usiarios_Netflix[[#This Row],[Duración Plan]],2),LEFT(BBDD_Usiarios_Netflix[[#This Row],[Duración Plan]],1))</f>
        <v>12</v>
      </c>
      <c r="W16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66" spans="1:23" x14ac:dyDescent="0.25">
      <c r="A1666">
        <v>1665</v>
      </c>
      <c r="B1666" t="s">
        <v>32</v>
      </c>
      <c r="C1666">
        <v>12</v>
      </c>
      <c r="D1666" s="3">
        <v>25</v>
      </c>
      <c r="E1666" s="3">
        <v>8</v>
      </c>
      <c r="F1666">
        <v>23</v>
      </c>
      <c r="G1666" s="1">
        <f>DATEVALUE(_xlfn.CONCAT(BBDD_Usiarios_Netflix[[#This Row],[Día Suscripción]],"/",BBDD_Usiarios_Netflix[[#This Row],[Mes Suscripción]],"/",BBDD_Usiarios_Netflix[[#This Row],[Año Suscripción]]))</f>
        <v>45163</v>
      </c>
      <c r="H1666" s="1">
        <v>5</v>
      </c>
      <c r="I1666" s="1">
        <v>7</v>
      </c>
      <c r="J1666" s="1">
        <v>24</v>
      </c>
      <c r="K1666" s="1" t="str">
        <f>TEXT(BBDD_Usiarios_Netflix[[#This Row],[Fecha Suscripción]],"dddd")</f>
        <v>viernes</v>
      </c>
      <c r="L1666" s="1">
        <f>DATEVALUE(_xlfn.CONCAT(BBDD_Usiarios_Netflix[[#This Row],[Día Último Pago]],"/",BBDD_Usiarios_Netflix[[#This Row],[Mes Último Pago]],"/",BBDD_Usiarios_Netflix[[#This Row],[Año Último Pago]]))</f>
        <v>45478</v>
      </c>
      <c r="M1666" s="4">
        <f>DATEDIF(BBDD_Usiarios_Netflix[[#This Row],[Fecha Suscripción]],BBDD_Usiarios_Netflix[[#This Row],[Fecha Último Pago]],"M")+1</f>
        <v>11</v>
      </c>
      <c r="N1666" s="4">
        <f>BBDD_Usiarios_Netflix[[#This Row],[Ingresos Mensuales]]*BBDD_Usiarios_Netflix[[#This Row],[Meses contratados]]</f>
        <v>132</v>
      </c>
      <c r="O1666" t="s">
        <v>33</v>
      </c>
      <c r="P1666" t="str">
        <f>IF(BBDD_Usiarios_Netflix[[#This Row],[País]]="","Desconocido",BBDD_Usiarios_Netflix[[#This Row],[País]])</f>
        <v>Francia</v>
      </c>
      <c r="Q1666">
        <v>37</v>
      </c>
      <c r="R1666" t="s">
        <v>25</v>
      </c>
      <c r="S1666" t="s">
        <v>26</v>
      </c>
      <c r="T1666" t="s">
        <v>27</v>
      </c>
      <c r="U1666">
        <f>IF(IFERROR(VLOOKUP(BBDD_Usiarios_Netflix[[#This Row],[Identificador Usuario]],A1667:$A$5870,1,FALSE),0)&lt;&gt;0,1,0)</f>
        <v>0</v>
      </c>
      <c r="V1666" s="6" t="str">
        <f>IF(BBDD_Usiarios_Netflix[[#This Row],[Duración Plan]]="12 Meses",LEFT(BBDD_Usiarios_Netflix[[#This Row],[Duración Plan]],2),LEFT(BBDD_Usiarios_Netflix[[#This Row],[Duración Plan]],1))</f>
        <v>1</v>
      </c>
      <c r="W16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67" spans="1:23" x14ac:dyDescent="0.25">
      <c r="A1667">
        <v>1666</v>
      </c>
      <c r="B1667" t="s">
        <v>28</v>
      </c>
      <c r="C1667">
        <v>14</v>
      </c>
      <c r="D1667" s="3">
        <v>28</v>
      </c>
      <c r="E1667" s="3">
        <v>8</v>
      </c>
      <c r="F1667">
        <v>23</v>
      </c>
      <c r="G1667" s="1">
        <f>DATEVALUE(_xlfn.CONCAT(BBDD_Usiarios_Netflix[[#This Row],[Día Suscripción]],"/",BBDD_Usiarios_Netflix[[#This Row],[Mes Suscripción]],"/",BBDD_Usiarios_Netflix[[#This Row],[Año Suscripción]]))</f>
        <v>45166</v>
      </c>
      <c r="H1667" s="1">
        <v>7</v>
      </c>
      <c r="I1667" s="1">
        <v>7</v>
      </c>
      <c r="J1667" s="1">
        <v>24</v>
      </c>
      <c r="K1667" s="1" t="str">
        <f>TEXT(BBDD_Usiarios_Netflix[[#This Row],[Fecha Suscripción]],"dddd")</f>
        <v>lunes</v>
      </c>
      <c r="L1667" s="1">
        <f>DATEVALUE(_xlfn.CONCAT(BBDD_Usiarios_Netflix[[#This Row],[Día Último Pago]],"/",BBDD_Usiarios_Netflix[[#This Row],[Mes Último Pago]],"/",BBDD_Usiarios_Netflix[[#This Row],[Año Último Pago]]))</f>
        <v>45480</v>
      </c>
      <c r="M1667" s="4">
        <f>DATEDIF(BBDD_Usiarios_Netflix[[#This Row],[Fecha Suscripción]],BBDD_Usiarios_Netflix[[#This Row],[Fecha Último Pago]],"M")+1</f>
        <v>11</v>
      </c>
      <c r="N1667" s="4">
        <f>BBDD_Usiarios_Netflix[[#This Row],[Ingresos Mensuales]]*BBDD_Usiarios_Netflix[[#This Row],[Meses contratados]]</f>
        <v>154</v>
      </c>
      <c r="O1667" t="s">
        <v>29</v>
      </c>
      <c r="P1667" t="str">
        <f>IF(BBDD_Usiarios_Netflix[[#This Row],[País]]="","Desconocido",BBDD_Usiarios_Netflix[[#This Row],[País]])</f>
        <v>EEUU</v>
      </c>
      <c r="Q1667">
        <v>28</v>
      </c>
      <c r="R1667" t="s">
        <v>25</v>
      </c>
      <c r="S1667" t="s">
        <v>36</v>
      </c>
      <c r="T1667" t="s">
        <v>35</v>
      </c>
      <c r="U1667">
        <f>IF(IFERROR(VLOOKUP(BBDD_Usiarios_Netflix[[#This Row],[Identificador Usuario]],A1668:$A$5870,1,FALSE),0)&lt;&gt;0,1,0)</f>
        <v>0</v>
      </c>
      <c r="V1667" s="6" t="str">
        <f>IF(BBDD_Usiarios_Netflix[[#This Row],[Duración Plan]]="12 Meses",LEFT(BBDD_Usiarios_Netflix[[#This Row],[Duración Plan]],2),LEFT(BBDD_Usiarios_Netflix[[#This Row],[Duración Plan]],1))</f>
        <v>6</v>
      </c>
      <c r="W16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68" spans="1:23" x14ac:dyDescent="0.25">
      <c r="A1668">
        <v>1667</v>
      </c>
      <c r="B1668" t="s">
        <v>23</v>
      </c>
      <c r="C1668">
        <v>10</v>
      </c>
      <c r="D1668" s="3">
        <v>5</v>
      </c>
      <c r="E1668" s="3">
        <v>9</v>
      </c>
      <c r="F1668">
        <v>23</v>
      </c>
      <c r="G1668" s="1">
        <f>DATEVALUE(_xlfn.CONCAT(BBDD_Usiarios_Netflix[[#This Row],[Día Suscripción]],"/",BBDD_Usiarios_Netflix[[#This Row],[Mes Suscripción]],"/",BBDD_Usiarios_Netflix[[#This Row],[Año Suscripción]]))</f>
        <v>45174</v>
      </c>
      <c r="H1668" s="1">
        <v>6</v>
      </c>
      <c r="I1668" s="1">
        <v>7</v>
      </c>
      <c r="J1668" s="1">
        <v>24</v>
      </c>
      <c r="K1668" s="1" t="str">
        <f>TEXT(BBDD_Usiarios_Netflix[[#This Row],[Fecha Suscripción]],"dddd")</f>
        <v>martes</v>
      </c>
      <c r="L1668" s="1">
        <f>DATEVALUE(_xlfn.CONCAT(BBDD_Usiarios_Netflix[[#This Row],[Día Último Pago]],"/",BBDD_Usiarios_Netflix[[#This Row],[Mes Último Pago]],"/",BBDD_Usiarios_Netflix[[#This Row],[Año Último Pago]]))</f>
        <v>45479</v>
      </c>
      <c r="M1668" s="4">
        <f>DATEDIF(BBDD_Usiarios_Netflix[[#This Row],[Fecha Suscripción]],BBDD_Usiarios_Netflix[[#This Row],[Fecha Último Pago]],"M")+1</f>
        <v>11</v>
      </c>
      <c r="N1668" s="4">
        <f>BBDD_Usiarios_Netflix[[#This Row],[Ingresos Mensuales]]*BBDD_Usiarios_Netflix[[#This Row],[Meses contratados]]</f>
        <v>110</v>
      </c>
      <c r="O1668" t="s">
        <v>33</v>
      </c>
      <c r="P1668" t="str">
        <f>IF(BBDD_Usiarios_Netflix[[#This Row],[País]]="","Desconocido",BBDD_Usiarios_Netflix[[#This Row],[País]])</f>
        <v>Francia</v>
      </c>
      <c r="Q1668">
        <v>49</v>
      </c>
      <c r="R1668" t="s">
        <v>25</v>
      </c>
      <c r="S1668" t="s">
        <v>31</v>
      </c>
      <c r="T1668" t="s">
        <v>27</v>
      </c>
      <c r="U1668">
        <f>IF(IFERROR(VLOOKUP(BBDD_Usiarios_Netflix[[#This Row],[Identificador Usuario]],A1669:$A$5870,1,FALSE),0)&lt;&gt;0,1,0)</f>
        <v>0</v>
      </c>
      <c r="V1668" s="6" t="str">
        <f>IF(BBDD_Usiarios_Netflix[[#This Row],[Duración Plan]]="12 Meses",LEFT(BBDD_Usiarios_Netflix[[#This Row],[Duración Plan]],2),LEFT(BBDD_Usiarios_Netflix[[#This Row],[Duración Plan]],1))</f>
        <v>1</v>
      </c>
      <c r="W16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69" spans="1:23" x14ac:dyDescent="0.25">
      <c r="A1669">
        <v>1668</v>
      </c>
      <c r="B1669" t="s">
        <v>32</v>
      </c>
      <c r="C1669">
        <v>12</v>
      </c>
      <c r="D1669" s="3">
        <v>8</v>
      </c>
      <c r="E1669" s="3">
        <v>9</v>
      </c>
      <c r="F1669">
        <v>23</v>
      </c>
      <c r="G1669" s="1">
        <f>DATEVALUE(_xlfn.CONCAT(BBDD_Usiarios_Netflix[[#This Row],[Día Suscripción]],"/",BBDD_Usiarios_Netflix[[#This Row],[Mes Suscripción]],"/",BBDD_Usiarios_Netflix[[#This Row],[Año Suscripción]]))</f>
        <v>45177</v>
      </c>
      <c r="H1669" s="1">
        <v>8</v>
      </c>
      <c r="I1669" s="1">
        <v>7</v>
      </c>
      <c r="J1669" s="1">
        <v>24</v>
      </c>
      <c r="K1669" s="1" t="str">
        <f>TEXT(BBDD_Usiarios_Netflix[[#This Row],[Fecha Suscripción]],"dddd")</f>
        <v>viernes</v>
      </c>
      <c r="L1669" s="1">
        <f>DATEVALUE(_xlfn.CONCAT(BBDD_Usiarios_Netflix[[#This Row],[Día Último Pago]],"/",BBDD_Usiarios_Netflix[[#This Row],[Mes Último Pago]],"/",BBDD_Usiarios_Netflix[[#This Row],[Año Último Pago]]))</f>
        <v>45481</v>
      </c>
      <c r="M1669" s="4">
        <f>DATEDIF(BBDD_Usiarios_Netflix[[#This Row],[Fecha Suscripción]],BBDD_Usiarios_Netflix[[#This Row],[Fecha Último Pago]],"M")+1</f>
        <v>11</v>
      </c>
      <c r="N1669" s="4">
        <f>BBDD_Usiarios_Netflix[[#This Row],[Ingresos Mensuales]]*BBDD_Usiarios_Netflix[[#This Row],[Meses contratados]]</f>
        <v>132</v>
      </c>
      <c r="O1669" t="s">
        <v>29</v>
      </c>
      <c r="P1669" t="str">
        <f>IF(BBDD_Usiarios_Netflix[[#This Row],[País]]="","Desconocido",BBDD_Usiarios_Netflix[[#This Row],[País]])</f>
        <v>EEUU</v>
      </c>
      <c r="Q1669">
        <v>33</v>
      </c>
      <c r="R1669" t="s">
        <v>30</v>
      </c>
      <c r="S1669" t="s">
        <v>31</v>
      </c>
      <c r="T1669" t="s">
        <v>27</v>
      </c>
      <c r="U1669">
        <f>IF(IFERROR(VLOOKUP(BBDD_Usiarios_Netflix[[#This Row],[Identificador Usuario]],A1670:$A$5870,1,FALSE),0)&lt;&gt;0,1,0)</f>
        <v>0</v>
      </c>
      <c r="V1669" s="6" t="str">
        <f>IF(BBDD_Usiarios_Netflix[[#This Row],[Duración Plan]]="12 Meses",LEFT(BBDD_Usiarios_Netflix[[#This Row],[Duración Plan]],2),LEFT(BBDD_Usiarios_Netflix[[#This Row],[Duración Plan]],1))</f>
        <v>1</v>
      </c>
      <c r="W16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70" spans="1:23" x14ac:dyDescent="0.25">
      <c r="A1670">
        <v>1669</v>
      </c>
      <c r="B1670" t="s">
        <v>28</v>
      </c>
      <c r="C1670">
        <v>14</v>
      </c>
      <c r="D1670" s="3">
        <v>14</v>
      </c>
      <c r="E1670" s="3">
        <v>9</v>
      </c>
      <c r="F1670">
        <v>23</v>
      </c>
      <c r="G1670" s="1">
        <f>DATEVALUE(_xlfn.CONCAT(BBDD_Usiarios_Netflix[[#This Row],[Día Suscripción]],"/",BBDD_Usiarios_Netflix[[#This Row],[Mes Suscripción]],"/",BBDD_Usiarios_Netflix[[#This Row],[Año Suscripción]]))</f>
        <v>45183</v>
      </c>
      <c r="H1670" s="1">
        <v>5</v>
      </c>
      <c r="I1670" s="1">
        <v>7</v>
      </c>
      <c r="J1670" s="1">
        <v>24</v>
      </c>
      <c r="K1670" s="1" t="str">
        <f>TEXT(BBDD_Usiarios_Netflix[[#This Row],[Fecha Suscripción]],"dddd")</f>
        <v>jueves</v>
      </c>
      <c r="L1670" s="1">
        <f>DATEVALUE(_xlfn.CONCAT(BBDD_Usiarios_Netflix[[#This Row],[Día Último Pago]],"/",BBDD_Usiarios_Netflix[[#This Row],[Mes Último Pago]],"/",BBDD_Usiarios_Netflix[[#This Row],[Año Último Pago]]))</f>
        <v>45478</v>
      </c>
      <c r="M1670" s="4">
        <f>DATEDIF(BBDD_Usiarios_Netflix[[#This Row],[Fecha Suscripción]],BBDD_Usiarios_Netflix[[#This Row],[Fecha Último Pago]],"M")+1</f>
        <v>10</v>
      </c>
      <c r="N1670" s="4">
        <f>BBDD_Usiarios_Netflix[[#This Row],[Ingresos Mensuales]]*BBDD_Usiarios_Netflix[[#This Row],[Meses contratados]]</f>
        <v>140</v>
      </c>
      <c r="O1670" t="s">
        <v>42</v>
      </c>
      <c r="P1670" t="str">
        <f>IF(BBDD_Usiarios_Netflix[[#This Row],[País]]="","Desconocido",BBDD_Usiarios_Netflix[[#This Row],[País]])</f>
        <v>Reino Unido</v>
      </c>
      <c r="Q1670">
        <v>48</v>
      </c>
      <c r="R1670" t="s">
        <v>25</v>
      </c>
      <c r="S1670" t="s">
        <v>31</v>
      </c>
      <c r="T1670" t="s">
        <v>41</v>
      </c>
      <c r="U1670">
        <f>IF(IFERROR(VLOOKUP(BBDD_Usiarios_Netflix[[#This Row],[Identificador Usuario]],A1671:$A$5870,1,FALSE),0)&lt;&gt;0,1,0)</f>
        <v>0</v>
      </c>
      <c r="V1670" s="6" t="str">
        <f>IF(BBDD_Usiarios_Netflix[[#This Row],[Duración Plan]]="12 Meses",LEFT(BBDD_Usiarios_Netflix[[#This Row],[Duración Plan]],2),LEFT(BBDD_Usiarios_Netflix[[#This Row],[Duración Plan]],1))</f>
        <v>12</v>
      </c>
      <c r="W16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71" spans="1:23" x14ac:dyDescent="0.25">
      <c r="A1671">
        <v>1670</v>
      </c>
      <c r="B1671" t="s">
        <v>23</v>
      </c>
      <c r="C1671">
        <v>10</v>
      </c>
      <c r="D1671" s="3">
        <v>16</v>
      </c>
      <c r="E1671" s="3">
        <v>9</v>
      </c>
      <c r="F1671">
        <v>23</v>
      </c>
      <c r="G1671" s="1">
        <f>DATEVALUE(_xlfn.CONCAT(BBDD_Usiarios_Netflix[[#This Row],[Día Suscripción]],"/",BBDD_Usiarios_Netflix[[#This Row],[Mes Suscripción]],"/",BBDD_Usiarios_Netflix[[#This Row],[Año Suscripción]]))</f>
        <v>45185</v>
      </c>
      <c r="H1671" s="1">
        <v>6</v>
      </c>
      <c r="I1671" s="1">
        <v>7</v>
      </c>
      <c r="J1671" s="1">
        <v>24</v>
      </c>
      <c r="K1671" s="1" t="str">
        <f>TEXT(BBDD_Usiarios_Netflix[[#This Row],[Fecha Suscripción]],"dddd")</f>
        <v>sábado</v>
      </c>
      <c r="L1671" s="1">
        <f>DATEVALUE(_xlfn.CONCAT(BBDD_Usiarios_Netflix[[#This Row],[Día Último Pago]],"/",BBDD_Usiarios_Netflix[[#This Row],[Mes Último Pago]],"/",BBDD_Usiarios_Netflix[[#This Row],[Año Último Pago]]))</f>
        <v>45479</v>
      </c>
      <c r="M1671" s="4">
        <f>DATEDIF(BBDD_Usiarios_Netflix[[#This Row],[Fecha Suscripción]],BBDD_Usiarios_Netflix[[#This Row],[Fecha Último Pago]],"M")+1</f>
        <v>10</v>
      </c>
      <c r="N1671" s="4">
        <f>BBDD_Usiarios_Netflix[[#This Row],[Ingresos Mensuales]]*BBDD_Usiarios_Netflix[[#This Row],[Meses contratados]]</f>
        <v>100</v>
      </c>
      <c r="O1671" t="s">
        <v>43</v>
      </c>
      <c r="P1671" t="str">
        <f>IF(BBDD_Usiarios_Netflix[[#This Row],[País]]="","Desconocido",BBDD_Usiarios_Netflix[[#This Row],[País]])</f>
        <v>Alemania</v>
      </c>
      <c r="Q1671">
        <v>34</v>
      </c>
      <c r="R1671" t="s">
        <v>25</v>
      </c>
      <c r="S1671" t="s">
        <v>31</v>
      </c>
      <c r="T1671" t="s">
        <v>38</v>
      </c>
      <c r="U1671">
        <f>IF(IFERROR(VLOOKUP(BBDD_Usiarios_Netflix[[#This Row],[Identificador Usuario]],A1672:$A$5870,1,FALSE),0)&lt;&gt;0,1,0)</f>
        <v>0</v>
      </c>
      <c r="V1671" s="6" t="str">
        <f>IF(BBDD_Usiarios_Netflix[[#This Row],[Duración Plan]]="12 Meses",LEFT(BBDD_Usiarios_Netflix[[#This Row],[Duración Plan]],2),LEFT(BBDD_Usiarios_Netflix[[#This Row],[Duración Plan]],1))</f>
        <v>3</v>
      </c>
      <c r="W16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72" spans="1:23" x14ac:dyDescent="0.25">
      <c r="A1672">
        <v>1671</v>
      </c>
      <c r="B1672" t="s">
        <v>28</v>
      </c>
      <c r="C1672">
        <v>14</v>
      </c>
      <c r="D1672" s="3">
        <v>19</v>
      </c>
      <c r="E1672" s="3">
        <v>9</v>
      </c>
      <c r="F1672">
        <v>23</v>
      </c>
      <c r="G1672" s="1">
        <f>DATEVALUE(_xlfn.CONCAT(BBDD_Usiarios_Netflix[[#This Row],[Día Suscripción]],"/",BBDD_Usiarios_Netflix[[#This Row],[Mes Suscripción]],"/",BBDD_Usiarios_Netflix[[#This Row],[Año Suscripción]]))</f>
        <v>45188</v>
      </c>
      <c r="H1672" s="1">
        <v>6</v>
      </c>
      <c r="I1672" s="1">
        <v>7</v>
      </c>
      <c r="J1672" s="1">
        <v>24</v>
      </c>
      <c r="K1672" s="1" t="str">
        <f>TEXT(BBDD_Usiarios_Netflix[[#This Row],[Fecha Suscripción]],"dddd")</f>
        <v>martes</v>
      </c>
      <c r="L1672" s="1">
        <f>DATEVALUE(_xlfn.CONCAT(BBDD_Usiarios_Netflix[[#This Row],[Día Último Pago]],"/",BBDD_Usiarios_Netflix[[#This Row],[Mes Último Pago]],"/",BBDD_Usiarios_Netflix[[#This Row],[Año Último Pago]]))</f>
        <v>45479</v>
      </c>
      <c r="M1672" s="4">
        <f>DATEDIF(BBDD_Usiarios_Netflix[[#This Row],[Fecha Suscripción]],BBDD_Usiarios_Netflix[[#This Row],[Fecha Último Pago]],"M")+1</f>
        <v>10</v>
      </c>
      <c r="N1672" s="4">
        <f>BBDD_Usiarios_Netflix[[#This Row],[Ingresos Mensuales]]*BBDD_Usiarios_Netflix[[#This Row],[Meses contratados]]</f>
        <v>140</v>
      </c>
      <c r="O1672" t="s">
        <v>45</v>
      </c>
      <c r="P1672" t="str">
        <f>IF(BBDD_Usiarios_Netflix[[#This Row],[País]]="","Desconocido",BBDD_Usiarios_Netflix[[#This Row],[País]])</f>
        <v>España</v>
      </c>
      <c r="Q1672">
        <v>39</v>
      </c>
      <c r="R1672" t="s">
        <v>30</v>
      </c>
      <c r="S1672" t="s">
        <v>26</v>
      </c>
      <c r="T1672" t="s">
        <v>27</v>
      </c>
      <c r="U1672">
        <f>IF(IFERROR(VLOOKUP(BBDD_Usiarios_Netflix[[#This Row],[Identificador Usuario]],A1673:$A$5870,1,FALSE),0)&lt;&gt;0,1,0)</f>
        <v>0</v>
      </c>
      <c r="V1672" s="6" t="str">
        <f>IF(BBDD_Usiarios_Netflix[[#This Row],[Duración Plan]]="12 Meses",LEFT(BBDD_Usiarios_Netflix[[#This Row],[Duración Plan]],2),LEFT(BBDD_Usiarios_Netflix[[#This Row],[Duración Plan]],1))</f>
        <v>1</v>
      </c>
      <c r="W16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73" spans="1:23" x14ac:dyDescent="0.25">
      <c r="A1673">
        <v>1672</v>
      </c>
      <c r="B1673" t="s">
        <v>23</v>
      </c>
      <c r="C1673">
        <v>10</v>
      </c>
      <c r="D1673" s="3">
        <v>23</v>
      </c>
      <c r="E1673" s="3">
        <v>9</v>
      </c>
      <c r="F1673">
        <v>23</v>
      </c>
      <c r="G1673" s="1">
        <f>DATEVALUE(_xlfn.CONCAT(BBDD_Usiarios_Netflix[[#This Row],[Día Suscripción]],"/",BBDD_Usiarios_Netflix[[#This Row],[Mes Suscripción]],"/",BBDD_Usiarios_Netflix[[#This Row],[Año Suscripción]]))</f>
        <v>45192</v>
      </c>
      <c r="H1673" s="1">
        <v>7</v>
      </c>
      <c r="I1673" s="1">
        <v>7</v>
      </c>
      <c r="J1673" s="1">
        <v>24</v>
      </c>
      <c r="K1673" s="1" t="str">
        <f>TEXT(BBDD_Usiarios_Netflix[[#This Row],[Fecha Suscripción]],"dddd")</f>
        <v>sábado</v>
      </c>
      <c r="L1673" s="1">
        <f>DATEVALUE(_xlfn.CONCAT(BBDD_Usiarios_Netflix[[#This Row],[Día Último Pago]],"/",BBDD_Usiarios_Netflix[[#This Row],[Mes Último Pago]],"/",BBDD_Usiarios_Netflix[[#This Row],[Año Último Pago]]))</f>
        <v>45480</v>
      </c>
      <c r="M1673" s="4">
        <f>DATEDIF(BBDD_Usiarios_Netflix[[#This Row],[Fecha Suscripción]],BBDD_Usiarios_Netflix[[#This Row],[Fecha Último Pago]],"M")+1</f>
        <v>10</v>
      </c>
      <c r="N1673" s="4">
        <f>BBDD_Usiarios_Netflix[[#This Row],[Ingresos Mensuales]]*BBDD_Usiarios_Netflix[[#This Row],[Meses contratados]]</f>
        <v>100</v>
      </c>
      <c r="O1673" t="s">
        <v>40</v>
      </c>
      <c r="P1673" t="str">
        <f>IF(BBDD_Usiarios_Netflix[[#This Row],[País]]="","Desconocido",BBDD_Usiarios_Netflix[[#This Row],[País]])</f>
        <v>Italia</v>
      </c>
      <c r="Q1673">
        <v>30</v>
      </c>
      <c r="R1673" t="s">
        <v>25</v>
      </c>
      <c r="S1673" t="s">
        <v>31</v>
      </c>
      <c r="T1673" t="s">
        <v>35</v>
      </c>
      <c r="U1673">
        <f>IF(IFERROR(VLOOKUP(BBDD_Usiarios_Netflix[[#This Row],[Identificador Usuario]],A1674:$A$5870,1,FALSE),0)&lt;&gt;0,1,0)</f>
        <v>0</v>
      </c>
      <c r="V1673" s="6" t="str">
        <f>IF(BBDD_Usiarios_Netflix[[#This Row],[Duración Plan]]="12 Meses",LEFT(BBDD_Usiarios_Netflix[[#This Row],[Duración Plan]],2),LEFT(BBDD_Usiarios_Netflix[[#This Row],[Duración Plan]],1))</f>
        <v>6</v>
      </c>
      <c r="W16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74" spans="1:23" x14ac:dyDescent="0.25">
      <c r="A1674">
        <v>1673</v>
      </c>
      <c r="B1674" t="s">
        <v>32</v>
      </c>
      <c r="C1674">
        <v>12</v>
      </c>
      <c r="D1674" s="3">
        <v>29</v>
      </c>
      <c r="E1674" s="3">
        <v>9</v>
      </c>
      <c r="F1674">
        <v>23</v>
      </c>
      <c r="G1674" s="1">
        <f>DATEVALUE(_xlfn.CONCAT(BBDD_Usiarios_Netflix[[#This Row],[Día Suscripción]],"/",BBDD_Usiarios_Netflix[[#This Row],[Mes Suscripción]],"/",BBDD_Usiarios_Netflix[[#This Row],[Año Suscripción]]))</f>
        <v>45198</v>
      </c>
      <c r="H1674" s="1">
        <v>7</v>
      </c>
      <c r="I1674" s="1">
        <v>7</v>
      </c>
      <c r="J1674" s="1">
        <v>24</v>
      </c>
      <c r="K1674" s="1" t="str">
        <f>TEXT(BBDD_Usiarios_Netflix[[#This Row],[Fecha Suscripción]],"dddd")</f>
        <v>viernes</v>
      </c>
      <c r="L1674" s="1">
        <f>DATEVALUE(_xlfn.CONCAT(BBDD_Usiarios_Netflix[[#This Row],[Día Último Pago]],"/",BBDD_Usiarios_Netflix[[#This Row],[Mes Último Pago]],"/",BBDD_Usiarios_Netflix[[#This Row],[Año Último Pago]]))</f>
        <v>45480</v>
      </c>
      <c r="M1674" s="4">
        <f>DATEDIF(BBDD_Usiarios_Netflix[[#This Row],[Fecha Suscripción]],BBDD_Usiarios_Netflix[[#This Row],[Fecha Último Pago]],"M")+1</f>
        <v>10</v>
      </c>
      <c r="N1674" s="4">
        <f>BBDD_Usiarios_Netflix[[#This Row],[Ingresos Mensuales]]*BBDD_Usiarios_Netflix[[#This Row],[Meses contratados]]</f>
        <v>120</v>
      </c>
      <c r="O1674" t="s">
        <v>43</v>
      </c>
      <c r="P1674" t="str">
        <f>IF(BBDD_Usiarios_Netflix[[#This Row],[País]]="","Desconocido",BBDD_Usiarios_Netflix[[#This Row],[País]])</f>
        <v>Alemania</v>
      </c>
      <c r="Q1674">
        <v>37</v>
      </c>
      <c r="R1674" t="s">
        <v>25</v>
      </c>
      <c r="S1674" t="s">
        <v>31</v>
      </c>
      <c r="T1674" t="s">
        <v>35</v>
      </c>
      <c r="U1674">
        <f>IF(IFERROR(VLOOKUP(BBDD_Usiarios_Netflix[[#This Row],[Identificador Usuario]],A1675:$A$5870,1,FALSE),0)&lt;&gt;0,1,0)</f>
        <v>0</v>
      </c>
      <c r="V1674" s="6" t="str">
        <f>IF(BBDD_Usiarios_Netflix[[#This Row],[Duración Plan]]="12 Meses",LEFT(BBDD_Usiarios_Netflix[[#This Row],[Duración Plan]],2),LEFT(BBDD_Usiarios_Netflix[[#This Row],[Duración Plan]],1))</f>
        <v>6</v>
      </c>
      <c r="W16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75" spans="1:23" x14ac:dyDescent="0.25">
      <c r="A1675">
        <v>1674</v>
      </c>
      <c r="B1675" t="s">
        <v>32</v>
      </c>
      <c r="C1675">
        <v>12</v>
      </c>
      <c r="D1675" s="3">
        <v>2</v>
      </c>
      <c r="E1675" s="3">
        <v>10</v>
      </c>
      <c r="F1675">
        <v>23</v>
      </c>
      <c r="G1675" s="1">
        <f>DATEVALUE(_xlfn.CONCAT(BBDD_Usiarios_Netflix[[#This Row],[Día Suscripción]],"/",BBDD_Usiarios_Netflix[[#This Row],[Mes Suscripción]],"/",BBDD_Usiarios_Netflix[[#This Row],[Año Suscripción]]))</f>
        <v>45201</v>
      </c>
      <c r="H1675" s="1">
        <v>6</v>
      </c>
      <c r="I1675" s="1">
        <v>7</v>
      </c>
      <c r="J1675" s="1">
        <v>24</v>
      </c>
      <c r="K1675" s="1" t="str">
        <f>TEXT(BBDD_Usiarios_Netflix[[#This Row],[Fecha Suscripción]],"dddd")</f>
        <v>lunes</v>
      </c>
      <c r="L1675" s="1">
        <f>DATEVALUE(_xlfn.CONCAT(BBDD_Usiarios_Netflix[[#This Row],[Día Último Pago]],"/",BBDD_Usiarios_Netflix[[#This Row],[Mes Último Pago]],"/",BBDD_Usiarios_Netflix[[#This Row],[Año Último Pago]]))</f>
        <v>45479</v>
      </c>
      <c r="M1675" s="4">
        <f>DATEDIF(BBDD_Usiarios_Netflix[[#This Row],[Fecha Suscripción]],BBDD_Usiarios_Netflix[[#This Row],[Fecha Último Pago]],"M")+1</f>
        <v>10</v>
      </c>
      <c r="N1675" s="4">
        <f>BBDD_Usiarios_Netflix[[#This Row],[Ingresos Mensuales]]*BBDD_Usiarios_Netflix[[#This Row],[Meses contratados]]</f>
        <v>120</v>
      </c>
      <c r="O1675" t="s">
        <v>40</v>
      </c>
      <c r="P1675" t="str">
        <f>IF(BBDD_Usiarios_Netflix[[#This Row],[País]]="","Desconocido",BBDD_Usiarios_Netflix[[#This Row],[País]])</f>
        <v>Italia</v>
      </c>
      <c r="Q1675">
        <v>38</v>
      </c>
      <c r="R1675" t="s">
        <v>25</v>
      </c>
      <c r="S1675" t="s">
        <v>34</v>
      </c>
      <c r="T1675" t="s">
        <v>41</v>
      </c>
      <c r="U1675">
        <f>IF(IFERROR(VLOOKUP(BBDD_Usiarios_Netflix[[#This Row],[Identificador Usuario]],A1676:$A$5870,1,FALSE),0)&lt;&gt;0,1,0)</f>
        <v>0</v>
      </c>
      <c r="V1675" s="6" t="str">
        <f>IF(BBDD_Usiarios_Netflix[[#This Row],[Duración Plan]]="12 Meses",LEFT(BBDD_Usiarios_Netflix[[#This Row],[Duración Plan]],2),LEFT(BBDD_Usiarios_Netflix[[#This Row],[Duración Plan]],1))</f>
        <v>12</v>
      </c>
      <c r="W16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76" spans="1:23" x14ac:dyDescent="0.25">
      <c r="A1676">
        <v>1675</v>
      </c>
      <c r="B1676" t="s">
        <v>23</v>
      </c>
      <c r="C1676">
        <v>10</v>
      </c>
      <c r="D1676" s="3">
        <v>8</v>
      </c>
      <c r="E1676" s="3">
        <v>10</v>
      </c>
      <c r="F1676">
        <v>23</v>
      </c>
      <c r="G1676" s="1">
        <f>DATEVALUE(_xlfn.CONCAT(BBDD_Usiarios_Netflix[[#This Row],[Día Suscripción]],"/",BBDD_Usiarios_Netflix[[#This Row],[Mes Suscripción]],"/",BBDD_Usiarios_Netflix[[#This Row],[Año Suscripción]]))</f>
        <v>45207</v>
      </c>
      <c r="H1676" s="1">
        <v>5</v>
      </c>
      <c r="I1676" s="1">
        <v>7</v>
      </c>
      <c r="J1676" s="1">
        <v>24</v>
      </c>
      <c r="K1676" s="1" t="str">
        <f>TEXT(BBDD_Usiarios_Netflix[[#This Row],[Fecha Suscripción]],"dddd")</f>
        <v>domingo</v>
      </c>
      <c r="L1676" s="1">
        <f>DATEVALUE(_xlfn.CONCAT(BBDD_Usiarios_Netflix[[#This Row],[Día Último Pago]],"/",BBDD_Usiarios_Netflix[[#This Row],[Mes Último Pago]],"/",BBDD_Usiarios_Netflix[[#This Row],[Año Último Pago]]))</f>
        <v>45478</v>
      </c>
      <c r="M1676" s="4">
        <f>DATEDIF(BBDD_Usiarios_Netflix[[#This Row],[Fecha Suscripción]],BBDD_Usiarios_Netflix[[#This Row],[Fecha Último Pago]],"M")+1</f>
        <v>9</v>
      </c>
      <c r="N1676" s="4">
        <f>BBDD_Usiarios_Netflix[[#This Row],[Ingresos Mensuales]]*BBDD_Usiarios_Netflix[[#This Row],[Meses contratados]]</f>
        <v>90</v>
      </c>
      <c r="O1676" t="s">
        <v>29</v>
      </c>
      <c r="P1676" t="str">
        <f>IF(BBDD_Usiarios_Netflix[[#This Row],[País]]="","Desconocido",BBDD_Usiarios_Netflix[[#This Row],[País]])</f>
        <v>EEUU</v>
      </c>
      <c r="Q1676">
        <v>42</v>
      </c>
      <c r="R1676" t="s">
        <v>30</v>
      </c>
      <c r="S1676" t="s">
        <v>36</v>
      </c>
      <c r="T1676" t="s">
        <v>27</v>
      </c>
      <c r="U1676">
        <f>IF(IFERROR(VLOOKUP(BBDD_Usiarios_Netflix[[#This Row],[Identificador Usuario]],A1677:$A$5870,1,FALSE),0)&lt;&gt;0,1,0)</f>
        <v>0</v>
      </c>
      <c r="V1676" s="6" t="str">
        <f>IF(BBDD_Usiarios_Netflix[[#This Row],[Duración Plan]]="12 Meses",LEFT(BBDD_Usiarios_Netflix[[#This Row],[Duración Plan]],2),LEFT(BBDD_Usiarios_Netflix[[#This Row],[Duración Plan]],1))</f>
        <v>1</v>
      </c>
      <c r="W16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77" spans="1:23" x14ac:dyDescent="0.25">
      <c r="A1677">
        <v>1676</v>
      </c>
      <c r="B1677" t="s">
        <v>28</v>
      </c>
      <c r="C1677">
        <v>14</v>
      </c>
      <c r="D1677" s="3">
        <v>9</v>
      </c>
      <c r="E1677" s="3">
        <v>10</v>
      </c>
      <c r="F1677">
        <v>23</v>
      </c>
      <c r="G1677" s="1">
        <f>DATEVALUE(_xlfn.CONCAT(BBDD_Usiarios_Netflix[[#This Row],[Día Suscripción]],"/",BBDD_Usiarios_Netflix[[#This Row],[Mes Suscripción]],"/",BBDD_Usiarios_Netflix[[#This Row],[Año Suscripción]]))</f>
        <v>45208</v>
      </c>
      <c r="H1677" s="1">
        <v>7</v>
      </c>
      <c r="I1677" s="1">
        <v>7</v>
      </c>
      <c r="J1677" s="1">
        <v>24</v>
      </c>
      <c r="K1677" s="1" t="str">
        <f>TEXT(BBDD_Usiarios_Netflix[[#This Row],[Fecha Suscripción]],"dddd")</f>
        <v>lunes</v>
      </c>
      <c r="L1677" s="1">
        <f>DATEVALUE(_xlfn.CONCAT(BBDD_Usiarios_Netflix[[#This Row],[Día Último Pago]],"/",BBDD_Usiarios_Netflix[[#This Row],[Mes Último Pago]],"/",BBDD_Usiarios_Netflix[[#This Row],[Año Último Pago]]))</f>
        <v>45480</v>
      </c>
      <c r="M1677" s="4">
        <f>DATEDIF(BBDD_Usiarios_Netflix[[#This Row],[Fecha Suscripción]],BBDD_Usiarios_Netflix[[#This Row],[Fecha Último Pago]],"M")+1</f>
        <v>9</v>
      </c>
      <c r="N1677" s="4">
        <f>BBDD_Usiarios_Netflix[[#This Row],[Ingresos Mensuales]]*BBDD_Usiarios_Netflix[[#This Row],[Meses contratados]]</f>
        <v>126</v>
      </c>
      <c r="O1677" t="s">
        <v>24</v>
      </c>
      <c r="P1677" t="str">
        <f>IF(BBDD_Usiarios_Netflix[[#This Row],[País]]="","Desconocido",BBDD_Usiarios_Netflix[[#This Row],[País]])</f>
        <v>Australia</v>
      </c>
      <c r="Q1677">
        <v>35</v>
      </c>
      <c r="R1677" t="s">
        <v>30</v>
      </c>
      <c r="S1677" t="s">
        <v>36</v>
      </c>
      <c r="T1677" t="s">
        <v>27</v>
      </c>
      <c r="U1677">
        <f>IF(IFERROR(VLOOKUP(BBDD_Usiarios_Netflix[[#This Row],[Identificador Usuario]],A1678:$A$5870,1,FALSE),0)&lt;&gt;0,1,0)</f>
        <v>0</v>
      </c>
      <c r="V1677" s="6" t="str">
        <f>IF(BBDD_Usiarios_Netflix[[#This Row],[Duración Plan]]="12 Meses",LEFT(BBDD_Usiarios_Netflix[[#This Row],[Duración Plan]],2),LEFT(BBDD_Usiarios_Netflix[[#This Row],[Duración Plan]],1))</f>
        <v>1</v>
      </c>
      <c r="W16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78" spans="1:23" x14ac:dyDescent="0.25">
      <c r="A1678">
        <v>1677</v>
      </c>
      <c r="B1678" t="s">
        <v>23</v>
      </c>
      <c r="C1678">
        <v>10</v>
      </c>
      <c r="D1678" s="3">
        <v>11</v>
      </c>
      <c r="E1678" s="3">
        <v>10</v>
      </c>
      <c r="F1678">
        <v>23</v>
      </c>
      <c r="G1678" s="1">
        <f>DATEVALUE(_xlfn.CONCAT(BBDD_Usiarios_Netflix[[#This Row],[Día Suscripción]],"/",BBDD_Usiarios_Netflix[[#This Row],[Mes Suscripción]],"/",BBDD_Usiarios_Netflix[[#This Row],[Año Suscripción]]))</f>
        <v>45210</v>
      </c>
      <c r="H1678" s="1">
        <v>8</v>
      </c>
      <c r="I1678" s="1">
        <v>7</v>
      </c>
      <c r="J1678" s="1">
        <v>24</v>
      </c>
      <c r="K1678" s="1" t="str">
        <f>TEXT(BBDD_Usiarios_Netflix[[#This Row],[Fecha Suscripción]],"dddd")</f>
        <v>miércoles</v>
      </c>
      <c r="L1678" s="1">
        <f>DATEVALUE(_xlfn.CONCAT(BBDD_Usiarios_Netflix[[#This Row],[Día Último Pago]],"/",BBDD_Usiarios_Netflix[[#This Row],[Mes Último Pago]],"/",BBDD_Usiarios_Netflix[[#This Row],[Año Último Pago]]))</f>
        <v>45481</v>
      </c>
      <c r="M1678" s="4">
        <f>DATEDIF(BBDD_Usiarios_Netflix[[#This Row],[Fecha Suscripción]],BBDD_Usiarios_Netflix[[#This Row],[Fecha Último Pago]],"M")+1</f>
        <v>9</v>
      </c>
      <c r="N1678" s="4">
        <f>BBDD_Usiarios_Netflix[[#This Row],[Ingresos Mensuales]]*BBDD_Usiarios_Netflix[[#This Row],[Meses contratados]]</f>
        <v>90</v>
      </c>
      <c r="O1678" t="s">
        <v>43</v>
      </c>
      <c r="P1678" t="str">
        <f>IF(BBDD_Usiarios_Netflix[[#This Row],[País]]="","Desconocido",BBDD_Usiarios_Netflix[[#This Row],[País]])</f>
        <v>Alemania</v>
      </c>
      <c r="Q1678">
        <v>30</v>
      </c>
      <c r="R1678" t="s">
        <v>25</v>
      </c>
      <c r="S1678" t="s">
        <v>31</v>
      </c>
      <c r="T1678" t="s">
        <v>27</v>
      </c>
      <c r="U1678">
        <f>IF(IFERROR(VLOOKUP(BBDD_Usiarios_Netflix[[#This Row],[Identificador Usuario]],A1679:$A$5870,1,FALSE),0)&lt;&gt;0,1,0)</f>
        <v>0</v>
      </c>
      <c r="V1678" s="6" t="str">
        <f>IF(BBDD_Usiarios_Netflix[[#This Row],[Duración Plan]]="12 Meses",LEFT(BBDD_Usiarios_Netflix[[#This Row],[Duración Plan]],2),LEFT(BBDD_Usiarios_Netflix[[#This Row],[Duración Plan]],1))</f>
        <v>1</v>
      </c>
      <c r="W16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79" spans="1:23" x14ac:dyDescent="0.25">
      <c r="A1679">
        <v>1678</v>
      </c>
      <c r="B1679" t="s">
        <v>32</v>
      </c>
      <c r="C1679">
        <v>12</v>
      </c>
      <c r="D1679" s="3">
        <v>14</v>
      </c>
      <c r="E1679" s="3">
        <v>10</v>
      </c>
      <c r="F1679">
        <v>23</v>
      </c>
      <c r="G1679" s="1">
        <f>DATEVALUE(_xlfn.CONCAT(BBDD_Usiarios_Netflix[[#This Row],[Día Suscripción]],"/",BBDD_Usiarios_Netflix[[#This Row],[Mes Suscripción]],"/",BBDD_Usiarios_Netflix[[#This Row],[Año Suscripción]]))</f>
        <v>45213</v>
      </c>
      <c r="H1679" s="1">
        <v>9</v>
      </c>
      <c r="I1679" s="1">
        <v>7</v>
      </c>
      <c r="J1679" s="1">
        <v>24</v>
      </c>
      <c r="K1679" s="1" t="str">
        <f>TEXT(BBDD_Usiarios_Netflix[[#This Row],[Fecha Suscripción]],"dddd")</f>
        <v>sábado</v>
      </c>
      <c r="L1679" s="1">
        <f>DATEVALUE(_xlfn.CONCAT(BBDD_Usiarios_Netflix[[#This Row],[Día Último Pago]],"/",BBDD_Usiarios_Netflix[[#This Row],[Mes Último Pago]],"/",BBDD_Usiarios_Netflix[[#This Row],[Año Último Pago]]))</f>
        <v>45482</v>
      </c>
      <c r="M1679" s="4">
        <f>DATEDIF(BBDD_Usiarios_Netflix[[#This Row],[Fecha Suscripción]],BBDD_Usiarios_Netflix[[#This Row],[Fecha Último Pago]],"M")+1</f>
        <v>9</v>
      </c>
      <c r="N1679" s="4">
        <f>BBDD_Usiarios_Netflix[[#This Row],[Ingresos Mensuales]]*BBDD_Usiarios_Netflix[[#This Row],[Meses contratados]]</f>
        <v>108</v>
      </c>
      <c r="O1679" t="s">
        <v>29</v>
      </c>
      <c r="P1679" t="str">
        <f>IF(BBDD_Usiarios_Netflix[[#This Row],[País]]="","Desconocido",BBDD_Usiarios_Netflix[[#This Row],[País]])</f>
        <v>EEUU</v>
      </c>
      <c r="Q1679">
        <v>48</v>
      </c>
      <c r="R1679" t="s">
        <v>30</v>
      </c>
      <c r="S1679" t="s">
        <v>34</v>
      </c>
      <c r="T1679" t="s">
        <v>27</v>
      </c>
      <c r="U1679">
        <f>IF(IFERROR(VLOOKUP(BBDD_Usiarios_Netflix[[#This Row],[Identificador Usuario]],A1680:$A$5870,1,FALSE),0)&lt;&gt;0,1,0)</f>
        <v>0</v>
      </c>
      <c r="V1679" s="6" t="str">
        <f>IF(BBDD_Usiarios_Netflix[[#This Row],[Duración Plan]]="12 Meses",LEFT(BBDD_Usiarios_Netflix[[#This Row],[Duración Plan]],2),LEFT(BBDD_Usiarios_Netflix[[#This Row],[Duración Plan]],1))</f>
        <v>1</v>
      </c>
      <c r="W16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80" spans="1:23" x14ac:dyDescent="0.25">
      <c r="A1680">
        <v>1679</v>
      </c>
      <c r="B1680" t="s">
        <v>28</v>
      </c>
      <c r="C1680">
        <v>14</v>
      </c>
      <c r="D1680" s="3">
        <v>16</v>
      </c>
      <c r="E1680" s="3">
        <v>10</v>
      </c>
      <c r="F1680">
        <v>23</v>
      </c>
      <c r="G1680" s="1">
        <f>DATEVALUE(_xlfn.CONCAT(BBDD_Usiarios_Netflix[[#This Row],[Día Suscripción]],"/",BBDD_Usiarios_Netflix[[#This Row],[Mes Suscripción]],"/",BBDD_Usiarios_Netflix[[#This Row],[Año Suscripción]]))</f>
        <v>45215</v>
      </c>
      <c r="H1680" s="1">
        <v>6</v>
      </c>
      <c r="I1680" s="1">
        <v>7</v>
      </c>
      <c r="J1680" s="1">
        <v>24</v>
      </c>
      <c r="K1680" s="1" t="str">
        <f>TEXT(BBDD_Usiarios_Netflix[[#This Row],[Fecha Suscripción]],"dddd")</f>
        <v>lunes</v>
      </c>
      <c r="L1680" s="1">
        <f>DATEVALUE(_xlfn.CONCAT(BBDD_Usiarios_Netflix[[#This Row],[Día Último Pago]],"/",BBDD_Usiarios_Netflix[[#This Row],[Mes Último Pago]],"/",BBDD_Usiarios_Netflix[[#This Row],[Año Último Pago]]))</f>
        <v>45479</v>
      </c>
      <c r="M1680" s="4">
        <f>DATEDIF(BBDD_Usiarios_Netflix[[#This Row],[Fecha Suscripción]],BBDD_Usiarios_Netflix[[#This Row],[Fecha Último Pago]],"M")+1</f>
        <v>9</v>
      </c>
      <c r="N1680" s="4">
        <f>BBDD_Usiarios_Netflix[[#This Row],[Ingresos Mensuales]]*BBDD_Usiarios_Netflix[[#This Row],[Meses contratados]]</f>
        <v>126</v>
      </c>
      <c r="O1680" t="s">
        <v>42</v>
      </c>
      <c r="P1680" t="str">
        <f>IF(BBDD_Usiarios_Netflix[[#This Row],[País]]="","Desconocido",BBDD_Usiarios_Netflix[[#This Row],[País]])</f>
        <v>Reino Unido</v>
      </c>
      <c r="Q1680">
        <v>48</v>
      </c>
      <c r="R1680" t="s">
        <v>25</v>
      </c>
      <c r="S1680" t="s">
        <v>31</v>
      </c>
      <c r="T1680" t="s">
        <v>35</v>
      </c>
      <c r="U1680">
        <f>IF(IFERROR(VLOOKUP(BBDD_Usiarios_Netflix[[#This Row],[Identificador Usuario]],A1681:$A$5870,1,FALSE),0)&lt;&gt;0,1,0)</f>
        <v>0</v>
      </c>
      <c r="V1680" s="6" t="str">
        <f>IF(BBDD_Usiarios_Netflix[[#This Row],[Duración Plan]]="12 Meses",LEFT(BBDD_Usiarios_Netflix[[#This Row],[Duración Plan]],2),LEFT(BBDD_Usiarios_Netflix[[#This Row],[Duración Plan]],1))</f>
        <v>6</v>
      </c>
      <c r="W16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81" spans="1:23" x14ac:dyDescent="0.25">
      <c r="A1681">
        <v>1680</v>
      </c>
      <c r="B1681" t="s">
        <v>23</v>
      </c>
      <c r="C1681">
        <v>10</v>
      </c>
      <c r="D1681" s="3">
        <v>18</v>
      </c>
      <c r="E1681" s="3">
        <v>10</v>
      </c>
      <c r="F1681">
        <v>23</v>
      </c>
      <c r="G1681" s="1">
        <f>DATEVALUE(_xlfn.CONCAT(BBDD_Usiarios_Netflix[[#This Row],[Día Suscripción]],"/",BBDD_Usiarios_Netflix[[#This Row],[Mes Suscripción]],"/",BBDD_Usiarios_Netflix[[#This Row],[Año Suscripción]]))</f>
        <v>45217</v>
      </c>
      <c r="H1681" s="1">
        <v>7</v>
      </c>
      <c r="I1681" s="1">
        <v>7</v>
      </c>
      <c r="J1681" s="1">
        <v>24</v>
      </c>
      <c r="K1681" s="1" t="str">
        <f>TEXT(BBDD_Usiarios_Netflix[[#This Row],[Fecha Suscripción]],"dddd")</f>
        <v>miércoles</v>
      </c>
      <c r="L1681" s="1">
        <f>DATEVALUE(_xlfn.CONCAT(BBDD_Usiarios_Netflix[[#This Row],[Día Último Pago]],"/",BBDD_Usiarios_Netflix[[#This Row],[Mes Último Pago]],"/",BBDD_Usiarios_Netflix[[#This Row],[Año Último Pago]]))</f>
        <v>45480</v>
      </c>
      <c r="M1681" s="4">
        <f>DATEDIF(BBDD_Usiarios_Netflix[[#This Row],[Fecha Suscripción]],BBDD_Usiarios_Netflix[[#This Row],[Fecha Último Pago]],"M")+1</f>
        <v>9</v>
      </c>
      <c r="N1681" s="4">
        <f>BBDD_Usiarios_Netflix[[#This Row],[Ingresos Mensuales]]*BBDD_Usiarios_Netflix[[#This Row],[Meses contratados]]</f>
        <v>90</v>
      </c>
      <c r="O1681" t="s">
        <v>29</v>
      </c>
      <c r="P1681" t="str">
        <f>IF(BBDD_Usiarios_Netflix[[#This Row],[País]]="","Desconocido",BBDD_Usiarios_Netflix[[#This Row],[País]])</f>
        <v>EEUU</v>
      </c>
      <c r="Q1681">
        <v>32</v>
      </c>
      <c r="R1681" t="s">
        <v>25</v>
      </c>
      <c r="S1681" t="s">
        <v>36</v>
      </c>
      <c r="T1681" t="s">
        <v>41</v>
      </c>
      <c r="U1681">
        <f>IF(IFERROR(VLOOKUP(BBDD_Usiarios_Netflix[[#This Row],[Identificador Usuario]],A1682:$A$5870,1,FALSE),0)&lt;&gt;0,1,0)</f>
        <v>0</v>
      </c>
      <c r="V1681" s="6" t="str">
        <f>IF(BBDD_Usiarios_Netflix[[#This Row],[Duración Plan]]="12 Meses",LEFT(BBDD_Usiarios_Netflix[[#This Row],[Duración Plan]],2),LEFT(BBDD_Usiarios_Netflix[[#This Row],[Duración Plan]],1))</f>
        <v>12</v>
      </c>
      <c r="W16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82" spans="1:23" x14ac:dyDescent="0.25">
      <c r="A1682">
        <v>1681</v>
      </c>
      <c r="B1682" t="s">
        <v>28</v>
      </c>
      <c r="C1682">
        <v>14</v>
      </c>
      <c r="D1682" s="3">
        <v>22</v>
      </c>
      <c r="E1682" s="3">
        <v>10</v>
      </c>
      <c r="F1682">
        <v>23</v>
      </c>
      <c r="G1682" s="1">
        <f>DATEVALUE(_xlfn.CONCAT(BBDD_Usiarios_Netflix[[#This Row],[Día Suscripción]],"/",BBDD_Usiarios_Netflix[[#This Row],[Mes Suscripción]],"/",BBDD_Usiarios_Netflix[[#This Row],[Año Suscripción]]))</f>
        <v>45221</v>
      </c>
      <c r="H1682" s="1">
        <v>7</v>
      </c>
      <c r="I1682" s="1">
        <v>7</v>
      </c>
      <c r="J1682" s="1">
        <v>24</v>
      </c>
      <c r="K1682" s="1" t="str">
        <f>TEXT(BBDD_Usiarios_Netflix[[#This Row],[Fecha Suscripción]],"dddd")</f>
        <v>domingo</v>
      </c>
      <c r="L1682" s="1">
        <f>DATEVALUE(_xlfn.CONCAT(BBDD_Usiarios_Netflix[[#This Row],[Día Último Pago]],"/",BBDD_Usiarios_Netflix[[#This Row],[Mes Último Pago]],"/",BBDD_Usiarios_Netflix[[#This Row],[Año Último Pago]]))</f>
        <v>45480</v>
      </c>
      <c r="M1682" s="4">
        <f>DATEDIF(BBDD_Usiarios_Netflix[[#This Row],[Fecha Suscripción]],BBDD_Usiarios_Netflix[[#This Row],[Fecha Último Pago]],"M")+1</f>
        <v>9</v>
      </c>
      <c r="N1682" s="4">
        <f>BBDD_Usiarios_Netflix[[#This Row],[Ingresos Mensuales]]*BBDD_Usiarios_Netflix[[#This Row],[Meses contratados]]</f>
        <v>126</v>
      </c>
      <c r="O1682" t="s">
        <v>39</v>
      </c>
      <c r="P1682" t="str">
        <f>IF(BBDD_Usiarios_Netflix[[#This Row],[País]]="","Desconocido",BBDD_Usiarios_Netflix[[#This Row],[País]])</f>
        <v>Canadá</v>
      </c>
      <c r="Q1682">
        <v>27</v>
      </c>
      <c r="R1682" t="s">
        <v>25</v>
      </c>
      <c r="S1682" t="s">
        <v>34</v>
      </c>
      <c r="T1682" t="s">
        <v>27</v>
      </c>
      <c r="U1682">
        <f>IF(IFERROR(VLOOKUP(BBDD_Usiarios_Netflix[[#This Row],[Identificador Usuario]],A1683:$A$5870,1,FALSE),0)&lt;&gt;0,1,0)</f>
        <v>0</v>
      </c>
      <c r="V1682" s="6" t="str">
        <f>IF(BBDD_Usiarios_Netflix[[#This Row],[Duración Plan]]="12 Meses",LEFT(BBDD_Usiarios_Netflix[[#This Row],[Duración Plan]],2),LEFT(BBDD_Usiarios_Netflix[[#This Row],[Duración Plan]],1))</f>
        <v>1</v>
      </c>
      <c r="W16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83" spans="1:23" x14ac:dyDescent="0.25">
      <c r="A1683">
        <v>1682</v>
      </c>
      <c r="B1683" t="s">
        <v>23</v>
      </c>
      <c r="C1683">
        <v>10</v>
      </c>
      <c r="D1683" s="3">
        <v>23</v>
      </c>
      <c r="E1683" s="3">
        <v>10</v>
      </c>
      <c r="F1683">
        <v>23</v>
      </c>
      <c r="G1683" s="1">
        <f>DATEVALUE(_xlfn.CONCAT(BBDD_Usiarios_Netflix[[#This Row],[Día Suscripción]],"/",BBDD_Usiarios_Netflix[[#This Row],[Mes Suscripción]],"/",BBDD_Usiarios_Netflix[[#This Row],[Año Suscripción]]))</f>
        <v>45222</v>
      </c>
      <c r="H1683" s="1">
        <v>9</v>
      </c>
      <c r="I1683" s="1">
        <v>7</v>
      </c>
      <c r="J1683" s="1">
        <v>24</v>
      </c>
      <c r="K1683" s="1" t="str">
        <f>TEXT(BBDD_Usiarios_Netflix[[#This Row],[Fecha Suscripción]],"dddd")</f>
        <v>lunes</v>
      </c>
      <c r="L1683" s="1">
        <f>DATEVALUE(_xlfn.CONCAT(BBDD_Usiarios_Netflix[[#This Row],[Día Último Pago]],"/",BBDD_Usiarios_Netflix[[#This Row],[Mes Último Pago]],"/",BBDD_Usiarios_Netflix[[#This Row],[Año Último Pago]]))</f>
        <v>45482</v>
      </c>
      <c r="M1683" s="4">
        <f>DATEDIF(BBDD_Usiarios_Netflix[[#This Row],[Fecha Suscripción]],BBDD_Usiarios_Netflix[[#This Row],[Fecha Último Pago]],"M")+1</f>
        <v>9</v>
      </c>
      <c r="N1683" s="4">
        <f>BBDD_Usiarios_Netflix[[#This Row],[Ingresos Mensuales]]*BBDD_Usiarios_Netflix[[#This Row],[Meses contratados]]</f>
        <v>90</v>
      </c>
      <c r="O1683" t="s">
        <v>43</v>
      </c>
      <c r="P1683" t="str">
        <f>IF(BBDD_Usiarios_Netflix[[#This Row],[País]]="","Desconocido",BBDD_Usiarios_Netflix[[#This Row],[País]])</f>
        <v>Alemania</v>
      </c>
      <c r="Q1683">
        <v>48</v>
      </c>
      <c r="R1683" t="s">
        <v>30</v>
      </c>
      <c r="S1683" t="s">
        <v>36</v>
      </c>
      <c r="T1683" t="s">
        <v>27</v>
      </c>
      <c r="U1683">
        <f>IF(IFERROR(VLOOKUP(BBDD_Usiarios_Netflix[[#This Row],[Identificador Usuario]],A1684:$A$5870,1,FALSE),0)&lt;&gt;0,1,0)</f>
        <v>0</v>
      </c>
      <c r="V1683" s="6" t="str">
        <f>IF(BBDD_Usiarios_Netflix[[#This Row],[Duración Plan]]="12 Meses",LEFT(BBDD_Usiarios_Netflix[[#This Row],[Duración Plan]],2),LEFT(BBDD_Usiarios_Netflix[[#This Row],[Duración Plan]],1))</f>
        <v>1</v>
      </c>
      <c r="W16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84" spans="1:23" x14ac:dyDescent="0.25">
      <c r="A1684">
        <v>1683</v>
      </c>
      <c r="B1684" t="s">
        <v>32</v>
      </c>
      <c r="C1684">
        <v>12</v>
      </c>
      <c r="D1684" s="3">
        <v>26</v>
      </c>
      <c r="E1684" s="3">
        <v>10</v>
      </c>
      <c r="F1684">
        <v>23</v>
      </c>
      <c r="G1684" s="1">
        <f>DATEVALUE(_xlfn.CONCAT(BBDD_Usiarios_Netflix[[#This Row],[Día Suscripción]],"/",BBDD_Usiarios_Netflix[[#This Row],[Mes Suscripción]],"/",BBDD_Usiarios_Netflix[[#This Row],[Año Suscripción]]))</f>
        <v>45225</v>
      </c>
      <c r="H1684" s="1">
        <v>6</v>
      </c>
      <c r="I1684" s="1">
        <v>7</v>
      </c>
      <c r="J1684" s="1">
        <v>24</v>
      </c>
      <c r="K1684" s="1" t="str">
        <f>TEXT(BBDD_Usiarios_Netflix[[#This Row],[Fecha Suscripción]],"dddd")</f>
        <v>jueves</v>
      </c>
      <c r="L1684" s="1">
        <f>DATEVALUE(_xlfn.CONCAT(BBDD_Usiarios_Netflix[[#This Row],[Día Último Pago]],"/",BBDD_Usiarios_Netflix[[#This Row],[Mes Último Pago]],"/",BBDD_Usiarios_Netflix[[#This Row],[Año Último Pago]]))</f>
        <v>45479</v>
      </c>
      <c r="M1684" s="4">
        <f>DATEDIF(BBDD_Usiarios_Netflix[[#This Row],[Fecha Suscripción]],BBDD_Usiarios_Netflix[[#This Row],[Fecha Último Pago]],"M")+1</f>
        <v>9</v>
      </c>
      <c r="N1684" s="4">
        <f>BBDD_Usiarios_Netflix[[#This Row],[Ingresos Mensuales]]*BBDD_Usiarios_Netflix[[#This Row],[Meses contratados]]</f>
        <v>108</v>
      </c>
      <c r="O1684" t="s">
        <v>24</v>
      </c>
      <c r="P1684" t="str">
        <f>IF(BBDD_Usiarios_Netflix[[#This Row],[País]]="","Desconocido",BBDD_Usiarios_Netflix[[#This Row],[País]])</f>
        <v>Australia</v>
      </c>
      <c r="Q1684">
        <v>33</v>
      </c>
      <c r="R1684" t="s">
        <v>25</v>
      </c>
      <c r="S1684" t="s">
        <v>36</v>
      </c>
      <c r="T1684" t="s">
        <v>35</v>
      </c>
      <c r="U1684">
        <f>IF(IFERROR(VLOOKUP(BBDD_Usiarios_Netflix[[#This Row],[Identificador Usuario]],A1685:$A$5870,1,FALSE),0)&lt;&gt;0,1,0)</f>
        <v>0</v>
      </c>
      <c r="V1684" s="6" t="str">
        <f>IF(BBDD_Usiarios_Netflix[[#This Row],[Duración Plan]]="12 Meses",LEFT(BBDD_Usiarios_Netflix[[#This Row],[Duración Plan]],2),LEFT(BBDD_Usiarios_Netflix[[#This Row],[Duración Plan]],1))</f>
        <v>6</v>
      </c>
      <c r="W16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85" spans="1:23" x14ac:dyDescent="0.25">
      <c r="A1685">
        <v>1684</v>
      </c>
      <c r="B1685" t="s">
        <v>32</v>
      </c>
      <c r="C1685">
        <v>12</v>
      </c>
      <c r="D1685" s="3">
        <v>27</v>
      </c>
      <c r="E1685" s="3">
        <v>10</v>
      </c>
      <c r="F1685">
        <v>23</v>
      </c>
      <c r="G1685" s="1">
        <f>DATEVALUE(_xlfn.CONCAT(BBDD_Usiarios_Netflix[[#This Row],[Día Suscripción]],"/",BBDD_Usiarios_Netflix[[#This Row],[Mes Suscripción]],"/",BBDD_Usiarios_Netflix[[#This Row],[Año Suscripción]]))</f>
        <v>45226</v>
      </c>
      <c r="H1685" s="1">
        <v>7</v>
      </c>
      <c r="I1685" s="1">
        <v>7</v>
      </c>
      <c r="J1685" s="1">
        <v>24</v>
      </c>
      <c r="K1685" s="1" t="str">
        <f>TEXT(BBDD_Usiarios_Netflix[[#This Row],[Fecha Suscripción]],"dddd")</f>
        <v>viernes</v>
      </c>
      <c r="L1685" s="1">
        <f>DATEVALUE(_xlfn.CONCAT(BBDD_Usiarios_Netflix[[#This Row],[Día Último Pago]],"/",BBDD_Usiarios_Netflix[[#This Row],[Mes Último Pago]],"/",BBDD_Usiarios_Netflix[[#This Row],[Año Último Pago]]))</f>
        <v>45480</v>
      </c>
      <c r="M1685" s="4">
        <f>DATEDIF(BBDD_Usiarios_Netflix[[#This Row],[Fecha Suscripción]],BBDD_Usiarios_Netflix[[#This Row],[Fecha Último Pago]],"M")+1</f>
        <v>9</v>
      </c>
      <c r="N1685" s="4">
        <f>BBDD_Usiarios_Netflix[[#This Row],[Ingresos Mensuales]]*BBDD_Usiarios_Netflix[[#This Row],[Meses contratados]]</f>
        <v>108</v>
      </c>
      <c r="O1685" t="s">
        <v>43</v>
      </c>
      <c r="P1685" t="str">
        <f>IF(BBDD_Usiarios_Netflix[[#This Row],[País]]="","Desconocido",BBDD_Usiarios_Netflix[[#This Row],[País]])</f>
        <v>Alemania</v>
      </c>
      <c r="Q1685">
        <v>28</v>
      </c>
      <c r="R1685" t="s">
        <v>25</v>
      </c>
      <c r="S1685" t="s">
        <v>26</v>
      </c>
      <c r="T1685" t="s">
        <v>27</v>
      </c>
      <c r="U1685">
        <f>IF(IFERROR(VLOOKUP(BBDD_Usiarios_Netflix[[#This Row],[Identificador Usuario]],A1686:$A$5870,1,FALSE),0)&lt;&gt;0,1,0)</f>
        <v>0</v>
      </c>
      <c r="V1685" s="6" t="str">
        <f>IF(BBDD_Usiarios_Netflix[[#This Row],[Duración Plan]]="12 Meses",LEFT(BBDD_Usiarios_Netflix[[#This Row],[Duración Plan]],2),LEFT(BBDD_Usiarios_Netflix[[#This Row],[Duración Plan]],1))</f>
        <v>1</v>
      </c>
      <c r="W16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86" spans="1:23" x14ac:dyDescent="0.25">
      <c r="A1686">
        <v>1685</v>
      </c>
      <c r="B1686" t="s">
        <v>23</v>
      </c>
      <c r="C1686">
        <v>10</v>
      </c>
      <c r="D1686" s="3">
        <v>31</v>
      </c>
      <c r="E1686" s="3">
        <v>10</v>
      </c>
      <c r="F1686">
        <v>23</v>
      </c>
      <c r="G1686" s="1">
        <f>DATEVALUE(_xlfn.CONCAT(BBDD_Usiarios_Netflix[[#This Row],[Día Suscripción]],"/",BBDD_Usiarios_Netflix[[#This Row],[Mes Suscripción]],"/",BBDD_Usiarios_Netflix[[#This Row],[Año Suscripción]]))</f>
        <v>45230</v>
      </c>
      <c r="H1686" s="1">
        <v>7</v>
      </c>
      <c r="I1686" s="1">
        <v>7</v>
      </c>
      <c r="J1686" s="1">
        <v>24</v>
      </c>
      <c r="K1686" s="1" t="str">
        <f>TEXT(BBDD_Usiarios_Netflix[[#This Row],[Fecha Suscripción]],"dddd")</f>
        <v>martes</v>
      </c>
      <c r="L1686" s="1">
        <f>DATEVALUE(_xlfn.CONCAT(BBDD_Usiarios_Netflix[[#This Row],[Día Último Pago]],"/",BBDD_Usiarios_Netflix[[#This Row],[Mes Último Pago]],"/",BBDD_Usiarios_Netflix[[#This Row],[Año Último Pago]]))</f>
        <v>45480</v>
      </c>
      <c r="M1686" s="4">
        <f>DATEDIF(BBDD_Usiarios_Netflix[[#This Row],[Fecha Suscripción]],BBDD_Usiarios_Netflix[[#This Row],[Fecha Último Pago]],"M")+1</f>
        <v>9</v>
      </c>
      <c r="N1686" s="4">
        <f>BBDD_Usiarios_Netflix[[#This Row],[Ingresos Mensuales]]*BBDD_Usiarios_Netflix[[#This Row],[Meses contratados]]</f>
        <v>90</v>
      </c>
      <c r="O1686" t="s">
        <v>45</v>
      </c>
      <c r="P1686" t="str">
        <f>IF(BBDD_Usiarios_Netflix[[#This Row],[País]]="","Desconocido",BBDD_Usiarios_Netflix[[#This Row],[País]])</f>
        <v>España</v>
      </c>
      <c r="Q1686">
        <v>46</v>
      </c>
      <c r="R1686" t="s">
        <v>25</v>
      </c>
      <c r="S1686" t="s">
        <v>36</v>
      </c>
      <c r="T1686" t="s">
        <v>41</v>
      </c>
      <c r="U1686">
        <f>IF(IFERROR(VLOOKUP(BBDD_Usiarios_Netflix[[#This Row],[Identificador Usuario]],A1687:$A$5870,1,FALSE),0)&lt;&gt;0,1,0)</f>
        <v>0</v>
      </c>
      <c r="V1686" s="6" t="str">
        <f>IF(BBDD_Usiarios_Netflix[[#This Row],[Duración Plan]]="12 Meses",LEFT(BBDD_Usiarios_Netflix[[#This Row],[Duración Plan]],2),LEFT(BBDD_Usiarios_Netflix[[#This Row],[Duración Plan]],1))</f>
        <v>12</v>
      </c>
      <c r="W16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87" spans="1:23" x14ac:dyDescent="0.25">
      <c r="A1687">
        <v>1686</v>
      </c>
      <c r="B1687" t="s">
        <v>28</v>
      </c>
      <c r="C1687">
        <v>14</v>
      </c>
      <c r="D1687" s="3">
        <v>1</v>
      </c>
      <c r="E1687" s="3">
        <v>11</v>
      </c>
      <c r="F1687">
        <v>23</v>
      </c>
      <c r="G1687" s="1">
        <f>DATEVALUE(_xlfn.CONCAT(BBDD_Usiarios_Netflix[[#This Row],[Día Suscripción]],"/",BBDD_Usiarios_Netflix[[#This Row],[Mes Suscripción]],"/",BBDD_Usiarios_Netflix[[#This Row],[Año Suscripción]]))</f>
        <v>45231</v>
      </c>
      <c r="H1687" s="1">
        <v>8</v>
      </c>
      <c r="I1687" s="1">
        <v>7</v>
      </c>
      <c r="J1687" s="1">
        <v>24</v>
      </c>
      <c r="K1687" s="1" t="str">
        <f>TEXT(BBDD_Usiarios_Netflix[[#This Row],[Fecha Suscripción]],"dddd")</f>
        <v>miércoles</v>
      </c>
      <c r="L1687" s="1">
        <f>DATEVALUE(_xlfn.CONCAT(BBDD_Usiarios_Netflix[[#This Row],[Día Último Pago]],"/",BBDD_Usiarios_Netflix[[#This Row],[Mes Último Pago]],"/",BBDD_Usiarios_Netflix[[#This Row],[Año Último Pago]]))</f>
        <v>45481</v>
      </c>
      <c r="M1687" s="4">
        <f>DATEDIF(BBDD_Usiarios_Netflix[[#This Row],[Fecha Suscripción]],BBDD_Usiarios_Netflix[[#This Row],[Fecha Último Pago]],"M")+1</f>
        <v>9</v>
      </c>
      <c r="N1687" s="4">
        <f>BBDD_Usiarios_Netflix[[#This Row],[Ingresos Mensuales]]*BBDD_Usiarios_Netflix[[#This Row],[Meses contratados]]</f>
        <v>126</v>
      </c>
      <c r="O1687" t="s">
        <v>24</v>
      </c>
      <c r="P1687" t="str">
        <f>IF(BBDD_Usiarios_Netflix[[#This Row],[País]]="","Desconocido",BBDD_Usiarios_Netflix[[#This Row],[País]])</f>
        <v>Australia</v>
      </c>
      <c r="Q1687">
        <v>40</v>
      </c>
      <c r="R1687" t="s">
        <v>25</v>
      </c>
      <c r="S1687" t="s">
        <v>36</v>
      </c>
      <c r="T1687" t="s">
        <v>35</v>
      </c>
      <c r="U1687">
        <f>IF(IFERROR(VLOOKUP(BBDD_Usiarios_Netflix[[#This Row],[Identificador Usuario]],A1688:$A$5870,1,FALSE),0)&lt;&gt;0,1,0)</f>
        <v>0</v>
      </c>
      <c r="V1687" s="6" t="str">
        <f>IF(BBDD_Usiarios_Netflix[[#This Row],[Duración Plan]]="12 Meses",LEFT(BBDD_Usiarios_Netflix[[#This Row],[Duración Plan]],2),LEFT(BBDD_Usiarios_Netflix[[#This Row],[Duración Plan]],1))</f>
        <v>6</v>
      </c>
      <c r="W16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88" spans="1:23" x14ac:dyDescent="0.25">
      <c r="A1688">
        <v>1687</v>
      </c>
      <c r="B1688" t="s">
        <v>23</v>
      </c>
      <c r="C1688">
        <v>10</v>
      </c>
      <c r="D1688" s="3">
        <v>3</v>
      </c>
      <c r="E1688" s="3">
        <v>11</v>
      </c>
      <c r="F1688">
        <v>23</v>
      </c>
      <c r="G1688" s="1">
        <f>DATEVALUE(_xlfn.CONCAT(BBDD_Usiarios_Netflix[[#This Row],[Día Suscripción]],"/",BBDD_Usiarios_Netflix[[#This Row],[Mes Suscripción]],"/",BBDD_Usiarios_Netflix[[#This Row],[Año Suscripción]]))</f>
        <v>45233</v>
      </c>
      <c r="H1688" s="1">
        <v>5</v>
      </c>
      <c r="I1688" s="1">
        <v>7</v>
      </c>
      <c r="J1688" s="1">
        <v>24</v>
      </c>
      <c r="K1688" s="1" t="str">
        <f>TEXT(BBDD_Usiarios_Netflix[[#This Row],[Fecha Suscripción]],"dddd")</f>
        <v>viernes</v>
      </c>
      <c r="L1688" s="1">
        <f>DATEVALUE(_xlfn.CONCAT(BBDD_Usiarios_Netflix[[#This Row],[Día Último Pago]],"/",BBDD_Usiarios_Netflix[[#This Row],[Mes Último Pago]],"/",BBDD_Usiarios_Netflix[[#This Row],[Año Último Pago]]))</f>
        <v>45478</v>
      </c>
      <c r="M1688" s="4">
        <f>DATEDIF(BBDD_Usiarios_Netflix[[#This Row],[Fecha Suscripción]],BBDD_Usiarios_Netflix[[#This Row],[Fecha Último Pago]],"M")+1</f>
        <v>9</v>
      </c>
      <c r="N1688" s="4">
        <f>BBDD_Usiarios_Netflix[[#This Row],[Ingresos Mensuales]]*BBDD_Usiarios_Netflix[[#This Row],[Meses contratados]]</f>
        <v>90</v>
      </c>
      <c r="O1688" t="s">
        <v>29</v>
      </c>
      <c r="P1688" t="str">
        <f>IF(BBDD_Usiarios_Netflix[[#This Row],[País]]="","Desconocido",BBDD_Usiarios_Netflix[[#This Row],[País]])</f>
        <v>EEUU</v>
      </c>
      <c r="Q1688">
        <v>49</v>
      </c>
      <c r="R1688" t="s">
        <v>25</v>
      </c>
      <c r="S1688" t="s">
        <v>26</v>
      </c>
      <c r="T1688" t="s">
        <v>35</v>
      </c>
      <c r="U1688">
        <f>IF(IFERROR(VLOOKUP(BBDD_Usiarios_Netflix[[#This Row],[Identificador Usuario]],A1689:$A$5870,1,FALSE),0)&lt;&gt;0,1,0)</f>
        <v>0</v>
      </c>
      <c r="V1688" s="6" t="str">
        <f>IF(BBDD_Usiarios_Netflix[[#This Row],[Duración Plan]]="12 Meses",LEFT(BBDD_Usiarios_Netflix[[#This Row],[Duración Plan]],2),LEFT(BBDD_Usiarios_Netflix[[#This Row],[Duración Plan]],1))</f>
        <v>6</v>
      </c>
      <c r="W16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689" spans="1:23" x14ac:dyDescent="0.25">
      <c r="A1689">
        <v>1688</v>
      </c>
      <c r="B1689" t="s">
        <v>32</v>
      </c>
      <c r="C1689">
        <v>12</v>
      </c>
      <c r="D1689" s="3">
        <v>4</v>
      </c>
      <c r="E1689" s="3">
        <v>11</v>
      </c>
      <c r="F1689">
        <v>23</v>
      </c>
      <c r="G1689" s="1">
        <f>DATEVALUE(_xlfn.CONCAT(BBDD_Usiarios_Netflix[[#This Row],[Día Suscripción]],"/",BBDD_Usiarios_Netflix[[#This Row],[Mes Suscripción]],"/",BBDD_Usiarios_Netflix[[#This Row],[Año Suscripción]]))</f>
        <v>45234</v>
      </c>
      <c r="H1689" s="1">
        <v>6</v>
      </c>
      <c r="I1689" s="1">
        <v>7</v>
      </c>
      <c r="J1689" s="1">
        <v>24</v>
      </c>
      <c r="K1689" s="1" t="str">
        <f>TEXT(BBDD_Usiarios_Netflix[[#This Row],[Fecha Suscripción]],"dddd")</f>
        <v>sábado</v>
      </c>
      <c r="L1689" s="1">
        <f>DATEVALUE(_xlfn.CONCAT(BBDD_Usiarios_Netflix[[#This Row],[Día Último Pago]],"/",BBDD_Usiarios_Netflix[[#This Row],[Mes Último Pago]],"/",BBDD_Usiarios_Netflix[[#This Row],[Año Último Pago]]))</f>
        <v>45479</v>
      </c>
      <c r="M1689" s="4">
        <f>DATEDIF(BBDD_Usiarios_Netflix[[#This Row],[Fecha Suscripción]],BBDD_Usiarios_Netflix[[#This Row],[Fecha Último Pago]],"M")+1</f>
        <v>9</v>
      </c>
      <c r="N1689" s="4">
        <f>BBDD_Usiarios_Netflix[[#This Row],[Ingresos Mensuales]]*BBDD_Usiarios_Netflix[[#This Row],[Meses contratados]]</f>
        <v>108</v>
      </c>
      <c r="O1689" t="s">
        <v>29</v>
      </c>
      <c r="P1689" t="str">
        <f>IF(BBDD_Usiarios_Netflix[[#This Row],[País]]="","Desconocido",BBDD_Usiarios_Netflix[[#This Row],[País]])</f>
        <v>EEUU</v>
      </c>
      <c r="Q1689">
        <v>41</v>
      </c>
      <c r="R1689" t="s">
        <v>30</v>
      </c>
      <c r="S1689" t="s">
        <v>31</v>
      </c>
      <c r="T1689" t="s">
        <v>41</v>
      </c>
      <c r="U1689">
        <f>IF(IFERROR(VLOOKUP(BBDD_Usiarios_Netflix[[#This Row],[Identificador Usuario]],A1690:$A$5870,1,FALSE),0)&lt;&gt;0,1,0)</f>
        <v>0</v>
      </c>
      <c r="V1689" s="6" t="str">
        <f>IF(BBDD_Usiarios_Netflix[[#This Row],[Duración Plan]]="12 Meses",LEFT(BBDD_Usiarios_Netflix[[#This Row],[Duración Plan]],2),LEFT(BBDD_Usiarios_Netflix[[#This Row],[Duración Plan]],1))</f>
        <v>12</v>
      </c>
      <c r="W16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90" spans="1:23" x14ac:dyDescent="0.25">
      <c r="A1690">
        <v>1689</v>
      </c>
      <c r="B1690" t="s">
        <v>28</v>
      </c>
      <c r="C1690">
        <v>14</v>
      </c>
      <c r="D1690" s="3">
        <v>5</v>
      </c>
      <c r="E1690" s="3">
        <v>11</v>
      </c>
      <c r="F1690">
        <v>23</v>
      </c>
      <c r="G1690" s="1">
        <f>DATEVALUE(_xlfn.CONCAT(BBDD_Usiarios_Netflix[[#This Row],[Día Suscripción]],"/",BBDD_Usiarios_Netflix[[#This Row],[Mes Suscripción]],"/",BBDD_Usiarios_Netflix[[#This Row],[Año Suscripción]]))</f>
        <v>45235</v>
      </c>
      <c r="H1690" s="1">
        <v>7</v>
      </c>
      <c r="I1690" s="1">
        <v>7</v>
      </c>
      <c r="J1690" s="1">
        <v>24</v>
      </c>
      <c r="K1690" s="1" t="str">
        <f>TEXT(BBDD_Usiarios_Netflix[[#This Row],[Fecha Suscripción]],"dddd")</f>
        <v>domingo</v>
      </c>
      <c r="L1690" s="1">
        <f>DATEVALUE(_xlfn.CONCAT(BBDD_Usiarios_Netflix[[#This Row],[Día Último Pago]],"/",BBDD_Usiarios_Netflix[[#This Row],[Mes Último Pago]],"/",BBDD_Usiarios_Netflix[[#This Row],[Año Último Pago]]))</f>
        <v>45480</v>
      </c>
      <c r="M1690" s="4">
        <f>DATEDIF(BBDD_Usiarios_Netflix[[#This Row],[Fecha Suscripción]],BBDD_Usiarios_Netflix[[#This Row],[Fecha Último Pago]],"M")+1</f>
        <v>9</v>
      </c>
      <c r="N1690" s="4">
        <f>BBDD_Usiarios_Netflix[[#This Row],[Ingresos Mensuales]]*BBDD_Usiarios_Netflix[[#This Row],[Meses contratados]]</f>
        <v>126</v>
      </c>
      <c r="O1690" t="s">
        <v>24</v>
      </c>
      <c r="P1690" t="str">
        <f>IF(BBDD_Usiarios_Netflix[[#This Row],[País]]="","Desconocido",BBDD_Usiarios_Netflix[[#This Row],[País]])</f>
        <v>Australia</v>
      </c>
      <c r="Q1690">
        <v>38</v>
      </c>
      <c r="R1690" t="s">
        <v>25</v>
      </c>
      <c r="S1690" t="s">
        <v>31</v>
      </c>
      <c r="T1690" t="s">
        <v>38</v>
      </c>
      <c r="U1690">
        <f>IF(IFERROR(VLOOKUP(BBDD_Usiarios_Netflix[[#This Row],[Identificador Usuario]],A1691:$A$5870,1,FALSE),0)&lt;&gt;0,1,0)</f>
        <v>0</v>
      </c>
      <c r="V1690" s="6" t="str">
        <f>IF(BBDD_Usiarios_Netflix[[#This Row],[Duración Plan]]="12 Meses",LEFT(BBDD_Usiarios_Netflix[[#This Row],[Duración Plan]],2),LEFT(BBDD_Usiarios_Netflix[[#This Row],[Duración Plan]],1))</f>
        <v>3</v>
      </c>
      <c r="W16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91" spans="1:23" x14ac:dyDescent="0.25">
      <c r="A1691">
        <v>1690</v>
      </c>
      <c r="B1691" t="s">
        <v>23</v>
      </c>
      <c r="C1691">
        <v>10</v>
      </c>
      <c r="D1691" s="3">
        <v>5</v>
      </c>
      <c r="E1691" s="3">
        <v>11</v>
      </c>
      <c r="F1691">
        <v>23</v>
      </c>
      <c r="G1691" s="1">
        <f>DATEVALUE(_xlfn.CONCAT(BBDD_Usiarios_Netflix[[#This Row],[Día Suscripción]],"/",BBDD_Usiarios_Netflix[[#This Row],[Mes Suscripción]],"/",BBDD_Usiarios_Netflix[[#This Row],[Año Suscripción]]))</f>
        <v>45235</v>
      </c>
      <c r="H1691" s="1">
        <v>7</v>
      </c>
      <c r="I1691" s="1">
        <v>7</v>
      </c>
      <c r="J1691" s="1">
        <v>24</v>
      </c>
      <c r="K1691" s="1" t="str">
        <f>TEXT(BBDD_Usiarios_Netflix[[#This Row],[Fecha Suscripción]],"dddd")</f>
        <v>domingo</v>
      </c>
      <c r="L1691" s="1">
        <f>DATEVALUE(_xlfn.CONCAT(BBDD_Usiarios_Netflix[[#This Row],[Día Último Pago]],"/",BBDD_Usiarios_Netflix[[#This Row],[Mes Último Pago]],"/",BBDD_Usiarios_Netflix[[#This Row],[Año Último Pago]]))</f>
        <v>45480</v>
      </c>
      <c r="M1691" s="4">
        <f>DATEDIF(BBDD_Usiarios_Netflix[[#This Row],[Fecha Suscripción]],BBDD_Usiarios_Netflix[[#This Row],[Fecha Último Pago]],"M")+1</f>
        <v>9</v>
      </c>
      <c r="N1691" s="4">
        <f>BBDD_Usiarios_Netflix[[#This Row],[Ingresos Mensuales]]*BBDD_Usiarios_Netflix[[#This Row],[Meses contratados]]</f>
        <v>90</v>
      </c>
      <c r="O1691" t="s">
        <v>33</v>
      </c>
      <c r="P1691" t="str">
        <f>IF(BBDD_Usiarios_Netflix[[#This Row],[País]]="","Desconocido",BBDD_Usiarios_Netflix[[#This Row],[País]])</f>
        <v>Francia</v>
      </c>
      <c r="Q1691">
        <v>42</v>
      </c>
      <c r="R1691" t="s">
        <v>30</v>
      </c>
      <c r="S1691" t="s">
        <v>36</v>
      </c>
      <c r="T1691" t="s">
        <v>27</v>
      </c>
      <c r="U1691">
        <f>IF(IFERROR(VLOOKUP(BBDD_Usiarios_Netflix[[#This Row],[Identificador Usuario]],A1692:$A$5870,1,FALSE),0)&lt;&gt;0,1,0)</f>
        <v>0</v>
      </c>
      <c r="V1691" s="6" t="str">
        <f>IF(BBDD_Usiarios_Netflix[[#This Row],[Duración Plan]]="12 Meses",LEFT(BBDD_Usiarios_Netflix[[#This Row],[Duración Plan]],2),LEFT(BBDD_Usiarios_Netflix[[#This Row],[Duración Plan]],1))</f>
        <v>1</v>
      </c>
      <c r="W16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92" spans="1:23" x14ac:dyDescent="0.25">
      <c r="A1692">
        <v>1691</v>
      </c>
      <c r="B1692" t="s">
        <v>28</v>
      </c>
      <c r="C1692">
        <v>14</v>
      </c>
      <c r="D1692" s="3">
        <v>5</v>
      </c>
      <c r="E1692" s="3">
        <v>11</v>
      </c>
      <c r="F1692">
        <v>23</v>
      </c>
      <c r="G1692" s="1">
        <f>DATEVALUE(_xlfn.CONCAT(BBDD_Usiarios_Netflix[[#This Row],[Día Suscripción]],"/",BBDD_Usiarios_Netflix[[#This Row],[Mes Suscripción]],"/",BBDD_Usiarios_Netflix[[#This Row],[Año Suscripción]]))</f>
        <v>45235</v>
      </c>
      <c r="H1692" s="1">
        <v>5</v>
      </c>
      <c r="I1692" s="1">
        <v>7</v>
      </c>
      <c r="J1692" s="1">
        <v>24</v>
      </c>
      <c r="K1692" s="1" t="str">
        <f>TEXT(BBDD_Usiarios_Netflix[[#This Row],[Fecha Suscripción]],"dddd")</f>
        <v>domingo</v>
      </c>
      <c r="L1692" s="1">
        <f>DATEVALUE(_xlfn.CONCAT(BBDD_Usiarios_Netflix[[#This Row],[Día Último Pago]],"/",BBDD_Usiarios_Netflix[[#This Row],[Mes Último Pago]],"/",BBDD_Usiarios_Netflix[[#This Row],[Año Último Pago]]))</f>
        <v>45478</v>
      </c>
      <c r="M1692" s="4">
        <f>DATEDIF(BBDD_Usiarios_Netflix[[#This Row],[Fecha Suscripción]],BBDD_Usiarios_Netflix[[#This Row],[Fecha Último Pago]],"M")+1</f>
        <v>9</v>
      </c>
      <c r="N1692" s="4">
        <f>BBDD_Usiarios_Netflix[[#This Row],[Ingresos Mensuales]]*BBDD_Usiarios_Netflix[[#This Row],[Meses contratados]]</f>
        <v>126</v>
      </c>
      <c r="O1692" t="s">
        <v>42</v>
      </c>
      <c r="P1692" t="str">
        <f>IF(BBDD_Usiarios_Netflix[[#This Row],[País]]="","Desconocido",BBDD_Usiarios_Netflix[[#This Row],[País]])</f>
        <v>Reino Unido</v>
      </c>
      <c r="Q1692">
        <v>27</v>
      </c>
      <c r="R1692" t="s">
        <v>30</v>
      </c>
      <c r="S1692" t="s">
        <v>34</v>
      </c>
      <c r="T1692" t="s">
        <v>41</v>
      </c>
      <c r="U1692">
        <f>IF(IFERROR(VLOOKUP(BBDD_Usiarios_Netflix[[#This Row],[Identificador Usuario]],A1693:$A$5870,1,FALSE),0)&lt;&gt;0,1,0)</f>
        <v>0</v>
      </c>
      <c r="V1692" s="6" t="str">
        <f>IF(BBDD_Usiarios_Netflix[[#This Row],[Duración Plan]]="12 Meses",LEFT(BBDD_Usiarios_Netflix[[#This Row],[Duración Plan]],2),LEFT(BBDD_Usiarios_Netflix[[#This Row],[Duración Plan]],1))</f>
        <v>12</v>
      </c>
      <c r="W16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93" spans="1:23" x14ac:dyDescent="0.25">
      <c r="A1693">
        <v>1692</v>
      </c>
      <c r="B1693" t="s">
        <v>23</v>
      </c>
      <c r="C1693">
        <v>10</v>
      </c>
      <c r="D1693" s="3">
        <v>5</v>
      </c>
      <c r="E1693" s="3">
        <v>11</v>
      </c>
      <c r="F1693">
        <v>23</v>
      </c>
      <c r="G1693" s="1">
        <f>DATEVALUE(_xlfn.CONCAT(BBDD_Usiarios_Netflix[[#This Row],[Día Suscripción]],"/",BBDD_Usiarios_Netflix[[#This Row],[Mes Suscripción]],"/",BBDD_Usiarios_Netflix[[#This Row],[Año Suscripción]]))</f>
        <v>45235</v>
      </c>
      <c r="H1693" s="1">
        <v>6</v>
      </c>
      <c r="I1693" s="1">
        <v>7</v>
      </c>
      <c r="J1693" s="1">
        <v>24</v>
      </c>
      <c r="K1693" s="1" t="str">
        <f>TEXT(BBDD_Usiarios_Netflix[[#This Row],[Fecha Suscripción]],"dddd")</f>
        <v>domingo</v>
      </c>
      <c r="L1693" s="1">
        <f>DATEVALUE(_xlfn.CONCAT(BBDD_Usiarios_Netflix[[#This Row],[Día Último Pago]],"/",BBDD_Usiarios_Netflix[[#This Row],[Mes Último Pago]],"/",BBDD_Usiarios_Netflix[[#This Row],[Año Último Pago]]))</f>
        <v>45479</v>
      </c>
      <c r="M1693" s="4">
        <f>DATEDIF(BBDD_Usiarios_Netflix[[#This Row],[Fecha Suscripción]],BBDD_Usiarios_Netflix[[#This Row],[Fecha Último Pago]],"M")+1</f>
        <v>9</v>
      </c>
      <c r="N1693" s="4">
        <f>BBDD_Usiarios_Netflix[[#This Row],[Ingresos Mensuales]]*BBDD_Usiarios_Netflix[[#This Row],[Meses contratados]]</f>
        <v>90</v>
      </c>
      <c r="O1693" t="s">
        <v>24</v>
      </c>
      <c r="P1693" t="str">
        <f>IF(BBDD_Usiarios_Netflix[[#This Row],[País]]="","Desconocido",BBDD_Usiarios_Netflix[[#This Row],[País]])</f>
        <v>Australia</v>
      </c>
      <c r="Q1693">
        <v>41</v>
      </c>
      <c r="R1693" t="s">
        <v>30</v>
      </c>
      <c r="S1693" t="s">
        <v>31</v>
      </c>
      <c r="T1693" t="s">
        <v>41</v>
      </c>
      <c r="U1693">
        <f>IF(IFERROR(VLOOKUP(BBDD_Usiarios_Netflix[[#This Row],[Identificador Usuario]],A1694:$A$5870,1,FALSE),0)&lt;&gt;0,1,0)</f>
        <v>0</v>
      </c>
      <c r="V1693" s="6" t="str">
        <f>IF(BBDD_Usiarios_Netflix[[#This Row],[Duración Plan]]="12 Meses",LEFT(BBDD_Usiarios_Netflix[[#This Row],[Duración Plan]],2),LEFT(BBDD_Usiarios_Netflix[[#This Row],[Duración Plan]],1))</f>
        <v>12</v>
      </c>
      <c r="W16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94" spans="1:23" x14ac:dyDescent="0.25">
      <c r="A1694">
        <v>1693</v>
      </c>
      <c r="B1694" t="s">
        <v>32</v>
      </c>
      <c r="C1694">
        <v>12</v>
      </c>
      <c r="D1694" s="3">
        <v>3</v>
      </c>
      <c r="E1694" s="3">
        <v>11</v>
      </c>
      <c r="F1694">
        <v>23</v>
      </c>
      <c r="G1694" s="1">
        <f>DATEVALUE(_xlfn.CONCAT(BBDD_Usiarios_Netflix[[#This Row],[Día Suscripción]],"/",BBDD_Usiarios_Netflix[[#This Row],[Mes Suscripción]],"/",BBDD_Usiarios_Netflix[[#This Row],[Año Suscripción]]))</f>
        <v>45233</v>
      </c>
      <c r="H1694" s="1">
        <v>7</v>
      </c>
      <c r="I1694" s="1">
        <v>7</v>
      </c>
      <c r="J1694" s="1">
        <v>24</v>
      </c>
      <c r="K1694" s="1" t="str">
        <f>TEXT(BBDD_Usiarios_Netflix[[#This Row],[Fecha Suscripción]],"dddd")</f>
        <v>viernes</v>
      </c>
      <c r="L1694" s="1">
        <f>DATEVALUE(_xlfn.CONCAT(BBDD_Usiarios_Netflix[[#This Row],[Día Último Pago]],"/",BBDD_Usiarios_Netflix[[#This Row],[Mes Último Pago]],"/",BBDD_Usiarios_Netflix[[#This Row],[Año Último Pago]]))</f>
        <v>45480</v>
      </c>
      <c r="M1694" s="4">
        <f>DATEDIF(BBDD_Usiarios_Netflix[[#This Row],[Fecha Suscripción]],BBDD_Usiarios_Netflix[[#This Row],[Fecha Último Pago]],"M")+1</f>
        <v>9</v>
      </c>
      <c r="N1694" s="4">
        <f>BBDD_Usiarios_Netflix[[#This Row],[Ingresos Mensuales]]*BBDD_Usiarios_Netflix[[#This Row],[Meses contratados]]</f>
        <v>108</v>
      </c>
      <c r="O1694" t="s">
        <v>45</v>
      </c>
      <c r="P1694" t="str">
        <f>IF(BBDD_Usiarios_Netflix[[#This Row],[País]]="","Desconocido",BBDD_Usiarios_Netflix[[#This Row],[País]])</f>
        <v>España</v>
      </c>
      <c r="Q1694">
        <v>41</v>
      </c>
      <c r="R1694" t="s">
        <v>30</v>
      </c>
      <c r="S1694" t="s">
        <v>31</v>
      </c>
      <c r="T1694" t="s">
        <v>41</v>
      </c>
      <c r="U1694">
        <f>IF(IFERROR(VLOOKUP(BBDD_Usiarios_Netflix[[#This Row],[Identificador Usuario]],A1695:$A$5870,1,FALSE),0)&lt;&gt;0,1,0)</f>
        <v>0</v>
      </c>
      <c r="V1694" s="6" t="str">
        <f>IF(BBDD_Usiarios_Netflix[[#This Row],[Duración Plan]]="12 Meses",LEFT(BBDD_Usiarios_Netflix[[#This Row],[Duración Plan]],2),LEFT(BBDD_Usiarios_Netflix[[#This Row],[Duración Plan]],1))</f>
        <v>12</v>
      </c>
      <c r="W16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95" spans="1:23" x14ac:dyDescent="0.25">
      <c r="A1695">
        <v>1694</v>
      </c>
      <c r="B1695" t="s">
        <v>32</v>
      </c>
      <c r="C1695">
        <v>12</v>
      </c>
      <c r="D1695" s="3">
        <v>27</v>
      </c>
      <c r="E1695" s="3">
        <v>10</v>
      </c>
      <c r="F1695">
        <v>23</v>
      </c>
      <c r="G1695" s="1">
        <f>DATEVALUE(_xlfn.CONCAT(BBDD_Usiarios_Netflix[[#This Row],[Día Suscripción]],"/",BBDD_Usiarios_Netflix[[#This Row],[Mes Suscripción]],"/",BBDD_Usiarios_Netflix[[#This Row],[Año Suscripción]]))</f>
        <v>45226</v>
      </c>
      <c r="H1695" s="1">
        <v>7</v>
      </c>
      <c r="I1695" s="1">
        <v>7</v>
      </c>
      <c r="J1695" s="1">
        <v>24</v>
      </c>
      <c r="K1695" s="1" t="str">
        <f>TEXT(BBDD_Usiarios_Netflix[[#This Row],[Fecha Suscripción]],"dddd")</f>
        <v>viernes</v>
      </c>
      <c r="L1695" s="1">
        <f>DATEVALUE(_xlfn.CONCAT(BBDD_Usiarios_Netflix[[#This Row],[Día Último Pago]],"/",BBDD_Usiarios_Netflix[[#This Row],[Mes Último Pago]],"/",BBDD_Usiarios_Netflix[[#This Row],[Año Último Pago]]))</f>
        <v>45480</v>
      </c>
      <c r="M1695" s="4">
        <f>DATEDIF(BBDD_Usiarios_Netflix[[#This Row],[Fecha Suscripción]],BBDD_Usiarios_Netflix[[#This Row],[Fecha Último Pago]],"M")+1</f>
        <v>9</v>
      </c>
      <c r="N1695" s="4">
        <f>BBDD_Usiarios_Netflix[[#This Row],[Ingresos Mensuales]]*BBDD_Usiarios_Netflix[[#This Row],[Meses contratados]]</f>
        <v>108</v>
      </c>
      <c r="O1695" t="s">
        <v>29</v>
      </c>
      <c r="P1695" t="str">
        <f>IF(BBDD_Usiarios_Netflix[[#This Row],[País]]="","Desconocido",BBDD_Usiarios_Netflix[[#This Row],[País]])</f>
        <v>EEUU</v>
      </c>
      <c r="Q1695">
        <v>49</v>
      </c>
      <c r="R1695" t="s">
        <v>25</v>
      </c>
      <c r="S1695" t="s">
        <v>36</v>
      </c>
      <c r="T1695" t="s">
        <v>38</v>
      </c>
      <c r="U1695">
        <f>IF(IFERROR(VLOOKUP(BBDD_Usiarios_Netflix[[#This Row],[Identificador Usuario]],A1696:$A$5870,1,FALSE),0)&lt;&gt;0,1,0)</f>
        <v>0</v>
      </c>
      <c r="V1695" s="6" t="str">
        <f>IF(BBDD_Usiarios_Netflix[[#This Row],[Duración Plan]]="12 Meses",LEFT(BBDD_Usiarios_Netflix[[#This Row],[Duración Plan]],2),LEFT(BBDD_Usiarios_Netflix[[#This Row],[Duración Plan]],1))</f>
        <v>3</v>
      </c>
      <c r="W16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696" spans="1:23" x14ac:dyDescent="0.25">
      <c r="A1696">
        <v>1695</v>
      </c>
      <c r="B1696" t="s">
        <v>23</v>
      </c>
      <c r="C1696">
        <v>10</v>
      </c>
      <c r="D1696" s="3">
        <v>24</v>
      </c>
      <c r="E1696" s="3">
        <v>10</v>
      </c>
      <c r="F1696">
        <v>23</v>
      </c>
      <c r="G1696" s="1">
        <f>DATEVALUE(_xlfn.CONCAT(BBDD_Usiarios_Netflix[[#This Row],[Día Suscripción]],"/",BBDD_Usiarios_Netflix[[#This Row],[Mes Suscripción]],"/",BBDD_Usiarios_Netflix[[#This Row],[Año Suscripción]]))</f>
        <v>45223</v>
      </c>
      <c r="H1696" s="1">
        <v>4</v>
      </c>
      <c r="I1696" s="1">
        <v>7</v>
      </c>
      <c r="J1696" s="1">
        <v>24</v>
      </c>
      <c r="K1696" s="1" t="str">
        <f>TEXT(BBDD_Usiarios_Netflix[[#This Row],[Fecha Suscripción]],"dddd")</f>
        <v>martes</v>
      </c>
      <c r="L1696" s="1">
        <f>DATEVALUE(_xlfn.CONCAT(BBDD_Usiarios_Netflix[[#This Row],[Día Último Pago]],"/",BBDD_Usiarios_Netflix[[#This Row],[Mes Último Pago]],"/",BBDD_Usiarios_Netflix[[#This Row],[Año Último Pago]]))</f>
        <v>45477</v>
      </c>
      <c r="M1696" s="4">
        <f>DATEDIF(BBDD_Usiarios_Netflix[[#This Row],[Fecha Suscripción]],BBDD_Usiarios_Netflix[[#This Row],[Fecha Último Pago]],"M")+1</f>
        <v>9</v>
      </c>
      <c r="N1696" s="4">
        <f>BBDD_Usiarios_Netflix[[#This Row],[Ingresos Mensuales]]*BBDD_Usiarios_Netflix[[#This Row],[Meses contratados]]</f>
        <v>90</v>
      </c>
      <c r="O1696" t="s">
        <v>40</v>
      </c>
      <c r="P1696" t="str">
        <f>IF(BBDD_Usiarios_Netflix[[#This Row],[País]]="","Desconocido",BBDD_Usiarios_Netflix[[#This Row],[País]])</f>
        <v>Italia</v>
      </c>
      <c r="Q1696">
        <v>28</v>
      </c>
      <c r="R1696" t="s">
        <v>30</v>
      </c>
      <c r="S1696" t="s">
        <v>26</v>
      </c>
      <c r="T1696" t="s">
        <v>27</v>
      </c>
      <c r="U1696">
        <f>IF(IFERROR(VLOOKUP(BBDD_Usiarios_Netflix[[#This Row],[Identificador Usuario]],A1697:$A$5870,1,FALSE),0)&lt;&gt;0,1,0)</f>
        <v>0</v>
      </c>
      <c r="V1696" s="6" t="str">
        <f>IF(BBDD_Usiarios_Netflix[[#This Row],[Duración Plan]]="12 Meses",LEFT(BBDD_Usiarios_Netflix[[#This Row],[Duración Plan]],2),LEFT(BBDD_Usiarios_Netflix[[#This Row],[Duración Plan]],1))</f>
        <v>1</v>
      </c>
      <c r="W16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97" spans="1:23" x14ac:dyDescent="0.25">
      <c r="A1697">
        <v>1696</v>
      </c>
      <c r="B1697" t="s">
        <v>28</v>
      </c>
      <c r="C1697">
        <v>14</v>
      </c>
      <c r="D1697" s="3">
        <v>17</v>
      </c>
      <c r="E1697" s="3">
        <v>10</v>
      </c>
      <c r="F1697">
        <v>23</v>
      </c>
      <c r="G1697" s="1">
        <f>DATEVALUE(_xlfn.CONCAT(BBDD_Usiarios_Netflix[[#This Row],[Día Suscripción]],"/",BBDD_Usiarios_Netflix[[#This Row],[Mes Suscripción]],"/",BBDD_Usiarios_Netflix[[#This Row],[Año Suscripción]]))</f>
        <v>45216</v>
      </c>
      <c r="H1697" s="1">
        <v>7</v>
      </c>
      <c r="I1697" s="1">
        <v>7</v>
      </c>
      <c r="J1697" s="1">
        <v>24</v>
      </c>
      <c r="K1697" s="1" t="str">
        <f>TEXT(BBDD_Usiarios_Netflix[[#This Row],[Fecha Suscripción]],"dddd")</f>
        <v>martes</v>
      </c>
      <c r="L1697" s="1">
        <f>DATEVALUE(_xlfn.CONCAT(BBDD_Usiarios_Netflix[[#This Row],[Día Último Pago]],"/",BBDD_Usiarios_Netflix[[#This Row],[Mes Último Pago]],"/",BBDD_Usiarios_Netflix[[#This Row],[Año Último Pago]]))</f>
        <v>45480</v>
      </c>
      <c r="M1697" s="4">
        <f>DATEDIF(BBDD_Usiarios_Netflix[[#This Row],[Fecha Suscripción]],BBDD_Usiarios_Netflix[[#This Row],[Fecha Último Pago]],"M")+1</f>
        <v>9</v>
      </c>
      <c r="N1697" s="4">
        <f>BBDD_Usiarios_Netflix[[#This Row],[Ingresos Mensuales]]*BBDD_Usiarios_Netflix[[#This Row],[Meses contratados]]</f>
        <v>126</v>
      </c>
      <c r="O1697" t="s">
        <v>29</v>
      </c>
      <c r="P1697" t="str">
        <f>IF(BBDD_Usiarios_Netflix[[#This Row],[País]]="","Desconocido",BBDD_Usiarios_Netflix[[#This Row],[País]])</f>
        <v>EEUU</v>
      </c>
      <c r="Q1697">
        <v>44</v>
      </c>
      <c r="R1697" t="s">
        <v>25</v>
      </c>
      <c r="S1697" t="s">
        <v>36</v>
      </c>
      <c r="T1697" t="s">
        <v>41</v>
      </c>
      <c r="U1697">
        <f>IF(IFERROR(VLOOKUP(BBDD_Usiarios_Netflix[[#This Row],[Identificador Usuario]],A1698:$A$5870,1,FALSE),0)&lt;&gt;0,1,0)</f>
        <v>0</v>
      </c>
      <c r="V1697" s="6" t="str">
        <f>IF(BBDD_Usiarios_Netflix[[#This Row],[Duración Plan]]="12 Meses",LEFT(BBDD_Usiarios_Netflix[[#This Row],[Duración Plan]],2),LEFT(BBDD_Usiarios_Netflix[[#This Row],[Duración Plan]],1))</f>
        <v>12</v>
      </c>
      <c r="W16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698" spans="1:23" x14ac:dyDescent="0.25">
      <c r="A1698">
        <v>1697</v>
      </c>
      <c r="B1698" t="s">
        <v>23</v>
      </c>
      <c r="C1698">
        <v>10</v>
      </c>
      <c r="D1698" s="3">
        <v>6</v>
      </c>
      <c r="E1698" s="3">
        <v>10</v>
      </c>
      <c r="F1698">
        <v>23</v>
      </c>
      <c r="G1698" s="1">
        <f>DATEVALUE(_xlfn.CONCAT(BBDD_Usiarios_Netflix[[#This Row],[Día Suscripción]],"/",BBDD_Usiarios_Netflix[[#This Row],[Mes Suscripción]],"/",BBDD_Usiarios_Netflix[[#This Row],[Año Suscripción]]))</f>
        <v>45205</v>
      </c>
      <c r="H1698" s="1">
        <v>7</v>
      </c>
      <c r="I1698" s="1">
        <v>7</v>
      </c>
      <c r="J1698" s="1">
        <v>24</v>
      </c>
      <c r="K1698" s="1" t="str">
        <f>TEXT(BBDD_Usiarios_Netflix[[#This Row],[Fecha Suscripción]],"dddd")</f>
        <v>viernes</v>
      </c>
      <c r="L1698" s="1">
        <f>DATEVALUE(_xlfn.CONCAT(BBDD_Usiarios_Netflix[[#This Row],[Día Último Pago]],"/",BBDD_Usiarios_Netflix[[#This Row],[Mes Último Pago]],"/",BBDD_Usiarios_Netflix[[#This Row],[Año Último Pago]]))</f>
        <v>45480</v>
      </c>
      <c r="M1698" s="4">
        <f>DATEDIF(BBDD_Usiarios_Netflix[[#This Row],[Fecha Suscripción]],BBDD_Usiarios_Netflix[[#This Row],[Fecha Último Pago]],"M")+1</f>
        <v>10</v>
      </c>
      <c r="N1698" s="4">
        <f>BBDD_Usiarios_Netflix[[#This Row],[Ingresos Mensuales]]*BBDD_Usiarios_Netflix[[#This Row],[Meses contratados]]</f>
        <v>100</v>
      </c>
      <c r="O1698" t="s">
        <v>45</v>
      </c>
      <c r="P1698" t="str">
        <f>IF(BBDD_Usiarios_Netflix[[#This Row],[País]]="","Desconocido",BBDD_Usiarios_Netflix[[#This Row],[País]])</f>
        <v>España</v>
      </c>
      <c r="Q1698">
        <v>47</v>
      </c>
      <c r="R1698" t="s">
        <v>30</v>
      </c>
      <c r="S1698" t="s">
        <v>31</v>
      </c>
      <c r="T1698" t="s">
        <v>27</v>
      </c>
      <c r="U1698">
        <f>IF(IFERROR(VLOOKUP(BBDD_Usiarios_Netflix[[#This Row],[Identificador Usuario]],A1699:$A$5870,1,FALSE),0)&lt;&gt;0,1,0)</f>
        <v>0</v>
      </c>
      <c r="V1698" s="6" t="str">
        <f>IF(BBDD_Usiarios_Netflix[[#This Row],[Duración Plan]]="12 Meses",LEFT(BBDD_Usiarios_Netflix[[#This Row],[Duración Plan]],2),LEFT(BBDD_Usiarios_Netflix[[#This Row],[Duración Plan]],1))</f>
        <v>1</v>
      </c>
      <c r="W16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699" spans="1:23" x14ac:dyDescent="0.25">
      <c r="A1699">
        <v>1698</v>
      </c>
      <c r="B1699" t="s">
        <v>32</v>
      </c>
      <c r="C1699">
        <v>12</v>
      </c>
      <c r="D1699" s="3">
        <v>18</v>
      </c>
      <c r="E1699" s="3">
        <v>9</v>
      </c>
      <c r="F1699">
        <v>23</v>
      </c>
      <c r="G1699" s="1">
        <f>DATEVALUE(_xlfn.CONCAT(BBDD_Usiarios_Netflix[[#This Row],[Día Suscripción]],"/",BBDD_Usiarios_Netflix[[#This Row],[Mes Suscripción]],"/",BBDD_Usiarios_Netflix[[#This Row],[Año Suscripción]]))</f>
        <v>45187</v>
      </c>
      <c r="H1699" s="1">
        <v>6</v>
      </c>
      <c r="I1699" s="1">
        <v>7</v>
      </c>
      <c r="J1699" s="1">
        <v>24</v>
      </c>
      <c r="K1699" s="1" t="str">
        <f>TEXT(BBDD_Usiarios_Netflix[[#This Row],[Fecha Suscripción]],"dddd")</f>
        <v>lunes</v>
      </c>
      <c r="L1699" s="1">
        <f>DATEVALUE(_xlfn.CONCAT(BBDD_Usiarios_Netflix[[#This Row],[Día Último Pago]],"/",BBDD_Usiarios_Netflix[[#This Row],[Mes Último Pago]],"/",BBDD_Usiarios_Netflix[[#This Row],[Año Último Pago]]))</f>
        <v>45479</v>
      </c>
      <c r="M1699" s="4">
        <f>DATEDIF(BBDD_Usiarios_Netflix[[#This Row],[Fecha Suscripción]],BBDD_Usiarios_Netflix[[#This Row],[Fecha Último Pago]],"M")+1</f>
        <v>10</v>
      </c>
      <c r="N1699" s="4">
        <f>BBDD_Usiarios_Netflix[[#This Row],[Ingresos Mensuales]]*BBDD_Usiarios_Netflix[[#This Row],[Meses contratados]]</f>
        <v>120</v>
      </c>
      <c r="O1699" t="s">
        <v>24</v>
      </c>
      <c r="P1699" t="str">
        <f>IF(BBDD_Usiarios_Netflix[[#This Row],[País]]="","Desconocido",BBDD_Usiarios_Netflix[[#This Row],[País]])</f>
        <v>Australia</v>
      </c>
      <c r="Q1699">
        <v>29</v>
      </c>
      <c r="R1699" t="s">
        <v>25</v>
      </c>
      <c r="S1699" t="s">
        <v>31</v>
      </c>
      <c r="T1699" t="s">
        <v>35</v>
      </c>
      <c r="U1699">
        <f>IF(IFERROR(VLOOKUP(BBDD_Usiarios_Netflix[[#This Row],[Identificador Usuario]],A1700:$A$5870,1,FALSE),0)&lt;&gt;0,1,0)</f>
        <v>0</v>
      </c>
      <c r="V1699" s="6" t="str">
        <f>IF(BBDD_Usiarios_Netflix[[#This Row],[Duración Plan]]="12 Meses",LEFT(BBDD_Usiarios_Netflix[[#This Row],[Duración Plan]],2),LEFT(BBDD_Usiarios_Netflix[[#This Row],[Duración Plan]],1))</f>
        <v>6</v>
      </c>
      <c r="W16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00" spans="1:23" x14ac:dyDescent="0.25">
      <c r="A1700">
        <v>1699</v>
      </c>
      <c r="B1700" t="s">
        <v>28</v>
      </c>
      <c r="C1700">
        <v>14</v>
      </c>
      <c r="D1700" s="3">
        <v>17</v>
      </c>
      <c r="E1700" s="3">
        <v>9</v>
      </c>
      <c r="F1700">
        <v>23</v>
      </c>
      <c r="G1700" s="1">
        <f>DATEVALUE(_xlfn.CONCAT(BBDD_Usiarios_Netflix[[#This Row],[Día Suscripción]],"/",BBDD_Usiarios_Netflix[[#This Row],[Mes Suscripción]],"/",BBDD_Usiarios_Netflix[[#This Row],[Año Suscripción]]))</f>
        <v>45186</v>
      </c>
      <c r="H1700" s="1">
        <v>4</v>
      </c>
      <c r="I1700" s="1">
        <v>7</v>
      </c>
      <c r="J1700" s="1">
        <v>24</v>
      </c>
      <c r="K1700" s="1" t="str">
        <f>TEXT(BBDD_Usiarios_Netflix[[#This Row],[Fecha Suscripción]],"dddd")</f>
        <v>domingo</v>
      </c>
      <c r="L1700" s="1">
        <f>DATEVALUE(_xlfn.CONCAT(BBDD_Usiarios_Netflix[[#This Row],[Día Último Pago]],"/",BBDD_Usiarios_Netflix[[#This Row],[Mes Último Pago]],"/",BBDD_Usiarios_Netflix[[#This Row],[Año Último Pago]]))</f>
        <v>45477</v>
      </c>
      <c r="M1700" s="4">
        <f>DATEDIF(BBDD_Usiarios_Netflix[[#This Row],[Fecha Suscripción]],BBDD_Usiarios_Netflix[[#This Row],[Fecha Último Pago]],"M")+1</f>
        <v>10</v>
      </c>
      <c r="N1700" s="4">
        <f>BBDD_Usiarios_Netflix[[#This Row],[Ingresos Mensuales]]*BBDD_Usiarios_Netflix[[#This Row],[Meses contratados]]</f>
        <v>140</v>
      </c>
      <c r="O1700" t="s">
        <v>44</v>
      </c>
      <c r="P1700" t="str">
        <f>IF(BBDD_Usiarios_Netflix[[#This Row],[País]]="","Desconocido",BBDD_Usiarios_Netflix[[#This Row],[País]])</f>
        <v>Desconocido</v>
      </c>
      <c r="Q1700">
        <v>31</v>
      </c>
      <c r="R1700" t="s">
        <v>30</v>
      </c>
      <c r="S1700" t="s">
        <v>36</v>
      </c>
      <c r="T1700" t="s">
        <v>27</v>
      </c>
      <c r="U1700">
        <f>IF(IFERROR(VLOOKUP(BBDD_Usiarios_Netflix[[#This Row],[Identificador Usuario]],A1701:$A$5870,1,FALSE),0)&lt;&gt;0,1,0)</f>
        <v>0</v>
      </c>
      <c r="V1700" s="6" t="str">
        <f>IF(BBDD_Usiarios_Netflix[[#This Row],[Duración Plan]]="12 Meses",LEFT(BBDD_Usiarios_Netflix[[#This Row],[Duración Plan]],2),LEFT(BBDD_Usiarios_Netflix[[#This Row],[Duración Plan]],1))</f>
        <v>1</v>
      </c>
      <c r="W17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01" spans="1:23" x14ac:dyDescent="0.25">
      <c r="A1701">
        <v>1700</v>
      </c>
      <c r="B1701" t="s">
        <v>23</v>
      </c>
      <c r="C1701">
        <v>10</v>
      </c>
      <c r="D1701" s="3">
        <v>13</v>
      </c>
      <c r="E1701" s="3">
        <v>9</v>
      </c>
      <c r="F1701">
        <v>23</v>
      </c>
      <c r="G1701" s="1">
        <f>DATEVALUE(_xlfn.CONCAT(BBDD_Usiarios_Netflix[[#This Row],[Día Suscripción]],"/",BBDD_Usiarios_Netflix[[#This Row],[Mes Suscripción]],"/",BBDD_Usiarios_Netflix[[#This Row],[Año Suscripción]]))</f>
        <v>45182</v>
      </c>
      <c r="H1701" s="1">
        <v>8</v>
      </c>
      <c r="I1701" s="1">
        <v>7</v>
      </c>
      <c r="J1701" s="1">
        <v>24</v>
      </c>
      <c r="K1701" s="1" t="str">
        <f>TEXT(BBDD_Usiarios_Netflix[[#This Row],[Fecha Suscripción]],"dddd")</f>
        <v>miércoles</v>
      </c>
      <c r="L1701" s="1">
        <f>DATEVALUE(_xlfn.CONCAT(BBDD_Usiarios_Netflix[[#This Row],[Día Último Pago]],"/",BBDD_Usiarios_Netflix[[#This Row],[Mes Último Pago]],"/",BBDD_Usiarios_Netflix[[#This Row],[Año Último Pago]]))</f>
        <v>45481</v>
      </c>
      <c r="M1701" s="4">
        <f>DATEDIF(BBDD_Usiarios_Netflix[[#This Row],[Fecha Suscripción]],BBDD_Usiarios_Netflix[[#This Row],[Fecha Último Pago]],"M")+1</f>
        <v>10</v>
      </c>
      <c r="N1701" s="4">
        <f>BBDD_Usiarios_Netflix[[#This Row],[Ingresos Mensuales]]*BBDD_Usiarios_Netflix[[#This Row],[Meses contratados]]</f>
        <v>100</v>
      </c>
      <c r="O1701" t="s">
        <v>40</v>
      </c>
      <c r="P1701" t="str">
        <f>IF(BBDD_Usiarios_Netflix[[#This Row],[País]]="","Desconocido",BBDD_Usiarios_Netflix[[#This Row],[País]])</f>
        <v>Italia</v>
      </c>
      <c r="Q1701">
        <v>28</v>
      </c>
      <c r="R1701" t="s">
        <v>30</v>
      </c>
      <c r="S1701" t="s">
        <v>34</v>
      </c>
      <c r="T1701" t="s">
        <v>27</v>
      </c>
      <c r="U1701">
        <f>IF(IFERROR(VLOOKUP(BBDD_Usiarios_Netflix[[#This Row],[Identificador Usuario]],A1702:$A$5870,1,FALSE),0)&lt;&gt;0,1,0)</f>
        <v>0</v>
      </c>
      <c r="V1701" s="6" t="str">
        <f>IF(BBDD_Usiarios_Netflix[[#This Row],[Duración Plan]]="12 Meses",LEFT(BBDD_Usiarios_Netflix[[#This Row],[Duración Plan]],2),LEFT(BBDD_Usiarios_Netflix[[#This Row],[Duración Plan]],1))</f>
        <v>1</v>
      </c>
      <c r="W17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02" spans="1:23" x14ac:dyDescent="0.25">
      <c r="A1702">
        <v>1701</v>
      </c>
      <c r="B1702" t="s">
        <v>28</v>
      </c>
      <c r="C1702">
        <v>14</v>
      </c>
      <c r="D1702" s="3">
        <v>9</v>
      </c>
      <c r="E1702" s="3">
        <v>9</v>
      </c>
      <c r="F1702">
        <v>23</v>
      </c>
      <c r="G1702" s="1">
        <f>DATEVALUE(_xlfn.CONCAT(BBDD_Usiarios_Netflix[[#This Row],[Día Suscripción]],"/",BBDD_Usiarios_Netflix[[#This Row],[Mes Suscripción]],"/",BBDD_Usiarios_Netflix[[#This Row],[Año Suscripción]]))</f>
        <v>45178</v>
      </c>
      <c r="H1702" s="1">
        <v>7</v>
      </c>
      <c r="I1702" s="1">
        <v>7</v>
      </c>
      <c r="J1702" s="1">
        <v>24</v>
      </c>
      <c r="K1702" s="1" t="str">
        <f>TEXT(BBDD_Usiarios_Netflix[[#This Row],[Fecha Suscripción]],"dddd")</f>
        <v>sábado</v>
      </c>
      <c r="L1702" s="1">
        <f>DATEVALUE(_xlfn.CONCAT(BBDD_Usiarios_Netflix[[#This Row],[Día Último Pago]],"/",BBDD_Usiarios_Netflix[[#This Row],[Mes Último Pago]],"/",BBDD_Usiarios_Netflix[[#This Row],[Año Último Pago]]))</f>
        <v>45480</v>
      </c>
      <c r="M1702" s="4">
        <f>DATEDIF(BBDD_Usiarios_Netflix[[#This Row],[Fecha Suscripción]],BBDD_Usiarios_Netflix[[#This Row],[Fecha Último Pago]],"M")+1</f>
        <v>10</v>
      </c>
      <c r="N1702" s="4">
        <f>BBDD_Usiarios_Netflix[[#This Row],[Ingresos Mensuales]]*BBDD_Usiarios_Netflix[[#This Row],[Meses contratados]]</f>
        <v>140</v>
      </c>
      <c r="O1702" t="s">
        <v>29</v>
      </c>
      <c r="P1702" t="str">
        <f>IF(BBDD_Usiarios_Netflix[[#This Row],[País]]="","Desconocido",BBDD_Usiarios_Netflix[[#This Row],[País]])</f>
        <v>EEUU</v>
      </c>
      <c r="Q1702">
        <v>32</v>
      </c>
      <c r="R1702" t="s">
        <v>25</v>
      </c>
      <c r="S1702" t="s">
        <v>34</v>
      </c>
      <c r="T1702" t="s">
        <v>27</v>
      </c>
      <c r="U1702">
        <f>IF(IFERROR(VLOOKUP(BBDD_Usiarios_Netflix[[#This Row],[Identificador Usuario]],A1703:$A$5870,1,FALSE),0)&lt;&gt;0,1,0)</f>
        <v>0</v>
      </c>
      <c r="V1702" s="6" t="str">
        <f>IF(BBDD_Usiarios_Netflix[[#This Row],[Duración Plan]]="12 Meses",LEFT(BBDD_Usiarios_Netflix[[#This Row],[Duración Plan]],2),LEFT(BBDD_Usiarios_Netflix[[#This Row],[Duración Plan]],1))</f>
        <v>1</v>
      </c>
      <c r="W17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03" spans="1:23" x14ac:dyDescent="0.25">
      <c r="A1703">
        <v>1702</v>
      </c>
      <c r="B1703" t="s">
        <v>23</v>
      </c>
      <c r="C1703">
        <v>10</v>
      </c>
      <c r="D1703" s="3">
        <v>2</v>
      </c>
      <c r="E1703" s="3">
        <v>9</v>
      </c>
      <c r="F1703">
        <v>23</v>
      </c>
      <c r="G1703" s="1">
        <f>DATEVALUE(_xlfn.CONCAT(BBDD_Usiarios_Netflix[[#This Row],[Día Suscripción]],"/",BBDD_Usiarios_Netflix[[#This Row],[Mes Suscripción]],"/",BBDD_Usiarios_Netflix[[#This Row],[Año Suscripción]]))</f>
        <v>45171</v>
      </c>
      <c r="H1703" s="1">
        <v>7</v>
      </c>
      <c r="I1703" s="1">
        <v>7</v>
      </c>
      <c r="J1703" s="1">
        <v>24</v>
      </c>
      <c r="K1703" s="1" t="str">
        <f>TEXT(BBDD_Usiarios_Netflix[[#This Row],[Fecha Suscripción]],"dddd")</f>
        <v>sábado</v>
      </c>
      <c r="L1703" s="1">
        <f>DATEVALUE(_xlfn.CONCAT(BBDD_Usiarios_Netflix[[#This Row],[Día Último Pago]],"/",BBDD_Usiarios_Netflix[[#This Row],[Mes Último Pago]],"/",BBDD_Usiarios_Netflix[[#This Row],[Año Último Pago]]))</f>
        <v>45480</v>
      </c>
      <c r="M1703" s="4">
        <f>DATEDIF(BBDD_Usiarios_Netflix[[#This Row],[Fecha Suscripción]],BBDD_Usiarios_Netflix[[#This Row],[Fecha Último Pago]],"M")+1</f>
        <v>11</v>
      </c>
      <c r="N1703" s="4">
        <f>BBDD_Usiarios_Netflix[[#This Row],[Ingresos Mensuales]]*BBDD_Usiarios_Netflix[[#This Row],[Meses contratados]]</f>
        <v>110</v>
      </c>
      <c r="O1703" t="s">
        <v>29</v>
      </c>
      <c r="P1703" t="str">
        <f>IF(BBDD_Usiarios_Netflix[[#This Row],[País]]="","Desconocido",BBDD_Usiarios_Netflix[[#This Row],[País]])</f>
        <v>EEUU</v>
      </c>
      <c r="Q1703">
        <v>43</v>
      </c>
      <c r="R1703" t="s">
        <v>25</v>
      </c>
      <c r="S1703" t="s">
        <v>26</v>
      </c>
      <c r="T1703" t="s">
        <v>27</v>
      </c>
      <c r="U1703">
        <f>IF(IFERROR(VLOOKUP(BBDD_Usiarios_Netflix[[#This Row],[Identificador Usuario]],A1704:$A$5870,1,FALSE),0)&lt;&gt;0,1,0)</f>
        <v>0</v>
      </c>
      <c r="V1703" s="6" t="str">
        <f>IF(BBDD_Usiarios_Netflix[[#This Row],[Duración Plan]]="12 Meses",LEFT(BBDD_Usiarios_Netflix[[#This Row],[Duración Plan]],2),LEFT(BBDD_Usiarios_Netflix[[#This Row],[Duración Plan]],1))</f>
        <v>1</v>
      </c>
      <c r="W17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04" spans="1:23" x14ac:dyDescent="0.25">
      <c r="A1704">
        <v>1703</v>
      </c>
      <c r="B1704" t="s">
        <v>32</v>
      </c>
      <c r="C1704">
        <v>12</v>
      </c>
      <c r="D1704" s="3">
        <v>1</v>
      </c>
      <c r="E1704" s="3">
        <v>9</v>
      </c>
      <c r="F1704">
        <v>23</v>
      </c>
      <c r="G1704" s="1">
        <f>DATEVALUE(_xlfn.CONCAT(BBDD_Usiarios_Netflix[[#This Row],[Día Suscripción]],"/",BBDD_Usiarios_Netflix[[#This Row],[Mes Suscripción]],"/",BBDD_Usiarios_Netflix[[#This Row],[Año Suscripción]]))</f>
        <v>45170</v>
      </c>
      <c r="H1704" s="1">
        <v>6</v>
      </c>
      <c r="I1704" s="1">
        <v>7</v>
      </c>
      <c r="J1704" s="1">
        <v>24</v>
      </c>
      <c r="K1704" s="1" t="str">
        <f>TEXT(BBDD_Usiarios_Netflix[[#This Row],[Fecha Suscripción]],"dddd")</f>
        <v>viernes</v>
      </c>
      <c r="L1704" s="1">
        <f>DATEVALUE(_xlfn.CONCAT(BBDD_Usiarios_Netflix[[#This Row],[Día Último Pago]],"/",BBDD_Usiarios_Netflix[[#This Row],[Mes Último Pago]],"/",BBDD_Usiarios_Netflix[[#This Row],[Año Último Pago]]))</f>
        <v>45479</v>
      </c>
      <c r="M1704" s="4">
        <f>DATEDIF(BBDD_Usiarios_Netflix[[#This Row],[Fecha Suscripción]],BBDD_Usiarios_Netflix[[#This Row],[Fecha Último Pago]],"M")+1</f>
        <v>11</v>
      </c>
      <c r="N1704" s="4">
        <f>BBDD_Usiarios_Netflix[[#This Row],[Ingresos Mensuales]]*BBDD_Usiarios_Netflix[[#This Row],[Meses contratados]]</f>
        <v>132</v>
      </c>
      <c r="O1704" t="s">
        <v>39</v>
      </c>
      <c r="P1704" t="str">
        <f>IF(BBDD_Usiarios_Netflix[[#This Row],[País]]="","Desconocido",BBDD_Usiarios_Netflix[[#This Row],[País]])</f>
        <v>Canadá</v>
      </c>
      <c r="Q1704">
        <v>48</v>
      </c>
      <c r="R1704" t="s">
        <v>25</v>
      </c>
      <c r="S1704" t="s">
        <v>34</v>
      </c>
      <c r="T1704" t="s">
        <v>41</v>
      </c>
      <c r="U1704">
        <f>IF(IFERROR(VLOOKUP(BBDD_Usiarios_Netflix[[#This Row],[Identificador Usuario]],A1705:$A$5870,1,FALSE),0)&lt;&gt;0,1,0)</f>
        <v>0</v>
      </c>
      <c r="V1704" s="6" t="str">
        <f>IF(BBDD_Usiarios_Netflix[[#This Row],[Duración Plan]]="12 Meses",LEFT(BBDD_Usiarios_Netflix[[#This Row],[Duración Plan]],2),LEFT(BBDD_Usiarios_Netflix[[#This Row],[Duración Plan]],1))</f>
        <v>12</v>
      </c>
      <c r="W17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05" spans="1:23" x14ac:dyDescent="0.25">
      <c r="A1705">
        <v>1704</v>
      </c>
      <c r="B1705" t="s">
        <v>32</v>
      </c>
      <c r="C1705">
        <v>12</v>
      </c>
      <c r="D1705" s="3">
        <v>16</v>
      </c>
      <c r="E1705" s="3">
        <v>8</v>
      </c>
      <c r="F1705">
        <v>23</v>
      </c>
      <c r="G1705" s="1">
        <f>DATEVALUE(_xlfn.CONCAT(BBDD_Usiarios_Netflix[[#This Row],[Día Suscripción]],"/",BBDD_Usiarios_Netflix[[#This Row],[Mes Suscripción]],"/",BBDD_Usiarios_Netflix[[#This Row],[Año Suscripción]]))</f>
        <v>45154</v>
      </c>
      <c r="H1705" s="1">
        <v>7</v>
      </c>
      <c r="I1705" s="1">
        <v>7</v>
      </c>
      <c r="J1705" s="1">
        <v>24</v>
      </c>
      <c r="K1705" s="1" t="str">
        <f>TEXT(BBDD_Usiarios_Netflix[[#This Row],[Fecha Suscripción]],"dddd")</f>
        <v>miércoles</v>
      </c>
      <c r="L1705" s="1">
        <f>DATEVALUE(_xlfn.CONCAT(BBDD_Usiarios_Netflix[[#This Row],[Día Último Pago]],"/",BBDD_Usiarios_Netflix[[#This Row],[Mes Último Pago]],"/",BBDD_Usiarios_Netflix[[#This Row],[Año Último Pago]]))</f>
        <v>45480</v>
      </c>
      <c r="M1705" s="4">
        <f>DATEDIF(BBDD_Usiarios_Netflix[[#This Row],[Fecha Suscripción]],BBDD_Usiarios_Netflix[[#This Row],[Fecha Último Pago]],"M")+1</f>
        <v>11</v>
      </c>
      <c r="N1705" s="4">
        <f>BBDD_Usiarios_Netflix[[#This Row],[Ingresos Mensuales]]*BBDD_Usiarios_Netflix[[#This Row],[Meses contratados]]</f>
        <v>132</v>
      </c>
      <c r="O1705" t="s">
        <v>42</v>
      </c>
      <c r="P1705" t="str">
        <f>IF(BBDD_Usiarios_Netflix[[#This Row],[País]]="","Desconocido",BBDD_Usiarios_Netflix[[#This Row],[País]])</f>
        <v>Reino Unido</v>
      </c>
      <c r="Q1705">
        <v>28</v>
      </c>
      <c r="R1705" t="s">
        <v>25</v>
      </c>
      <c r="S1705" t="s">
        <v>36</v>
      </c>
      <c r="T1705" t="s">
        <v>27</v>
      </c>
      <c r="U1705">
        <f>IF(IFERROR(VLOOKUP(BBDD_Usiarios_Netflix[[#This Row],[Identificador Usuario]],A1706:$A$5870,1,FALSE),0)&lt;&gt;0,1,0)</f>
        <v>0</v>
      </c>
      <c r="V1705" s="6" t="str">
        <f>IF(BBDD_Usiarios_Netflix[[#This Row],[Duración Plan]]="12 Meses",LEFT(BBDD_Usiarios_Netflix[[#This Row],[Duración Plan]],2),LEFT(BBDD_Usiarios_Netflix[[#This Row],[Duración Plan]],1))</f>
        <v>1</v>
      </c>
      <c r="W17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06" spans="1:23" x14ac:dyDescent="0.25">
      <c r="A1706">
        <v>1705</v>
      </c>
      <c r="B1706" t="s">
        <v>23</v>
      </c>
      <c r="C1706">
        <v>10</v>
      </c>
      <c r="D1706" s="3">
        <v>17</v>
      </c>
      <c r="E1706" s="3">
        <v>8</v>
      </c>
      <c r="F1706">
        <v>23</v>
      </c>
      <c r="G1706" s="1">
        <f>DATEVALUE(_xlfn.CONCAT(BBDD_Usiarios_Netflix[[#This Row],[Día Suscripción]],"/",BBDD_Usiarios_Netflix[[#This Row],[Mes Suscripción]],"/",BBDD_Usiarios_Netflix[[#This Row],[Año Suscripción]]))</f>
        <v>45155</v>
      </c>
      <c r="H1706" s="1">
        <v>7</v>
      </c>
      <c r="I1706" s="1">
        <v>7</v>
      </c>
      <c r="J1706" s="1">
        <v>24</v>
      </c>
      <c r="K1706" s="1" t="str">
        <f>TEXT(BBDD_Usiarios_Netflix[[#This Row],[Fecha Suscripción]],"dddd")</f>
        <v>jueves</v>
      </c>
      <c r="L1706" s="1">
        <f>DATEVALUE(_xlfn.CONCAT(BBDD_Usiarios_Netflix[[#This Row],[Día Último Pago]],"/",BBDD_Usiarios_Netflix[[#This Row],[Mes Último Pago]],"/",BBDD_Usiarios_Netflix[[#This Row],[Año Último Pago]]))</f>
        <v>45480</v>
      </c>
      <c r="M1706" s="4">
        <f>DATEDIF(BBDD_Usiarios_Netflix[[#This Row],[Fecha Suscripción]],BBDD_Usiarios_Netflix[[#This Row],[Fecha Último Pago]],"M")+1</f>
        <v>11</v>
      </c>
      <c r="N1706" s="4">
        <f>BBDD_Usiarios_Netflix[[#This Row],[Ingresos Mensuales]]*BBDD_Usiarios_Netflix[[#This Row],[Meses contratados]]</f>
        <v>110</v>
      </c>
      <c r="O1706" t="s">
        <v>44</v>
      </c>
      <c r="P1706" t="str">
        <f>IF(BBDD_Usiarios_Netflix[[#This Row],[País]]="","Desconocido",BBDD_Usiarios_Netflix[[#This Row],[País]])</f>
        <v>Desconocido</v>
      </c>
      <c r="Q1706">
        <v>31</v>
      </c>
      <c r="R1706" t="s">
        <v>30</v>
      </c>
      <c r="S1706" t="s">
        <v>31</v>
      </c>
      <c r="T1706" t="s">
        <v>35</v>
      </c>
      <c r="U1706">
        <f>IF(IFERROR(VLOOKUP(BBDD_Usiarios_Netflix[[#This Row],[Identificador Usuario]],A1707:$A$5870,1,FALSE),0)&lt;&gt;0,1,0)</f>
        <v>0</v>
      </c>
      <c r="V1706" s="6" t="str">
        <f>IF(BBDD_Usiarios_Netflix[[#This Row],[Duración Plan]]="12 Meses",LEFT(BBDD_Usiarios_Netflix[[#This Row],[Duración Plan]],2),LEFT(BBDD_Usiarios_Netflix[[#This Row],[Duración Plan]],1))</f>
        <v>6</v>
      </c>
      <c r="W17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07" spans="1:23" x14ac:dyDescent="0.25">
      <c r="A1707">
        <v>1706</v>
      </c>
      <c r="B1707" t="s">
        <v>28</v>
      </c>
      <c r="C1707">
        <v>14</v>
      </c>
      <c r="D1707" s="3">
        <v>29</v>
      </c>
      <c r="E1707" s="3">
        <v>7</v>
      </c>
      <c r="F1707">
        <v>23</v>
      </c>
      <c r="G1707" s="1">
        <f>DATEVALUE(_xlfn.CONCAT(BBDD_Usiarios_Netflix[[#This Row],[Día Suscripción]],"/",BBDD_Usiarios_Netflix[[#This Row],[Mes Suscripción]],"/",BBDD_Usiarios_Netflix[[#This Row],[Año Suscripción]]))</f>
        <v>45136</v>
      </c>
      <c r="H1707" s="1">
        <v>7</v>
      </c>
      <c r="I1707" s="1">
        <v>7</v>
      </c>
      <c r="J1707" s="1">
        <v>24</v>
      </c>
      <c r="K1707" s="1" t="str">
        <f>TEXT(BBDD_Usiarios_Netflix[[#This Row],[Fecha Suscripción]],"dddd")</f>
        <v>sábado</v>
      </c>
      <c r="L1707" s="1">
        <f>DATEVALUE(_xlfn.CONCAT(BBDD_Usiarios_Netflix[[#This Row],[Día Último Pago]],"/",BBDD_Usiarios_Netflix[[#This Row],[Mes Último Pago]],"/",BBDD_Usiarios_Netflix[[#This Row],[Año Último Pago]]))</f>
        <v>45480</v>
      </c>
      <c r="M1707" s="4">
        <f>DATEDIF(BBDD_Usiarios_Netflix[[#This Row],[Fecha Suscripción]],BBDD_Usiarios_Netflix[[#This Row],[Fecha Último Pago]],"M")+1</f>
        <v>12</v>
      </c>
      <c r="N1707" s="4">
        <f>BBDD_Usiarios_Netflix[[#This Row],[Ingresos Mensuales]]*BBDD_Usiarios_Netflix[[#This Row],[Meses contratados]]</f>
        <v>168</v>
      </c>
      <c r="O1707" t="s">
        <v>40</v>
      </c>
      <c r="P1707" t="str">
        <f>IF(BBDD_Usiarios_Netflix[[#This Row],[País]]="","Desconocido",BBDD_Usiarios_Netflix[[#This Row],[País]])</f>
        <v>Italia</v>
      </c>
      <c r="Q1707">
        <v>47</v>
      </c>
      <c r="R1707" t="s">
        <v>25</v>
      </c>
      <c r="S1707" t="s">
        <v>36</v>
      </c>
      <c r="T1707" t="s">
        <v>38</v>
      </c>
      <c r="U1707">
        <f>IF(IFERROR(VLOOKUP(BBDD_Usiarios_Netflix[[#This Row],[Identificador Usuario]],A1708:$A$5870,1,FALSE),0)&lt;&gt;0,1,0)</f>
        <v>0</v>
      </c>
      <c r="V1707" s="6" t="str">
        <f>IF(BBDD_Usiarios_Netflix[[#This Row],[Duración Plan]]="12 Meses",LEFT(BBDD_Usiarios_Netflix[[#This Row],[Duración Plan]],2),LEFT(BBDD_Usiarios_Netflix[[#This Row],[Duración Plan]],1))</f>
        <v>3</v>
      </c>
      <c r="W17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08" spans="1:23" x14ac:dyDescent="0.25">
      <c r="A1708">
        <v>1707</v>
      </c>
      <c r="B1708" t="s">
        <v>23</v>
      </c>
      <c r="C1708">
        <v>10</v>
      </c>
      <c r="D1708" s="3">
        <v>28</v>
      </c>
      <c r="E1708" s="3">
        <v>7</v>
      </c>
      <c r="F1708">
        <v>23</v>
      </c>
      <c r="G1708" s="1">
        <f>DATEVALUE(_xlfn.CONCAT(BBDD_Usiarios_Netflix[[#This Row],[Día Suscripción]],"/",BBDD_Usiarios_Netflix[[#This Row],[Mes Suscripción]],"/",BBDD_Usiarios_Netflix[[#This Row],[Año Suscripción]]))</f>
        <v>45135</v>
      </c>
      <c r="H1708" s="1">
        <v>6</v>
      </c>
      <c r="I1708" s="1">
        <v>7</v>
      </c>
      <c r="J1708" s="1">
        <v>24</v>
      </c>
      <c r="K1708" s="1" t="str">
        <f>TEXT(BBDD_Usiarios_Netflix[[#This Row],[Fecha Suscripción]],"dddd")</f>
        <v>viernes</v>
      </c>
      <c r="L1708" s="1">
        <f>DATEVALUE(_xlfn.CONCAT(BBDD_Usiarios_Netflix[[#This Row],[Día Último Pago]],"/",BBDD_Usiarios_Netflix[[#This Row],[Mes Último Pago]],"/",BBDD_Usiarios_Netflix[[#This Row],[Año Último Pago]]))</f>
        <v>45479</v>
      </c>
      <c r="M1708" s="4">
        <f>DATEDIF(BBDD_Usiarios_Netflix[[#This Row],[Fecha Suscripción]],BBDD_Usiarios_Netflix[[#This Row],[Fecha Último Pago]],"M")+1</f>
        <v>12</v>
      </c>
      <c r="N1708" s="4">
        <f>BBDD_Usiarios_Netflix[[#This Row],[Ingresos Mensuales]]*BBDD_Usiarios_Netflix[[#This Row],[Meses contratados]]</f>
        <v>120</v>
      </c>
      <c r="O1708" t="s">
        <v>24</v>
      </c>
      <c r="P1708" t="str">
        <f>IF(BBDD_Usiarios_Netflix[[#This Row],[País]]="","Desconocido",BBDD_Usiarios_Netflix[[#This Row],[País]])</f>
        <v>Australia</v>
      </c>
      <c r="Q1708">
        <v>39</v>
      </c>
      <c r="R1708" t="s">
        <v>30</v>
      </c>
      <c r="S1708" t="s">
        <v>26</v>
      </c>
      <c r="T1708" t="s">
        <v>41</v>
      </c>
      <c r="U1708">
        <f>IF(IFERROR(VLOOKUP(BBDD_Usiarios_Netflix[[#This Row],[Identificador Usuario]],A1709:$A$5870,1,FALSE),0)&lt;&gt;0,1,0)</f>
        <v>0</v>
      </c>
      <c r="V1708" s="6" t="str">
        <f>IF(BBDD_Usiarios_Netflix[[#This Row],[Duración Plan]]="12 Meses",LEFT(BBDD_Usiarios_Netflix[[#This Row],[Duración Plan]],2),LEFT(BBDD_Usiarios_Netflix[[#This Row],[Duración Plan]],1))</f>
        <v>12</v>
      </c>
      <c r="W17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09" spans="1:23" x14ac:dyDescent="0.25">
      <c r="A1709">
        <v>1708</v>
      </c>
      <c r="B1709" t="s">
        <v>32</v>
      </c>
      <c r="C1709">
        <v>12</v>
      </c>
      <c r="D1709" s="3">
        <v>25</v>
      </c>
      <c r="E1709" s="3">
        <v>7</v>
      </c>
      <c r="F1709">
        <v>23</v>
      </c>
      <c r="G1709" s="1">
        <f>DATEVALUE(_xlfn.CONCAT(BBDD_Usiarios_Netflix[[#This Row],[Día Suscripción]],"/",BBDD_Usiarios_Netflix[[#This Row],[Mes Suscripción]],"/",BBDD_Usiarios_Netflix[[#This Row],[Año Suscripción]]))</f>
        <v>45132</v>
      </c>
      <c r="H1709" s="1">
        <v>7</v>
      </c>
      <c r="I1709" s="1">
        <v>7</v>
      </c>
      <c r="J1709" s="1">
        <v>24</v>
      </c>
      <c r="K1709" s="1" t="str">
        <f>TEXT(BBDD_Usiarios_Netflix[[#This Row],[Fecha Suscripción]],"dddd")</f>
        <v>martes</v>
      </c>
      <c r="L1709" s="1">
        <f>DATEVALUE(_xlfn.CONCAT(BBDD_Usiarios_Netflix[[#This Row],[Día Último Pago]],"/",BBDD_Usiarios_Netflix[[#This Row],[Mes Último Pago]],"/",BBDD_Usiarios_Netflix[[#This Row],[Año Último Pago]]))</f>
        <v>45480</v>
      </c>
      <c r="M1709" s="4">
        <f>DATEDIF(BBDD_Usiarios_Netflix[[#This Row],[Fecha Suscripción]],BBDD_Usiarios_Netflix[[#This Row],[Fecha Último Pago]],"M")+1</f>
        <v>12</v>
      </c>
      <c r="N1709" s="4">
        <f>BBDD_Usiarios_Netflix[[#This Row],[Ingresos Mensuales]]*BBDD_Usiarios_Netflix[[#This Row],[Meses contratados]]</f>
        <v>144</v>
      </c>
      <c r="O1709" t="s">
        <v>24</v>
      </c>
      <c r="P1709" t="str">
        <f>IF(BBDD_Usiarios_Netflix[[#This Row],[País]]="","Desconocido",BBDD_Usiarios_Netflix[[#This Row],[País]])</f>
        <v>Australia</v>
      </c>
      <c r="Q1709">
        <v>35</v>
      </c>
      <c r="R1709" t="s">
        <v>25</v>
      </c>
      <c r="S1709" t="s">
        <v>26</v>
      </c>
      <c r="T1709" t="s">
        <v>41</v>
      </c>
      <c r="U1709">
        <f>IF(IFERROR(VLOOKUP(BBDD_Usiarios_Netflix[[#This Row],[Identificador Usuario]],A1710:$A$5870,1,FALSE),0)&lt;&gt;0,1,0)</f>
        <v>0</v>
      </c>
      <c r="V1709" s="6" t="str">
        <f>IF(BBDD_Usiarios_Netflix[[#This Row],[Duración Plan]]="12 Meses",LEFT(BBDD_Usiarios_Netflix[[#This Row],[Duración Plan]],2),LEFT(BBDD_Usiarios_Netflix[[#This Row],[Duración Plan]],1))</f>
        <v>12</v>
      </c>
      <c r="W17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10" spans="1:23" x14ac:dyDescent="0.25">
      <c r="A1710">
        <v>1709</v>
      </c>
      <c r="B1710" t="s">
        <v>28</v>
      </c>
      <c r="C1710">
        <v>14</v>
      </c>
      <c r="D1710" s="3">
        <v>26</v>
      </c>
      <c r="E1710" s="3">
        <v>7</v>
      </c>
      <c r="F1710">
        <v>23</v>
      </c>
      <c r="G1710" s="1">
        <f>DATEVALUE(_xlfn.CONCAT(BBDD_Usiarios_Netflix[[#This Row],[Día Suscripción]],"/",BBDD_Usiarios_Netflix[[#This Row],[Mes Suscripción]],"/",BBDD_Usiarios_Netflix[[#This Row],[Año Suscripción]]))</f>
        <v>45133</v>
      </c>
      <c r="H1710" s="1">
        <v>6</v>
      </c>
      <c r="I1710" s="1">
        <v>7</v>
      </c>
      <c r="J1710" s="1">
        <v>24</v>
      </c>
      <c r="K1710" s="1" t="str">
        <f>TEXT(BBDD_Usiarios_Netflix[[#This Row],[Fecha Suscripción]],"dddd")</f>
        <v>miércoles</v>
      </c>
      <c r="L1710" s="1">
        <f>DATEVALUE(_xlfn.CONCAT(BBDD_Usiarios_Netflix[[#This Row],[Día Último Pago]],"/",BBDD_Usiarios_Netflix[[#This Row],[Mes Último Pago]],"/",BBDD_Usiarios_Netflix[[#This Row],[Año Último Pago]]))</f>
        <v>45479</v>
      </c>
      <c r="M1710" s="4">
        <f>DATEDIF(BBDD_Usiarios_Netflix[[#This Row],[Fecha Suscripción]],BBDD_Usiarios_Netflix[[#This Row],[Fecha Último Pago]],"M")+1</f>
        <v>12</v>
      </c>
      <c r="N1710" s="4">
        <f>BBDD_Usiarios_Netflix[[#This Row],[Ingresos Mensuales]]*BBDD_Usiarios_Netflix[[#This Row],[Meses contratados]]</f>
        <v>168</v>
      </c>
      <c r="O1710" t="s">
        <v>29</v>
      </c>
      <c r="P1710" t="str">
        <f>IF(BBDD_Usiarios_Netflix[[#This Row],[País]]="","Desconocido",BBDD_Usiarios_Netflix[[#This Row],[País]])</f>
        <v>EEUU</v>
      </c>
      <c r="Q1710">
        <v>42</v>
      </c>
      <c r="R1710" t="s">
        <v>30</v>
      </c>
      <c r="S1710" t="s">
        <v>26</v>
      </c>
      <c r="T1710" t="s">
        <v>27</v>
      </c>
      <c r="U1710">
        <f>IF(IFERROR(VLOOKUP(BBDD_Usiarios_Netflix[[#This Row],[Identificador Usuario]],A1711:$A$5870,1,FALSE),0)&lt;&gt;0,1,0)</f>
        <v>0</v>
      </c>
      <c r="V1710" s="6" t="str">
        <f>IF(BBDD_Usiarios_Netflix[[#This Row],[Duración Plan]]="12 Meses",LEFT(BBDD_Usiarios_Netflix[[#This Row],[Duración Plan]],2),LEFT(BBDD_Usiarios_Netflix[[#This Row],[Duración Plan]],1))</f>
        <v>1</v>
      </c>
      <c r="W17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11" spans="1:23" x14ac:dyDescent="0.25">
      <c r="A1711">
        <v>1710</v>
      </c>
      <c r="B1711" t="s">
        <v>23</v>
      </c>
      <c r="C1711">
        <v>10</v>
      </c>
      <c r="D1711" s="3">
        <v>17</v>
      </c>
      <c r="E1711" s="3">
        <v>7</v>
      </c>
      <c r="F1711">
        <v>23</v>
      </c>
      <c r="G1711" s="1">
        <f>DATEVALUE(_xlfn.CONCAT(BBDD_Usiarios_Netflix[[#This Row],[Día Suscripción]],"/",BBDD_Usiarios_Netflix[[#This Row],[Mes Suscripción]],"/",BBDD_Usiarios_Netflix[[#This Row],[Año Suscripción]]))</f>
        <v>45124</v>
      </c>
      <c r="H1711" s="1">
        <v>7</v>
      </c>
      <c r="I1711" s="1">
        <v>7</v>
      </c>
      <c r="J1711" s="1">
        <v>24</v>
      </c>
      <c r="K1711" s="1" t="str">
        <f>TEXT(BBDD_Usiarios_Netflix[[#This Row],[Fecha Suscripción]],"dddd")</f>
        <v>lunes</v>
      </c>
      <c r="L1711" s="1">
        <f>DATEVALUE(_xlfn.CONCAT(BBDD_Usiarios_Netflix[[#This Row],[Día Último Pago]],"/",BBDD_Usiarios_Netflix[[#This Row],[Mes Último Pago]],"/",BBDD_Usiarios_Netflix[[#This Row],[Año Último Pago]]))</f>
        <v>45480</v>
      </c>
      <c r="M1711" s="4">
        <f>DATEDIF(BBDD_Usiarios_Netflix[[#This Row],[Fecha Suscripción]],BBDD_Usiarios_Netflix[[#This Row],[Fecha Último Pago]],"M")+1</f>
        <v>12</v>
      </c>
      <c r="N1711" s="4">
        <f>BBDD_Usiarios_Netflix[[#This Row],[Ingresos Mensuales]]*BBDD_Usiarios_Netflix[[#This Row],[Meses contratados]]</f>
        <v>120</v>
      </c>
      <c r="O1711" t="s">
        <v>42</v>
      </c>
      <c r="P1711" t="str">
        <f>IF(BBDD_Usiarios_Netflix[[#This Row],[País]]="","Desconocido",BBDD_Usiarios_Netflix[[#This Row],[País]])</f>
        <v>Reino Unido</v>
      </c>
      <c r="Q1711">
        <v>30</v>
      </c>
      <c r="R1711" t="s">
        <v>25</v>
      </c>
      <c r="S1711" t="s">
        <v>34</v>
      </c>
      <c r="T1711" t="s">
        <v>27</v>
      </c>
      <c r="U1711">
        <f>IF(IFERROR(VLOOKUP(BBDD_Usiarios_Netflix[[#This Row],[Identificador Usuario]],A1712:$A$5870,1,FALSE),0)&lt;&gt;0,1,0)</f>
        <v>0</v>
      </c>
      <c r="V1711" s="6" t="str">
        <f>IF(BBDD_Usiarios_Netflix[[#This Row],[Duración Plan]]="12 Meses",LEFT(BBDD_Usiarios_Netflix[[#This Row],[Duración Plan]],2),LEFT(BBDD_Usiarios_Netflix[[#This Row],[Duración Plan]],1))</f>
        <v>1</v>
      </c>
      <c r="W17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12" spans="1:23" x14ac:dyDescent="0.25">
      <c r="A1712">
        <v>1711</v>
      </c>
      <c r="B1712" t="s">
        <v>28</v>
      </c>
      <c r="C1712">
        <v>14</v>
      </c>
      <c r="D1712" s="3">
        <v>16</v>
      </c>
      <c r="E1712" s="3">
        <v>7</v>
      </c>
      <c r="F1712">
        <v>23</v>
      </c>
      <c r="G1712" s="1">
        <f>DATEVALUE(_xlfn.CONCAT(BBDD_Usiarios_Netflix[[#This Row],[Día Suscripción]],"/",BBDD_Usiarios_Netflix[[#This Row],[Mes Suscripción]],"/",BBDD_Usiarios_Netflix[[#This Row],[Año Suscripción]]))</f>
        <v>45123</v>
      </c>
      <c r="H1712" s="1">
        <v>6</v>
      </c>
      <c r="I1712" s="1">
        <v>7</v>
      </c>
      <c r="J1712" s="1">
        <v>24</v>
      </c>
      <c r="K1712" s="1" t="str">
        <f>TEXT(BBDD_Usiarios_Netflix[[#This Row],[Fecha Suscripción]],"dddd")</f>
        <v>domingo</v>
      </c>
      <c r="L1712" s="1">
        <f>DATEVALUE(_xlfn.CONCAT(BBDD_Usiarios_Netflix[[#This Row],[Día Último Pago]],"/",BBDD_Usiarios_Netflix[[#This Row],[Mes Último Pago]],"/",BBDD_Usiarios_Netflix[[#This Row],[Año Último Pago]]))</f>
        <v>45479</v>
      </c>
      <c r="M1712" s="4">
        <f>DATEDIF(BBDD_Usiarios_Netflix[[#This Row],[Fecha Suscripción]],BBDD_Usiarios_Netflix[[#This Row],[Fecha Último Pago]],"M")+1</f>
        <v>12</v>
      </c>
      <c r="N1712" s="4">
        <f>BBDD_Usiarios_Netflix[[#This Row],[Ingresos Mensuales]]*BBDD_Usiarios_Netflix[[#This Row],[Meses contratados]]</f>
        <v>168</v>
      </c>
      <c r="O1712" t="s">
        <v>29</v>
      </c>
      <c r="P1712" t="str">
        <f>IF(BBDD_Usiarios_Netflix[[#This Row],[País]]="","Desconocido",BBDD_Usiarios_Netflix[[#This Row],[País]])</f>
        <v>EEUU</v>
      </c>
      <c r="Q1712">
        <v>34</v>
      </c>
      <c r="R1712" t="s">
        <v>25</v>
      </c>
      <c r="S1712" t="s">
        <v>26</v>
      </c>
      <c r="T1712" t="s">
        <v>27</v>
      </c>
      <c r="U1712">
        <f>IF(IFERROR(VLOOKUP(BBDD_Usiarios_Netflix[[#This Row],[Identificador Usuario]],A1713:$A$5870,1,FALSE),0)&lt;&gt;0,1,0)</f>
        <v>0</v>
      </c>
      <c r="V1712" s="6" t="str">
        <f>IF(BBDD_Usiarios_Netflix[[#This Row],[Duración Plan]]="12 Meses",LEFT(BBDD_Usiarios_Netflix[[#This Row],[Duración Plan]],2),LEFT(BBDD_Usiarios_Netflix[[#This Row],[Duración Plan]],1))</f>
        <v>1</v>
      </c>
      <c r="W17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13" spans="1:23" x14ac:dyDescent="0.25">
      <c r="A1713">
        <v>1712</v>
      </c>
      <c r="B1713" t="s">
        <v>23</v>
      </c>
      <c r="C1713">
        <v>10</v>
      </c>
      <c r="D1713" s="3">
        <v>17</v>
      </c>
      <c r="E1713" s="3">
        <v>7</v>
      </c>
      <c r="F1713">
        <v>23</v>
      </c>
      <c r="G1713" s="1">
        <f>DATEVALUE(_xlfn.CONCAT(BBDD_Usiarios_Netflix[[#This Row],[Día Suscripción]],"/",BBDD_Usiarios_Netflix[[#This Row],[Mes Suscripción]],"/",BBDD_Usiarios_Netflix[[#This Row],[Año Suscripción]]))</f>
        <v>45124</v>
      </c>
      <c r="H1713" s="1">
        <v>9</v>
      </c>
      <c r="I1713" s="1">
        <v>7</v>
      </c>
      <c r="J1713" s="1">
        <v>24</v>
      </c>
      <c r="K1713" s="1" t="str">
        <f>TEXT(BBDD_Usiarios_Netflix[[#This Row],[Fecha Suscripción]],"dddd")</f>
        <v>lunes</v>
      </c>
      <c r="L1713" s="1">
        <f>DATEVALUE(_xlfn.CONCAT(BBDD_Usiarios_Netflix[[#This Row],[Día Último Pago]],"/",BBDD_Usiarios_Netflix[[#This Row],[Mes Último Pago]],"/",BBDD_Usiarios_Netflix[[#This Row],[Año Último Pago]]))</f>
        <v>45482</v>
      </c>
      <c r="M1713" s="4">
        <f>DATEDIF(BBDD_Usiarios_Netflix[[#This Row],[Fecha Suscripción]],BBDD_Usiarios_Netflix[[#This Row],[Fecha Último Pago]],"M")+1</f>
        <v>12</v>
      </c>
      <c r="N1713" s="4">
        <f>BBDD_Usiarios_Netflix[[#This Row],[Ingresos Mensuales]]*BBDD_Usiarios_Netflix[[#This Row],[Meses contratados]]</f>
        <v>120</v>
      </c>
      <c r="O1713" t="s">
        <v>33</v>
      </c>
      <c r="P1713" t="str">
        <f>IF(BBDD_Usiarios_Netflix[[#This Row],[País]]="","Desconocido",BBDD_Usiarios_Netflix[[#This Row],[País]])</f>
        <v>Francia</v>
      </c>
      <c r="Q1713">
        <v>35</v>
      </c>
      <c r="R1713" t="s">
        <v>25</v>
      </c>
      <c r="S1713" t="s">
        <v>26</v>
      </c>
      <c r="T1713" t="s">
        <v>27</v>
      </c>
      <c r="U1713">
        <f>IF(IFERROR(VLOOKUP(BBDD_Usiarios_Netflix[[#This Row],[Identificador Usuario]],A1714:$A$5870,1,FALSE),0)&lt;&gt;0,1,0)</f>
        <v>0</v>
      </c>
      <c r="V1713" s="6" t="str">
        <f>IF(BBDD_Usiarios_Netflix[[#This Row],[Duración Plan]]="12 Meses",LEFT(BBDD_Usiarios_Netflix[[#This Row],[Duración Plan]],2),LEFT(BBDD_Usiarios_Netflix[[#This Row],[Duración Plan]],1))</f>
        <v>1</v>
      </c>
      <c r="W17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14" spans="1:23" x14ac:dyDescent="0.25">
      <c r="A1714">
        <v>1713</v>
      </c>
      <c r="B1714" t="s">
        <v>32</v>
      </c>
      <c r="C1714">
        <v>12</v>
      </c>
      <c r="D1714" s="3">
        <v>16</v>
      </c>
      <c r="E1714" s="3">
        <v>7</v>
      </c>
      <c r="F1714">
        <v>23</v>
      </c>
      <c r="G1714" s="1">
        <f>DATEVALUE(_xlfn.CONCAT(BBDD_Usiarios_Netflix[[#This Row],[Día Suscripción]],"/",BBDD_Usiarios_Netflix[[#This Row],[Mes Suscripción]],"/",BBDD_Usiarios_Netflix[[#This Row],[Año Suscripción]]))</f>
        <v>45123</v>
      </c>
      <c r="H1714" s="1">
        <v>6</v>
      </c>
      <c r="I1714" s="1">
        <v>7</v>
      </c>
      <c r="J1714" s="1">
        <v>24</v>
      </c>
      <c r="K1714" s="1" t="str">
        <f>TEXT(BBDD_Usiarios_Netflix[[#This Row],[Fecha Suscripción]],"dddd")</f>
        <v>domingo</v>
      </c>
      <c r="L1714" s="1">
        <f>DATEVALUE(_xlfn.CONCAT(BBDD_Usiarios_Netflix[[#This Row],[Día Último Pago]],"/",BBDD_Usiarios_Netflix[[#This Row],[Mes Último Pago]],"/",BBDD_Usiarios_Netflix[[#This Row],[Año Último Pago]]))</f>
        <v>45479</v>
      </c>
      <c r="M1714" s="4">
        <f>DATEDIF(BBDD_Usiarios_Netflix[[#This Row],[Fecha Suscripción]],BBDD_Usiarios_Netflix[[#This Row],[Fecha Último Pago]],"M")+1</f>
        <v>12</v>
      </c>
      <c r="N1714" s="4">
        <f>BBDD_Usiarios_Netflix[[#This Row],[Ingresos Mensuales]]*BBDD_Usiarios_Netflix[[#This Row],[Meses contratados]]</f>
        <v>144</v>
      </c>
      <c r="O1714" t="s">
        <v>33</v>
      </c>
      <c r="P1714" t="str">
        <f>IF(BBDD_Usiarios_Netflix[[#This Row],[País]]="","Desconocido",BBDD_Usiarios_Netflix[[#This Row],[País]])</f>
        <v>Francia</v>
      </c>
      <c r="Q1714">
        <v>31</v>
      </c>
      <c r="R1714" t="s">
        <v>30</v>
      </c>
      <c r="S1714" t="s">
        <v>31</v>
      </c>
      <c r="T1714" t="s">
        <v>38</v>
      </c>
      <c r="U1714">
        <f>IF(IFERROR(VLOOKUP(BBDD_Usiarios_Netflix[[#This Row],[Identificador Usuario]],A1715:$A$5870,1,FALSE),0)&lt;&gt;0,1,0)</f>
        <v>0</v>
      </c>
      <c r="V1714" s="6" t="str">
        <f>IF(BBDD_Usiarios_Netflix[[#This Row],[Duración Plan]]="12 Meses",LEFT(BBDD_Usiarios_Netflix[[#This Row],[Duración Plan]],2),LEFT(BBDD_Usiarios_Netflix[[#This Row],[Duración Plan]],1))</f>
        <v>3</v>
      </c>
      <c r="W17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15" spans="1:23" x14ac:dyDescent="0.25">
      <c r="A1715">
        <v>1714</v>
      </c>
      <c r="B1715" t="s">
        <v>32</v>
      </c>
      <c r="C1715">
        <v>12</v>
      </c>
      <c r="D1715" s="3">
        <v>16</v>
      </c>
      <c r="E1715" s="3">
        <v>7</v>
      </c>
      <c r="F1715">
        <v>23</v>
      </c>
      <c r="G1715" s="1">
        <f>DATEVALUE(_xlfn.CONCAT(BBDD_Usiarios_Netflix[[#This Row],[Día Suscripción]],"/",BBDD_Usiarios_Netflix[[#This Row],[Mes Suscripción]],"/",BBDD_Usiarios_Netflix[[#This Row],[Año Suscripción]]))</f>
        <v>45123</v>
      </c>
      <c r="H1715" s="1">
        <v>7</v>
      </c>
      <c r="I1715" s="1">
        <v>7</v>
      </c>
      <c r="J1715" s="1">
        <v>24</v>
      </c>
      <c r="K1715" s="1" t="str">
        <f>TEXT(BBDD_Usiarios_Netflix[[#This Row],[Fecha Suscripción]],"dddd")</f>
        <v>domingo</v>
      </c>
      <c r="L1715" s="1">
        <f>DATEVALUE(_xlfn.CONCAT(BBDD_Usiarios_Netflix[[#This Row],[Día Último Pago]],"/",BBDD_Usiarios_Netflix[[#This Row],[Mes Último Pago]],"/",BBDD_Usiarios_Netflix[[#This Row],[Año Último Pago]]))</f>
        <v>45480</v>
      </c>
      <c r="M1715" s="4">
        <f>DATEDIF(BBDD_Usiarios_Netflix[[#This Row],[Fecha Suscripción]],BBDD_Usiarios_Netflix[[#This Row],[Fecha Último Pago]],"M")+1</f>
        <v>12</v>
      </c>
      <c r="N1715" s="4">
        <f>BBDD_Usiarios_Netflix[[#This Row],[Ingresos Mensuales]]*BBDD_Usiarios_Netflix[[#This Row],[Meses contratados]]</f>
        <v>144</v>
      </c>
      <c r="O1715" t="s">
        <v>39</v>
      </c>
      <c r="P1715" t="str">
        <f>IF(BBDD_Usiarios_Netflix[[#This Row],[País]]="","Desconocido",BBDD_Usiarios_Netflix[[#This Row],[País]])</f>
        <v>Canadá</v>
      </c>
      <c r="Q1715">
        <v>36</v>
      </c>
      <c r="R1715" t="s">
        <v>30</v>
      </c>
      <c r="S1715" t="s">
        <v>31</v>
      </c>
      <c r="T1715" t="s">
        <v>27</v>
      </c>
      <c r="U1715">
        <f>IF(IFERROR(VLOOKUP(BBDD_Usiarios_Netflix[[#This Row],[Identificador Usuario]],A1716:$A$5870,1,FALSE),0)&lt;&gt;0,1,0)</f>
        <v>0</v>
      </c>
      <c r="V1715" s="6" t="str">
        <f>IF(BBDD_Usiarios_Netflix[[#This Row],[Duración Plan]]="12 Meses",LEFT(BBDD_Usiarios_Netflix[[#This Row],[Duración Plan]],2),LEFT(BBDD_Usiarios_Netflix[[#This Row],[Duración Plan]],1))</f>
        <v>1</v>
      </c>
      <c r="W17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16" spans="1:23" x14ac:dyDescent="0.25">
      <c r="A1716">
        <v>1715</v>
      </c>
      <c r="B1716" t="s">
        <v>23</v>
      </c>
      <c r="C1716">
        <v>10</v>
      </c>
      <c r="D1716" s="3">
        <v>12</v>
      </c>
      <c r="E1716" s="3">
        <v>7</v>
      </c>
      <c r="F1716">
        <v>23</v>
      </c>
      <c r="G1716" s="1">
        <f>DATEVALUE(_xlfn.CONCAT(BBDD_Usiarios_Netflix[[#This Row],[Día Suscripción]],"/",BBDD_Usiarios_Netflix[[#This Row],[Mes Suscripción]],"/",BBDD_Usiarios_Netflix[[#This Row],[Año Suscripción]]))</f>
        <v>45119</v>
      </c>
      <c r="H1716" s="1">
        <v>6</v>
      </c>
      <c r="I1716" s="1">
        <v>7</v>
      </c>
      <c r="J1716" s="1">
        <v>24</v>
      </c>
      <c r="K1716" s="1" t="str">
        <f>TEXT(BBDD_Usiarios_Netflix[[#This Row],[Fecha Suscripción]],"dddd")</f>
        <v>miércoles</v>
      </c>
      <c r="L1716" s="1">
        <f>DATEVALUE(_xlfn.CONCAT(BBDD_Usiarios_Netflix[[#This Row],[Día Último Pago]],"/",BBDD_Usiarios_Netflix[[#This Row],[Mes Último Pago]],"/",BBDD_Usiarios_Netflix[[#This Row],[Año Último Pago]]))</f>
        <v>45479</v>
      </c>
      <c r="M1716" s="4">
        <f>DATEDIF(BBDD_Usiarios_Netflix[[#This Row],[Fecha Suscripción]],BBDD_Usiarios_Netflix[[#This Row],[Fecha Último Pago]],"M")+1</f>
        <v>12</v>
      </c>
      <c r="N1716" s="4">
        <f>BBDD_Usiarios_Netflix[[#This Row],[Ingresos Mensuales]]*BBDD_Usiarios_Netflix[[#This Row],[Meses contratados]]</f>
        <v>120</v>
      </c>
      <c r="O1716" t="s">
        <v>24</v>
      </c>
      <c r="P1716" t="str">
        <f>IF(BBDD_Usiarios_Netflix[[#This Row],[País]]="","Desconocido",BBDD_Usiarios_Netflix[[#This Row],[País]])</f>
        <v>Australia</v>
      </c>
      <c r="Q1716">
        <v>31</v>
      </c>
      <c r="R1716" t="s">
        <v>30</v>
      </c>
      <c r="S1716" t="s">
        <v>36</v>
      </c>
      <c r="T1716" t="s">
        <v>41</v>
      </c>
      <c r="U1716">
        <f>IF(IFERROR(VLOOKUP(BBDD_Usiarios_Netflix[[#This Row],[Identificador Usuario]],A1717:$A$5870,1,FALSE),0)&lt;&gt;0,1,0)</f>
        <v>0</v>
      </c>
      <c r="V1716" s="6" t="str">
        <f>IF(BBDD_Usiarios_Netflix[[#This Row],[Duración Plan]]="12 Meses",LEFT(BBDD_Usiarios_Netflix[[#This Row],[Duración Plan]],2),LEFT(BBDD_Usiarios_Netflix[[#This Row],[Duración Plan]],1))</f>
        <v>12</v>
      </c>
      <c r="W17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17" spans="1:23" x14ac:dyDescent="0.25">
      <c r="A1717">
        <v>1716</v>
      </c>
      <c r="B1717" t="s">
        <v>28</v>
      </c>
      <c r="C1717">
        <v>14</v>
      </c>
      <c r="D1717" s="3">
        <v>10</v>
      </c>
      <c r="E1717" s="3">
        <v>7</v>
      </c>
      <c r="F1717">
        <v>23</v>
      </c>
      <c r="G1717" s="1">
        <f>DATEVALUE(_xlfn.CONCAT(BBDD_Usiarios_Netflix[[#This Row],[Día Suscripción]],"/",BBDD_Usiarios_Netflix[[#This Row],[Mes Suscripción]],"/",BBDD_Usiarios_Netflix[[#This Row],[Año Suscripción]]))</f>
        <v>45117</v>
      </c>
      <c r="H1717" s="1">
        <v>9</v>
      </c>
      <c r="I1717" s="1">
        <v>7</v>
      </c>
      <c r="J1717" s="1">
        <v>24</v>
      </c>
      <c r="K1717" s="1" t="str">
        <f>TEXT(BBDD_Usiarios_Netflix[[#This Row],[Fecha Suscripción]],"dddd")</f>
        <v>lunes</v>
      </c>
      <c r="L1717" s="1">
        <f>DATEVALUE(_xlfn.CONCAT(BBDD_Usiarios_Netflix[[#This Row],[Día Último Pago]],"/",BBDD_Usiarios_Netflix[[#This Row],[Mes Último Pago]],"/",BBDD_Usiarios_Netflix[[#This Row],[Año Último Pago]]))</f>
        <v>45482</v>
      </c>
      <c r="M1717" s="4">
        <f>DATEDIF(BBDD_Usiarios_Netflix[[#This Row],[Fecha Suscripción]],BBDD_Usiarios_Netflix[[#This Row],[Fecha Último Pago]],"M")+1</f>
        <v>12</v>
      </c>
      <c r="N1717" s="4">
        <f>BBDD_Usiarios_Netflix[[#This Row],[Ingresos Mensuales]]*BBDD_Usiarios_Netflix[[#This Row],[Meses contratados]]</f>
        <v>168</v>
      </c>
      <c r="O1717" t="s">
        <v>42</v>
      </c>
      <c r="P1717" t="str">
        <f>IF(BBDD_Usiarios_Netflix[[#This Row],[País]]="","Desconocido",BBDD_Usiarios_Netflix[[#This Row],[País]])</f>
        <v>Reino Unido</v>
      </c>
      <c r="Q1717">
        <v>32</v>
      </c>
      <c r="R1717" t="s">
        <v>25</v>
      </c>
      <c r="S1717" t="s">
        <v>34</v>
      </c>
      <c r="T1717" t="s">
        <v>35</v>
      </c>
      <c r="U1717">
        <f>IF(IFERROR(VLOOKUP(BBDD_Usiarios_Netflix[[#This Row],[Identificador Usuario]],A1718:$A$5870,1,FALSE),0)&lt;&gt;0,1,0)</f>
        <v>0</v>
      </c>
      <c r="V1717" s="6" t="str">
        <f>IF(BBDD_Usiarios_Netflix[[#This Row],[Duración Plan]]="12 Meses",LEFT(BBDD_Usiarios_Netflix[[#This Row],[Duración Plan]],2),LEFT(BBDD_Usiarios_Netflix[[#This Row],[Duración Plan]],1))</f>
        <v>6</v>
      </c>
      <c r="W17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18" spans="1:23" x14ac:dyDescent="0.25">
      <c r="A1718">
        <v>1717</v>
      </c>
      <c r="B1718" t="s">
        <v>23</v>
      </c>
      <c r="C1718">
        <v>10</v>
      </c>
      <c r="D1718" s="3">
        <v>8</v>
      </c>
      <c r="E1718" s="3">
        <v>7</v>
      </c>
      <c r="F1718">
        <v>23</v>
      </c>
      <c r="G1718" s="1">
        <f>DATEVALUE(_xlfn.CONCAT(BBDD_Usiarios_Netflix[[#This Row],[Día Suscripción]],"/",BBDD_Usiarios_Netflix[[#This Row],[Mes Suscripción]],"/",BBDD_Usiarios_Netflix[[#This Row],[Año Suscripción]]))</f>
        <v>45115</v>
      </c>
      <c r="H1718" s="1">
        <v>7</v>
      </c>
      <c r="I1718" s="1">
        <v>7</v>
      </c>
      <c r="J1718" s="1">
        <v>24</v>
      </c>
      <c r="K1718" s="1" t="str">
        <f>TEXT(BBDD_Usiarios_Netflix[[#This Row],[Fecha Suscripción]],"dddd")</f>
        <v>sábado</v>
      </c>
      <c r="L1718" s="1">
        <f>DATEVALUE(_xlfn.CONCAT(BBDD_Usiarios_Netflix[[#This Row],[Día Último Pago]],"/",BBDD_Usiarios_Netflix[[#This Row],[Mes Último Pago]],"/",BBDD_Usiarios_Netflix[[#This Row],[Año Último Pago]]))</f>
        <v>45480</v>
      </c>
      <c r="M1718" s="4">
        <f>DATEDIF(BBDD_Usiarios_Netflix[[#This Row],[Fecha Suscripción]],BBDD_Usiarios_Netflix[[#This Row],[Fecha Último Pago]],"M")+1</f>
        <v>12</v>
      </c>
      <c r="N1718" s="4">
        <f>BBDD_Usiarios_Netflix[[#This Row],[Ingresos Mensuales]]*BBDD_Usiarios_Netflix[[#This Row],[Meses contratados]]</f>
        <v>120</v>
      </c>
      <c r="O1718" t="s">
        <v>29</v>
      </c>
      <c r="P1718" t="str">
        <f>IF(BBDD_Usiarios_Netflix[[#This Row],[País]]="","Desconocido",BBDD_Usiarios_Netflix[[#This Row],[País]])</f>
        <v>EEUU</v>
      </c>
      <c r="Q1718">
        <v>46</v>
      </c>
      <c r="R1718" t="s">
        <v>30</v>
      </c>
      <c r="S1718" t="s">
        <v>26</v>
      </c>
      <c r="T1718" t="s">
        <v>27</v>
      </c>
      <c r="U1718">
        <f>IF(IFERROR(VLOOKUP(BBDD_Usiarios_Netflix[[#This Row],[Identificador Usuario]],A1719:$A$5870,1,FALSE),0)&lt;&gt;0,1,0)</f>
        <v>0</v>
      </c>
      <c r="V1718" s="6" t="str">
        <f>IF(BBDD_Usiarios_Netflix[[#This Row],[Duración Plan]]="12 Meses",LEFT(BBDD_Usiarios_Netflix[[#This Row],[Duración Plan]],2),LEFT(BBDD_Usiarios_Netflix[[#This Row],[Duración Plan]],1))</f>
        <v>1</v>
      </c>
      <c r="W17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19" spans="1:23" x14ac:dyDescent="0.25">
      <c r="A1719">
        <v>1718</v>
      </c>
      <c r="B1719" t="s">
        <v>32</v>
      </c>
      <c r="C1719">
        <v>12</v>
      </c>
      <c r="D1719" s="3">
        <v>29</v>
      </c>
      <c r="E1719" s="3">
        <v>6</v>
      </c>
      <c r="F1719">
        <v>23</v>
      </c>
      <c r="G1719" s="1">
        <f>DATEVALUE(_xlfn.CONCAT(BBDD_Usiarios_Netflix[[#This Row],[Día Suscripción]],"/",BBDD_Usiarios_Netflix[[#This Row],[Mes Suscripción]],"/",BBDD_Usiarios_Netflix[[#This Row],[Año Suscripción]]))</f>
        <v>45106</v>
      </c>
      <c r="H1719" s="1">
        <v>7</v>
      </c>
      <c r="I1719" s="1">
        <v>7</v>
      </c>
      <c r="J1719" s="1">
        <v>24</v>
      </c>
      <c r="K1719" s="1" t="str">
        <f>TEXT(BBDD_Usiarios_Netflix[[#This Row],[Fecha Suscripción]],"dddd")</f>
        <v>jueves</v>
      </c>
      <c r="L1719" s="1">
        <f>DATEVALUE(_xlfn.CONCAT(BBDD_Usiarios_Netflix[[#This Row],[Día Último Pago]],"/",BBDD_Usiarios_Netflix[[#This Row],[Mes Último Pago]],"/",BBDD_Usiarios_Netflix[[#This Row],[Año Último Pago]]))</f>
        <v>45480</v>
      </c>
      <c r="M1719" s="4">
        <f>DATEDIF(BBDD_Usiarios_Netflix[[#This Row],[Fecha Suscripción]],BBDD_Usiarios_Netflix[[#This Row],[Fecha Último Pago]],"M")+1</f>
        <v>13</v>
      </c>
      <c r="N1719" s="4">
        <f>BBDD_Usiarios_Netflix[[#This Row],[Ingresos Mensuales]]*BBDD_Usiarios_Netflix[[#This Row],[Meses contratados]]</f>
        <v>156</v>
      </c>
      <c r="O1719" t="s">
        <v>24</v>
      </c>
      <c r="P1719" t="str">
        <f>IF(BBDD_Usiarios_Netflix[[#This Row],[País]]="","Desconocido",BBDD_Usiarios_Netflix[[#This Row],[País]])</f>
        <v>Australia</v>
      </c>
      <c r="Q1719">
        <v>30</v>
      </c>
      <c r="R1719" t="s">
        <v>25</v>
      </c>
      <c r="S1719" t="s">
        <v>31</v>
      </c>
      <c r="T1719" t="s">
        <v>27</v>
      </c>
      <c r="U1719">
        <f>IF(IFERROR(VLOOKUP(BBDD_Usiarios_Netflix[[#This Row],[Identificador Usuario]],A1720:$A$5870,1,FALSE),0)&lt;&gt;0,1,0)</f>
        <v>0</v>
      </c>
      <c r="V1719" s="6" t="str">
        <f>IF(BBDD_Usiarios_Netflix[[#This Row],[Duración Plan]]="12 Meses",LEFT(BBDD_Usiarios_Netflix[[#This Row],[Duración Plan]],2),LEFT(BBDD_Usiarios_Netflix[[#This Row],[Duración Plan]],1))</f>
        <v>1</v>
      </c>
      <c r="W17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0" spans="1:23" x14ac:dyDescent="0.25">
      <c r="A1720">
        <v>1719</v>
      </c>
      <c r="B1720" t="s">
        <v>28</v>
      </c>
      <c r="C1720">
        <v>14</v>
      </c>
      <c r="D1720" s="3">
        <v>29</v>
      </c>
      <c r="E1720" s="3">
        <v>6</v>
      </c>
      <c r="F1720">
        <v>23</v>
      </c>
      <c r="G1720" s="1">
        <f>DATEVALUE(_xlfn.CONCAT(BBDD_Usiarios_Netflix[[#This Row],[Día Suscripción]],"/",BBDD_Usiarios_Netflix[[#This Row],[Mes Suscripción]],"/",BBDD_Usiarios_Netflix[[#This Row],[Año Suscripción]]))</f>
        <v>45106</v>
      </c>
      <c r="H1720" s="1">
        <v>6</v>
      </c>
      <c r="I1720" s="1">
        <v>7</v>
      </c>
      <c r="J1720" s="1">
        <v>24</v>
      </c>
      <c r="K1720" s="1" t="str">
        <f>TEXT(BBDD_Usiarios_Netflix[[#This Row],[Fecha Suscripción]],"dddd")</f>
        <v>jueves</v>
      </c>
      <c r="L1720" s="1">
        <f>DATEVALUE(_xlfn.CONCAT(BBDD_Usiarios_Netflix[[#This Row],[Día Último Pago]],"/",BBDD_Usiarios_Netflix[[#This Row],[Mes Último Pago]],"/",BBDD_Usiarios_Netflix[[#This Row],[Año Último Pago]]))</f>
        <v>45479</v>
      </c>
      <c r="M1720" s="4">
        <f>DATEDIF(BBDD_Usiarios_Netflix[[#This Row],[Fecha Suscripción]],BBDD_Usiarios_Netflix[[#This Row],[Fecha Último Pago]],"M")+1</f>
        <v>13</v>
      </c>
      <c r="N1720" s="4">
        <f>BBDD_Usiarios_Netflix[[#This Row],[Ingresos Mensuales]]*BBDD_Usiarios_Netflix[[#This Row],[Meses contratados]]</f>
        <v>182</v>
      </c>
      <c r="O1720" t="s">
        <v>33</v>
      </c>
      <c r="P1720" t="str">
        <f>IF(BBDD_Usiarios_Netflix[[#This Row],[País]]="","Desconocido",BBDD_Usiarios_Netflix[[#This Row],[País]])</f>
        <v>Francia</v>
      </c>
      <c r="Q1720">
        <v>46</v>
      </c>
      <c r="R1720" t="s">
        <v>25</v>
      </c>
      <c r="S1720" t="s">
        <v>36</v>
      </c>
      <c r="T1720" t="s">
        <v>27</v>
      </c>
      <c r="U1720">
        <f>IF(IFERROR(VLOOKUP(BBDD_Usiarios_Netflix[[#This Row],[Identificador Usuario]],A1721:$A$5870,1,FALSE),0)&lt;&gt;0,1,0)</f>
        <v>0</v>
      </c>
      <c r="V1720" s="6" t="str">
        <f>IF(BBDD_Usiarios_Netflix[[#This Row],[Duración Plan]]="12 Meses",LEFT(BBDD_Usiarios_Netflix[[#This Row],[Duración Plan]],2),LEFT(BBDD_Usiarios_Netflix[[#This Row],[Duración Plan]],1))</f>
        <v>1</v>
      </c>
      <c r="W17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1" spans="1:23" x14ac:dyDescent="0.25">
      <c r="A1721">
        <v>1720</v>
      </c>
      <c r="B1721" t="s">
        <v>23</v>
      </c>
      <c r="C1721">
        <v>10</v>
      </c>
      <c r="D1721" s="3">
        <v>28</v>
      </c>
      <c r="E1721" s="3">
        <v>6</v>
      </c>
      <c r="F1721">
        <v>23</v>
      </c>
      <c r="G1721" s="1">
        <f>DATEVALUE(_xlfn.CONCAT(BBDD_Usiarios_Netflix[[#This Row],[Día Suscripción]],"/",BBDD_Usiarios_Netflix[[#This Row],[Mes Suscripción]],"/",BBDD_Usiarios_Netflix[[#This Row],[Año Suscripción]]))</f>
        <v>45105</v>
      </c>
      <c r="H1721" s="1">
        <v>8</v>
      </c>
      <c r="I1721" s="1">
        <v>7</v>
      </c>
      <c r="J1721" s="1">
        <v>24</v>
      </c>
      <c r="K1721" s="1" t="str">
        <f>TEXT(BBDD_Usiarios_Netflix[[#This Row],[Fecha Suscripción]],"dddd")</f>
        <v>miércoles</v>
      </c>
      <c r="L1721" s="1">
        <f>DATEVALUE(_xlfn.CONCAT(BBDD_Usiarios_Netflix[[#This Row],[Día Último Pago]],"/",BBDD_Usiarios_Netflix[[#This Row],[Mes Último Pago]],"/",BBDD_Usiarios_Netflix[[#This Row],[Año Último Pago]]))</f>
        <v>45481</v>
      </c>
      <c r="M1721" s="4">
        <f>DATEDIF(BBDD_Usiarios_Netflix[[#This Row],[Fecha Suscripción]],BBDD_Usiarios_Netflix[[#This Row],[Fecha Último Pago]],"M")+1</f>
        <v>13</v>
      </c>
      <c r="N1721" s="4">
        <f>BBDD_Usiarios_Netflix[[#This Row],[Ingresos Mensuales]]*BBDD_Usiarios_Netflix[[#This Row],[Meses contratados]]</f>
        <v>130</v>
      </c>
      <c r="O1721" t="s">
        <v>39</v>
      </c>
      <c r="P1721" t="str">
        <f>IF(BBDD_Usiarios_Netflix[[#This Row],[País]]="","Desconocido",BBDD_Usiarios_Netflix[[#This Row],[País]])</f>
        <v>Canadá</v>
      </c>
      <c r="Q1721">
        <v>44</v>
      </c>
      <c r="R1721" t="s">
        <v>30</v>
      </c>
      <c r="S1721" t="s">
        <v>31</v>
      </c>
      <c r="T1721" t="s">
        <v>41</v>
      </c>
      <c r="U1721">
        <f>IF(IFERROR(VLOOKUP(BBDD_Usiarios_Netflix[[#This Row],[Identificador Usuario]],A1722:$A$5870,1,FALSE),0)&lt;&gt;0,1,0)</f>
        <v>0</v>
      </c>
      <c r="V1721" s="6" t="str">
        <f>IF(BBDD_Usiarios_Netflix[[#This Row],[Duración Plan]]="12 Meses",LEFT(BBDD_Usiarios_Netflix[[#This Row],[Duración Plan]],2),LEFT(BBDD_Usiarios_Netflix[[#This Row],[Duración Plan]],1))</f>
        <v>12</v>
      </c>
      <c r="W17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22" spans="1:23" x14ac:dyDescent="0.25">
      <c r="A1722">
        <v>1721</v>
      </c>
      <c r="B1722" t="s">
        <v>23</v>
      </c>
      <c r="C1722">
        <v>10</v>
      </c>
      <c r="D1722" s="3">
        <v>29</v>
      </c>
      <c r="E1722" s="3">
        <v>6</v>
      </c>
      <c r="F1722">
        <v>23</v>
      </c>
      <c r="G1722" s="1">
        <f>DATEVALUE(_xlfn.CONCAT(BBDD_Usiarios_Netflix[[#This Row],[Día Suscripción]],"/",BBDD_Usiarios_Netflix[[#This Row],[Mes Suscripción]],"/",BBDD_Usiarios_Netflix[[#This Row],[Año Suscripción]]))</f>
        <v>45106</v>
      </c>
      <c r="H1722" s="1">
        <v>6</v>
      </c>
      <c r="I1722" s="1">
        <v>7</v>
      </c>
      <c r="J1722" s="1">
        <v>24</v>
      </c>
      <c r="K1722" s="1" t="str">
        <f>TEXT(BBDD_Usiarios_Netflix[[#This Row],[Fecha Suscripción]],"dddd")</f>
        <v>jueves</v>
      </c>
      <c r="L1722" s="1">
        <f>DATEVALUE(_xlfn.CONCAT(BBDD_Usiarios_Netflix[[#This Row],[Día Último Pago]],"/",BBDD_Usiarios_Netflix[[#This Row],[Mes Último Pago]],"/",BBDD_Usiarios_Netflix[[#This Row],[Año Último Pago]]))</f>
        <v>45479</v>
      </c>
      <c r="M1722" s="4">
        <f>DATEDIF(BBDD_Usiarios_Netflix[[#This Row],[Fecha Suscripción]],BBDD_Usiarios_Netflix[[#This Row],[Fecha Último Pago]],"M")+1</f>
        <v>13</v>
      </c>
      <c r="N1722" s="4">
        <f>BBDD_Usiarios_Netflix[[#This Row],[Ingresos Mensuales]]*BBDD_Usiarios_Netflix[[#This Row],[Meses contratados]]</f>
        <v>130</v>
      </c>
      <c r="O1722" t="s">
        <v>40</v>
      </c>
      <c r="P1722" t="str">
        <f>IF(BBDD_Usiarios_Netflix[[#This Row],[País]]="","Desconocido",BBDD_Usiarios_Netflix[[#This Row],[País]])</f>
        <v>Italia</v>
      </c>
      <c r="Q1722">
        <v>34</v>
      </c>
      <c r="R1722" t="s">
        <v>25</v>
      </c>
      <c r="S1722" t="s">
        <v>31</v>
      </c>
      <c r="T1722" t="s">
        <v>27</v>
      </c>
      <c r="U1722">
        <f>IF(IFERROR(VLOOKUP(BBDD_Usiarios_Netflix[[#This Row],[Identificador Usuario]],A1723:$A$5870,1,FALSE),0)&lt;&gt;0,1,0)</f>
        <v>0</v>
      </c>
      <c r="V1722" s="6" t="str">
        <f>IF(BBDD_Usiarios_Netflix[[#This Row],[Duración Plan]]="12 Meses",LEFT(BBDD_Usiarios_Netflix[[#This Row],[Duración Plan]],2),LEFT(BBDD_Usiarios_Netflix[[#This Row],[Duración Plan]],1))</f>
        <v>1</v>
      </c>
      <c r="W17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3" spans="1:23" x14ac:dyDescent="0.25">
      <c r="A1723">
        <v>1722</v>
      </c>
      <c r="B1723" t="s">
        <v>23</v>
      </c>
      <c r="C1723">
        <v>10</v>
      </c>
      <c r="D1723" s="3">
        <v>1</v>
      </c>
      <c r="E1723" s="3">
        <v>7</v>
      </c>
      <c r="F1723">
        <v>23</v>
      </c>
      <c r="G1723" s="1">
        <f>DATEVALUE(_xlfn.CONCAT(BBDD_Usiarios_Netflix[[#This Row],[Día Suscripción]],"/",BBDD_Usiarios_Netflix[[#This Row],[Mes Suscripción]],"/",BBDD_Usiarios_Netflix[[#This Row],[Año Suscripción]]))</f>
        <v>45108</v>
      </c>
      <c r="H1723" s="1">
        <v>8</v>
      </c>
      <c r="I1723" s="1">
        <v>7</v>
      </c>
      <c r="J1723" s="1">
        <v>24</v>
      </c>
      <c r="K1723" s="1" t="str">
        <f>TEXT(BBDD_Usiarios_Netflix[[#This Row],[Fecha Suscripción]],"dddd")</f>
        <v>sábado</v>
      </c>
      <c r="L1723" s="1">
        <f>DATEVALUE(_xlfn.CONCAT(BBDD_Usiarios_Netflix[[#This Row],[Día Último Pago]],"/",BBDD_Usiarios_Netflix[[#This Row],[Mes Último Pago]],"/",BBDD_Usiarios_Netflix[[#This Row],[Año Último Pago]]))</f>
        <v>45481</v>
      </c>
      <c r="M1723" s="4">
        <f>DATEDIF(BBDD_Usiarios_Netflix[[#This Row],[Fecha Suscripción]],BBDD_Usiarios_Netflix[[#This Row],[Fecha Último Pago]],"M")+1</f>
        <v>13</v>
      </c>
      <c r="N1723" s="4">
        <f>BBDD_Usiarios_Netflix[[#This Row],[Ingresos Mensuales]]*BBDD_Usiarios_Netflix[[#This Row],[Meses contratados]]</f>
        <v>130</v>
      </c>
      <c r="O1723" t="s">
        <v>29</v>
      </c>
      <c r="P1723" t="str">
        <f>IF(BBDD_Usiarios_Netflix[[#This Row],[País]]="","Desconocido",BBDD_Usiarios_Netflix[[#This Row],[País]])</f>
        <v>EEUU</v>
      </c>
      <c r="Q1723">
        <v>31</v>
      </c>
      <c r="R1723" t="s">
        <v>25</v>
      </c>
      <c r="S1723" t="s">
        <v>31</v>
      </c>
      <c r="T1723" t="s">
        <v>38</v>
      </c>
      <c r="U1723">
        <f>IF(IFERROR(VLOOKUP(BBDD_Usiarios_Netflix[[#This Row],[Identificador Usuario]],A1724:$A$5870,1,FALSE),0)&lt;&gt;0,1,0)</f>
        <v>0</v>
      </c>
      <c r="V1723" s="6" t="str">
        <f>IF(BBDD_Usiarios_Netflix[[#This Row],[Duración Plan]]="12 Meses",LEFT(BBDD_Usiarios_Netflix[[#This Row],[Duración Plan]],2),LEFT(BBDD_Usiarios_Netflix[[#This Row],[Duración Plan]],1))</f>
        <v>3</v>
      </c>
      <c r="W17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24" spans="1:23" x14ac:dyDescent="0.25">
      <c r="A1724">
        <v>1723</v>
      </c>
      <c r="B1724" t="s">
        <v>32</v>
      </c>
      <c r="C1724">
        <v>12</v>
      </c>
      <c r="D1724" s="3">
        <v>2</v>
      </c>
      <c r="E1724" s="3">
        <v>7</v>
      </c>
      <c r="F1724">
        <v>23</v>
      </c>
      <c r="G1724" s="1">
        <f>DATEVALUE(_xlfn.CONCAT(BBDD_Usiarios_Netflix[[#This Row],[Día Suscripción]],"/",BBDD_Usiarios_Netflix[[#This Row],[Mes Suscripción]],"/",BBDD_Usiarios_Netflix[[#This Row],[Año Suscripción]]))</f>
        <v>45109</v>
      </c>
      <c r="H1724" s="1">
        <v>6</v>
      </c>
      <c r="I1724" s="1">
        <v>7</v>
      </c>
      <c r="J1724" s="1">
        <v>24</v>
      </c>
      <c r="K1724" s="1" t="str">
        <f>TEXT(BBDD_Usiarios_Netflix[[#This Row],[Fecha Suscripción]],"dddd")</f>
        <v>domingo</v>
      </c>
      <c r="L1724" s="1">
        <f>DATEVALUE(_xlfn.CONCAT(BBDD_Usiarios_Netflix[[#This Row],[Día Último Pago]],"/",BBDD_Usiarios_Netflix[[#This Row],[Mes Último Pago]],"/",BBDD_Usiarios_Netflix[[#This Row],[Año Último Pago]]))</f>
        <v>45479</v>
      </c>
      <c r="M1724" s="4">
        <f>DATEDIF(BBDD_Usiarios_Netflix[[#This Row],[Fecha Suscripción]],BBDD_Usiarios_Netflix[[#This Row],[Fecha Último Pago]],"M")+1</f>
        <v>13</v>
      </c>
      <c r="N1724" s="4">
        <f>BBDD_Usiarios_Netflix[[#This Row],[Ingresos Mensuales]]*BBDD_Usiarios_Netflix[[#This Row],[Meses contratados]]</f>
        <v>156</v>
      </c>
      <c r="O1724" t="s">
        <v>24</v>
      </c>
      <c r="P1724" t="str">
        <f>IF(BBDD_Usiarios_Netflix[[#This Row],[País]]="","Desconocido",BBDD_Usiarios_Netflix[[#This Row],[País]])</f>
        <v>Australia</v>
      </c>
      <c r="Q1724">
        <v>34</v>
      </c>
      <c r="R1724" t="s">
        <v>25</v>
      </c>
      <c r="S1724" t="s">
        <v>34</v>
      </c>
      <c r="T1724" t="s">
        <v>27</v>
      </c>
      <c r="U1724">
        <f>IF(IFERROR(VLOOKUP(BBDD_Usiarios_Netflix[[#This Row],[Identificador Usuario]],A1725:$A$5870,1,FALSE),0)&lt;&gt;0,1,0)</f>
        <v>0</v>
      </c>
      <c r="V1724" s="6" t="str">
        <f>IF(BBDD_Usiarios_Netflix[[#This Row],[Duración Plan]]="12 Meses",LEFT(BBDD_Usiarios_Netflix[[#This Row],[Duración Plan]],2),LEFT(BBDD_Usiarios_Netflix[[#This Row],[Duración Plan]],1))</f>
        <v>1</v>
      </c>
      <c r="W17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5" spans="1:23" x14ac:dyDescent="0.25">
      <c r="A1725">
        <v>1724</v>
      </c>
      <c r="B1725" t="s">
        <v>28</v>
      </c>
      <c r="C1725">
        <v>14</v>
      </c>
      <c r="D1725" s="3">
        <v>4</v>
      </c>
      <c r="E1725" s="3">
        <v>7</v>
      </c>
      <c r="F1725">
        <v>23</v>
      </c>
      <c r="G1725" s="1">
        <f>DATEVALUE(_xlfn.CONCAT(BBDD_Usiarios_Netflix[[#This Row],[Día Suscripción]],"/",BBDD_Usiarios_Netflix[[#This Row],[Mes Suscripción]],"/",BBDD_Usiarios_Netflix[[#This Row],[Año Suscripción]]))</f>
        <v>45111</v>
      </c>
      <c r="H1725" s="1">
        <v>8</v>
      </c>
      <c r="I1725" s="1">
        <v>7</v>
      </c>
      <c r="J1725" s="1">
        <v>24</v>
      </c>
      <c r="K1725" s="1" t="str">
        <f>TEXT(BBDD_Usiarios_Netflix[[#This Row],[Fecha Suscripción]],"dddd")</f>
        <v>martes</v>
      </c>
      <c r="L1725" s="1">
        <f>DATEVALUE(_xlfn.CONCAT(BBDD_Usiarios_Netflix[[#This Row],[Día Último Pago]],"/",BBDD_Usiarios_Netflix[[#This Row],[Mes Último Pago]],"/",BBDD_Usiarios_Netflix[[#This Row],[Año Último Pago]]))</f>
        <v>45481</v>
      </c>
      <c r="M1725" s="4">
        <f>DATEDIF(BBDD_Usiarios_Netflix[[#This Row],[Fecha Suscripción]],BBDD_Usiarios_Netflix[[#This Row],[Fecha Último Pago]],"M")+1</f>
        <v>13</v>
      </c>
      <c r="N1725" s="4">
        <f>BBDD_Usiarios_Netflix[[#This Row],[Ingresos Mensuales]]*BBDD_Usiarios_Netflix[[#This Row],[Meses contratados]]</f>
        <v>182</v>
      </c>
      <c r="O1725" t="s">
        <v>42</v>
      </c>
      <c r="P1725" t="str">
        <f>IF(BBDD_Usiarios_Netflix[[#This Row],[País]]="","Desconocido",BBDD_Usiarios_Netflix[[#This Row],[País]])</f>
        <v>Reino Unido</v>
      </c>
      <c r="Q1725">
        <v>28</v>
      </c>
      <c r="R1725" t="s">
        <v>25</v>
      </c>
      <c r="S1725" t="s">
        <v>36</v>
      </c>
      <c r="T1725" t="s">
        <v>27</v>
      </c>
      <c r="U1725">
        <f>IF(IFERROR(VLOOKUP(BBDD_Usiarios_Netflix[[#This Row],[Identificador Usuario]],A1726:$A$5870,1,FALSE),0)&lt;&gt;0,1,0)</f>
        <v>0</v>
      </c>
      <c r="V1725" s="6" t="str">
        <f>IF(BBDD_Usiarios_Netflix[[#This Row],[Duración Plan]]="12 Meses",LEFT(BBDD_Usiarios_Netflix[[#This Row],[Duración Plan]],2),LEFT(BBDD_Usiarios_Netflix[[#This Row],[Duración Plan]],1))</f>
        <v>1</v>
      </c>
      <c r="W17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6" spans="1:23" x14ac:dyDescent="0.25">
      <c r="A1726">
        <v>1725</v>
      </c>
      <c r="B1726" t="s">
        <v>23</v>
      </c>
      <c r="C1726">
        <v>10</v>
      </c>
      <c r="D1726" s="3">
        <v>8</v>
      </c>
      <c r="E1726" s="3">
        <v>7</v>
      </c>
      <c r="F1726">
        <v>23</v>
      </c>
      <c r="G1726" s="1">
        <f>DATEVALUE(_xlfn.CONCAT(BBDD_Usiarios_Netflix[[#This Row],[Día Suscripción]],"/",BBDD_Usiarios_Netflix[[#This Row],[Mes Suscripción]],"/",BBDD_Usiarios_Netflix[[#This Row],[Año Suscripción]]))</f>
        <v>45115</v>
      </c>
      <c r="H1726" s="1">
        <v>7</v>
      </c>
      <c r="I1726" s="1">
        <v>7</v>
      </c>
      <c r="J1726" s="1">
        <v>24</v>
      </c>
      <c r="K1726" s="1" t="str">
        <f>TEXT(BBDD_Usiarios_Netflix[[#This Row],[Fecha Suscripción]],"dddd")</f>
        <v>sábado</v>
      </c>
      <c r="L1726" s="1">
        <f>DATEVALUE(_xlfn.CONCAT(BBDD_Usiarios_Netflix[[#This Row],[Día Último Pago]],"/",BBDD_Usiarios_Netflix[[#This Row],[Mes Último Pago]],"/",BBDD_Usiarios_Netflix[[#This Row],[Año Último Pago]]))</f>
        <v>45480</v>
      </c>
      <c r="M1726" s="4">
        <f>DATEDIF(BBDD_Usiarios_Netflix[[#This Row],[Fecha Suscripción]],BBDD_Usiarios_Netflix[[#This Row],[Fecha Último Pago]],"M")+1</f>
        <v>12</v>
      </c>
      <c r="N1726" s="4">
        <f>BBDD_Usiarios_Netflix[[#This Row],[Ingresos Mensuales]]*BBDD_Usiarios_Netflix[[#This Row],[Meses contratados]]</f>
        <v>120</v>
      </c>
      <c r="O1726" t="s">
        <v>29</v>
      </c>
      <c r="P1726" t="str">
        <f>IF(BBDD_Usiarios_Netflix[[#This Row],[País]]="","Desconocido",BBDD_Usiarios_Netflix[[#This Row],[País]])</f>
        <v>EEUU</v>
      </c>
      <c r="Q1726">
        <v>36</v>
      </c>
      <c r="R1726" t="s">
        <v>30</v>
      </c>
      <c r="S1726" t="s">
        <v>26</v>
      </c>
      <c r="T1726" t="s">
        <v>41</v>
      </c>
      <c r="U1726">
        <f>IF(IFERROR(VLOOKUP(BBDD_Usiarios_Netflix[[#This Row],[Identificador Usuario]],A1727:$A$5870,1,FALSE),0)&lt;&gt;0,1,0)</f>
        <v>0</v>
      </c>
      <c r="V1726" s="6" t="str">
        <f>IF(BBDD_Usiarios_Netflix[[#This Row],[Duración Plan]]="12 Meses",LEFT(BBDD_Usiarios_Netflix[[#This Row],[Duración Plan]],2),LEFT(BBDD_Usiarios_Netflix[[#This Row],[Duración Plan]],1))</f>
        <v>12</v>
      </c>
      <c r="W17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27" spans="1:23" x14ac:dyDescent="0.25">
      <c r="A1727">
        <v>1726</v>
      </c>
      <c r="B1727" t="s">
        <v>23</v>
      </c>
      <c r="C1727">
        <v>10</v>
      </c>
      <c r="D1727" s="3">
        <v>20</v>
      </c>
      <c r="E1727" s="3">
        <v>7</v>
      </c>
      <c r="F1727">
        <v>23</v>
      </c>
      <c r="G1727" s="1">
        <f>DATEVALUE(_xlfn.CONCAT(BBDD_Usiarios_Netflix[[#This Row],[Día Suscripción]],"/",BBDD_Usiarios_Netflix[[#This Row],[Mes Suscripción]],"/",BBDD_Usiarios_Netflix[[#This Row],[Año Suscripción]]))</f>
        <v>45127</v>
      </c>
      <c r="H1727" s="1">
        <v>9</v>
      </c>
      <c r="I1727" s="1">
        <v>7</v>
      </c>
      <c r="J1727" s="1">
        <v>24</v>
      </c>
      <c r="K1727" s="1" t="str">
        <f>TEXT(BBDD_Usiarios_Netflix[[#This Row],[Fecha Suscripción]],"dddd")</f>
        <v>jueves</v>
      </c>
      <c r="L1727" s="1">
        <f>DATEVALUE(_xlfn.CONCAT(BBDD_Usiarios_Netflix[[#This Row],[Día Último Pago]],"/",BBDD_Usiarios_Netflix[[#This Row],[Mes Último Pago]],"/",BBDD_Usiarios_Netflix[[#This Row],[Año Último Pago]]))</f>
        <v>45482</v>
      </c>
      <c r="M1727" s="4">
        <f>DATEDIF(BBDD_Usiarios_Netflix[[#This Row],[Fecha Suscripción]],BBDD_Usiarios_Netflix[[#This Row],[Fecha Último Pago]],"M")+1</f>
        <v>12</v>
      </c>
      <c r="N1727" s="4">
        <f>BBDD_Usiarios_Netflix[[#This Row],[Ingresos Mensuales]]*BBDD_Usiarios_Netflix[[#This Row],[Meses contratados]]</f>
        <v>120</v>
      </c>
      <c r="O1727" t="s">
        <v>42</v>
      </c>
      <c r="P1727" t="str">
        <f>IF(BBDD_Usiarios_Netflix[[#This Row],[País]]="","Desconocido",BBDD_Usiarios_Netflix[[#This Row],[País]])</f>
        <v>Reino Unido</v>
      </c>
      <c r="Q1727">
        <v>48</v>
      </c>
      <c r="R1727" t="s">
        <v>30</v>
      </c>
      <c r="S1727" t="s">
        <v>36</v>
      </c>
      <c r="T1727" t="s">
        <v>27</v>
      </c>
      <c r="U1727">
        <f>IF(IFERROR(VLOOKUP(BBDD_Usiarios_Netflix[[#This Row],[Identificador Usuario]],A1728:$A$5870,1,FALSE),0)&lt;&gt;0,1,0)</f>
        <v>0</v>
      </c>
      <c r="V1727" s="6" t="str">
        <f>IF(BBDD_Usiarios_Netflix[[#This Row],[Duración Plan]]="12 Meses",LEFT(BBDD_Usiarios_Netflix[[#This Row],[Duración Plan]],2),LEFT(BBDD_Usiarios_Netflix[[#This Row],[Duración Plan]],1))</f>
        <v>1</v>
      </c>
      <c r="W17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8" spans="1:23" x14ac:dyDescent="0.25">
      <c r="A1728">
        <v>1727</v>
      </c>
      <c r="B1728" t="s">
        <v>28</v>
      </c>
      <c r="C1728">
        <v>14</v>
      </c>
      <c r="D1728" s="3">
        <v>23</v>
      </c>
      <c r="E1728" s="3">
        <v>7</v>
      </c>
      <c r="F1728">
        <v>23</v>
      </c>
      <c r="G1728" s="1">
        <f>DATEVALUE(_xlfn.CONCAT(BBDD_Usiarios_Netflix[[#This Row],[Día Suscripción]],"/",BBDD_Usiarios_Netflix[[#This Row],[Mes Suscripción]],"/",BBDD_Usiarios_Netflix[[#This Row],[Año Suscripción]]))</f>
        <v>45130</v>
      </c>
      <c r="H1728" s="1">
        <v>6</v>
      </c>
      <c r="I1728" s="1">
        <v>7</v>
      </c>
      <c r="J1728" s="1">
        <v>24</v>
      </c>
      <c r="K1728" s="1" t="str">
        <f>TEXT(BBDD_Usiarios_Netflix[[#This Row],[Fecha Suscripción]],"dddd")</f>
        <v>domingo</v>
      </c>
      <c r="L1728" s="1">
        <f>DATEVALUE(_xlfn.CONCAT(BBDD_Usiarios_Netflix[[#This Row],[Día Último Pago]],"/",BBDD_Usiarios_Netflix[[#This Row],[Mes Último Pago]],"/",BBDD_Usiarios_Netflix[[#This Row],[Año Último Pago]]))</f>
        <v>45479</v>
      </c>
      <c r="M1728" s="4">
        <f>DATEDIF(BBDD_Usiarios_Netflix[[#This Row],[Fecha Suscripción]],BBDD_Usiarios_Netflix[[#This Row],[Fecha Último Pago]],"M")+1</f>
        <v>12</v>
      </c>
      <c r="N1728" s="4">
        <f>BBDD_Usiarios_Netflix[[#This Row],[Ingresos Mensuales]]*BBDD_Usiarios_Netflix[[#This Row],[Meses contratados]]</f>
        <v>168</v>
      </c>
      <c r="O1728" t="s">
        <v>39</v>
      </c>
      <c r="P1728" t="str">
        <f>IF(BBDD_Usiarios_Netflix[[#This Row],[País]]="","Desconocido",BBDD_Usiarios_Netflix[[#This Row],[País]])</f>
        <v>Canadá</v>
      </c>
      <c r="Q1728">
        <v>40</v>
      </c>
      <c r="R1728" t="s">
        <v>25</v>
      </c>
      <c r="S1728" t="s">
        <v>26</v>
      </c>
      <c r="T1728" t="s">
        <v>27</v>
      </c>
      <c r="U1728">
        <f>IF(IFERROR(VLOOKUP(BBDD_Usiarios_Netflix[[#This Row],[Identificador Usuario]],A1729:$A$5870,1,FALSE),0)&lt;&gt;0,1,0)</f>
        <v>0</v>
      </c>
      <c r="V1728" s="6" t="str">
        <f>IF(BBDD_Usiarios_Netflix[[#This Row],[Duración Plan]]="12 Meses",LEFT(BBDD_Usiarios_Netflix[[#This Row],[Duración Plan]],2),LEFT(BBDD_Usiarios_Netflix[[#This Row],[Duración Plan]],1))</f>
        <v>1</v>
      </c>
      <c r="W17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29" spans="1:23" x14ac:dyDescent="0.25">
      <c r="A1729">
        <v>1728</v>
      </c>
      <c r="B1729" t="s">
        <v>32</v>
      </c>
      <c r="C1729">
        <v>12</v>
      </c>
      <c r="D1729" s="3">
        <v>26</v>
      </c>
      <c r="E1729" s="3">
        <v>7</v>
      </c>
      <c r="F1729">
        <v>23</v>
      </c>
      <c r="G1729" s="1">
        <f>DATEVALUE(_xlfn.CONCAT(BBDD_Usiarios_Netflix[[#This Row],[Día Suscripción]],"/",BBDD_Usiarios_Netflix[[#This Row],[Mes Suscripción]],"/",BBDD_Usiarios_Netflix[[#This Row],[Año Suscripción]]))</f>
        <v>45133</v>
      </c>
      <c r="H1729" s="1">
        <v>7</v>
      </c>
      <c r="I1729" s="1">
        <v>7</v>
      </c>
      <c r="J1729" s="1">
        <v>24</v>
      </c>
      <c r="K1729" s="1" t="str">
        <f>TEXT(BBDD_Usiarios_Netflix[[#This Row],[Fecha Suscripción]],"dddd")</f>
        <v>miércoles</v>
      </c>
      <c r="L1729" s="1">
        <f>DATEVALUE(_xlfn.CONCAT(BBDD_Usiarios_Netflix[[#This Row],[Día Último Pago]],"/",BBDD_Usiarios_Netflix[[#This Row],[Mes Último Pago]],"/",BBDD_Usiarios_Netflix[[#This Row],[Año Último Pago]]))</f>
        <v>45480</v>
      </c>
      <c r="M1729" s="4">
        <f>DATEDIF(BBDD_Usiarios_Netflix[[#This Row],[Fecha Suscripción]],BBDD_Usiarios_Netflix[[#This Row],[Fecha Último Pago]],"M")+1</f>
        <v>12</v>
      </c>
      <c r="N1729" s="4">
        <f>BBDD_Usiarios_Netflix[[#This Row],[Ingresos Mensuales]]*BBDD_Usiarios_Netflix[[#This Row],[Meses contratados]]</f>
        <v>144</v>
      </c>
      <c r="O1729" t="s">
        <v>29</v>
      </c>
      <c r="P1729" t="str">
        <f>IF(BBDD_Usiarios_Netflix[[#This Row],[País]]="","Desconocido",BBDD_Usiarios_Netflix[[#This Row],[País]])</f>
        <v>EEUU</v>
      </c>
      <c r="Q1729">
        <v>35</v>
      </c>
      <c r="R1729" t="s">
        <v>25</v>
      </c>
      <c r="S1729" t="s">
        <v>26</v>
      </c>
      <c r="T1729" t="s">
        <v>41</v>
      </c>
      <c r="U1729">
        <f>IF(IFERROR(VLOOKUP(BBDD_Usiarios_Netflix[[#This Row],[Identificador Usuario]],A1730:$A$5870,1,FALSE),0)&lt;&gt;0,1,0)</f>
        <v>0</v>
      </c>
      <c r="V1729" s="6" t="str">
        <f>IF(BBDD_Usiarios_Netflix[[#This Row],[Duración Plan]]="12 Meses",LEFT(BBDD_Usiarios_Netflix[[#This Row],[Duración Plan]],2),LEFT(BBDD_Usiarios_Netflix[[#This Row],[Duración Plan]],1))</f>
        <v>12</v>
      </c>
      <c r="W17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30" spans="1:23" x14ac:dyDescent="0.25">
      <c r="A1730">
        <v>1729</v>
      </c>
      <c r="B1730" t="s">
        <v>32</v>
      </c>
      <c r="C1730">
        <v>12</v>
      </c>
      <c r="D1730" s="3">
        <v>30</v>
      </c>
      <c r="E1730" s="3">
        <v>7</v>
      </c>
      <c r="F1730">
        <v>23</v>
      </c>
      <c r="G1730" s="1">
        <f>DATEVALUE(_xlfn.CONCAT(BBDD_Usiarios_Netflix[[#This Row],[Día Suscripción]],"/",BBDD_Usiarios_Netflix[[#This Row],[Mes Suscripción]],"/",BBDD_Usiarios_Netflix[[#This Row],[Año Suscripción]]))</f>
        <v>45137</v>
      </c>
      <c r="H1730" s="1">
        <v>7</v>
      </c>
      <c r="I1730" s="1">
        <v>7</v>
      </c>
      <c r="J1730" s="1">
        <v>24</v>
      </c>
      <c r="K1730" s="1" t="str">
        <f>TEXT(BBDD_Usiarios_Netflix[[#This Row],[Fecha Suscripción]],"dddd")</f>
        <v>domingo</v>
      </c>
      <c r="L1730" s="1">
        <f>DATEVALUE(_xlfn.CONCAT(BBDD_Usiarios_Netflix[[#This Row],[Día Último Pago]],"/",BBDD_Usiarios_Netflix[[#This Row],[Mes Último Pago]],"/",BBDD_Usiarios_Netflix[[#This Row],[Año Último Pago]]))</f>
        <v>45480</v>
      </c>
      <c r="M1730" s="4">
        <f>DATEDIF(BBDD_Usiarios_Netflix[[#This Row],[Fecha Suscripción]],BBDD_Usiarios_Netflix[[#This Row],[Fecha Último Pago]],"M")+1</f>
        <v>12</v>
      </c>
      <c r="N1730" s="4">
        <f>BBDD_Usiarios_Netflix[[#This Row],[Ingresos Mensuales]]*BBDD_Usiarios_Netflix[[#This Row],[Meses contratados]]</f>
        <v>144</v>
      </c>
      <c r="O1730" t="s">
        <v>44</v>
      </c>
      <c r="P1730" t="str">
        <f>IF(BBDD_Usiarios_Netflix[[#This Row],[País]]="","Desconocido",BBDD_Usiarios_Netflix[[#This Row],[País]])</f>
        <v>Desconocido</v>
      </c>
      <c r="Q1730">
        <v>80</v>
      </c>
      <c r="R1730" t="s">
        <v>25</v>
      </c>
      <c r="S1730" t="s">
        <v>36</v>
      </c>
      <c r="T1730" t="s">
        <v>27</v>
      </c>
      <c r="U1730">
        <f>IF(IFERROR(VLOOKUP(BBDD_Usiarios_Netflix[[#This Row],[Identificador Usuario]],A1731:$A$5870,1,FALSE),0)&lt;&gt;0,1,0)</f>
        <v>0</v>
      </c>
      <c r="V1730" s="6" t="str">
        <f>IF(BBDD_Usiarios_Netflix[[#This Row],[Duración Plan]]="12 Meses",LEFT(BBDD_Usiarios_Netflix[[#This Row],[Duración Plan]],2),LEFT(BBDD_Usiarios_Netflix[[#This Row],[Duración Plan]],1))</f>
        <v>1</v>
      </c>
      <c r="W17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1" spans="1:23" x14ac:dyDescent="0.25">
      <c r="A1731">
        <v>1730</v>
      </c>
      <c r="B1731" t="s">
        <v>23</v>
      </c>
      <c r="C1731">
        <v>10</v>
      </c>
      <c r="D1731" s="3">
        <v>8</v>
      </c>
      <c r="E1731" s="3">
        <v>8</v>
      </c>
      <c r="F1731">
        <v>23</v>
      </c>
      <c r="G1731" s="1">
        <f>DATEVALUE(_xlfn.CONCAT(BBDD_Usiarios_Netflix[[#This Row],[Día Suscripción]],"/",BBDD_Usiarios_Netflix[[#This Row],[Mes Suscripción]],"/",BBDD_Usiarios_Netflix[[#This Row],[Año Suscripción]]))</f>
        <v>45146</v>
      </c>
      <c r="H1731" s="1">
        <v>8</v>
      </c>
      <c r="I1731" s="1">
        <v>7</v>
      </c>
      <c r="J1731" s="1">
        <v>24</v>
      </c>
      <c r="K1731" s="1" t="str">
        <f>TEXT(BBDD_Usiarios_Netflix[[#This Row],[Fecha Suscripción]],"dddd")</f>
        <v>martes</v>
      </c>
      <c r="L1731" s="1">
        <f>DATEVALUE(_xlfn.CONCAT(BBDD_Usiarios_Netflix[[#This Row],[Día Último Pago]],"/",BBDD_Usiarios_Netflix[[#This Row],[Mes Último Pago]],"/",BBDD_Usiarios_Netflix[[#This Row],[Año Último Pago]]))</f>
        <v>45481</v>
      </c>
      <c r="M1731" s="4">
        <f>DATEDIF(BBDD_Usiarios_Netflix[[#This Row],[Fecha Suscripción]],BBDD_Usiarios_Netflix[[#This Row],[Fecha Último Pago]],"M")+1</f>
        <v>12</v>
      </c>
      <c r="N1731" s="4">
        <f>BBDD_Usiarios_Netflix[[#This Row],[Ingresos Mensuales]]*BBDD_Usiarios_Netflix[[#This Row],[Meses contratados]]</f>
        <v>120</v>
      </c>
      <c r="O1731" t="s">
        <v>33</v>
      </c>
      <c r="P1731" t="str">
        <f>IF(BBDD_Usiarios_Netflix[[#This Row],[País]]="","Desconocido",BBDD_Usiarios_Netflix[[#This Row],[País]])</f>
        <v>Francia</v>
      </c>
      <c r="Q1731">
        <v>28</v>
      </c>
      <c r="R1731" t="s">
        <v>30</v>
      </c>
      <c r="S1731" t="s">
        <v>26</v>
      </c>
      <c r="T1731" t="s">
        <v>27</v>
      </c>
      <c r="U1731">
        <f>IF(IFERROR(VLOOKUP(BBDD_Usiarios_Netflix[[#This Row],[Identificador Usuario]],A1732:$A$5870,1,FALSE),0)&lt;&gt;0,1,0)</f>
        <v>0</v>
      </c>
      <c r="V1731" s="6" t="str">
        <f>IF(BBDD_Usiarios_Netflix[[#This Row],[Duración Plan]]="12 Meses",LEFT(BBDD_Usiarios_Netflix[[#This Row],[Duración Plan]],2),LEFT(BBDD_Usiarios_Netflix[[#This Row],[Duración Plan]],1))</f>
        <v>1</v>
      </c>
      <c r="W17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2" spans="1:23" x14ac:dyDescent="0.25">
      <c r="A1732">
        <v>1731</v>
      </c>
      <c r="B1732" t="s">
        <v>28</v>
      </c>
      <c r="C1732">
        <v>14</v>
      </c>
      <c r="D1732" s="3">
        <v>13</v>
      </c>
      <c r="E1732" s="3">
        <v>8</v>
      </c>
      <c r="F1732">
        <v>23</v>
      </c>
      <c r="G1732" s="1">
        <f>DATEVALUE(_xlfn.CONCAT(BBDD_Usiarios_Netflix[[#This Row],[Día Suscripción]],"/",BBDD_Usiarios_Netflix[[#This Row],[Mes Suscripción]],"/",BBDD_Usiarios_Netflix[[#This Row],[Año Suscripción]]))</f>
        <v>45151</v>
      </c>
      <c r="H1732" s="1">
        <v>5</v>
      </c>
      <c r="I1732" s="1">
        <v>7</v>
      </c>
      <c r="J1732" s="1">
        <v>24</v>
      </c>
      <c r="K1732" s="1" t="str">
        <f>TEXT(BBDD_Usiarios_Netflix[[#This Row],[Fecha Suscripción]],"dddd")</f>
        <v>domingo</v>
      </c>
      <c r="L1732" s="1">
        <f>DATEVALUE(_xlfn.CONCAT(BBDD_Usiarios_Netflix[[#This Row],[Día Último Pago]],"/",BBDD_Usiarios_Netflix[[#This Row],[Mes Último Pago]],"/",BBDD_Usiarios_Netflix[[#This Row],[Año Último Pago]]))</f>
        <v>45478</v>
      </c>
      <c r="M1732" s="4">
        <f>DATEDIF(BBDD_Usiarios_Netflix[[#This Row],[Fecha Suscripción]],BBDD_Usiarios_Netflix[[#This Row],[Fecha Último Pago]],"M")+1</f>
        <v>11</v>
      </c>
      <c r="N1732" s="4">
        <f>BBDD_Usiarios_Netflix[[#This Row],[Ingresos Mensuales]]*BBDD_Usiarios_Netflix[[#This Row],[Meses contratados]]</f>
        <v>154</v>
      </c>
      <c r="O1732" t="s">
        <v>39</v>
      </c>
      <c r="P1732" t="str">
        <f>IF(BBDD_Usiarios_Netflix[[#This Row],[País]]="","Desconocido",BBDD_Usiarios_Netflix[[#This Row],[País]])</f>
        <v>Canadá</v>
      </c>
      <c r="Q1732">
        <v>37</v>
      </c>
      <c r="R1732" t="s">
        <v>25</v>
      </c>
      <c r="S1732" t="s">
        <v>31</v>
      </c>
      <c r="T1732" t="s">
        <v>27</v>
      </c>
      <c r="U1732">
        <f>IF(IFERROR(VLOOKUP(BBDD_Usiarios_Netflix[[#This Row],[Identificador Usuario]],A1733:$A$5870,1,FALSE),0)&lt;&gt;0,1,0)</f>
        <v>0</v>
      </c>
      <c r="V1732" s="6" t="str">
        <f>IF(BBDD_Usiarios_Netflix[[#This Row],[Duración Plan]]="12 Meses",LEFT(BBDD_Usiarios_Netflix[[#This Row],[Duración Plan]],2),LEFT(BBDD_Usiarios_Netflix[[#This Row],[Duración Plan]],1))</f>
        <v>1</v>
      </c>
      <c r="W17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3" spans="1:23" x14ac:dyDescent="0.25">
      <c r="A1733">
        <v>1732</v>
      </c>
      <c r="B1733" t="s">
        <v>32</v>
      </c>
      <c r="C1733">
        <v>12</v>
      </c>
      <c r="D1733" s="3">
        <v>14</v>
      </c>
      <c r="E1733" s="3">
        <v>8</v>
      </c>
      <c r="F1733">
        <v>23</v>
      </c>
      <c r="G1733" s="1">
        <f>DATEVALUE(_xlfn.CONCAT(BBDD_Usiarios_Netflix[[#This Row],[Día Suscripción]],"/",BBDD_Usiarios_Netflix[[#This Row],[Mes Suscripción]],"/",BBDD_Usiarios_Netflix[[#This Row],[Año Suscripción]]))</f>
        <v>45152</v>
      </c>
      <c r="H1733" s="1">
        <v>7</v>
      </c>
      <c r="I1733" s="1">
        <v>7</v>
      </c>
      <c r="J1733" s="1">
        <v>24</v>
      </c>
      <c r="K1733" s="1" t="str">
        <f>TEXT(BBDD_Usiarios_Netflix[[#This Row],[Fecha Suscripción]],"dddd")</f>
        <v>lunes</v>
      </c>
      <c r="L1733" s="1">
        <f>DATEVALUE(_xlfn.CONCAT(BBDD_Usiarios_Netflix[[#This Row],[Día Último Pago]],"/",BBDD_Usiarios_Netflix[[#This Row],[Mes Último Pago]],"/",BBDD_Usiarios_Netflix[[#This Row],[Año Último Pago]]))</f>
        <v>45480</v>
      </c>
      <c r="M1733" s="4">
        <f>DATEDIF(BBDD_Usiarios_Netflix[[#This Row],[Fecha Suscripción]],BBDD_Usiarios_Netflix[[#This Row],[Fecha Último Pago]],"M")+1</f>
        <v>11</v>
      </c>
      <c r="N1733" s="4">
        <f>BBDD_Usiarios_Netflix[[#This Row],[Ingresos Mensuales]]*BBDD_Usiarios_Netflix[[#This Row],[Meses contratados]]</f>
        <v>132</v>
      </c>
      <c r="O1733" t="s">
        <v>29</v>
      </c>
      <c r="P1733" t="str">
        <f>IF(BBDD_Usiarios_Netflix[[#This Row],[País]]="","Desconocido",BBDD_Usiarios_Netflix[[#This Row],[País]])</f>
        <v>EEUU</v>
      </c>
      <c r="Q1733">
        <v>33</v>
      </c>
      <c r="R1733" t="s">
        <v>25</v>
      </c>
      <c r="S1733" t="s">
        <v>26</v>
      </c>
      <c r="T1733" t="s">
        <v>27</v>
      </c>
      <c r="U1733">
        <f>IF(IFERROR(VLOOKUP(BBDD_Usiarios_Netflix[[#This Row],[Identificador Usuario]],A1734:$A$5870,1,FALSE),0)&lt;&gt;0,1,0)</f>
        <v>0</v>
      </c>
      <c r="V1733" s="6" t="str">
        <f>IF(BBDD_Usiarios_Netflix[[#This Row],[Duración Plan]]="12 Meses",LEFT(BBDD_Usiarios_Netflix[[#This Row],[Duración Plan]],2),LEFT(BBDD_Usiarios_Netflix[[#This Row],[Duración Plan]],1))</f>
        <v>1</v>
      </c>
      <c r="W17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4" spans="1:23" x14ac:dyDescent="0.25">
      <c r="A1734">
        <v>1733</v>
      </c>
      <c r="B1734" t="s">
        <v>23</v>
      </c>
      <c r="C1734">
        <v>10</v>
      </c>
      <c r="D1734" s="3">
        <v>16</v>
      </c>
      <c r="E1734" s="3">
        <v>8</v>
      </c>
      <c r="F1734">
        <v>23</v>
      </c>
      <c r="G1734" s="1">
        <f>DATEVALUE(_xlfn.CONCAT(BBDD_Usiarios_Netflix[[#This Row],[Día Suscripción]],"/",BBDD_Usiarios_Netflix[[#This Row],[Mes Suscripción]],"/",BBDD_Usiarios_Netflix[[#This Row],[Año Suscripción]]))</f>
        <v>45154</v>
      </c>
      <c r="H1734" s="1">
        <v>6</v>
      </c>
      <c r="I1734" s="1">
        <v>7</v>
      </c>
      <c r="J1734" s="1">
        <v>24</v>
      </c>
      <c r="K1734" s="1" t="str">
        <f>TEXT(BBDD_Usiarios_Netflix[[#This Row],[Fecha Suscripción]],"dddd")</f>
        <v>miércoles</v>
      </c>
      <c r="L1734" s="1">
        <f>DATEVALUE(_xlfn.CONCAT(BBDD_Usiarios_Netflix[[#This Row],[Día Último Pago]],"/",BBDD_Usiarios_Netflix[[#This Row],[Mes Último Pago]],"/",BBDD_Usiarios_Netflix[[#This Row],[Año Último Pago]]))</f>
        <v>45479</v>
      </c>
      <c r="M1734" s="4">
        <f>DATEDIF(BBDD_Usiarios_Netflix[[#This Row],[Fecha Suscripción]],BBDD_Usiarios_Netflix[[#This Row],[Fecha Último Pago]],"M")+1</f>
        <v>11</v>
      </c>
      <c r="N1734" s="4">
        <f>BBDD_Usiarios_Netflix[[#This Row],[Ingresos Mensuales]]*BBDD_Usiarios_Netflix[[#This Row],[Meses contratados]]</f>
        <v>110</v>
      </c>
      <c r="O1734" t="s">
        <v>39</v>
      </c>
      <c r="P1734" t="str">
        <f>IF(BBDD_Usiarios_Netflix[[#This Row],[País]]="","Desconocido",BBDD_Usiarios_Netflix[[#This Row],[País]])</f>
        <v>Canadá</v>
      </c>
      <c r="Q1734">
        <v>27</v>
      </c>
      <c r="R1734" t="s">
        <v>30</v>
      </c>
      <c r="S1734" t="s">
        <v>31</v>
      </c>
      <c r="T1734" t="s">
        <v>27</v>
      </c>
      <c r="U1734">
        <f>IF(IFERROR(VLOOKUP(BBDD_Usiarios_Netflix[[#This Row],[Identificador Usuario]],A1735:$A$5870,1,FALSE),0)&lt;&gt;0,1,0)</f>
        <v>0</v>
      </c>
      <c r="V1734" s="6" t="str">
        <f>IF(BBDD_Usiarios_Netflix[[#This Row],[Duración Plan]]="12 Meses",LEFT(BBDD_Usiarios_Netflix[[#This Row],[Duración Plan]],2),LEFT(BBDD_Usiarios_Netflix[[#This Row],[Duración Plan]],1))</f>
        <v>1</v>
      </c>
      <c r="W17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5" spans="1:23" x14ac:dyDescent="0.25">
      <c r="A1735">
        <v>1734</v>
      </c>
      <c r="B1735" t="s">
        <v>32</v>
      </c>
      <c r="C1735">
        <v>12</v>
      </c>
      <c r="D1735" s="3">
        <v>19</v>
      </c>
      <c r="E1735" s="3">
        <v>8</v>
      </c>
      <c r="F1735">
        <v>23</v>
      </c>
      <c r="G1735" s="1">
        <f>DATEVALUE(_xlfn.CONCAT(BBDD_Usiarios_Netflix[[#This Row],[Día Suscripción]],"/",BBDD_Usiarios_Netflix[[#This Row],[Mes Suscripción]],"/",BBDD_Usiarios_Netflix[[#This Row],[Año Suscripción]]))</f>
        <v>45157</v>
      </c>
      <c r="H1735" s="1">
        <v>8</v>
      </c>
      <c r="I1735" s="1">
        <v>7</v>
      </c>
      <c r="J1735" s="1">
        <v>24</v>
      </c>
      <c r="K1735" s="1" t="str">
        <f>TEXT(BBDD_Usiarios_Netflix[[#This Row],[Fecha Suscripción]],"dddd")</f>
        <v>sábado</v>
      </c>
      <c r="L1735" s="1">
        <f>DATEVALUE(_xlfn.CONCAT(BBDD_Usiarios_Netflix[[#This Row],[Día Último Pago]],"/",BBDD_Usiarios_Netflix[[#This Row],[Mes Último Pago]],"/",BBDD_Usiarios_Netflix[[#This Row],[Año Último Pago]]))</f>
        <v>45481</v>
      </c>
      <c r="M1735" s="4">
        <f>DATEDIF(BBDD_Usiarios_Netflix[[#This Row],[Fecha Suscripción]],BBDD_Usiarios_Netflix[[#This Row],[Fecha Último Pago]],"M")+1</f>
        <v>11</v>
      </c>
      <c r="N1735" s="4">
        <f>BBDD_Usiarios_Netflix[[#This Row],[Ingresos Mensuales]]*BBDD_Usiarios_Netflix[[#This Row],[Meses contratados]]</f>
        <v>132</v>
      </c>
      <c r="O1735" t="s">
        <v>24</v>
      </c>
      <c r="P1735" t="str">
        <f>IF(BBDD_Usiarios_Netflix[[#This Row],[País]]="","Desconocido",BBDD_Usiarios_Netflix[[#This Row],[País]])</f>
        <v>Australia</v>
      </c>
      <c r="Q1735">
        <v>35</v>
      </c>
      <c r="R1735" t="s">
        <v>25</v>
      </c>
      <c r="S1735" t="s">
        <v>31</v>
      </c>
      <c r="T1735" t="s">
        <v>35</v>
      </c>
      <c r="U1735">
        <f>IF(IFERROR(VLOOKUP(BBDD_Usiarios_Netflix[[#This Row],[Identificador Usuario]],A1736:$A$5870,1,FALSE),0)&lt;&gt;0,1,0)</f>
        <v>0</v>
      </c>
      <c r="V1735" s="6" t="str">
        <f>IF(BBDD_Usiarios_Netflix[[#This Row],[Duración Plan]]="12 Meses",LEFT(BBDD_Usiarios_Netflix[[#This Row],[Duración Plan]],2),LEFT(BBDD_Usiarios_Netflix[[#This Row],[Duración Plan]],1))</f>
        <v>6</v>
      </c>
      <c r="W17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36" spans="1:23" x14ac:dyDescent="0.25">
      <c r="A1736">
        <v>1735</v>
      </c>
      <c r="B1736" t="s">
        <v>28</v>
      </c>
      <c r="C1736">
        <v>14</v>
      </c>
      <c r="D1736" s="3">
        <v>27</v>
      </c>
      <c r="E1736" s="3">
        <v>8</v>
      </c>
      <c r="F1736">
        <v>23</v>
      </c>
      <c r="G1736" s="1">
        <f>DATEVALUE(_xlfn.CONCAT(BBDD_Usiarios_Netflix[[#This Row],[Día Suscripción]],"/",BBDD_Usiarios_Netflix[[#This Row],[Mes Suscripción]],"/",BBDD_Usiarios_Netflix[[#This Row],[Año Suscripción]]))</f>
        <v>45165</v>
      </c>
      <c r="H1736" s="1">
        <v>6</v>
      </c>
      <c r="I1736" s="1">
        <v>7</v>
      </c>
      <c r="J1736" s="1">
        <v>24</v>
      </c>
      <c r="K1736" s="1" t="str">
        <f>TEXT(BBDD_Usiarios_Netflix[[#This Row],[Fecha Suscripción]],"dddd")</f>
        <v>domingo</v>
      </c>
      <c r="L1736" s="1">
        <f>DATEVALUE(_xlfn.CONCAT(BBDD_Usiarios_Netflix[[#This Row],[Día Último Pago]],"/",BBDD_Usiarios_Netflix[[#This Row],[Mes Último Pago]],"/",BBDD_Usiarios_Netflix[[#This Row],[Año Último Pago]]))</f>
        <v>45479</v>
      </c>
      <c r="M1736" s="4">
        <f>DATEDIF(BBDD_Usiarios_Netflix[[#This Row],[Fecha Suscripción]],BBDD_Usiarios_Netflix[[#This Row],[Fecha Último Pago]],"M")+1</f>
        <v>11</v>
      </c>
      <c r="N1736" s="4">
        <f>BBDD_Usiarios_Netflix[[#This Row],[Ingresos Mensuales]]*BBDD_Usiarios_Netflix[[#This Row],[Meses contratados]]</f>
        <v>154</v>
      </c>
      <c r="O1736" t="s">
        <v>45</v>
      </c>
      <c r="P1736" t="str">
        <f>IF(BBDD_Usiarios_Netflix[[#This Row],[País]]="","Desconocido",BBDD_Usiarios_Netflix[[#This Row],[País]])</f>
        <v>España</v>
      </c>
      <c r="Q1736">
        <v>27</v>
      </c>
      <c r="R1736" t="s">
        <v>25</v>
      </c>
      <c r="S1736" t="s">
        <v>26</v>
      </c>
      <c r="T1736" t="s">
        <v>27</v>
      </c>
      <c r="U1736">
        <f>IF(IFERROR(VLOOKUP(BBDD_Usiarios_Netflix[[#This Row],[Identificador Usuario]],A1737:$A$5870,1,FALSE),0)&lt;&gt;0,1,0)</f>
        <v>0</v>
      </c>
      <c r="V1736" s="6" t="str">
        <f>IF(BBDD_Usiarios_Netflix[[#This Row],[Duración Plan]]="12 Meses",LEFT(BBDD_Usiarios_Netflix[[#This Row],[Duración Plan]],2),LEFT(BBDD_Usiarios_Netflix[[#This Row],[Duración Plan]],1))</f>
        <v>1</v>
      </c>
      <c r="W17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7" spans="1:23" x14ac:dyDescent="0.25">
      <c r="A1737">
        <v>1736</v>
      </c>
      <c r="B1737" t="s">
        <v>23</v>
      </c>
      <c r="C1737">
        <v>10</v>
      </c>
      <c r="D1737" s="3">
        <v>4</v>
      </c>
      <c r="E1737" s="3">
        <v>9</v>
      </c>
      <c r="F1737">
        <v>23</v>
      </c>
      <c r="G1737" s="1">
        <f>DATEVALUE(_xlfn.CONCAT(BBDD_Usiarios_Netflix[[#This Row],[Día Suscripción]],"/",BBDD_Usiarios_Netflix[[#This Row],[Mes Suscripción]],"/",BBDD_Usiarios_Netflix[[#This Row],[Año Suscripción]]))</f>
        <v>45173</v>
      </c>
      <c r="H1737" s="1">
        <v>7</v>
      </c>
      <c r="I1737" s="1">
        <v>7</v>
      </c>
      <c r="J1737" s="1">
        <v>24</v>
      </c>
      <c r="K1737" s="1" t="str">
        <f>TEXT(BBDD_Usiarios_Netflix[[#This Row],[Fecha Suscripción]],"dddd")</f>
        <v>lunes</v>
      </c>
      <c r="L1737" s="1">
        <f>DATEVALUE(_xlfn.CONCAT(BBDD_Usiarios_Netflix[[#This Row],[Día Último Pago]],"/",BBDD_Usiarios_Netflix[[#This Row],[Mes Último Pago]],"/",BBDD_Usiarios_Netflix[[#This Row],[Año Último Pago]]))</f>
        <v>45480</v>
      </c>
      <c r="M1737" s="4">
        <f>DATEDIF(BBDD_Usiarios_Netflix[[#This Row],[Fecha Suscripción]],BBDD_Usiarios_Netflix[[#This Row],[Fecha Último Pago]],"M")+1</f>
        <v>11</v>
      </c>
      <c r="N1737" s="4">
        <f>BBDD_Usiarios_Netflix[[#This Row],[Ingresos Mensuales]]*BBDD_Usiarios_Netflix[[#This Row],[Meses contratados]]</f>
        <v>110</v>
      </c>
      <c r="O1737" t="s">
        <v>40</v>
      </c>
      <c r="P1737" t="str">
        <f>IF(BBDD_Usiarios_Netflix[[#This Row],[País]]="","Desconocido",BBDD_Usiarios_Netflix[[#This Row],[País]])</f>
        <v>Italia</v>
      </c>
      <c r="Q1737">
        <v>29</v>
      </c>
      <c r="R1737" t="s">
        <v>30</v>
      </c>
      <c r="S1737" t="s">
        <v>26</v>
      </c>
      <c r="T1737" t="s">
        <v>27</v>
      </c>
      <c r="U1737">
        <f>IF(IFERROR(VLOOKUP(BBDD_Usiarios_Netflix[[#This Row],[Identificador Usuario]],A1738:$A$5870,1,FALSE),0)&lt;&gt;0,1,0)</f>
        <v>0</v>
      </c>
      <c r="V1737" s="6" t="str">
        <f>IF(BBDD_Usiarios_Netflix[[#This Row],[Duración Plan]]="12 Meses",LEFT(BBDD_Usiarios_Netflix[[#This Row],[Duración Plan]],2),LEFT(BBDD_Usiarios_Netflix[[#This Row],[Duración Plan]],1))</f>
        <v>1</v>
      </c>
      <c r="W17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38" spans="1:23" x14ac:dyDescent="0.25">
      <c r="A1738">
        <v>1737</v>
      </c>
      <c r="B1738" t="s">
        <v>28</v>
      </c>
      <c r="C1738">
        <v>14</v>
      </c>
      <c r="D1738" s="3">
        <v>5</v>
      </c>
      <c r="E1738" s="3">
        <v>9</v>
      </c>
      <c r="F1738">
        <v>23</v>
      </c>
      <c r="G1738" s="1">
        <f>DATEVALUE(_xlfn.CONCAT(BBDD_Usiarios_Netflix[[#This Row],[Día Suscripción]],"/",BBDD_Usiarios_Netflix[[#This Row],[Mes Suscripción]],"/",BBDD_Usiarios_Netflix[[#This Row],[Año Suscripción]]))</f>
        <v>45174</v>
      </c>
      <c r="H1738" s="1">
        <v>6</v>
      </c>
      <c r="I1738" s="1">
        <v>7</v>
      </c>
      <c r="J1738" s="1">
        <v>24</v>
      </c>
      <c r="K1738" s="1" t="str">
        <f>TEXT(BBDD_Usiarios_Netflix[[#This Row],[Fecha Suscripción]],"dddd")</f>
        <v>martes</v>
      </c>
      <c r="L1738" s="1">
        <f>DATEVALUE(_xlfn.CONCAT(BBDD_Usiarios_Netflix[[#This Row],[Día Último Pago]],"/",BBDD_Usiarios_Netflix[[#This Row],[Mes Último Pago]],"/",BBDD_Usiarios_Netflix[[#This Row],[Año Último Pago]]))</f>
        <v>45479</v>
      </c>
      <c r="M1738" s="4">
        <f>DATEDIF(BBDD_Usiarios_Netflix[[#This Row],[Fecha Suscripción]],BBDD_Usiarios_Netflix[[#This Row],[Fecha Último Pago]],"M")+1</f>
        <v>11</v>
      </c>
      <c r="N1738" s="4">
        <f>BBDD_Usiarios_Netflix[[#This Row],[Ingresos Mensuales]]*BBDD_Usiarios_Netflix[[#This Row],[Meses contratados]]</f>
        <v>154</v>
      </c>
      <c r="O1738" t="s">
        <v>29</v>
      </c>
      <c r="P1738" t="str">
        <f>IF(BBDD_Usiarios_Netflix[[#This Row],[País]]="","Desconocido",BBDD_Usiarios_Netflix[[#This Row],[País]])</f>
        <v>EEUU</v>
      </c>
      <c r="Q1738">
        <v>28</v>
      </c>
      <c r="R1738" t="s">
        <v>30</v>
      </c>
      <c r="S1738" t="s">
        <v>36</v>
      </c>
      <c r="T1738" t="s">
        <v>41</v>
      </c>
      <c r="U1738">
        <f>IF(IFERROR(VLOOKUP(BBDD_Usiarios_Netflix[[#This Row],[Identificador Usuario]],A1739:$A$5870,1,FALSE),0)&lt;&gt;0,1,0)</f>
        <v>0</v>
      </c>
      <c r="V1738" s="6" t="str">
        <f>IF(BBDD_Usiarios_Netflix[[#This Row],[Duración Plan]]="12 Meses",LEFT(BBDD_Usiarios_Netflix[[#This Row],[Duración Plan]],2),LEFT(BBDD_Usiarios_Netflix[[#This Row],[Duración Plan]],1))</f>
        <v>12</v>
      </c>
      <c r="W17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39" spans="1:23" x14ac:dyDescent="0.25">
      <c r="A1739">
        <v>1738</v>
      </c>
      <c r="B1739" t="s">
        <v>32</v>
      </c>
      <c r="C1739">
        <v>12</v>
      </c>
      <c r="D1739" s="3">
        <v>13</v>
      </c>
      <c r="E1739" s="3">
        <v>9</v>
      </c>
      <c r="F1739">
        <v>23</v>
      </c>
      <c r="G1739" s="1">
        <f>DATEVALUE(_xlfn.CONCAT(BBDD_Usiarios_Netflix[[#This Row],[Día Suscripción]],"/",BBDD_Usiarios_Netflix[[#This Row],[Mes Suscripción]],"/",BBDD_Usiarios_Netflix[[#This Row],[Año Suscripción]]))</f>
        <v>45182</v>
      </c>
      <c r="H1739" s="1">
        <v>8</v>
      </c>
      <c r="I1739" s="1">
        <v>7</v>
      </c>
      <c r="J1739" s="1">
        <v>24</v>
      </c>
      <c r="K1739" s="1" t="str">
        <f>TEXT(BBDD_Usiarios_Netflix[[#This Row],[Fecha Suscripción]],"dddd")</f>
        <v>miércoles</v>
      </c>
      <c r="L1739" s="1">
        <f>DATEVALUE(_xlfn.CONCAT(BBDD_Usiarios_Netflix[[#This Row],[Día Último Pago]],"/",BBDD_Usiarios_Netflix[[#This Row],[Mes Último Pago]],"/",BBDD_Usiarios_Netflix[[#This Row],[Año Último Pago]]))</f>
        <v>45481</v>
      </c>
      <c r="M1739" s="4">
        <f>DATEDIF(BBDD_Usiarios_Netflix[[#This Row],[Fecha Suscripción]],BBDD_Usiarios_Netflix[[#This Row],[Fecha Último Pago]],"M")+1</f>
        <v>10</v>
      </c>
      <c r="N1739" s="4">
        <f>BBDD_Usiarios_Netflix[[#This Row],[Ingresos Mensuales]]*BBDD_Usiarios_Netflix[[#This Row],[Meses contratados]]</f>
        <v>120</v>
      </c>
      <c r="O1739" t="s">
        <v>24</v>
      </c>
      <c r="P1739" t="str">
        <f>IF(BBDD_Usiarios_Netflix[[#This Row],[País]]="","Desconocido",BBDD_Usiarios_Netflix[[#This Row],[País]])</f>
        <v>Australia</v>
      </c>
      <c r="Q1739">
        <v>33</v>
      </c>
      <c r="R1739" t="s">
        <v>30</v>
      </c>
      <c r="S1739" t="s">
        <v>26</v>
      </c>
      <c r="T1739" t="s">
        <v>27</v>
      </c>
      <c r="U1739">
        <f>IF(IFERROR(VLOOKUP(BBDD_Usiarios_Netflix[[#This Row],[Identificador Usuario]],A1740:$A$5870,1,FALSE),0)&lt;&gt;0,1,0)</f>
        <v>0</v>
      </c>
      <c r="V1739" s="6" t="str">
        <f>IF(BBDD_Usiarios_Netflix[[#This Row],[Duración Plan]]="12 Meses",LEFT(BBDD_Usiarios_Netflix[[#This Row],[Duración Plan]],2),LEFT(BBDD_Usiarios_Netflix[[#This Row],[Duración Plan]],1))</f>
        <v>1</v>
      </c>
      <c r="W17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40" spans="1:23" x14ac:dyDescent="0.25">
      <c r="A1740">
        <v>1739</v>
      </c>
      <c r="B1740" t="s">
        <v>23</v>
      </c>
      <c r="C1740">
        <v>10</v>
      </c>
      <c r="D1740" s="3">
        <v>16</v>
      </c>
      <c r="E1740" s="3">
        <v>9</v>
      </c>
      <c r="F1740">
        <v>23</v>
      </c>
      <c r="G1740" s="1">
        <f>DATEVALUE(_xlfn.CONCAT(BBDD_Usiarios_Netflix[[#This Row],[Día Suscripción]],"/",BBDD_Usiarios_Netflix[[#This Row],[Mes Suscripción]],"/",BBDD_Usiarios_Netflix[[#This Row],[Año Suscripción]]))</f>
        <v>45185</v>
      </c>
      <c r="H1740" s="1">
        <v>5</v>
      </c>
      <c r="I1740" s="1">
        <v>7</v>
      </c>
      <c r="J1740" s="1">
        <v>24</v>
      </c>
      <c r="K1740" s="1" t="str">
        <f>TEXT(BBDD_Usiarios_Netflix[[#This Row],[Fecha Suscripción]],"dddd")</f>
        <v>sábado</v>
      </c>
      <c r="L1740" s="1">
        <f>DATEVALUE(_xlfn.CONCAT(BBDD_Usiarios_Netflix[[#This Row],[Día Último Pago]],"/",BBDD_Usiarios_Netflix[[#This Row],[Mes Último Pago]],"/",BBDD_Usiarios_Netflix[[#This Row],[Año Último Pago]]))</f>
        <v>45478</v>
      </c>
      <c r="M1740" s="4">
        <f>DATEDIF(BBDD_Usiarios_Netflix[[#This Row],[Fecha Suscripción]],BBDD_Usiarios_Netflix[[#This Row],[Fecha Último Pago]],"M")+1</f>
        <v>10</v>
      </c>
      <c r="N1740" s="4">
        <f>BBDD_Usiarios_Netflix[[#This Row],[Ingresos Mensuales]]*BBDD_Usiarios_Netflix[[#This Row],[Meses contratados]]</f>
        <v>100</v>
      </c>
      <c r="O1740" t="s">
        <v>45</v>
      </c>
      <c r="P1740" t="str">
        <f>IF(BBDD_Usiarios_Netflix[[#This Row],[País]]="","Desconocido",BBDD_Usiarios_Netflix[[#This Row],[País]])</f>
        <v>España</v>
      </c>
      <c r="Q1740">
        <v>35</v>
      </c>
      <c r="R1740" t="s">
        <v>30</v>
      </c>
      <c r="S1740" t="s">
        <v>26</v>
      </c>
      <c r="T1740" t="s">
        <v>27</v>
      </c>
      <c r="U1740">
        <f>IF(IFERROR(VLOOKUP(BBDD_Usiarios_Netflix[[#This Row],[Identificador Usuario]],A1741:$A$5870,1,FALSE),0)&lt;&gt;0,1,0)</f>
        <v>0</v>
      </c>
      <c r="V1740" s="6" t="str">
        <f>IF(BBDD_Usiarios_Netflix[[#This Row],[Duración Plan]]="12 Meses",LEFT(BBDD_Usiarios_Netflix[[#This Row],[Duración Plan]],2),LEFT(BBDD_Usiarios_Netflix[[#This Row],[Duración Plan]],1))</f>
        <v>1</v>
      </c>
      <c r="W17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41" spans="1:23" x14ac:dyDescent="0.25">
      <c r="A1741">
        <v>1740</v>
      </c>
      <c r="B1741" t="s">
        <v>32</v>
      </c>
      <c r="C1741">
        <v>12</v>
      </c>
      <c r="D1741" s="3">
        <v>18</v>
      </c>
      <c r="E1741" s="3">
        <v>9</v>
      </c>
      <c r="F1741">
        <v>23</v>
      </c>
      <c r="G1741" s="1">
        <f>DATEVALUE(_xlfn.CONCAT(BBDD_Usiarios_Netflix[[#This Row],[Día Suscripción]],"/",BBDD_Usiarios_Netflix[[#This Row],[Mes Suscripción]],"/",BBDD_Usiarios_Netflix[[#This Row],[Año Suscripción]]))</f>
        <v>45187</v>
      </c>
      <c r="H1741" s="1">
        <v>6</v>
      </c>
      <c r="I1741" s="1">
        <v>7</v>
      </c>
      <c r="J1741" s="1">
        <v>24</v>
      </c>
      <c r="K1741" s="1" t="str">
        <f>TEXT(BBDD_Usiarios_Netflix[[#This Row],[Fecha Suscripción]],"dddd")</f>
        <v>lunes</v>
      </c>
      <c r="L1741" s="1">
        <f>DATEVALUE(_xlfn.CONCAT(BBDD_Usiarios_Netflix[[#This Row],[Día Último Pago]],"/",BBDD_Usiarios_Netflix[[#This Row],[Mes Último Pago]],"/",BBDD_Usiarios_Netflix[[#This Row],[Año Último Pago]]))</f>
        <v>45479</v>
      </c>
      <c r="M1741" s="4">
        <f>DATEDIF(BBDD_Usiarios_Netflix[[#This Row],[Fecha Suscripción]],BBDD_Usiarios_Netflix[[#This Row],[Fecha Último Pago]],"M")+1</f>
        <v>10</v>
      </c>
      <c r="N1741" s="4">
        <f>BBDD_Usiarios_Netflix[[#This Row],[Ingresos Mensuales]]*BBDD_Usiarios_Netflix[[#This Row],[Meses contratados]]</f>
        <v>120</v>
      </c>
      <c r="O1741" t="s">
        <v>39</v>
      </c>
      <c r="P1741" t="str">
        <f>IF(BBDD_Usiarios_Netflix[[#This Row],[País]]="","Desconocido",BBDD_Usiarios_Netflix[[#This Row],[País]])</f>
        <v>Canadá</v>
      </c>
      <c r="Q1741">
        <v>37</v>
      </c>
      <c r="R1741" t="s">
        <v>30</v>
      </c>
      <c r="S1741" t="s">
        <v>36</v>
      </c>
      <c r="T1741" t="s">
        <v>41</v>
      </c>
      <c r="U1741">
        <f>IF(IFERROR(VLOOKUP(BBDD_Usiarios_Netflix[[#This Row],[Identificador Usuario]],A1742:$A$5870,1,FALSE),0)&lt;&gt;0,1,0)</f>
        <v>0</v>
      </c>
      <c r="V1741" s="6" t="str">
        <f>IF(BBDD_Usiarios_Netflix[[#This Row],[Duración Plan]]="12 Meses",LEFT(BBDD_Usiarios_Netflix[[#This Row],[Duración Plan]],2),LEFT(BBDD_Usiarios_Netflix[[#This Row],[Duración Plan]],1))</f>
        <v>12</v>
      </c>
      <c r="W17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42" spans="1:23" x14ac:dyDescent="0.25">
      <c r="A1742">
        <v>1741</v>
      </c>
      <c r="B1742" t="s">
        <v>28</v>
      </c>
      <c r="C1742">
        <v>14</v>
      </c>
      <c r="D1742" s="3">
        <v>20</v>
      </c>
      <c r="E1742" s="3">
        <v>9</v>
      </c>
      <c r="F1742">
        <v>23</v>
      </c>
      <c r="G1742" s="1">
        <f>DATEVALUE(_xlfn.CONCAT(BBDD_Usiarios_Netflix[[#This Row],[Día Suscripción]],"/",BBDD_Usiarios_Netflix[[#This Row],[Mes Suscripción]],"/",BBDD_Usiarios_Netflix[[#This Row],[Año Suscripción]]))</f>
        <v>45189</v>
      </c>
      <c r="H1742" s="1">
        <v>6</v>
      </c>
      <c r="I1742" s="1">
        <v>7</v>
      </c>
      <c r="J1742" s="1">
        <v>24</v>
      </c>
      <c r="K1742" s="1" t="str">
        <f>TEXT(BBDD_Usiarios_Netflix[[#This Row],[Fecha Suscripción]],"dddd")</f>
        <v>miércoles</v>
      </c>
      <c r="L1742" s="1">
        <f>DATEVALUE(_xlfn.CONCAT(BBDD_Usiarios_Netflix[[#This Row],[Día Último Pago]],"/",BBDD_Usiarios_Netflix[[#This Row],[Mes Último Pago]],"/",BBDD_Usiarios_Netflix[[#This Row],[Año Último Pago]]))</f>
        <v>45479</v>
      </c>
      <c r="M1742" s="4">
        <f>DATEDIF(BBDD_Usiarios_Netflix[[#This Row],[Fecha Suscripción]],BBDD_Usiarios_Netflix[[#This Row],[Fecha Último Pago]],"M")+1</f>
        <v>10</v>
      </c>
      <c r="N1742" s="4">
        <f>BBDD_Usiarios_Netflix[[#This Row],[Ingresos Mensuales]]*BBDD_Usiarios_Netflix[[#This Row],[Meses contratados]]</f>
        <v>140</v>
      </c>
      <c r="O1742" t="s">
        <v>45</v>
      </c>
      <c r="P1742" t="str">
        <f>IF(BBDD_Usiarios_Netflix[[#This Row],[País]]="","Desconocido",BBDD_Usiarios_Netflix[[#This Row],[País]])</f>
        <v>España</v>
      </c>
      <c r="Q1742">
        <v>31</v>
      </c>
      <c r="R1742" t="s">
        <v>25</v>
      </c>
      <c r="S1742" t="s">
        <v>26</v>
      </c>
      <c r="T1742" t="s">
        <v>35</v>
      </c>
      <c r="U1742">
        <f>IF(IFERROR(VLOOKUP(BBDD_Usiarios_Netflix[[#This Row],[Identificador Usuario]],A1743:$A$5870,1,FALSE),0)&lt;&gt;0,1,0)</f>
        <v>0</v>
      </c>
      <c r="V1742" s="6" t="str">
        <f>IF(BBDD_Usiarios_Netflix[[#This Row],[Duración Plan]]="12 Meses",LEFT(BBDD_Usiarios_Netflix[[#This Row],[Duración Plan]],2),LEFT(BBDD_Usiarios_Netflix[[#This Row],[Duración Plan]],1))</f>
        <v>6</v>
      </c>
      <c r="W17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43" spans="1:23" x14ac:dyDescent="0.25">
      <c r="A1743">
        <v>1742</v>
      </c>
      <c r="B1743" t="s">
        <v>23</v>
      </c>
      <c r="C1743">
        <v>10</v>
      </c>
      <c r="D1743" s="3">
        <v>29</v>
      </c>
      <c r="E1743" s="3">
        <v>9</v>
      </c>
      <c r="F1743">
        <v>23</v>
      </c>
      <c r="G1743" s="1">
        <f>DATEVALUE(_xlfn.CONCAT(BBDD_Usiarios_Netflix[[#This Row],[Día Suscripción]],"/",BBDD_Usiarios_Netflix[[#This Row],[Mes Suscripción]],"/",BBDD_Usiarios_Netflix[[#This Row],[Año Suscripción]]))</f>
        <v>45198</v>
      </c>
      <c r="H1743" s="1">
        <v>7</v>
      </c>
      <c r="I1743" s="1">
        <v>7</v>
      </c>
      <c r="J1743" s="1">
        <v>24</v>
      </c>
      <c r="K1743" s="1" t="str">
        <f>TEXT(BBDD_Usiarios_Netflix[[#This Row],[Fecha Suscripción]],"dddd")</f>
        <v>viernes</v>
      </c>
      <c r="L1743" s="1">
        <f>DATEVALUE(_xlfn.CONCAT(BBDD_Usiarios_Netflix[[#This Row],[Día Último Pago]],"/",BBDD_Usiarios_Netflix[[#This Row],[Mes Último Pago]],"/",BBDD_Usiarios_Netflix[[#This Row],[Año Último Pago]]))</f>
        <v>45480</v>
      </c>
      <c r="M1743" s="4">
        <f>DATEDIF(BBDD_Usiarios_Netflix[[#This Row],[Fecha Suscripción]],BBDD_Usiarios_Netflix[[#This Row],[Fecha Último Pago]],"M")+1</f>
        <v>10</v>
      </c>
      <c r="N1743" s="4">
        <f>BBDD_Usiarios_Netflix[[#This Row],[Ingresos Mensuales]]*BBDD_Usiarios_Netflix[[#This Row],[Meses contratados]]</f>
        <v>100</v>
      </c>
      <c r="O1743" t="s">
        <v>45</v>
      </c>
      <c r="P1743" t="str">
        <f>IF(BBDD_Usiarios_Netflix[[#This Row],[País]]="","Desconocido",BBDD_Usiarios_Netflix[[#This Row],[País]])</f>
        <v>España</v>
      </c>
      <c r="Q1743">
        <v>27</v>
      </c>
      <c r="R1743" t="s">
        <v>25</v>
      </c>
      <c r="S1743" t="s">
        <v>36</v>
      </c>
      <c r="T1743" t="s">
        <v>41</v>
      </c>
      <c r="U1743">
        <f>IF(IFERROR(VLOOKUP(BBDD_Usiarios_Netflix[[#This Row],[Identificador Usuario]],A1744:$A$5870,1,FALSE),0)&lt;&gt;0,1,0)</f>
        <v>0</v>
      </c>
      <c r="V1743" s="6" t="str">
        <f>IF(BBDD_Usiarios_Netflix[[#This Row],[Duración Plan]]="12 Meses",LEFT(BBDD_Usiarios_Netflix[[#This Row],[Duración Plan]],2),LEFT(BBDD_Usiarios_Netflix[[#This Row],[Duración Plan]],1))</f>
        <v>12</v>
      </c>
      <c r="W17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44" spans="1:23" x14ac:dyDescent="0.25">
      <c r="A1744">
        <v>1743</v>
      </c>
      <c r="B1744" t="s">
        <v>32</v>
      </c>
      <c r="C1744">
        <v>12</v>
      </c>
      <c r="D1744" s="3">
        <v>30</v>
      </c>
      <c r="E1744" s="3">
        <v>9</v>
      </c>
      <c r="F1744">
        <v>23</v>
      </c>
      <c r="G1744" s="1">
        <f>DATEVALUE(_xlfn.CONCAT(BBDD_Usiarios_Netflix[[#This Row],[Día Suscripción]],"/",BBDD_Usiarios_Netflix[[#This Row],[Mes Suscripción]],"/",BBDD_Usiarios_Netflix[[#This Row],[Año Suscripción]]))</f>
        <v>45199</v>
      </c>
      <c r="H1744" s="1">
        <v>8</v>
      </c>
      <c r="I1744" s="1">
        <v>7</v>
      </c>
      <c r="J1744" s="1">
        <v>24</v>
      </c>
      <c r="K1744" s="1" t="str">
        <f>TEXT(BBDD_Usiarios_Netflix[[#This Row],[Fecha Suscripción]],"dddd")</f>
        <v>sábado</v>
      </c>
      <c r="L1744" s="1">
        <f>DATEVALUE(_xlfn.CONCAT(BBDD_Usiarios_Netflix[[#This Row],[Día Último Pago]],"/",BBDD_Usiarios_Netflix[[#This Row],[Mes Último Pago]],"/",BBDD_Usiarios_Netflix[[#This Row],[Año Último Pago]]))</f>
        <v>45481</v>
      </c>
      <c r="M1744" s="4">
        <f>DATEDIF(BBDD_Usiarios_Netflix[[#This Row],[Fecha Suscripción]],BBDD_Usiarios_Netflix[[#This Row],[Fecha Último Pago]],"M")+1</f>
        <v>10</v>
      </c>
      <c r="N1744" s="4">
        <f>BBDD_Usiarios_Netflix[[#This Row],[Ingresos Mensuales]]*BBDD_Usiarios_Netflix[[#This Row],[Meses contratados]]</f>
        <v>120</v>
      </c>
      <c r="O1744" t="s">
        <v>29</v>
      </c>
      <c r="P1744" t="str">
        <f>IF(BBDD_Usiarios_Netflix[[#This Row],[País]]="","Desconocido",BBDD_Usiarios_Netflix[[#This Row],[País]])</f>
        <v>EEUU</v>
      </c>
      <c r="Q1744">
        <v>48</v>
      </c>
      <c r="R1744" t="s">
        <v>25</v>
      </c>
      <c r="S1744" t="s">
        <v>31</v>
      </c>
      <c r="T1744" t="s">
        <v>41</v>
      </c>
      <c r="U1744">
        <f>IF(IFERROR(VLOOKUP(BBDD_Usiarios_Netflix[[#This Row],[Identificador Usuario]],A1745:$A$5870,1,FALSE),0)&lt;&gt;0,1,0)</f>
        <v>0</v>
      </c>
      <c r="V1744" s="6" t="str">
        <f>IF(BBDD_Usiarios_Netflix[[#This Row],[Duración Plan]]="12 Meses",LEFT(BBDD_Usiarios_Netflix[[#This Row],[Duración Plan]],2),LEFT(BBDD_Usiarios_Netflix[[#This Row],[Duración Plan]],1))</f>
        <v>12</v>
      </c>
      <c r="W17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45" spans="1:23" x14ac:dyDescent="0.25">
      <c r="A1745">
        <v>1744</v>
      </c>
      <c r="B1745" t="s">
        <v>28</v>
      </c>
      <c r="C1745">
        <v>14</v>
      </c>
      <c r="D1745" s="3">
        <v>4</v>
      </c>
      <c r="E1745" s="3">
        <v>10</v>
      </c>
      <c r="F1745">
        <v>23</v>
      </c>
      <c r="G1745" s="1">
        <f>DATEVALUE(_xlfn.CONCAT(BBDD_Usiarios_Netflix[[#This Row],[Día Suscripción]],"/",BBDD_Usiarios_Netflix[[#This Row],[Mes Suscripción]],"/",BBDD_Usiarios_Netflix[[#This Row],[Año Suscripción]]))</f>
        <v>45203</v>
      </c>
      <c r="H1745" s="1">
        <v>10</v>
      </c>
      <c r="I1745" s="1">
        <v>7</v>
      </c>
      <c r="J1745" s="1">
        <v>24</v>
      </c>
      <c r="K1745" s="1" t="str">
        <f>TEXT(BBDD_Usiarios_Netflix[[#This Row],[Fecha Suscripción]],"dddd")</f>
        <v>miércoles</v>
      </c>
      <c r="L1745" s="1">
        <f>DATEVALUE(_xlfn.CONCAT(BBDD_Usiarios_Netflix[[#This Row],[Día Último Pago]],"/",BBDD_Usiarios_Netflix[[#This Row],[Mes Último Pago]],"/",BBDD_Usiarios_Netflix[[#This Row],[Año Último Pago]]))</f>
        <v>45483</v>
      </c>
      <c r="M1745" s="4">
        <f>DATEDIF(BBDD_Usiarios_Netflix[[#This Row],[Fecha Suscripción]],BBDD_Usiarios_Netflix[[#This Row],[Fecha Último Pago]],"M")+1</f>
        <v>10</v>
      </c>
      <c r="N1745" s="4">
        <f>BBDD_Usiarios_Netflix[[#This Row],[Ingresos Mensuales]]*BBDD_Usiarios_Netflix[[#This Row],[Meses contratados]]</f>
        <v>140</v>
      </c>
      <c r="O1745" t="s">
        <v>42</v>
      </c>
      <c r="P1745" t="str">
        <f>IF(BBDD_Usiarios_Netflix[[#This Row],[País]]="","Desconocido",BBDD_Usiarios_Netflix[[#This Row],[País]])</f>
        <v>Reino Unido</v>
      </c>
      <c r="Q1745">
        <v>30</v>
      </c>
      <c r="R1745" t="s">
        <v>30</v>
      </c>
      <c r="S1745" t="s">
        <v>34</v>
      </c>
      <c r="T1745" t="s">
        <v>27</v>
      </c>
      <c r="U1745">
        <f>IF(IFERROR(VLOOKUP(BBDD_Usiarios_Netflix[[#This Row],[Identificador Usuario]],A1746:$A$5870,1,FALSE),0)&lt;&gt;0,1,0)</f>
        <v>0</v>
      </c>
      <c r="V1745" s="6" t="str">
        <f>IF(BBDD_Usiarios_Netflix[[#This Row],[Duración Plan]]="12 Meses",LEFT(BBDD_Usiarios_Netflix[[#This Row],[Duración Plan]],2),LEFT(BBDD_Usiarios_Netflix[[#This Row],[Duración Plan]],1))</f>
        <v>1</v>
      </c>
      <c r="W17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46" spans="1:23" x14ac:dyDescent="0.25">
      <c r="A1746">
        <v>1745</v>
      </c>
      <c r="B1746" t="s">
        <v>23</v>
      </c>
      <c r="C1746">
        <v>10</v>
      </c>
      <c r="D1746" s="3">
        <v>8</v>
      </c>
      <c r="E1746" s="3">
        <v>10</v>
      </c>
      <c r="F1746">
        <v>23</v>
      </c>
      <c r="G1746" s="1">
        <f>DATEVALUE(_xlfn.CONCAT(BBDD_Usiarios_Netflix[[#This Row],[Día Suscripción]],"/",BBDD_Usiarios_Netflix[[#This Row],[Mes Suscripción]],"/",BBDD_Usiarios_Netflix[[#This Row],[Año Suscripción]]))</f>
        <v>45207</v>
      </c>
      <c r="H1746" s="1">
        <v>7</v>
      </c>
      <c r="I1746" s="1">
        <v>7</v>
      </c>
      <c r="J1746" s="1">
        <v>24</v>
      </c>
      <c r="K1746" s="1" t="str">
        <f>TEXT(BBDD_Usiarios_Netflix[[#This Row],[Fecha Suscripción]],"dddd")</f>
        <v>domingo</v>
      </c>
      <c r="L1746" s="1">
        <f>DATEVALUE(_xlfn.CONCAT(BBDD_Usiarios_Netflix[[#This Row],[Día Último Pago]],"/",BBDD_Usiarios_Netflix[[#This Row],[Mes Último Pago]],"/",BBDD_Usiarios_Netflix[[#This Row],[Año Último Pago]]))</f>
        <v>45480</v>
      </c>
      <c r="M1746" s="4">
        <f>DATEDIF(BBDD_Usiarios_Netflix[[#This Row],[Fecha Suscripción]],BBDD_Usiarios_Netflix[[#This Row],[Fecha Último Pago]],"M")+1</f>
        <v>9</v>
      </c>
      <c r="N1746" s="4">
        <f>BBDD_Usiarios_Netflix[[#This Row],[Ingresos Mensuales]]*BBDD_Usiarios_Netflix[[#This Row],[Meses contratados]]</f>
        <v>90</v>
      </c>
      <c r="O1746" t="s">
        <v>24</v>
      </c>
      <c r="P1746" t="str">
        <f>IF(BBDD_Usiarios_Netflix[[#This Row],[País]]="","Desconocido",BBDD_Usiarios_Netflix[[#This Row],[País]])</f>
        <v>Australia</v>
      </c>
      <c r="Q1746">
        <v>45</v>
      </c>
      <c r="R1746" t="s">
        <v>25</v>
      </c>
      <c r="S1746" t="s">
        <v>31</v>
      </c>
      <c r="T1746" t="s">
        <v>35</v>
      </c>
      <c r="U1746">
        <f>IF(IFERROR(VLOOKUP(BBDD_Usiarios_Netflix[[#This Row],[Identificador Usuario]],A1747:$A$5870,1,FALSE),0)&lt;&gt;0,1,0)</f>
        <v>0</v>
      </c>
      <c r="V1746" s="6" t="str">
        <f>IF(BBDD_Usiarios_Netflix[[#This Row],[Duración Plan]]="12 Meses",LEFT(BBDD_Usiarios_Netflix[[#This Row],[Duración Plan]],2),LEFT(BBDD_Usiarios_Netflix[[#This Row],[Duración Plan]],1))</f>
        <v>6</v>
      </c>
      <c r="W17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47" spans="1:23" x14ac:dyDescent="0.25">
      <c r="A1747">
        <v>1746</v>
      </c>
      <c r="B1747" t="s">
        <v>28</v>
      </c>
      <c r="C1747">
        <v>14</v>
      </c>
      <c r="D1747" s="3">
        <v>10</v>
      </c>
      <c r="E1747" s="3">
        <v>10</v>
      </c>
      <c r="F1747">
        <v>23</v>
      </c>
      <c r="G1747" s="1">
        <f>DATEVALUE(_xlfn.CONCAT(BBDD_Usiarios_Netflix[[#This Row],[Día Suscripción]],"/",BBDD_Usiarios_Netflix[[#This Row],[Mes Suscripción]],"/",BBDD_Usiarios_Netflix[[#This Row],[Año Suscripción]]))</f>
        <v>45209</v>
      </c>
      <c r="H1747" s="1">
        <v>7</v>
      </c>
      <c r="I1747" s="1">
        <v>7</v>
      </c>
      <c r="J1747" s="1">
        <v>24</v>
      </c>
      <c r="K1747" s="1" t="str">
        <f>TEXT(BBDD_Usiarios_Netflix[[#This Row],[Fecha Suscripción]],"dddd")</f>
        <v>martes</v>
      </c>
      <c r="L1747" s="1">
        <f>DATEVALUE(_xlfn.CONCAT(BBDD_Usiarios_Netflix[[#This Row],[Día Último Pago]],"/",BBDD_Usiarios_Netflix[[#This Row],[Mes Último Pago]],"/",BBDD_Usiarios_Netflix[[#This Row],[Año Último Pago]]))</f>
        <v>45480</v>
      </c>
      <c r="M1747" s="4">
        <f>DATEDIF(BBDD_Usiarios_Netflix[[#This Row],[Fecha Suscripción]],BBDD_Usiarios_Netflix[[#This Row],[Fecha Último Pago]],"M")+1</f>
        <v>9</v>
      </c>
      <c r="N1747" s="4">
        <f>BBDD_Usiarios_Netflix[[#This Row],[Ingresos Mensuales]]*BBDD_Usiarios_Netflix[[#This Row],[Meses contratados]]</f>
        <v>126</v>
      </c>
      <c r="O1747" t="s">
        <v>42</v>
      </c>
      <c r="P1747" t="str">
        <f>IF(BBDD_Usiarios_Netflix[[#This Row],[País]]="","Desconocido",BBDD_Usiarios_Netflix[[#This Row],[País]])</f>
        <v>Reino Unido</v>
      </c>
      <c r="Q1747">
        <v>28</v>
      </c>
      <c r="R1747" t="s">
        <v>25</v>
      </c>
      <c r="S1747" t="s">
        <v>34</v>
      </c>
      <c r="T1747" t="s">
        <v>38</v>
      </c>
      <c r="U1747">
        <f>IF(IFERROR(VLOOKUP(BBDD_Usiarios_Netflix[[#This Row],[Identificador Usuario]],A1748:$A$5870,1,FALSE),0)&lt;&gt;0,1,0)</f>
        <v>0</v>
      </c>
      <c r="V1747" s="6" t="str">
        <f>IF(BBDD_Usiarios_Netflix[[#This Row],[Duración Plan]]="12 Meses",LEFT(BBDD_Usiarios_Netflix[[#This Row],[Duración Plan]],2),LEFT(BBDD_Usiarios_Netflix[[#This Row],[Duración Plan]],1))</f>
        <v>3</v>
      </c>
      <c r="W17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48" spans="1:23" x14ac:dyDescent="0.25">
      <c r="A1748">
        <v>1747</v>
      </c>
      <c r="B1748" t="s">
        <v>23</v>
      </c>
      <c r="C1748">
        <v>10</v>
      </c>
      <c r="D1748" s="3">
        <v>12</v>
      </c>
      <c r="E1748" s="3">
        <v>10</v>
      </c>
      <c r="F1748">
        <v>23</v>
      </c>
      <c r="G1748" s="1">
        <f>DATEVALUE(_xlfn.CONCAT(BBDD_Usiarios_Netflix[[#This Row],[Día Suscripción]],"/",BBDD_Usiarios_Netflix[[#This Row],[Mes Suscripción]],"/",BBDD_Usiarios_Netflix[[#This Row],[Año Suscripción]]))</f>
        <v>45211</v>
      </c>
      <c r="H1748" s="1">
        <v>8</v>
      </c>
      <c r="I1748" s="1">
        <v>7</v>
      </c>
      <c r="J1748" s="1">
        <v>24</v>
      </c>
      <c r="K1748" s="1" t="str">
        <f>TEXT(BBDD_Usiarios_Netflix[[#This Row],[Fecha Suscripción]],"dddd")</f>
        <v>jueves</v>
      </c>
      <c r="L1748" s="1">
        <f>DATEVALUE(_xlfn.CONCAT(BBDD_Usiarios_Netflix[[#This Row],[Día Último Pago]],"/",BBDD_Usiarios_Netflix[[#This Row],[Mes Último Pago]],"/",BBDD_Usiarios_Netflix[[#This Row],[Año Último Pago]]))</f>
        <v>45481</v>
      </c>
      <c r="M1748" s="4">
        <f>DATEDIF(BBDD_Usiarios_Netflix[[#This Row],[Fecha Suscripción]],BBDD_Usiarios_Netflix[[#This Row],[Fecha Último Pago]],"M")+1</f>
        <v>9</v>
      </c>
      <c r="N1748" s="4">
        <f>BBDD_Usiarios_Netflix[[#This Row],[Ingresos Mensuales]]*BBDD_Usiarios_Netflix[[#This Row],[Meses contratados]]</f>
        <v>90</v>
      </c>
      <c r="O1748" t="s">
        <v>45</v>
      </c>
      <c r="P1748" t="str">
        <f>IF(BBDD_Usiarios_Netflix[[#This Row],[País]]="","Desconocido",BBDD_Usiarios_Netflix[[#This Row],[País]])</f>
        <v>España</v>
      </c>
      <c r="Q1748">
        <v>30</v>
      </c>
      <c r="R1748" t="s">
        <v>30</v>
      </c>
      <c r="S1748" t="s">
        <v>36</v>
      </c>
      <c r="T1748" t="s">
        <v>38</v>
      </c>
      <c r="U1748">
        <f>IF(IFERROR(VLOOKUP(BBDD_Usiarios_Netflix[[#This Row],[Identificador Usuario]],A1749:$A$5870,1,FALSE),0)&lt;&gt;0,1,0)</f>
        <v>0</v>
      </c>
      <c r="V1748" s="6" t="str">
        <f>IF(BBDD_Usiarios_Netflix[[#This Row],[Duración Plan]]="12 Meses",LEFT(BBDD_Usiarios_Netflix[[#This Row],[Duración Plan]],2),LEFT(BBDD_Usiarios_Netflix[[#This Row],[Duración Plan]],1))</f>
        <v>3</v>
      </c>
      <c r="W17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49" spans="1:23" x14ac:dyDescent="0.25">
      <c r="A1749">
        <v>1748</v>
      </c>
      <c r="B1749" t="s">
        <v>32</v>
      </c>
      <c r="C1749">
        <v>12</v>
      </c>
      <c r="D1749" s="3">
        <v>14</v>
      </c>
      <c r="E1749" s="3">
        <v>10</v>
      </c>
      <c r="F1749">
        <v>23</v>
      </c>
      <c r="G1749" s="1">
        <f>DATEVALUE(_xlfn.CONCAT(BBDD_Usiarios_Netflix[[#This Row],[Día Suscripción]],"/",BBDD_Usiarios_Netflix[[#This Row],[Mes Suscripción]],"/",BBDD_Usiarios_Netflix[[#This Row],[Año Suscripción]]))</f>
        <v>45213</v>
      </c>
      <c r="H1749" s="1">
        <v>10</v>
      </c>
      <c r="I1749" s="1">
        <v>7</v>
      </c>
      <c r="J1749" s="1">
        <v>24</v>
      </c>
      <c r="K1749" s="1" t="str">
        <f>TEXT(BBDD_Usiarios_Netflix[[#This Row],[Fecha Suscripción]],"dddd")</f>
        <v>sábado</v>
      </c>
      <c r="L1749" s="1">
        <f>DATEVALUE(_xlfn.CONCAT(BBDD_Usiarios_Netflix[[#This Row],[Día Último Pago]],"/",BBDD_Usiarios_Netflix[[#This Row],[Mes Último Pago]],"/",BBDD_Usiarios_Netflix[[#This Row],[Año Último Pago]]))</f>
        <v>45483</v>
      </c>
      <c r="M1749" s="4">
        <f>DATEDIF(BBDD_Usiarios_Netflix[[#This Row],[Fecha Suscripción]],BBDD_Usiarios_Netflix[[#This Row],[Fecha Último Pago]],"M")+1</f>
        <v>9</v>
      </c>
      <c r="N1749" s="4">
        <f>BBDD_Usiarios_Netflix[[#This Row],[Ingresos Mensuales]]*BBDD_Usiarios_Netflix[[#This Row],[Meses contratados]]</f>
        <v>108</v>
      </c>
      <c r="O1749" t="s">
        <v>45</v>
      </c>
      <c r="P1749" t="str">
        <f>IF(BBDD_Usiarios_Netflix[[#This Row],[País]]="","Desconocido",BBDD_Usiarios_Netflix[[#This Row],[País]])</f>
        <v>España</v>
      </c>
      <c r="Q1749">
        <v>48</v>
      </c>
      <c r="R1749" t="s">
        <v>25</v>
      </c>
      <c r="S1749" t="s">
        <v>26</v>
      </c>
      <c r="T1749" t="s">
        <v>35</v>
      </c>
      <c r="U1749">
        <f>IF(IFERROR(VLOOKUP(BBDD_Usiarios_Netflix[[#This Row],[Identificador Usuario]],A1750:$A$5870,1,FALSE),0)&lt;&gt;0,1,0)</f>
        <v>0</v>
      </c>
      <c r="V1749" s="6" t="str">
        <f>IF(BBDD_Usiarios_Netflix[[#This Row],[Duración Plan]]="12 Meses",LEFT(BBDD_Usiarios_Netflix[[#This Row],[Duración Plan]],2),LEFT(BBDD_Usiarios_Netflix[[#This Row],[Duración Plan]],1))</f>
        <v>6</v>
      </c>
      <c r="W17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50" spans="1:23" x14ac:dyDescent="0.25">
      <c r="A1750">
        <v>1749</v>
      </c>
      <c r="B1750" t="s">
        <v>32</v>
      </c>
      <c r="C1750">
        <v>12</v>
      </c>
      <c r="D1750" s="3">
        <v>16</v>
      </c>
      <c r="E1750" s="3">
        <v>10</v>
      </c>
      <c r="F1750">
        <v>23</v>
      </c>
      <c r="G1750" s="1">
        <f>DATEVALUE(_xlfn.CONCAT(BBDD_Usiarios_Netflix[[#This Row],[Día Suscripción]],"/",BBDD_Usiarios_Netflix[[#This Row],[Mes Suscripción]],"/",BBDD_Usiarios_Netflix[[#This Row],[Año Suscripción]]))</f>
        <v>45215</v>
      </c>
      <c r="H1750" s="1">
        <v>7</v>
      </c>
      <c r="I1750" s="1">
        <v>7</v>
      </c>
      <c r="J1750" s="1">
        <v>24</v>
      </c>
      <c r="K1750" s="1" t="str">
        <f>TEXT(BBDD_Usiarios_Netflix[[#This Row],[Fecha Suscripción]],"dddd")</f>
        <v>lunes</v>
      </c>
      <c r="L1750" s="1">
        <f>DATEVALUE(_xlfn.CONCAT(BBDD_Usiarios_Netflix[[#This Row],[Día Último Pago]],"/",BBDD_Usiarios_Netflix[[#This Row],[Mes Último Pago]],"/",BBDD_Usiarios_Netflix[[#This Row],[Año Último Pago]]))</f>
        <v>45480</v>
      </c>
      <c r="M1750" s="4">
        <f>DATEDIF(BBDD_Usiarios_Netflix[[#This Row],[Fecha Suscripción]],BBDD_Usiarios_Netflix[[#This Row],[Fecha Último Pago]],"M")+1</f>
        <v>9</v>
      </c>
      <c r="N1750" s="4">
        <f>BBDD_Usiarios_Netflix[[#This Row],[Ingresos Mensuales]]*BBDD_Usiarios_Netflix[[#This Row],[Meses contratados]]</f>
        <v>108</v>
      </c>
      <c r="O1750" t="s">
        <v>24</v>
      </c>
      <c r="P1750" t="str">
        <f>IF(BBDD_Usiarios_Netflix[[#This Row],[País]]="","Desconocido",BBDD_Usiarios_Netflix[[#This Row],[País]])</f>
        <v>Australia</v>
      </c>
      <c r="Q1750">
        <v>37</v>
      </c>
      <c r="R1750" t="s">
        <v>30</v>
      </c>
      <c r="S1750" t="s">
        <v>36</v>
      </c>
      <c r="T1750" t="s">
        <v>27</v>
      </c>
      <c r="U1750">
        <f>IF(IFERROR(VLOOKUP(BBDD_Usiarios_Netflix[[#This Row],[Identificador Usuario]],A1751:$A$5870,1,FALSE),0)&lt;&gt;0,1,0)</f>
        <v>0</v>
      </c>
      <c r="V1750" s="6" t="str">
        <f>IF(BBDD_Usiarios_Netflix[[#This Row],[Duración Plan]]="12 Meses",LEFT(BBDD_Usiarios_Netflix[[#This Row],[Duración Plan]],2),LEFT(BBDD_Usiarios_Netflix[[#This Row],[Duración Plan]],1))</f>
        <v>1</v>
      </c>
      <c r="W17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1" spans="1:23" x14ac:dyDescent="0.25">
      <c r="A1751">
        <v>1750</v>
      </c>
      <c r="B1751" t="s">
        <v>23</v>
      </c>
      <c r="C1751">
        <v>10</v>
      </c>
      <c r="D1751" s="3">
        <v>21</v>
      </c>
      <c r="E1751" s="3">
        <v>10</v>
      </c>
      <c r="F1751">
        <v>23</v>
      </c>
      <c r="G1751" s="1">
        <f>DATEVALUE(_xlfn.CONCAT(BBDD_Usiarios_Netflix[[#This Row],[Día Suscripción]],"/",BBDD_Usiarios_Netflix[[#This Row],[Mes Suscripción]],"/",BBDD_Usiarios_Netflix[[#This Row],[Año Suscripción]]))</f>
        <v>45220</v>
      </c>
      <c r="H1751" s="1">
        <v>7</v>
      </c>
      <c r="I1751" s="1">
        <v>7</v>
      </c>
      <c r="J1751" s="1">
        <v>24</v>
      </c>
      <c r="K1751" s="1" t="str">
        <f>TEXT(BBDD_Usiarios_Netflix[[#This Row],[Fecha Suscripción]],"dddd")</f>
        <v>sábado</v>
      </c>
      <c r="L1751" s="1">
        <f>DATEVALUE(_xlfn.CONCAT(BBDD_Usiarios_Netflix[[#This Row],[Día Último Pago]],"/",BBDD_Usiarios_Netflix[[#This Row],[Mes Último Pago]],"/",BBDD_Usiarios_Netflix[[#This Row],[Año Último Pago]]))</f>
        <v>45480</v>
      </c>
      <c r="M1751" s="4">
        <f>DATEDIF(BBDD_Usiarios_Netflix[[#This Row],[Fecha Suscripción]],BBDD_Usiarios_Netflix[[#This Row],[Fecha Último Pago]],"M")+1</f>
        <v>9</v>
      </c>
      <c r="N1751" s="4">
        <f>BBDD_Usiarios_Netflix[[#This Row],[Ingresos Mensuales]]*BBDD_Usiarios_Netflix[[#This Row],[Meses contratados]]</f>
        <v>90</v>
      </c>
      <c r="O1751" t="s">
        <v>24</v>
      </c>
      <c r="P1751" t="str">
        <f>IF(BBDD_Usiarios_Netflix[[#This Row],[País]]="","Desconocido",BBDD_Usiarios_Netflix[[#This Row],[País]])</f>
        <v>Australia</v>
      </c>
      <c r="Q1751">
        <v>28</v>
      </c>
      <c r="R1751" t="s">
        <v>30</v>
      </c>
      <c r="S1751" t="s">
        <v>26</v>
      </c>
      <c r="T1751" t="s">
        <v>41</v>
      </c>
      <c r="U1751">
        <f>IF(IFERROR(VLOOKUP(BBDD_Usiarios_Netflix[[#This Row],[Identificador Usuario]],A1752:$A$5870,1,FALSE),0)&lt;&gt;0,1,0)</f>
        <v>0</v>
      </c>
      <c r="V1751" s="6" t="str">
        <f>IF(BBDD_Usiarios_Netflix[[#This Row],[Duración Plan]]="12 Meses",LEFT(BBDD_Usiarios_Netflix[[#This Row],[Duración Plan]],2),LEFT(BBDD_Usiarios_Netflix[[#This Row],[Duración Plan]],1))</f>
        <v>12</v>
      </c>
      <c r="W17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52" spans="1:23" x14ac:dyDescent="0.25">
      <c r="A1752">
        <v>1751</v>
      </c>
      <c r="B1752" t="s">
        <v>28</v>
      </c>
      <c r="C1752">
        <v>14</v>
      </c>
      <c r="D1752" s="3">
        <v>23</v>
      </c>
      <c r="E1752" s="3">
        <v>10</v>
      </c>
      <c r="F1752">
        <v>23</v>
      </c>
      <c r="G1752" s="1">
        <f>DATEVALUE(_xlfn.CONCAT(BBDD_Usiarios_Netflix[[#This Row],[Día Suscripción]],"/",BBDD_Usiarios_Netflix[[#This Row],[Mes Suscripción]],"/",BBDD_Usiarios_Netflix[[#This Row],[Año Suscripción]]))</f>
        <v>45222</v>
      </c>
      <c r="H1752" s="1">
        <v>7</v>
      </c>
      <c r="I1752" s="1">
        <v>7</v>
      </c>
      <c r="J1752" s="1">
        <v>24</v>
      </c>
      <c r="K1752" s="1" t="str">
        <f>TEXT(BBDD_Usiarios_Netflix[[#This Row],[Fecha Suscripción]],"dddd")</f>
        <v>lunes</v>
      </c>
      <c r="L1752" s="1">
        <f>DATEVALUE(_xlfn.CONCAT(BBDD_Usiarios_Netflix[[#This Row],[Día Último Pago]],"/",BBDD_Usiarios_Netflix[[#This Row],[Mes Último Pago]],"/",BBDD_Usiarios_Netflix[[#This Row],[Año Último Pago]]))</f>
        <v>45480</v>
      </c>
      <c r="M1752" s="4">
        <f>DATEDIF(BBDD_Usiarios_Netflix[[#This Row],[Fecha Suscripción]],BBDD_Usiarios_Netflix[[#This Row],[Fecha Último Pago]],"M")+1</f>
        <v>9</v>
      </c>
      <c r="N1752" s="4">
        <f>BBDD_Usiarios_Netflix[[#This Row],[Ingresos Mensuales]]*BBDD_Usiarios_Netflix[[#This Row],[Meses contratados]]</f>
        <v>126</v>
      </c>
      <c r="O1752" t="s">
        <v>39</v>
      </c>
      <c r="P1752" t="str">
        <f>IF(BBDD_Usiarios_Netflix[[#This Row],[País]]="","Desconocido",BBDD_Usiarios_Netflix[[#This Row],[País]])</f>
        <v>Canadá</v>
      </c>
      <c r="Q1752">
        <v>43</v>
      </c>
      <c r="R1752" t="s">
        <v>30</v>
      </c>
      <c r="S1752" t="s">
        <v>31</v>
      </c>
      <c r="T1752" t="s">
        <v>41</v>
      </c>
      <c r="U1752">
        <f>IF(IFERROR(VLOOKUP(BBDD_Usiarios_Netflix[[#This Row],[Identificador Usuario]],A1753:$A$5870,1,FALSE),0)&lt;&gt;0,1,0)</f>
        <v>0</v>
      </c>
      <c r="V1752" s="6" t="str">
        <f>IF(BBDD_Usiarios_Netflix[[#This Row],[Duración Plan]]="12 Meses",LEFT(BBDD_Usiarios_Netflix[[#This Row],[Duración Plan]],2),LEFT(BBDD_Usiarios_Netflix[[#This Row],[Duración Plan]],1))</f>
        <v>12</v>
      </c>
      <c r="W17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53" spans="1:23" x14ac:dyDescent="0.25">
      <c r="A1753">
        <v>1752</v>
      </c>
      <c r="B1753" t="s">
        <v>23</v>
      </c>
      <c r="C1753">
        <v>10</v>
      </c>
      <c r="D1753" s="3">
        <v>25</v>
      </c>
      <c r="E1753" s="3">
        <v>10</v>
      </c>
      <c r="F1753">
        <v>23</v>
      </c>
      <c r="G1753" s="1">
        <f>DATEVALUE(_xlfn.CONCAT(BBDD_Usiarios_Netflix[[#This Row],[Día Suscripción]],"/",BBDD_Usiarios_Netflix[[#This Row],[Mes Suscripción]],"/",BBDD_Usiarios_Netflix[[#This Row],[Año Suscripción]]))</f>
        <v>45224</v>
      </c>
      <c r="H1753" s="1">
        <v>9</v>
      </c>
      <c r="I1753" s="1">
        <v>7</v>
      </c>
      <c r="J1753" s="1">
        <v>24</v>
      </c>
      <c r="K1753" s="1" t="str">
        <f>TEXT(BBDD_Usiarios_Netflix[[#This Row],[Fecha Suscripción]],"dddd")</f>
        <v>miércoles</v>
      </c>
      <c r="L1753" s="1">
        <f>DATEVALUE(_xlfn.CONCAT(BBDD_Usiarios_Netflix[[#This Row],[Día Último Pago]],"/",BBDD_Usiarios_Netflix[[#This Row],[Mes Último Pago]],"/",BBDD_Usiarios_Netflix[[#This Row],[Año Último Pago]]))</f>
        <v>45482</v>
      </c>
      <c r="M1753" s="4">
        <f>DATEDIF(BBDD_Usiarios_Netflix[[#This Row],[Fecha Suscripción]],BBDD_Usiarios_Netflix[[#This Row],[Fecha Último Pago]],"M")+1</f>
        <v>9</v>
      </c>
      <c r="N1753" s="4">
        <f>BBDD_Usiarios_Netflix[[#This Row],[Ingresos Mensuales]]*BBDD_Usiarios_Netflix[[#This Row],[Meses contratados]]</f>
        <v>90</v>
      </c>
      <c r="O1753" t="s">
        <v>40</v>
      </c>
      <c r="P1753" t="str">
        <f>IF(BBDD_Usiarios_Netflix[[#This Row],[País]]="","Desconocido",BBDD_Usiarios_Netflix[[#This Row],[País]])</f>
        <v>Italia</v>
      </c>
      <c r="Q1753">
        <v>36</v>
      </c>
      <c r="R1753" t="s">
        <v>25</v>
      </c>
      <c r="S1753" t="s">
        <v>36</v>
      </c>
      <c r="T1753" t="s">
        <v>41</v>
      </c>
      <c r="U1753">
        <f>IF(IFERROR(VLOOKUP(BBDD_Usiarios_Netflix[[#This Row],[Identificador Usuario]],A1754:$A$5870,1,FALSE),0)&lt;&gt;0,1,0)</f>
        <v>0</v>
      </c>
      <c r="V1753" s="6" t="str">
        <f>IF(BBDD_Usiarios_Netflix[[#This Row],[Duración Plan]]="12 Meses",LEFT(BBDD_Usiarios_Netflix[[#This Row],[Duración Plan]],2),LEFT(BBDD_Usiarios_Netflix[[#This Row],[Duración Plan]],1))</f>
        <v>12</v>
      </c>
      <c r="W17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54" spans="1:23" x14ac:dyDescent="0.25">
      <c r="A1754">
        <v>1753</v>
      </c>
      <c r="B1754" t="s">
        <v>32</v>
      </c>
      <c r="C1754">
        <v>12</v>
      </c>
      <c r="D1754" s="3">
        <v>26</v>
      </c>
      <c r="E1754" s="3">
        <v>10</v>
      </c>
      <c r="F1754">
        <v>23</v>
      </c>
      <c r="G1754" s="1">
        <f>DATEVALUE(_xlfn.CONCAT(BBDD_Usiarios_Netflix[[#This Row],[Día Suscripción]],"/",BBDD_Usiarios_Netflix[[#This Row],[Mes Suscripción]],"/",BBDD_Usiarios_Netflix[[#This Row],[Año Suscripción]]))</f>
        <v>45225</v>
      </c>
      <c r="H1754" s="1">
        <v>6</v>
      </c>
      <c r="I1754" s="1">
        <v>7</v>
      </c>
      <c r="J1754" s="1">
        <v>24</v>
      </c>
      <c r="K1754" s="1" t="str">
        <f>TEXT(BBDD_Usiarios_Netflix[[#This Row],[Fecha Suscripción]],"dddd")</f>
        <v>jueves</v>
      </c>
      <c r="L1754" s="1">
        <f>DATEVALUE(_xlfn.CONCAT(BBDD_Usiarios_Netflix[[#This Row],[Día Último Pago]],"/",BBDD_Usiarios_Netflix[[#This Row],[Mes Último Pago]],"/",BBDD_Usiarios_Netflix[[#This Row],[Año Último Pago]]))</f>
        <v>45479</v>
      </c>
      <c r="M1754" s="4">
        <f>DATEDIF(BBDD_Usiarios_Netflix[[#This Row],[Fecha Suscripción]],BBDD_Usiarios_Netflix[[#This Row],[Fecha Último Pago]],"M")+1</f>
        <v>9</v>
      </c>
      <c r="N1754" s="4">
        <f>BBDD_Usiarios_Netflix[[#This Row],[Ingresos Mensuales]]*BBDD_Usiarios_Netflix[[#This Row],[Meses contratados]]</f>
        <v>108</v>
      </c>
      <c r="O1754" t="s">
        <v>24</v>
      </c>
      <c r="P1754" t="str">
        <f>IF(BBDD_Usiarios_Netflix[[#This Row],[País]]="","Desconocido",BBDD_Usiarios_Netflix[[#This Row],[País]])</f>
        <v>Australia</v>
      </c>
      <c r="Q1754">
        <v>47</v>
      </c>
      <c r="R1754" t="s">
        <v>25</v>
      </c>
      <c r="S1754" t="s">
        <v>36</v>
      </c>
      <c r="T1754" t="s">
        <v>27</v>
      </c>
      <c r="U1754">
        <f>IF(IFERROR(VLOOKUP(BBDD_Usiarios_Netflix[[#This Row],[Identificador Usuario]],A1755:$A$5870,1,FALSE),0)&lt;&gt;0,1,0)</f>
        <v>0</v>
      </c>
      <c r="V1754" s="6" t="str">
        <f>IF(BBDD_Usiarios_Netflix[[#This Row],[Duración Plan]]="12 Meses",LEFT(BBDD_Usiarios_Netflix[[#This Row],[Duración Plan]],2),LEFT(BBDD_Usiarios_Netflix[[#This Row],[Duración Plan]],1))</f>
        <v>1</v>
      </c>
      <c r="W17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5" spans="1:23" x14ac:dyDescent="0.25">
      <c r="A1755">
        <v>1754</v>
      </c>
      <c r="B1755" t="s">
        <v>28</v>
      </c>
      <c r="C1755">
        <v>14</v>
      </c>
      <c r="D1755" s="3">
        <v>29</v>
      </c>
      <c r="E1755" s="3">
        <v>10</v>
      </c>
      <c r="F1755">
        <v>23</v>
      </c>
      <c r="G1755" s="1">
        <f>DATEVALUE(_xlfn.CONCAT(BBDD_Usiarios_Netflix[[#This Row],[Día Suscripción]],"/",BBDD_Usiarios_Netflix[[#This Row],[Mes Suscripción]],"/",BBDD_Usiarios_Netflix[[#This Row],[Año Suscripción]]))</f>
        <v>45228</v>
      </c>
      <c r="H1755" s="1">
        <v>7</v>
      </c>
      <c r="I1755" s="1">
        <v>7</v>
      </c>
      <c r="J1755" s="1">
        <v>24</v>
      </c>
      <c r="K1755" s="1" t="str">
        <f>TEXT(BBDD_Usiarios_Netflix[[#This Row],[Fecha Suscripción]],"dddd")</f>
        <v>domingo</v>
      </c>
      <c r="L1755" s="1">
        <f>DATEVALUE(_xlfn.CONCAT(BBDD_Usiarios_Netflix[[#This Row],[Día Último Pago]],"/",BBDD_Usiarios_Netflix[[#This Row],[Mes Último Pago]],"/",BBDD_Usiarios_Netflix[[#This Row],[Año Último Pago]]))</f>
        <v>45480</v>
      </c>
      <c r="M1755" s="4">
        <f>DATEDIF(BBDD_Usiarios_Netflix[[#This Row],[Fecha Suscripción]],BBDD_Usiarios_Netflix[[#This Row],[Fecha Último Pago]],"M")+1</f>
        <v>9</v>
      </c>
      <c r="N1755" s="4">
        <f>BBDD_Usiarios_Netflix[[#This Row],[Ingresos Mensuales]]*BBDD_Usiarios_Netflix[[#This Row],[Meses contratados]]</f>
        <v>126</v>
      </c>
      <c r="O1755" t="s">
        <v>33</v>
      </c>
      <c r="P1755" t="str">
        <f>IF(BBDD_Usiarios_Netflix[[#This Row],[País]]="","Desconocido",BBDD_Usiarios_Netflix[[#This Row],[País]])</f>
        <v>Francia</v>
      </c>
      <c r="Q1755">
        <v>42</v>
      </c>
      <c r="R1755" t="s">
        <v>25</v>
      </c>
      <c r="S1755" t="s">
        <v>34</v>
      </c>
      <c r="T1755" t="s">
        <v>27</v>
      </c>
      <c r="U1755">
        <f>IF(IFERROR(VLOOKUP(BBDD_Usiarios_Netflix[[#This Row],[Identificador Usuario]],A1756:$A$5870,1,FALSE),0)&lt;&gt;0,1,0)</f>
        <v>0</v>
      </c>
      <c r="V1755" s="6" t="str">
        <f>IF(BBDD_Usiarios_Netflix[[#This Row],[Duración Plan]]="12 Meses",LEFT(BBDD_Usiarios_Netflix[[#This Row],[Duración Plan]],2),LEFT(BBDD_Usiarios_Netflix[[#This Row],[Duración Plan]],1))</f>
        <v>1</v>
      </c>
      <c r="W17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6" spans="1:23" x14ac:dyDescent="0.25">
      <c r="A1756">
        <v>1755</v>
      </c>
      <c r="B1756" t="s">
        <v>23</v>
      </c>
      <c r="C1756">
        <v>10</v>
      </c>
      <c r="D1756" s="3">
        <v>31</v>
      </c>
      <c r="E1756" s="3">
        <v>10</v>
      </c>
      <c r="F1756">
        <v>23</v>
      </c>
      <c r="G1756" s="1">
        <f>DATEVALUE(_xlfn.CONCAT(BBDD_Usiarios_Netflix[[#This Row],[Día Suscripción]],"/",BBDD_Usiarios_Netflix[[#This Row],[Mes Suscripción]],"/",BBDD_Usiarios_Netflix[[#This Row],[Año Suscripción]]))</f>
        <v>45230</v>
      </c>
      <c r="H1756" s="1">
        <v>7</v>
      </c>
      <c r="I1756" s="1">
        <v>7</v>
      </c>
      <c r="J1756" s="1">
        <v>24</v>
      </c>
      <c r="K1756" s="1" t="str">
        <f>TEXT(BBDD_Usiarios_Netflix[[#This Row],[Fecha Suscripción]],"dddd")</f>
        <v>martes</v>
      </c>
      <c r="L1756" s="1">
        <f>DATEVALUE(_xlfn.CONCAT(BBDD_Usiarios_Netflix[[#This Row],[Día Último Pago]],"/",BBDD_Usiarios_Netflix[[#This Row],[Mes Último Pago]],"/",BBDD_Usiarios_Netflix[[#This Row],[Año Último Pago]]))</f>
        <v>45480</v>
      </c>
      <c r="M1756" s="4">
        <f>DATEDIF(BBDD_Usiarios_Netflix[[#This Row],[Fecha Suscripción]],BBDD_Usiarios_Netflix[[#This Row],[Fecha Último Pago]],"M")+1</f>
        <v>9</v>
      </c>
      <c r="N1756" s="4">
        <f>BBDD_Usiarios_Netflix[[#This Row],[Ingresos Mensuales]]*BBDD_Usiarios_Netflix[[#This Row],[Meses contratados]]</f>
        <v>90</v>
      </c>
      <c r="O1756" t="s">
        <v>43</v>
      </c>
      <c r="P1756" t="str">
        <f>IF(BBDD_Usiarios_Netflix[[#This Row],[País]]="","Desconocido",BBDD_Usiarios_Netflix[[#This Row],[País]])</f>
        <v>Alemania</v>
      </c>
      <c r="Q1756">
        <v>50</v>
      </c>
      <c r="R1756" t="s">
        <v>25</v>
      </c>
      <c r="S1756" t="s">
        <v>36</v>
      </c>
      <c r="T1756" t="s">
        <v>27</v>
      </c>
      <c r="U1756">
        <f>IF(IFERROR(VLOOKUP(BBDD_Usiarios_Netflix[[#This Row],[Identificador Usuario]],A1757:$A$5870,1,FALSE),0)&lt;&gt;0,1,0)</f>
        <v>0</v>
      </c>
      <c r="V1756" s="6" t="str">
        <f>IF(BBDD_Usiarios_Netflix[[#This Row],[Duración Plan]]="12 Meses",LEFT(BBDD_Usiarios_Netflix[[#This Row],[Duración Plan]],2),LEFT(BBDD_Usiarios_Netflix[[#This Row],[Duración Plan]],1))</f>
        <v>1</v>
      </c>
      <c r="W17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7" spans="1:23" x14ac:dyDescent="0.25">
      <c r="A1757">
        <v>1756</v>
      </c>
      <c r="B1757" t="s">
        <v>28</v>
      </c>
      <c r="C1757">
        <v>14</v>
      </c>
      <c r="D1757" s="3">
        <v>2</v>
      </c>
      <c r="E1757" s="3">
        <v>11</v>
      </c>
      <c r="F1757">
        <v>23</v>
      </c>
      <c r="G1757" s="1">
        <f>DATEVALUE(_xlfn.CONCAT(BBDD_Usiarios_Netflix[[#This Row],[Día Suscripción]],"/",BBDD_Usiarios_Netflix[[#This Row],[Mes Suscripción]],"/",BBDD_Usiarios_Netflix[[#This Row],[Año Suscripción]]))</f>
        <v>45232</v>
      </c>
      <c r="H1757" s="1">
        <v>8</v>
      </c>
      <c r="I1757" s="1">
        <v>7</v>
      </c>
      <c r="J1757" s="1">
        <v>24</v>
      </c>
      <c r="K1757" s="1" t="str">
        <f>TEXT(BBDD_Usiarios_Netflix[[#This Row],[Fecha Suscripción]],"dddd")</f>
        <v>jueves</v>
      </c>
      <c r="L1757" s="1">
        <f>DATEVALUE(_xlfn.CONCAT(BBDD_Usiarios_Netflix[[#This Row],[Día Último Pago]],"/",BBDD_Usiarios_Netflix[[#This Row],[Mes Último Pago]],"/",BBDD_Usiarios_Netflix[[#This Row],[Año Último Pago]]))</f>
        <v>45481</v>
      </c>
      <c r="M1757" s="4">
        <f>DATEDIF(BBDD_Usiarios_Netflix[[#This Row],[Fecha Suscripción]],BBDD_Usiarios_Netflix[[#This Row],[Fecha Último Pago]],"M")+1</f>
        <v>9</v>
      </c>
      <c r="N1757" s="4">
        <f>BBDD_Usiarios_Netflix[[#This Row],[Ingresos Mensuales]]*BBDD_Usiarios_Netflix[[#This Row],[Meses contratados]]</f>
        <v>126</v>
      </c>
      <c r="O1757" t="s">
        <v>44</v>
      </c>
      <c r="P1757" t="str">
        <f>IF(BBDD_Usiarios_Netflix[[#This Row],[País]]="","Desconocido",BBDD_Usiarios_Netflix[[#This Row],[País]])</f>
        <v>Desconocido</v>
      </c>
      <c r="Q1757">
        <v>41</v>
      </c>
      <c r="R1757" t="s">
        <v>25</v>
      </c>
      <c r="S1757" t="s">
        <v>31</v>
      </c>
      <c r="T1757" t="s">
        <v>27</v>
      </c>
      <c r="U1757">
        <f>IF(IFERROR(VLOOKUP(BBDD_Usiarios_Netflix[[#This Row],[Identificador Usuario]],A1758:$A$5870,1,FALSE),0)&lt;&gt;0,1,0)</f>
        <v>0</v>
      </c>
      <c r="V1757" s="6" t="str">
        <f>IF(BBDD_Usiarios_Netflix[[#This Row],[Duración Plan]]="12 Meses",LEFT(BBDD_Usiarios_Netflix[[#This Row],[Duración Plan]],2),LEFT(BBDD_Usiarios_Netflix[[#This Row],[Duración Plan]],1))</f>
        <v>1</v>
      </c>
      <c r="W17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8" spans="1:23" x14ac:dyDescent="0.25">
      <c r="A1758">
        <v>1757</v>
      </c>
      <c r="B1758" t="s">
        <v>23</v>
      </c>
      <c r="C1758">
        <v>10</v>
      </c>
      <c r="D1758" s="3">
        <v>3</v>
      </c>
      <c r="E1758" s="3">
        <v>11</v>
      </c>
      <c r="F1758">
        <v>23</v>
      </c>
      <c r="G1758" s="1">
        <f>DATEVALUE(_xlfn.CONCAT(BBDD_Usiarios_Netflix[[#This Row],[Día Suscripción]],"/",BBDD_Usiarios_Netflix[[#This Row],[Mes Suscripción]],"/",BBDD_Usiarios_Netflix[[#This Row],[Año Suscripción]]))</f>
        <v>45233</v>
      </c>
      <c r="H1758" s="1">
        <v>5</v>
      </c>
      <c r="I1758" s="1">
        <v>7</v>
      </c>
      <c r="J1758" s="1">
        <v>24</v>
      </c>
      <c r="K1758" s="1" t="str">
        <f>TEXT(BBDD_Usiarios_Netflix[[#This Row],[Fecha Suscripción]],"dddd")</f>
        <v>viernes</v>
      </c>
      <c r="L1758" s="1">
        <f>DATEVALUE(_xlfn.CONCAT(BBDD_Usiarios_Netflix[[#This Row],[Día Último Pago]],"/",BBDD_Usiarios_Netflix[[#This Row],[Mes Último Pago]],"/",BBDD_Usiarios_Netflix[[#This Row],[Año Último Pago]]))</f>
        <v>45478</v>
      </c>
      <c r="M1758" s="4">
        <f>DATEDIF(BBDD_Usiarios_Netflix[[#This Row],[Fecha Suscripción]],BBDD_Usiarios_Netflix[[#This Row],[Fecha Último Pago]],"M")+1</f>
        <v>9</v>
      </c>
      <c r="N1758" s="4">
        <f>BBDD_Usiarios_Netflix[[#This Row],[Ingresos Mensuales]]*BBDD_Usiarios_Netflix[[#This Row],[Meses contratados]]</f>
        <v>90</v>
      </c>
      <c r="O1758" t="s">
        <v>29</v>
      </c>
      <c r="P1758" t="str">
        <f>IF(BBDD_Usiarios_Netflix[[#This Row],[País]]="","Desconocido",BBDD_Usiarios_Netflix[[#This Row],[País]])</f>
        <v>EEUU</v>
      </c>
      <c r="Q1758">
        <v>43</v>
      </c>
      <c r="R1758" t="s">
        <v>25</v>
      </c>
      <c r="S1758" t="s">
        <v>36</v>
      </c>
      <c r="T1758" t="s">
        <v>27</v>
      </c>
      <c r="U1758">
        <f>IF(IFERROR(VLOOKUP(BBDD_Usiarios_Netflix[[#This Row],[Identificador Usuario]],A1759:$A$5870,1,FALSE),0)&lt;&gt;0,1,0)</f>
        <v>0</v>
      </c>
      <c r="V1758" s="6" t="str">
        <f>IF(BBDD_Usiarios_Netflix[[#This Row],[Duración Plan]]="12 Meses",LEFT(BBDD_Usiarios_Netflix[[#This Row],[Duración Plan]],2),LEFT(BBDD_Usiarios_Netflix[[#This Row],[Duración Plan]],1))</f>
        <v>1</v>
      </c>
      <c r="W17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59" spans="1:23" x14ac:dyDescent="0.25">
      <c r="A1759">
        <v>1758</v>
      </c>
      <c r="B1759" t="s">
        <v>32</v>
      </c>
      <c r="C1759">
        <v>12</v>
      </c>
      <c r="D1759" s="3">
        <v>5</v>
      </c>
      <c r="E1759" s="3">
        <v>11</v>
      </c>
      <c r="F1759">
        <v>23</v>
      </c>
      <c r="G1759" s="1">
        <f>DATEVALUE(_xlfn.CONCAT(BBDD_Usiarios_Netflix[[#This Row],[Día Suscripción]],"/",BBDD_Usiarios_Netflix[[#This Row],[Mes Suscripción]],"/",BBDD_Usiarios_Netflix[[#This Row],[Año Suscripción]]))</f>
        <v>45235</v>
      </c>
      <c r="H1759" s="1">
        <v>7</v>
      </c>
      <c r="I1759" s="1">
        <v>7</v>
      </c>
      <c r="J1759" s="1">
        <v>24</v>
      </c>
      <c r="K1759" s="1" t="str">
        <f>TEXT(BBDD_Usiarios_Netflix[[#This Row],[Fecha Suscripción]],"dddd")</f>
        <v>domingo</v>
      </c>
      <c r="L1759" s="1">
        <f>DATEVALUE(_xlfn.CONCAT(BBDD_Usiarios_Netflix[[#This Row],[Día Último Pago]],"/",BBDD_Usiarios_Netflix[[#This Row],[Mes Último Pago]],"/",BBDD_Usiarios_Netflix[[#This Row],[Año Último Pago]]))</f>
        <v>45480</v>
      </c>
      <c r="M1759" s="4">
        <f>DATEDIF(BBDD_Usiarios_Netflix[[#This Row],[Fecha Suscripción]],BBDD_Usiarios_Netflix[[#This Row],[Fecha Último Pago]],"M")+1</f>
        <v>9</v>
      </c>
      <c r="N1759" s="4">
        <f>BBDD_Usiarios_Netflix[[#This Row],[Ingresos Mensuales]]*BBDD_Usiarios_Netflix[[#This Row],[Meses contratados]]</f>
        <v>108</v>
      </c>
      <c r="O1759" t="s">
        <v>29</v>
      </c>
      <c r="P1759" t="str">
        <f>IF(BBDD_Usiarios_Netflix[[#This Row],[País]]="","Desconocido",BBDD_Usiarios_Netflix[[#This Row],[País]])</f>
        <v>EEUU</v>
      </c>
      <c r="Q1759">
        <v>35</v>
      </c>
      <c r="R1759" t="s">
        <v>25</v>
      </c>
      <c r="S1759" t="s">
        <v>36</v>
      </c>
      <c r="T1759" t="s">
        <v>41</v>
      </c>
      <c r="U1759">
        <f>IF(IFERROR(VLOOKUP(BBDD_Usiarios_Netflix[[#This Row],[Identificador Usuario]],A1760:$A$5870,1,FALSE),0)&lt;&gt;0,1,0)</f>
        <v>0</v>
      </c>
      <c r="V1759" s="6" t="str">
        <f>IF(BBDD_Usiarios_Netflix[[#This Row],[Duración Plan]]="12 Meses",LEFT(BBDD_Usiarios_Netflix[[#This Row],[Duración Plan]],2),LEFT(BBDD_Usiarios_Netflix[[#This Row],[Duración Plan]],1))</f>
        <v>12</v>
      </c>
      <c r="W17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60" spans="1:23" x14ac:dyDescent="0.25">
      <c r="A1760">
        <v>1759</v>
      </c>
      <c r="B1760" t="s">
        <v>32</v>
      </c>
      <c r="C1760">
        <v>12</v>
      </c>
      <c r="D1760" s="3">
        <v>6</v>
      </c>
      <c r="E1760" s="3">
        <v>11</v>
      </c>
      <c r="F1760">
        <v>23</v>
      </c>
      <c r="G1760" s="1">
        <f>DATEVALUE(_xlfn.CONCAT(BBDD_Usiarios_Netflix[[#This Row],[Día Suscripción]],"/",BBDD_Usiarios_Netflix[[#This Row],[Mes Suscripción]],"/",BBDD_Usiarios_Netflix[[#This Row],[Año Suscripción]]))</f>
        <v>45236</v>
      </c>
      <c r="H1760" s="1">
        <v>7</v>
      </c>
      <c r="I1760" s="1">
        <v>7</v>
      </c>
      <c r="J1760" s="1">
        <v>24</v>
      </c>
      <c r="K1760" s="1" t="str">
        <f>TEXT(BBDD_Usiarios_Netflix[[#This Row],[Fecha Suscripción]],"dddd")</f>
        <v>lunes</v>
      </c>
      <c r="L1760" s="1">
        <f>DATEVALUE(_xlfn.CONCAT(BBDD_Usiarios_Netflix[[#This Row],[Día Último Pago]],"/",BBDD_Usiarios_Netflix[[#This Row],[Mes Último Pago]],"/",BBDD_Usiarios_Netflix[[#This Row],[Año Último Pago]]))</f>
        <v>45480</v>
      </c>
      <c r="M1760" s="4">
        <f>DATEDIF(BBDD_Usiarios_Netflix[[#This Row],[Fecha Suscripción]],BBDD_Usiarios_Netflix[[#This Row],[Fecha Último Pago]],"M")+1</f>
        <v>9</v>
      </c>
      <c r="N1760" s="4">
        <f>BBDD_Usiarios_Netflix[[#This Row],[Ingresos Mensuales]]*BBDD_Usiarios_Netflix[[#This Row],[Meses contratados]]</f>
        <v>108</v>
      </c>
      <c r="O1760" t="s">
        <v>37</v>
      </c>
      <c r="P1760" t="str">
        <f>IF(BBDD_Usiarios_Netflix[[#This Row],[País]]="","Desconocido",BBDD_Usiarios_Netflix[[#This Row],[País]])</f>
        <v>Brasil</v>
      </c>
      <c r="Q1760">
        <v>51</v>
      </c>
      <c r="R1760" t="s">
        <v>25</v>
      </c>
      <c r="S1760" t="s">
        <v>34</v>
      </c>
      <c r="T1760" t="s">
        <v>27</v>
      </c>
      <c r="U1760">
        <f>IF(IFERROR(VLOOKUP(BBDD_Usiarios_Netflix[[#This Row],[Identificador Usuario]],A1761:$A$5870,1,FALSE),0)&lt;&gt;0,1,0)</f>
        <v>0</v>
      </c>
      <c r="V1760" s="6" t="str">
        <f>IF(BBDD_Usiarios_Netflix[[#This Row],[Duración Plan]]="12 Meses",LEFT(BBDD_Usiarios_Netflix[[#This Row],[Duración Plan]],2),LEFT(BBDD_Usiarios_Netflix[[#This Row],[Duración Plan]],1))</f>
        <v>1</v>
      </c>
      <c r="W17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61" spans="1:23" x14ac:dyDescent="0.25">
      <c r="A1761">
        <v>1760</v>
      </c>
      <c r="B1761" t="s">
        <v>23</v>
      </c>
      <c r="C1761">
        <v>10</v>
      </c>
      <c r="D1761" s="3">
        <v>6</v>
      </c>
      <c r="E1761" s="3">
        <v>11</v>
      </c>
      <c r="F1761">
        <v>23</v>
      </c>
      <c r="G1761" s="1">
        <f>DATEVALUE(_xlfn.CONCAT(BBDD_Usiarios_Netflix[[#This Row],[Día Suscripción]],"/",BBDD_Usiarios_Netflix[[#This Row],[Mes Suscripción]],"/",BBDD_Usiarios_Netflix[[#This Row],[Año Suscripción]]))</f>
        <v>45236</v>
      </c>
      <c r="H1761" s="1">
        <v>7</v>
      </c>
      <c r="I1761" s="1">
        <v>7</v>
      </c>
      <c r="J1761" s="1">
        <v>24</v>
      </c>
      <c r="K1761" s="1" t="str">
        <f>TEXT(BBDD_Usiarios_Netflix[[#This Row],[Fecha Suscripción]],"dddd")</f>
        <v>lunes</v>
      </c>
      <c r="L1761" s="1">
        <f>DATEVALUE(_xlfn.CONCAT(BBDD_Usiarios_Netflix[[#This Row],[Día Último Pago]],"/",BBDD_Usiarios_Netflix[[#This Row],[Mes Último Pago]],"/",BBDD_Usiarios_Netflix[[#This Row],[Año Último Pago]]))</f>
        <v>45480</v>
      </c>
      <c r="M1761" s="4">
        <f>DATEDIF(BBDD_Usiarios_Netflix[[#This Row],[Fecha Suscripción]],BBDD_Usiarios_Netflix[[#This Row],[Fecha Último Pago]],"M")+1</f>
        <v>9</v>
      </c>
      <c r="N1761" s="4">
        <f>BBDD_Usiarios_Netflix[[#This Row],[Ingresos Mensuales]]*BBDD_Usiarios_Netflix[[#This Row],[Meses contratados]]</f>
        <v>90</v>
      </c>
      <c r="O1761" t="s">
        <v>39</v>
      </c>
      <c r="P1761" t="str">
        <f>IF(BBDD_Usiarios_Netflix[[#This Row],[País]]="","Desconocido",BBDD_Usiarios_Netflix[[#This Row],[País]])</f>
        <v>Canadá</v>
      </c>
      <c r="Q1761">
        <v>35</v>
      </c>
      <c r="R1761" t="s">
        <v>25</v>
      </c>
      <c r="S1761" t="s">
        <v>31</v>
      </c>
      <c r="T1761" t="s">
        <v>35</v>
      </c>
      <c r="U1761">
        <f>IF(IFERROR(VLOOKUP(BBDD_Usiarios_Netflix[[#This Row],[Identificador Usuario]],A1762:$A$5870,1,FALSE),0)&lt;&gt;0,1,0)</f>
        <v>0</v>
      </c>
      <c r="V1761" s="6" t="str">
        <f>IF(BBDD_Usiarios_Netflix[[#This Row],[Duración Plan]]="12 Meses",LEFT(BBDD_Usiarios_Netflix[[#This Row],[Duración Plan]],2),LEFT(BBDD_Usiarios_Netflix[[#This Row],[Duración Plan]],1))</f>
        <v>6</v>
      </c>
      <c r="W17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62" spans="1:23" x14ac:dyDescent="0.25">
      <c r="A1762">
        <v>1761</v>
      </c>
      <c r="B1762" t="s">
        <v>28</v>
      </c>
      <c r="C1762">
        <v>14</v>
      </c>
      <c r="D1762" s="3">
        <v>7</v>
      </c>
      <c r="E1762" s="3">
        <v>11</v>
      </c>
      <c r="F1762">
        <v>23</v>
      </c>
      <c r="G1762" s="1">
        <f>DATEVALUE(_xlfn.CONCAT(BBDD_Usiarios_Netflix[[#This Row],[Día Suscripción]],"/",BBDD_Usiarios_Netflix[[#This Row],[Mes Suscripción]],"/",BBDD_Usiarios_Netflix[[#This Row],[Año Suscripción]]))</f>
        <v>45237</v>
      </c>
      <c r="H1762" s="1">
        <v>5</v>
      </c>
      <c r="I1762" s="1">
        <v>7</v>
      </c>
      <c r="J1762" s="1">
        <v>24</v>
      </c>
      <c r="K1762" s="1" t="str">
        <f>TEXT(BBDD_Usiarios_Netflix[[#This Row],[Fecha Suscripción]],"dddd")</f>
        <v>martes</v>
      </c>
      <c r="L1762" s="1">
        <f>DATEVALUE(_xlfn.CONCAT(BBDD_Usiarios_Netflix[[#This Row],[Día Último Pago]],"/",BBDD_Usiarios_Netflix[[#This Row],[Mes Último Pago]],"/",BBDD_Usiarios_Netflix[[#This Row],[Año Último Pago]]))</f>
        <v>45478</v>
      </c>
      <c r="M1762" s="4">
        <f>DATEDIF(BBDD_Usiarios_Netflix[[#This Row],[Fecha Suscripción]],BBDD_Usiarios_Netflix[[#This Row],[Fecha Último Pago]],"M")+1</f>
        <v>8</v>
      </c>
      <c r="N1762" s="4">
        <f>BBDD_Usiarios_Netflix[[#This Row],[Ingresos Mensuales]]*BBDD_Usiarios_Netflix[[#This Row],[Meses contratados]]</f>
        <v>112</v>
      </c>
      <c r="O1762" t="s">
        <v>24</v>
      </c>
      <c r="P1762" t="str">
        <f>IF(BBDD_Usiarios_Netflix[[#This Row],[País]]="","Desconocido",BBDD_Usiarios_Netflix[[#This Row],[País]])</f>
        <v>Australia</v>
      </c>
      <c r="Q1762">
        <v>37</v>
      </c>
      <c r="R1762" t="s">
        <v>25</v>
      </c>
      <c r="S1762" t="s">
        <v>34</v>
      </c>
      <c r="T1762" t="s">
        <v>38</v>
      </c>
      <c r="U1762">
        <f>IF(IFERROR(VLOOKUP(BBDD_Usiarios_Netflix[[#This Row],[Identificador Usuario]],A1763:$A$5870,1,FALSE),0)&lt;&gt;0,1,0)</f>
        <v>0</v>
      </c>
      <c r="V1762" s="6" t="str">
        <f>IF(BBDD_Usiarios_Netflix[[#This Row],[Duración Plan]]="12 Meses",LEFT(BBDD_Usiarios_Netflix[[#This Row],[Duración Plan]],2),LEFT(BBDD_Usiarios_Netflix[[#This Row],[Duración Plan]],1))</f>
        <v>3</v>
      </c>
      <c r="W17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63" spans="1:23" x14ac:dyDescent="0.25">
      <c r="A1763">
        <v>1762</v>
      </c>
      <c r="B1763" t="s">
        <v>23</v>
      </c>
      <c r="C1763">
        <v>10</v>
      </c>
      <c r="D1763" s="3">
        <v>4</v>
      </c>
      <c r="E1763" s="3">
        <v>11</v>
      </c>
      <c r="F1763">
        <v>23</v>
      </c>
      <c r="G1763" s="1">
        <f>DATEVALUE(_xlfn.CONCAT(BBDD_Usiarios_Netflix[[#This Row],[Día Suscripción]],"/",BBDD_Usiarios_Netflix[[#This Row],[Mes Suscripción]],"/",BBDD_Usiarios_Netflix[[#This Row],[Año Suscripción]]))</f>
        <v>45234</v>
      </c>
      <c r="H1763" s="1">
        <v>6</v>
      </c>
      <c r="I1763" s="1">
        <v>7</v>
      </c>
      <c r="J1763" s="1">
        <v>24</v>
      </c>
      <c r="K1763" s="1" t="str">
        <f>TEXT(BBDD_Usiarios_Netflix[[#This Row],[Fecha Suscripción]],"dddd")</f>
        <v>sábado</v>
      </c>
      <c r="L1763" s="1">
        <f>DATEVALUE(_xlfn.CONCAT(BBDD_Usiarios_Netflix[[#This Row],[Día Último Pago]],"/",BBDD_Usiarios_Netflix[[#This Row],[Mes Último Pago]],"/",BBDD_Usiarios_Netflix[[#This Row],[Año Último Pago]]))</f>
        <v>45479</v>
      </c>
      <c r="M1763" s="4">
        <f>DATEDIF(BBDD_Usiarios_Netflix[[#This Row],[Fecha Suscripción]],BBDD_Usiarios_Netflix[[#This Row],[Fecha Último Pago]],"M")+1</f>
        <v>9</v>
      </c>
      <c r="N1763" s="4">
        <f>BBDD_Usiarios_Netflix[[#This Row],[Ingresos Mensuales]]*BBDD_Usiarios_Netflix[[#This Row],[Meses contratados]]</f>
        <v>90</v>
      </c>
      <c r="O1763" t="s">
        <v>37</v>
      </c>
      <c r="P1763" t="str">
        <f>IF(BBDD_Usiarios_Netflix[[#This Row],[País]]="","Desconocido",BBDD_Usiarios_Netflix[[#This Row],[País]])</f>
        <v>Brasil</v>
      </c>
      <c r="Q1763">
        <v>28</v>
      </c>
      <c r="R1763" t="s">
        <v>30</v>
      </c>
      <c r="S1763" t="s">
        <v>26</v>
      </c>
      <c r="T1763" t="s">
        <v>35</v>
      </c>
      <c r="U1763">
        <f>IF(IFERROR(VLOOKUP(BBDD_Usiarios_Netflix[[#This Row],[Identificador Usuario]],A1764:$A$5870,1,FALSE),0)&lt;&gt;0,1,0)</f>
        <v>0</v>
      </c>
      <c r="V1763" s="6" t="str">
        <f>IF(BBDD_Usiarios_Netflix[[#This Row],[Duración Plan]]="12 Meses",LEFT(BBDD_Usiarios_Netflix[[#This Row],[Duración Plan]],2),LEFT(BBDD_Usiarios_Netflix[[#This Row],[Duración Plan]],1))</f>
        <v>6</v>
      </c>
      <c r="W17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64" spans="1:23" x14ac:dyDescent="0.25">
      <c r="A1764">
        <v>1763</v>
      </c>
      <c r="B1764" t="s">
        <v>32</v>
      </c>
      <c r="C1764">
        <v>12</v>
      </c>
      <c r="D1764" s="3">
        <v>2</v>
      </c>
      <c r="E1764" s="3">
        <v>11</v>
      </c>
      <c r="F1764">
        <v>23</v>
      </c>
      <c r="G1764" s="1">
        <f>DATEVALUE(_xlfn.CONCAT(BBDD_Usiarios_Netflix[[#This Row],[Día Suscripción]],"/",BBDD_Usiarios_Netflix[[#This Row],[Mes Suscripción]],"/",BBDD_Usiarios_Netflix[[#This Row],[Año Suscripción]]))</f>
        <v>45232</v>
      </c>
      <c r="H1764" s="1">
        <v>7</v>
      </c>
      <c r="I1764" s="1">
        <v>7</v>
      </c>
      <c r="J1764" s="1">
        <v>24</v>
      </c>
      <c r="K1764" s="1" t="str">
        <f>TEXT(BBDD_Usiarios_Netflix[[#This Row],[Fecha Suscripción]],"dddd")</f>
        <v>jueves</v>
      </c>
      <c r="L1764" s="1">
        <f>DATEVALUE(_xlfn.CONCAT(BBDD_Usiarios_Netflix[[#This Row],[Día Último Pago]],"/",BBDD_Usiarios_Netflix[[#This Row],[Mes Último Pago]],"/",BBDD_Usiarios_Netflix[[#This Row],[Año Último Pago]]))</f>
        <v>45480</v>
      </c>
      <c r="M1764" s="4">
        <f>DATEDIF(BBDD_Usiarios_Netflix[[#This Row],[Fecha Suscripción]],BBDD_Usiarios_Netflix[[#This Row],[Fecha Último Pago]],"M")+1</f>
        <v>9</v>
      </c>
      <c r="N1764" s="4">
        <f>BBDD_Usiarios_Netflix[[#This Row],[Ingresos Mensuales]]*BBDD_Usiarios_Netflix[[#This Row],[Meses contratados]]</f>
        <v>108</v>
      </c>
      <c r="O1764" t="s">
        <v>43</v>
      </c>
      <c r="P1764" t="str">
        <f>IF(BBDD_Usiarios_Netflix[[#This Row],[País]]="","Desconocido",BBDD_Usiarios_Netflix[[#This Row],[País]])</f>
        <v>Alemania</v>
      </c>
      <c r="Q1764">
        <v>32</v>
      </c>
      <c r="R1764" t="s">
        <v>30</v>
      </c>
      <c r="S1764" t="s">
        <v>26</v>
      </c>
      <c r="T1764" t="s">
        <v>27</v>
      </c>
      <c r="U1764">
        <f>IF(IFERROR(VLOOKUP(BBDD_Usiarios_Netflix[[#This Row],[Identificador Usuario]],A1765:$A$5870,1,FALSE),0)&lt;&gt;0,1,0)</f>
        <v>0</v>
      </c>
      <c r="V1764" s="6" t="str">
        <f>IF(BBDD_Usiarios_Netflix[[#This Row],[Duración Plan]]="12 Meses",LEFT(BBDD_Usiarios_Netflix[[#This Row],[Duración Plan]],2),LEFT(BBDD_Usiarios_Netflix[[#This Row],[Duración Plan]],1))</f>
        <v>1</v>
      </c>
      <c r="W17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65" spans="1:23" x14ac:dyDescent="0.25">
      <c r="A1765">
        <v>1764</v>
      </c>
      <c r="B1765" t="s">
        <v>28</v>
      </c>
      <c r="C1765">
        <v>14</v>
      </c>
      <c r="D1765" s="3">
        <v>27</v>
      </c>
      <c r="E1765" s="3">
        <v>10</v>
      </c>
      <c r="F1765">
        <v>23</v>
      </c>
      <c r="G1765" s="1">
        <f>DATEVALUE(_xlfn.CONCAT(BBDD_Usiarios_Netflix[[#This Row],[Día Suscripción]],"/",BBDD_Usiarios_Netflix[[#This Row],[Mes Suscripción]],"/",BBDD_Usiarios_Netflix[[#This Row],[Año Suscripción]]))</f>
        <v>45226</v>
      </c>
      <c r="H1765" s="1">
        <v>7</v>
      </c>
      <c r="I1765" s="1">
        <v>7</v>
      </c>
      <c r="J1765" s="1">
        <v>24</v>
      </c>
      <c r="K1765" s="1" t="str">
        <f>TEXT(BBDD_Usiarios_Netflix[[#This Row],[Fecha Suscripción]],"dddd")</f>
        <v>viernes</v>
      </c>
      <c r="L1765" s="1">
        <f>DATEVALUE(_xlfn.CONCAT(BBDD_Usiarios_Netflix[[#This Row],[Día Último Pago]],"/",BBDD_Usiarios_Netflix[[#This Row],[Mes Último Pago]],"/",BBDD_Usiarios_Netflix[[#This Row],[Año Último Pago]]))</f>
        <v>45480</v>
      </c>
      <c r="M1765" s="4">
        <f>DATEDIF(BBDD_Usiarios_Netflix[[#This Row],[Fecha Suscripción]],BBDD_Usiarios_Netflix[[#This Row],[Fecha Último Pago]],"M")+1</f>
        <v>9</v>
      </c>
      <c r="N1765" s="4">
        <f>BBDD_Usiarios_Netflix[[#This Row],[Ingresos Mensuales]]*BBDD_Usiarios_Netflix[[#This Row],[Meses contratados]]</f>
        <v>126</v>
      </c>
      <c r="O1765" t="s">
        <v>43</v>
      </c>
      <c r="P1765" t="str">
        <f>IF(BBDD_Usiarios_Netflix[[#This Row],[País]]="","Desconocido",BBDD_Usiarios_Netflix[[#This Row],[País]])</f>
        <v>Alemania</v>
      </c>
      <c r="Q1765">
        <v>37</v>
      </c>
      <c r="R1765" t="s">
        <v>30</v>
      </c>
      <c r="S1765" t="s">
        <v>31</v>
      </c>
      <c r="T1765" t="s">
        <v>38</v>
      </c>
      <c r="U1765">
        <f>IF(IFERROR(VLOOKUP(BBDD_Usiarios_Netflix[[#This Row],[Identificador Usuario]],A1766:$A$5870,1,FALSE),0)&lt;&gt;0,1,0)</f>
        <v>0</v>
      </c>
      <c r="V1765" s="6" t="str">
        <f>IF(BBDD_Usiarios_Netflix[[#This Row],[Duración Plan]]="12 Meses",LEFT(BBDD_Usiarios_Netflix[[#This Row],[Duración Plan]],2),LEFT(BBDD_Usiarios_Netflix[[#This Row],[Duración Plan]],1))</f>
        <v>3</v>
      </c>
      <c r="W17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66" spans="1:23" x14ac:dyDescent="0.25">
      <c r="A1766">
        <v>1765</v>
      </c>
      <c r="B1766" t="s">
        <v>23</v>
      </c>
      <c r="C1766">
        <v>10</v>
      </c>
      <c r="D1766" s="3">
        <v>18</v>
      </c>
      <c r="E1766" s="3">
        <v>10</v>
      </c>
      <c r="F1766">
        <v>23</v>
      </c>
      <c r="G1766" s="1">
        <f>DATEVALUE(_xlfn.CONCAT(BBDD_Usiarios_Netflix[[#This Row],[Día Suscripción]],"/",BBDD_Usiarios_Netflix[[#This Row],[Mes Suscripción]],"/",BBDD_Usiarios_Netflix[[#This Row],[Año Suscripción]]))</f>
        <v>45217</v>
      </c>
      <c r="H1766" s="1">
        <v>5</v>
      </c>
      <c r="I1766" s="1">
        <v>7</v>
      </c>
      <c r="J1766" s="1">
        <v>24</v>
      </c>
      <c r="K1766" s="1" t="str">
        <f>TEXT(BBDD_Usiarios_Netflix[[#This Row],[Fecha Suscripción]],"dddd")</f>
        <v>miércoles</v>
      </c>
      <c r="L1766" s="1">
        <f>DATEVALUE(_xlfn.CONCAT(BBDD_Usiarios_Netflix[[#This Row],[Día Último Pago]],"/",BBDD_Usiarios_Netflix[[#This Row],[Mes Último Pago]],"/",BBDD_Usiarios_Netflix[[#This Row],[Año Último Pago]]))</f>
        <v>45478</v>
      </c>
      <c r="M1766" s="4">
        <f>DATEDIF(BBDD_Usiarios_Netflix[[#This Row],[Fecha Suscripción]],BBDD_Usiarios_Netflix[[#This Row],[Fecha Último Pago]],"M")+1</f>
        <v>9</v>
      </c>
      <c r="N1766" s="4">
        <f>BBDD_Usiarios_Netflix[[#This Row],[Ingresos Mensuales]]*BBDD_Usiarios_Netflix[[#This Row],[Meses contratados]]</f>
        <v>90</v>
      </c>
      <c r="O1766" t="s">
        <v>43</v>
      </c>
      <c r="P1766" t="str">
        <f>IF(BBDD_Usiarios_Netflix[[#This Row],[País]]="","Desconocido",BBDD_Usiarios_Netflix[[#This Row],[País]])</f>
        <v>Alemania</v>
      </c>
      <c r="Q1766">
        <v>37</v>
      </c>
      <c r="R1766" t="s">
        <v>30</v>
      </c>
      <c r="S1766" t="s">
        <v>31</v>
      </c>
      <c r="T1766" t="s">
        <v>35</v>
      </c>
      <c r="U1766">
        <f>IF(IFERROR(VLOOKUP(BBDD_Usiarios_Netflix[[#This Row],[Identificador Usuario]],A1767:$A$5870,1,FALSE),0)&lt;&gt;0,1,0)</f>
        <v>0</v>
      </c>
      <c r="V1766" s="6" t="str">
        <f>IF(BBDD_Usiarios_Netflix[[#This Row],[Duración Plan]]="12 Meses",LEFT(BBDD_Usiarios_Netflix[[#This Row],[Duración Plan]],2),LEFT(BBDD_Usiarios_Netflix[[#This Row],[Duración Plan]],1))</f>
        <v>6</v>
      </c>
      <c r="W17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67" spans="1:23" x14ac:dyDescent="0.25">
      <c r="A1767">
        <v>1766</v>
      </c>
      <c r="B1767" t="s">
        <v>28</v>
      </c>
      <c r="C1767">
        <v>14</v>
      </c>
      <c r="D1767" s="3">
        <v>7</v>
      </c>
      <c r="E1767" s="3">
        <v>10</v>
      </c>
      <c r="F1767">
        <v>23</v>
      </c>
      <c r="G1767" s="1">
        <f>DATEVALUE(_xlfn.CONCAT(BBDD_Usiarios_Netflix[[#This Row],[Día Suscripción]],"/",BBDD_Usiarios_Netflix[[#This Row],[Mes Suscripción]],"/",BBDD_Usiarios_Netflix[[#This Row],[Año Suscripción]]))</f>
        <v>45206</v>
      </c>
      <c r="H1767" s="1">
        <v>8</v>
      </c>
      <c r="I1767" s="1">
        <v>7</v>
      </c>
      <c r="J1767" s="1">
        <v>24</v>
      </c>
      <c r="K1767" s="1" t="str">
        <f>TEXT(BBDD_Usiarios_Netflix[[#This Row],[Fecha Suscripción]],"dddd")</f>
        <v>sábado</v>
      </c>
      <c r="L1767" s="1">
        <f>DATEVALUE(_xlfn.CONCAT(BBDD_Usiarios_Netflix[[#This Row],[Día Último Pago]],"/",BBDD_Usiarios_Netflix[[#This Row],[Mes Último Pago]],"/",BBDD_Usiarios_Netflix[[#This Row],[Año Último Pago]]))</f>
        <v>45481</v>
      </c>
      <c r="M1767" s="4">
        <f>DATEDIF(BBDD_Usiarios_Netflix[[#This Row],[Fecha Suscripción]],BBDD_Usiarios_Netflix[[#This Row],[Fecha Último Pago]],"M")+1</f>
        <v>10</v>
      </c>
      <c r="N1767" s="4">
        <f>BBDD_Usiarios_Netflix[[#This Row],[Ingresos Mensuales]]*BBDD_Usiarios_Netflix[[#This Row],[Meses contratados]]</f>
        <v>140</v>
      </c>
      <c r="O1767" t="s">
        <v>24</v>
      </c>
      <c r="P1767" t="str">
        <f>IF(BBDD_Usiarios_Netflix[[#This Row],[País]]="","Desconocido",BBDD_Usiarios_Netflix[[#This Row],[País]])</f>
        <v>Australia</v>
      </c>
      <c r="Q1767">
        <v>34</v>
      </c>
      <c r="R1767" t="s">
        <v>30</v>
      </c>
      <c r="S1767" t="s">
        <v>34</v>
      </c>
      <c r="T1767" t="s">
        <v>41</v>
      </c>
      <c r="U1767">
        <f>IF(IFERROR(VLOOKUP(BBDD_Usiarios_Netflix[[#This Row],[Identificador Usuario]],A1768:$A$5870,1,FALSE),0)&lt;&gt;0,1,0)</f>
        <v>0</v>
      </c>
      <c r="V1767" s="6" t="str">
        <f>IF(BBDD_Usiarios_Netflix[[#This Row],[Duración Plan]]="12 Meses",LEFT(BBDD_Usiarios_Netflix[[#This Row],[Duración Plan]],2),LEFT(BBDD_Usiarios_Netflix[[#This Row],[Duración Plan]],1))</f>
        <v>12</v>
      </c>
      <c r="W17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68" spans="1:23" x14ac:dyDescent="0.25">
      <c r="A1768">
        <v>1767</v>
      </c>
      <c r="B1768" t="s">
        <v>23</v>
      </c>
      <c r="C1768">
        <v>10</v>
      </c>
      <c r="D1768" s="3">
        <v>4</v>
      </c>
      <c r="E1768" s="3">
        <v>10</v>
      </c>
      <c r="F1768">
        <v>23</v>
      </c>
      <c r="G1768" s="1">
        <f>DATEVALUE(_xlfn.CONCAT(BBDD_Usiarios_Netflix[[#This Row],[Día Suscripción]],"/",BBDD_Usiarios_Netflix[[#This Row],[Mes Suscripción]],"/",BBDD_Usiarios_Netflix[[#This Row],[Año Suscripción]]))</f>
        <v>45203</v>
      </c>
      <c r="H1768" s="1">
        <v>7</v>
      </c>
      <c r="I1768" s="1">
        <v>7</v>
      </c>
      <c r="J1768" s="1">
        <v>24</v>
      </c>
      <c r="K1768" s="1" t="str">
        <f>TEXT(BBDD_Usiarios_Netflix[[#This Row],[Fecha Suscripción]],"dddd")</f>
        <v>miércoles</v>
      </c>
      <c r="L1768" s="1">
        <f>DATEVALUE(_xlfn.CONCAT(BBDD_Usiarios_Netflix[[#This Row],[Día Último Pago]],"/",BBDD_Usiarios_Netflix[[#This Row],[Mes Último Pago]],"/",BBDD_Usiarios_Netflix[[#This Row],[Año Último Pago]]))</f>
        <v>45480</v>
      </c>
      <c r="M1768" s="4">
        <f>DATEDIF(BBDD_Usiarios_Netflix[[#This Row],[Fecha Suscripción]],BBDD_Usiarios_Netflix[[#This Row],[Fecha Último Pago]],"M")+1</f>
        <v>10</v>
      </c>
      <c r="N1768" s="4">
        <f>BBDD_Usiarios_Netflix[[#This Row],[Ingresos Mensuales]]*BBDD_Usiarios_Netflix[[#This Row],[Meses contratados]]</f>
        <v>100</v>
      </c>
      <c r="O1768" t="s">
        <v>44</v>
      </c>
      <c r="P1768" t="str">
        <f>IF(BBDD_Usiarios_Netflix[[#This Row],[País]]="","Desconocido",BBDD_Usiarios_Netflix[[#This Row],[País]])</f>
        <v>Desconocido</v>
      </c>
      <c r="Q1768">
        <v>30</v>
      </c>
      <c r="R1768" t="s">
        <v>30</v>
      </c>
      <c r="S1768" t="s">
        <v>31</v>
      </c>
      <c r="T1768" t="s">
        <v>27</v>
      </c>
      <c r="U1768">
        <f>IF(IFERROR(VLOOKUP(BBDD_Usiarios_Netflix[[#This Row],[Identificador Usuario]],A1769:$A$5870,1,FALSE),0)&lt;&gt;0,1,0)</f>
        <v>0</v>
      </c>
      <c r="V1768" s="6" t="str">
        <f>IF(BBDD_Usiarios_Netflix[[#This Row],[Duración Plan]]="12 Meses",LEFT(BBDD_Usiarios_Netflix[[#This Row],[Duración Plan]],2),LEFT(BBDD_Usiarios_Netflix[[#This Row],[Duración Plan]],1))</f>
        <v>1</v>
      </c>
      <c r="W17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69" spans="1:23" x14ac:dyDescent="0.25">
      <c r="A1769">
        <v>1768</v>
      </c>
      <c r="B1769" t="s">
        <v>32</v>
      </c>
      <c r="C1769">
        <v>12</v>
      </c>
      <c r="D1769" s="3">
        <v>17</v>
      </c>
      <c r="E1769" s="3">
        <v>9</v>
      </c>
      <c r="F1769">
        <v>23</v>
      </c>
      <c r="G1769" s="1">
        <f>DATEVALUE(_xlfn.CONCAT(BBDD_Usiarios_Netflix[[#This Row],[Día Suscripción]],"/",BBDD_Usiarios_Netflix[[#This Row],[Mes Suscripción]],"/",BBDD_Usiarios_Netflix[[#This Row],[Año Suscripción]]))</f>
        <v>45186</v>
      </c>
      <c r="H1769" s="1">
        <v>7</v>
      </c>
      <c r="I1769" s="1">
        <v>7</v>
      </c>
      <c r="J1769" s="1">
        <v>24</v>
      </c>
      <c r="K1769" s="1" t="str">
        <f>TEXT(BBDD_Usiarios_Netflix[[#This Row],[Fecha Suscripción]],"dddd")</f>
        <v>domingo</v>
      </c>
      <c r="L1769" s="1">
        <f>DATEVALUE(_xlfn.CONCAT(BBDD_Usiarios_Netflix[[#This Row],[Día Último Pago]],"/",BBDD_Usiarios_Netflix[[#This Row],[Mes Último Pago]],"/",BBDD_Usiarios_Netflix[[#This Row],[Año Último Pago]]))</f>
        <v>45480</v>
      </c>
      <c r="M1769" s="4">
        <f>DATEDIF(BBDD_Usiarios_Netflix[[#This Row],[Fecha Suscripción]],BBDD_Usiarios_Netflix[[#This Row],[Fecha Último Pago]],"M")+1</f>
        <v>10</v>
      </c>
      <c r="N1769" s="4">
        <f>BBDD_Usiarios_Netflix[[#This Row],[Ingresos Mensuales]]*BBDD_Usiarios_Netflix[[#This Row],[Meses contratados]]</f>
        <v>120</v>
      </c>
      <c r="O1769" t="s">
        <v>42</v>
      </c>
      <c r="P1769" t="str">
        <f>IF(BBDD_Usiarios_Netflix[[#This Row],[País]]="","Desconocido",BBDD_Usiarios_Netflix[[#This Row],[País]])</f>
        <v>Reino Unido</v>
      </c>
      <c r="Q1769">
        <v>35</v>
      </c>
      <c r="R1769" t="s">
        <v>25</v>
      </c>
      <c r="S1769" t="s">
        <v>31</v>
      </c>
      <c r="T1769" t="s">
        <v>41</v>
      </c>
      <c r="U1769">
        <f>IF(IFERROR(VLOOKUP(BBDD_Usiarios_Netflix[[#This Row],[Identificador Usuario]],A1770:$A$5870,1,FALSE),0)&lt;&gt;0,1,0)</f>
        <v>0</v>
      </c>
      <c r="V1769" s="6" t="str">
        <f>IF(BBDD_Usiarios_Netflix[[#This Row],[Duración Plan]]="12 Meses",LEFT(BBDD_Usiarios_Netflix[[#This Row],[Duración Plan]],2),LEFT(BBDD_Usiarios_Netflix[[#This Row],[Duración Plan]],1))</f>
        <v>12</v>
      </c>
      <c r="W17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70" spans="1:23" x14ac:dyDescent="0.25">
      <c r="A1770">
        <v>1769</v>
      </c>
      <c r="B1770" t="s">
        <v>32</v>
      </c>
      <c r="C1770">
        <v>12</v>
      </c>
      <c r="D1770" s="3">
        <v>15</v>
      </c>
      <c r="E1770" s="3">
        <v>9</v>
      </c>
      <c r="F1770">
        <v>23</v>
      </c>
      <c r="G1770" s="1">
        <f>DATEVALUE(_xlfn.CONCAT(BBDD_Usiarios_Netflix[[#This Row],[Día Suscripción]],"/",BBDD_Usiarios_Netflix[[#This Row],[Mes Suscripción]],"/",BBDD_Usiarios_Netflix[[#This Row],[Año Suscripción]]))</f>
        <v>45184</v>
      </c>
      <c r="H1770" s="1">
        <v>6</v>
      </c>
      <c r="I1770" s="1">
        <v>7</v>
      </c>
      <c r="J1770" s="1">
        <v>24</v>
      </c>
      <c r="K1770" s="1" t="str">
        <f>TEXT(BBDD_Usiarios_Netflix[[#This Row],[Fecha Suscripción]],"dddd")</f>
        <v>viernes</v>
      </c>
      <c r="L1770" s="1">
        <f>DATEVALUE(_xlfn.CONCAT(BBDD_Usiarios_Netflix[[#This Row],[Día Último Pago]],"/",BBDD_Usiarios_Netflix[[#This Row],[Mes Último Pago]],"/",BBDD_Usiarios_Netflix[[#This Row],[Año Último Pago]]))</f>
        <v>45479</v>
      </c>
      <c r="M1770" s="4">
        <f>DATEDIF(BBDD_Usiarios_Netflix[[#This Row],[Fecha Suscripción]],BBDD_Usiarios_Netflix[[#This Row],[Fecha Último Pago]],"M")+1</f>
        <v>10</v>
      </c>
      <c r="N1770" s="4">
        <f>BBDD_Usiarios_Netflix[[#This Row],[Ingresos Mensuales]]*BBDD_Usiarios_Netflix[[#This Row],[Meses contratados]]</f>
        <v>120</v>
      </c>
      <c r="O1770" t="s">
        <v>24</v>
      </c>
      <c r="P1770" t="str">
        <f>IF(BBDD_Usiarios_Netflix[[#This Row],[País]]="","Desconocido",BBDD_Usiarios_Netflix[[#This Row],[País]])</f>
        <v>Australia</v>
      </c>
      <c r="Q1770">
        <v>41</v>
      </c>
      <c r="R1770" t="s">
        <v>30</v>
      </c>
      <c r="S1770" t="s">
        <v>36</v>
      </c>
      <c r="T1770" t="s">
        <v>41</v>
      </c>
      <c r="U1770">
        <f>IF(IFERROR(VLOOKUP(BBDD_Usiarios_Netflix[[#This Row],[Identificador Usuario]],A1771:$A$5870,1,FALSE),0)&lt;&gt;0,1,0)</f>
        <v>0</v>
      </c>
      <c r="V1770" s="6" t="str">
        <f>IF(BBDD_Usiarios_Netflix[[#This Row],[Duración Plan]]="12 Meses",LEFT(BBDD_Usiarios_Netflix[[#This Row],[Duración Plan]],2),LEFT(BBDD_Usiarios_Netflix[[#This Row],[Duración Plan]],1))</f>
        <v>12</v>
      </c>
      <c r="W17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71" spans="1:23" x14ac:dyDescent="0.25">
      <c r="A1771">
        <v>1770</v>
      </c>
      <c r="B1771" t="s">
        <v>23</v>
      </c>
      <c r="C1771">
        <v>10</v>
      </c>
      <c r="D1771" s="3">
        <v>10</v>
      </c>
      <c r="E1771" s="3">
        <v>9</v>
      </c>
      <c r="F1771">
        <v>23</v>
      </c>
      <c r="G1771" s="1">
        <f>DATEVALUE(_xlfn.CONCAT(BBDD_Usiarios_Netflix[[#This Row],[Día Suscripción]],"/",BBDD_Usiarios_Netflix[[#This Row],[Mes Suscripción]],"/",BBDD_Usiarios_Netflix[[#This Row],[Año Suscripción]]))</f>
        <v>45179</v>
      </c>
      <c r="H1771" s="1">
        <v>8</v>
      </c>
      <c r="I1771" s="1">
        <v>7</v>
      </c>
      <c r="J1771" s="1">
        <v>24</v>
      </c>
      <c r="K1771" s="1" t="str">
        <f>TEXT(BBDD_Usiarios_Netflix[[#This Row],[Fecha Suscripción]],"dddd")</f>
        <v>domingo</v>
      </c>
      <c r="L1771" s="1">
        <f>DATEVALUE(_xlfn.CONCAT(BBDD_Usiarios_Netflix[[#This Row],[Día Último Pago]],"/",BBDD_Usiarios_Netflix[[#This Row],[Mes Último Pago]],"/",BBDD_Usiarios_Netflix[[#This Row],[Año Último Pago]]))</f>
        <v>45481</v>
      </c>
      <c r="M1771" s="4">
        <f>DATEDIF(BBDD_Usiarios_Netflix[[#This Row],[Fecha Suscripción]],BBDD_Usiarios_Netflix[[#This Row],[Fecha Último Pago]],"M")+1</f>
        <v>10</v>
      </c>
      <c r="N1771" s="4">
        <f>BBDD_Usiarios_Netflix[[#This Row],[Ingresos Mensuales]]*BBDD_Usiarios_Netflix[[#This Row],[Meses contratados]]</f>
        <v>100</v>
      </c>
      <c r="O1771" t="s">
        <v>24</v>
      </c>
      <c r="P1771" t="str">
        <f>IF(BBDD_Usiarios_Netflix[[#This Row],[País]]="","Desconocido",BBDD_Usiarios_Netflix[[#This Row],[País]])</f>
        <v>Australia</v>
      </c>
      <c r="Q1771">
        <v>50</v>
      </c>
      <c r="R1771" t="s">
        <v>30</v>
      </c>
      <c r="S1771" t="s">
        <v>31</v>
      </c>
      <c r="T1771" t="s">
        <v>27</v>
      </c>
      <c r="U1771">
        <f>IF(IFERROR(VLOOKUP(BBDD_Usiarios_Netflix[[#This Row],[Identificador Usuario]],A1772:$A$5870,1,FALSE),0)&lt;&gt;0,1,0)</f>
        <v>0</v>
      </c>
      <c r="V1771" s="6" t="str">
        <f>IF(BBDD_Usiarios_Netflix[[#This Row],[Duración Plan]]="12 Meses",LEFT(BBDD_Usiarios_Netflix[[#This Row],[Duración Plan]],2),LEFT(BBDD_Usiarios_Netflix[[#This Row],[Duración Plan]],1))</f>
        <v>1</v>
      </c>
      <c r="W17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72" spans="1:23" x14ac:dyDescent="0.25">
      <c r="A1772">
        <v>1771</v>
      </c>
      <c r="B1772" t="s">
        <v>28</v>
      </c>
      <c r="C1772">
        <v>14</v>
      </c>
      <c r="D1772" s="3">
        <v>9</v>
      </c>
      <c r="E1772" s="3">
        <v>9</v>
      </c>
      <c r="F1772">
        <v>23</v>
      </c>
      <c r="G1772" s="1">
        <f>DATEVALUE(_xlfn.CONCAT(BBDD_Usiarios_Netflix[[#This Row],[Día Suscripción]],"/",BBDD_Usiarios_Netflix[[#This Row],[Mes Suscripción]],"/",BBDD_Usiarios_Netflix[[#This Row],[Año Suscripción]]))</f>
        <v>45178</v>
      </c>
      <c r="H1772" s="1">
        <v>8</v>
      </c>
      <c r="I1772" s="1">
        <v>7</v>
      </c>
      <c r="J1772" s="1">
        <v>24</v>
      </c>
      <c r="K1772" s="1" t="str">
        <f>TEXT(BBDD_Usiarios_Netflix[[#This Row],[Fecha Suscripción]],"dddd")</f>
        <v>sábado</v>
      </c>
      <c r="L1772" s="1">
        <f>DATEVALUE(_xlfn.CONCAT(BBDD_Usiarios_Netflix[[#This Row],[Día Último Pago]],"/",BBDD_Usiarios_Netflix[[#This Row],[Mes Último Pago]],"/",BBDD_Usiarios_Netflix[[#This Row],[Año Último Pago]]))</f>
        <v>45481</v>
      </c>
      <c r="M1772" s="4">
        <f>DATEDIF(BBDD_Usiarios_Netflix[[#This Row],[Fecha Suscripción]],BBDD_Usiarios_Netflix[[#This Row],[Fecha Último Pago]],"M")+1</f>
        <v>10</v>
      </c>
      <c r="N1772" s="4">
        <f>BBDD_Usiarios_Netflix[[#This Row],[Ingresos Mensuales]]*BBDD_Usiarios_Netflix[[#This Row],[Meses contratados]]</f>
        <v>140</v>
      </c>
      <c r="O1772" t="s">
        <v>37</v>
      </c>
      <c r="P1772" t="str">
        <f>IF(BBDD_Usiarios_Netflix[[#This Row],[País]]="","Desconocido",BBDD_Usiarios_Netflix[[#This Row],[País]])</f>
        <v>Brasil</v>
      </c>
      <c r="Q1772">
        <v>48</v>
      </c>
      <c r="R1772" t="s">
        <v>30</v>
      </c>
      <c r="S1772" t="s">
        <v>36</v>
      </c>
      <c r="T1772" t="s">
        <v>41</v>
      </c>
      <c r="U1772">
        <f>IF(IFERROR(VLOOKUP(BBDD_Usiarios_Netflix[[#This Row],[Identificador Usuario]],A1773:$A$5870,1,FALSE),0)&lt;&gt;0,1,0)</f>
        <v>0</v>
      </c>
      <c r="V1772" s="6" t="str">
        <f>IF(BBDD_Usiarios_Netflix[[#This Row],[Duración Plan]]="12 Meses",LEFT(BBDD_Usiarios_Netflix[[#This Row],[Duración Plan]],2),LEFT(BBDD_Usiarios_Netflix[[#This Row],[Duración Plan]],1))</f>
        <v>12</v>
      </c>
      <c r="W17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73" spans="1:23" x14ac:dyDescent="0.25">
      <c r="A1773">
        <v>1772</v>
      </c>
      <c r="B1773" t="s">
        <v>23</v>
      </c>
      <c r="C1773">
        <v>10</v>
      </c>
      <c r="D1773" s="3">
        <v>9</v>
      </c>
      <c r="E1773" s="3">
        <v>9</v>
      </c>
      <c r="F1773">
        <v>23</v>
      </c>
      <c r="G1773" s="1">
        <f>DATEVALUE(_xlfn.CONCAT(BBDD_Usiarios_Netflix[[#This Row],[Día Suscripción]],"/",BBDD_Usiarios_Netflix[[#This Row],[Mes Suscripción]],"/",BBDD_Usiarios_Netflix[[#This Row],[Año Suscripción]]))</f>
        <v>45178</v>
      </c>
      <c r="H1773" s="1">
        <v>8</v>
      </c>
      <c r="I1773" s="1">
        <v>7</v>
      </c>
      <c r="J1773" s="1">
        <v>24</v>
      </c>
      <c r="K1773" s="1" t="str">
        <f>TEXT(BBDD_Usiarios_Netflix[[#This Row],[Fecha Suscripción]],"dddd")</f>
        <v>sábado</v>
      </c>
      <c r="L1773" s="1">
        <f>DATEVALUE(_xlfn.CONCAT(BBDD_Usiarios_Netflix[[#This Row],[Día Último Pago]],"/",BBDD_Usiarios_Netflix[[#This Row],[Mes Último Pago]],"/",BBDD_Usiarios_Netflix[[#This Row],[Año Último Pago]]))</f>
        <v>45481</v>
      </c>
      <c r="M1773" s="4">
        <f>DATEDIF(BBDD_Usiarios_Netflix[[#This Row],[Fecha Suscripción]],BBDD_Usiarios_Netflix[[#This Row],[Fecha Último Pago]],"M")+1</f>
        <v>10</v>
      </c>
      <c r="N1773" s="4">
        <f>BBDD_Usiarios_Netflix[[#This Row],[Ingresos Mensuales]]*BBDD_Usiarios_Netflix[[#This Row],[Meses contratados]]</f>
        <v>100</v>
      </c>
      <c r="O1773" t="s">
        <v>29</v>
      </c>
      <c r="P1773" t="str">
        <f>IF(BBDD_Usiarios_Netflix[[#This Row],[País]]="","Desconocido",BBDD_Usiarios_Netflix[[#This Row],[País]])</f>
        <v>EEUU</v>
      </c>
      <c r="Q1773">
        <v>29</v>
      </c>
      <c r="R1773" t="s">
        <v>25</v>
      </c>
      <c r="S1773" t="s">
        <v>34</v>
      </c>
      <c r="T1773" t="s">
        <v>27</v>
      </c>
      <c r="U1773">
        <f>IF(IFERROR(VLOOKUP(BBDD_Usiarios_Netflix[[#This Row],[Identificador Usuario]],A1774:$A$5870,1,FALSE),0)&lt;&gt;0,1,0)</f>
        <v>0</v>
      </c>
      <c r="V1773" s="6" t="str">
        <f>IF(BBDD_Usiarios_Netflix[[#This Row],[Duración Plan]]="12 Meses",LEFT(BBDD_Usiarios_Netflix[[#This Row],[Duración Plan]],2),LEFT(BBDD_Usiarios_Netflix[[#This Row],[Duración Plan]],1))</f>
        <v>1</v>
      </c>
      <c r="W17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74" spans="1:23" x14ac:dyDescent="0.25">
      <c r="A1774">
        <v>1773</v>
      </c>
      <c r="B1774" t="s">
        <v>32</v>
      </c>
      <c r="C1774">
        <v>12</v>
      </c>
      <c r="D1774" s="3">
        <v>7</v>
      </c>
      <c r="E1774" s="3">
        <v>9</v>
      </c>
      <c r="F1774">
        <v>23</v>
      </c>
      <c r="G1774" s="1">
        <f>DATEVALUE(_xlfn.CONCAT(BBDD_Usiarios_Netflix[[#This Row],[Día Suscripción]],"/",BBDD_Usiarios_Netflix[[#This Row],[Mes Suscripción]],"/",BBDD_Usiarios_Netflix[[#This Row],[Año Suscripción]]))</f>
        <v>45176</v>
      </c>
      <c r="H1774" s="1">
        <v>6</v>
      </c>
      <c r="I1774" s="1">
        <v>7</v>
      </c>
      <c r="J1774" s="1">
        <v>24</v>
      </c>
      <c r="K1774" s="1" t="str">
        <f>TEXT(BBDD_Usiarios_Netflix[[#This Row],[Fecha Suscripción]],"dddd")</f>
        <v>jueves</v>
      </c>
      <c r="L1774" s="1">
        <f>DATEVALUE(_xlfn.CONCAT(BBDD_Usiarios_Netflix[[#This Row],[Día Último Pago]],"/",BBDD_Usiarios_Netflix[[#This Row],[Mes Último Pago]],"/",BBDD_Usiarios_Netflix[[#This Row],[Año Último Pago]]))</f>
        <v>45479</v>
      </c>
      <c r="M1774" s="4">
        <f>DATEDIF(BBDD_Usiarios_Netflix[[#This Row],[Fecha Suscripción]],BBDD_Usiarios_Netflix[[#This Row],[Fecha Último Pago]],"M")+1</f>
        <v>10</v>
      </c>
      <c r="N1774" s="4">
        <f>BBDD_Usiarios_Netflix[[#This Row],[Ingresos Mensuales]]*BBDD_Usiarios_Netflix[[#This Row],[Meses contratados]]</f>
        <v>120</v>
      </c>
      <c r="O1774" t="s">
        <v>29</v>
      </c>
      <c r="P1774" t="str">
        <f>IF(BBDD_Usiarios_Netflix[[#This Row],[País]]="","Desconocido",BBDD_Usiarios_Netflix[[#This Row],[País]])</f>
        <v>EEUU</v>
      </c>
      <c r="Q1774">
        <v>37</v>
      </c>
      <c r="R1774" t="s">
        <v>25</v>
      </c>
      <c r="S1774" t="s">
        <v>31</v>
      </c>
      <c r="T1774" t="s">
        <v>35</v>
      </c>
      <c r="U1774">
        <f>IF(IFERROR(VLOOKUP(BBDD_Usiarios_Netflix[[#This Row],[Identificador Usuario]],A1775:$A$5870,1,FALSE),0)&lt;&gt;0,1,0)</f>
        <v>0</v>
      </c>
      <c r="V1774" s="6" t="str">
        <f>IF(BBDD_Usiarios_Netflix[[#This Row],[Duración Plan]]="12 Meses",LEFT(BBDD_Usiarios_Netflix[[#This Row],[Duración Plan]],2),LEFT(BBDD_Usiarios_Netflix[[#This Row],[Duración Plan]],1))</f>
        <v>6</v>
      </c>
      <c r="W17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75" spans="1:23" x14ac:dyDescent="0.25">
      <c r="A1775">
        <v>1774</v>
      </c>
      <c r="B1775" t="s">
        <v>28</v>
      </c>
      <c r="C1775">
        <v>14</v>
      </c>
      <c r="D1775" s="3">
        <v>8</v>
      </c>
      <c r="E1775" s="3">
        <v>9</v>
      </c>
      <c r="F1775">
        <v>23</v>
      </c>
      <c r="G1775" s="1">
        <f>DATEVALUE(_xlfn.CONCAT(BBDD_Usiarios_Netflix[[#This Row],[Día Suscripción]],"/",BBDD_Usiarios_Netflix[[#This Row],[Mes Suscripción]],"/",BBDD_Usiarios_Netflix[[#This Row],[Año Suscripción]]))</f>
        <v>45177</v>
      </c>
      <c r="H1775" s="1">
        <v>8</v>
      </c>
      <c r="I1775" s="1">
        <v>7</v>
      </c>
      <c r="J1775" s="1">
        <v>24</v>
      </c>
      <c r="K1775" s="1" t="str">
        <f>TEXT(BBDD_Usiarios_Netflix[[#This Row],[Fecha Suscripción]],"dddd")</f>
        <v>viernes</v>
      </c>
      <c r="L1775" s="1">
        <f>DATEVALUE(_xlfn.CONCAT(BBDD_Usiarios_Netflix[[#This Row],[Día Último Pago]],"/",BBDD_Usiarios_Netflix[[#This Row],[Mes Último Pago]],"/",BBDD_Usiarios_Netflix[[#This Row],[Año Último Pago]]))</f>
        <v>45481</v>
      </c>
      <c r="M1775" s="4">
        <f>DATEDIF(BBDD_Usiarios_Netflix[[#This Row],[Fecha Suscripción]],BBDD_Usiarios_Netflix[[#This Row],[Fecha Último Pago]],"M")+1</f>
        <v>11</v>
      </c>
      <c r="N1775" s="4">
        <f>BBDD_Usiarios_Netflix[[#This Row],[Ingresos Mensuales]]*BBDD_Usiarios_Netflix[[#This Row],[Meses contratados]]</f>
        <v>154</v>
      </c>
      <c r="O1775" t="s">
        <v>39</v>
      </c>
      <c r="P1775" t="str">
        <f>IF(BBDD_Usiarios_Netflix[[#This Row],[País]]="","Desconocido",BBDD_Usiarios_Netflix[[#This Row],[País]])</f>
        <v>Canadá</v>
      </c>
      <c r="Q1775">
        <v>36</v>
      </c>
      <c r="R1775" t="s">
        <v>30</v>
      </c>
      <c r="S1775" t="s">
        <v>31</v>
      </c>
      <c r="T1775" t="s">
        <v>27</v>
      </c>
      <c r="U1775">
        <f>IF(IFERROR(VLOOKUP(BBDD_Usiarios_Netflix[[#This Row],[Identificador Usuario]],A1776:$A$5870,1,FALSE),0)&lt;&gt;0,1,0)</f>
        <v>0</v>
      </c>
      <c r="V1775" s="6" t="str">
        <f>IF(BBDD_Usiarios_Netflix[[#This Row],[Duración Plan]]="12 Meses",LEFT(BBDD_Usiarios_Netflix[[#This Row],[Duración Plan]],2),LEFT(BBDD_Usiarios_Netflix[[#This Row],[Duración Plan]],1))</f>
        <v>1</v>
      </c>
      <c r="W17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76" spans="1:23" x14ac:dyDescent="0.25">
      <c r="A1776">
        <v>1775</v>
      </c>
      <c r="B1776" t="s">
        <v>23</v>
      </c>
      <c r="C1776">
        <v>10</v>
      </c>
      <c r="D1776" s="3">
        <v>14</v>
      </c>
      <c r="E1776" s="3">
        <v>8</v>
      </c>
      <c r="F1776">
        <v>23</v>
      </c>
      <c r="G1776" s="1">
        <f>DATEVALUE(_xlfn.CONCAT(BBDD_Usiarios_Netflix[[#This Row],[Día Suscripción]],"/",BBDD_Usiarios_Netflix[[#This Row],[Mes Suscripción]],"/",BBDD_Usiarios_Netflix[[#This Row],[Año Suscripción]]))</f>
        <v>45152</v>
      </c>
      <c r="H1776" s="1">
        <v>7</v>
      </c>
      <c r="I1776" s="1">
        <v>7</v>
      </c>
      <c r="J1776" s="1">
        <v>24</v>
      </c>
      <c r="K1776" s="1" t="str">
        <f>TEXT(BBDD_Usiarios_Netflix[[#This Row],[Fecha Suscripción]],"dddd")</f>
        <v>lunes</v>
      </c>
      <c r="L1776" s="1">
        <f>DATEVALUE(_xlfn.CONCAT(BBDD_Usiarios_Netflix[[#This Row],[Día Último Pago]],"/",BBDD_Usiarios_Netflix[[#This Row],[Mes Último Pago]],"/",BBDD_Usiarios_Netflix[[#This Row],[Año Último Pago]]))</f>
        <v>45480</v>
      </c>
      <c r="M1776" s="4">
        <f>DATEDIF(BBDD_Usiarios_Netflix[[#This Row],[Fecha Suscripción]],BBDD_Usiarios_Netflix[[#This Row],[Fecha Último Pago]],"M")+1</f>
        <v>11</v>
      </c>
      <c r="N1776" s="4">
        <f>BBDD_Usiarios_Netflix[[#This Row],[Ingresos Mensuales]]*BBDD_Usiarios_Netflix[[#This Row],[Meses contratados]]</f>
        <v>110</v>
      </c>
      <c r="O1776" t="s">
        <v>42</v>
      </c>
      <c r="P1776" t="str">
        <f>IF(BBDD_Usiarios_Netflix[[#This Row],[País]]="","Desconocido",BBDD_Usiarios_Netflix[[#This Row],[País]])</f>
        <v>Reino Unido</v>
      </c>
      <c r="Q1776">
        <v>45</v>
      </c>
      <c r="R1776" t="s">
        <v>25</v>
      </c>
      <c r="S1776" t="s">
        <v>31</v>
      </c>
      <c r="T1776" t="s">
        <v>27</v>
      </c>
      <c r="U1776">
        <f>IF(IFERROR(VLOOKUP(BBDD_Usiarios_Netflix[[#This Row],[Identificador Usuario]],A1777:$A$5870,1,FALSE),0)&lt;&gt;0,1,0)</f>
        <v>0</v>
      </c>
      <c r="V1776" s="6" t="str">
        <f>IF(BBDD_Usiarios_Netflix[[#This Row],[Duración Plan]]="12 Meses",LEFT(BBDD_Usiarios_Netflix[[#This Row],[Duración Plan]],2),LEFT(BBDD_Usiarios_Netflix[[#This Row],[Duración Plan]],1))</f>
        <v>1</v>
      </c>
      <c r="W17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77" spans="1:23" x14ac:dyDescent="0.25">
      <c r="A1777">
        <v>1776</v>
      </c>
      <c r="B1777" t="s">
        <v>28</v>
      </c>
      <c r="C1777">
        <v>14</v>
      </c>
      <c r="D1777" s="3">
        <v>6</v>
      </c>
      <c r="E1777" s="3">
        <v>8</v>
      </c>
      <c r="F1777">
        <v>23</v>
      </c>
      <c r="G1777" s="1">
        <f>DATEVALUE(_xlfn.CONCAT(BBDD_Usiarios_Netflix[[#This Row],[Día Suscripción]],"/",BBDD_Usiarios_Netflix[[#This Row],[Mes Suscripción]],"/",BBDD_Usiarios_Netflix[[#This Row],[Año Suscripción]]))</f>
        <v>45144</v>
      </c>
      <c r="H1777" s="1">
        <v>8</v>
      </c>
      <c r="I1777" s="1">
        <v>7</v>
      </c>
      <c r="J1777" s="1">
        <v>24</v>
      </c>
      <c r="K1777" s="1" t="str">
        <f>TEXT(BBDD_Usiarios_Netflix[[#This Row],[Fecha Suscripción]],"dddd")</f>
        <v>domingo</v>
      </c>
      <c r="L1777" s="1">
        <f>DATEVALUE(_xlfn.CONCAT(BBDD_Usiarios_Netflix[[#This Row],[Día Último Pago]],"/",BBDD_Usiarios_Netflix[[#This Row],[Mes Último Pago]],"/",BBDD_Usiarios_Netflix[[#This Row],[Año Último Pago]]))</f>
        <v>45481</v>
      </c>
      <c r="M1777" s="4">
        <f>DATEDIF(BBDD_Usiarios_Netflix[[#This Row],[Fecha Suscripción]],BBDD_Usiarios_Netflix[[#This Row],[Fecha Último Pago]],"M")+1</f>
        <v>12</v>
      </c>
      <c r="N1777" s="4">
        <f>BBDD_Usiarios_Netflix[[#This Row],[Ingresos Mensuales]]*BBDD_Usiarios_Netflix[[#This Row],[Meses contratados]]</f>
        <v>168</v>
      </c>
      <c r="O1777" t="s">
        <v>24</v>
      </c>
      <c r="P1777" t="str">
        <f>IF(BBDD_Usiarios_Netflix[[#This Row],[País]]="","Desconocido",BBDD_Usiarios_Netflix[[#This Row],[País]])</f>
        <v>Australia</v>
      </c>
      <c r="Q1777">
        <v>27</v>
      </c>
      <c r="R1777" t="s">
        <v>30</v>
      </c>
      <c r="S1777" t="s">
        <v>34</v>
      </c>
      <c r="T1777" t="s">
        <v>41</v>
      </c>
      <c r="U1777">
        <f>IF(IFERROR(VLOOKUP(BBDD_Usiarios_Netflix[[#This Row],[Identificador Usuario]],A1778:$A$5870,1,FALSE),0)&lt;&gt;0,1,0)</f>
        <v>0</v>
      </c>
      <c r="V1777" s="6" t="str">
        <f>IF(BBDD_Usiarios_Netflix[[#This Row],[Duración Plan]]="12 Meses",LEFT(BBDD_Usiarios_Netflix[[#This Row],[Duración Plan]],2),LEFT(BBDD_Usiarios_Netflix[[#This Row],[Duración Plan]],1))</f>
        <v>12</v>
      </c>
      <c r="W17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78" spans="1:23" x14ac:dyDescent="0.25">
      <c r="A1778">
        <v>1777</v>
      </c>
      <c r="B1778" t="s">
        <v>23</v>
      </c>
      <c r="C1778">
        <v>10</v>
      </c>
      <c r="D1778" s="3">
        <v>6</v>
      </c>
      <c r="E1778" s="3">
        <v>8</v>
      </c>
      <c r="F1778">
        <v>23</v>
      </c>
      <c r="G1778" s="1">
        <f>DATEVALUE(_xlfn.CONCAT(BBDD_Usiarios_Netflix[[#This Row],[Día Suscripción]],"/",BBDD_Usiarios_Netflix[[#This Row],[Mes Suscripción]],"/",BBDD_Usiarios_Netflix[[#This Row],[Año Suscripción]]))</f>
        <v>45144</v>
      </c>
      <c r="H1778" s="1">
        <v>6</v>
      </c>
      <c r="I1778" s="1">
        <v>7</v>
      </c>
      <c r="J1778" s="1">
        <v>24</v>
      </c>
      <c r="K1778" s="1" t="str">
        <f>TEXT(BBDD_Usiarios_Netflix[[#This Row],[Fecha Suscripción]],"dddd")</f>
        <v>domingo</v>
      </c>
      <c r="L1778" s="1">
        <f>DATEVALUE(_xlfn.CONCAT(BBDD_Usiarios_Netflix[[#This Row],[Día Último Pago]],"/",BBDD_Usiarios_Netflix[[#This Row],[Mes Último Pago]],"/",BBDD_Usiarios_Netflix[[#This Row],[Año Último Pago]]))</f>
        <v>45479</v>
      </c>
      <c r="M1778" s="4">
        <f>DATEDIF(BBDD_Usiarios_Netflix[[#This Row],[Fecha Suscripción]],BBDD_Usiarios_Netflix[[#This Row],[Fecha Último Pago]],"M")+1</f>
        <v>12</v>
      </c>
      <c r="N1778" s="4">
        <f>BBDD_Usiarios_Netflix[[#This Row],[Ingresos Mensuales]]*BBDD_Usiarios_Netflix[[#This Row],[Meses contratados]]</f>
        <v>120</v>
      </c>
      <c r="O1778" t="s">
        <v>24</v>
      </c>
      <c r="P1778" t="str">
        <f>IF(BBDD_Usiarios_Netflix[[#This Row],[País]]="","Desconocido",BBDD_Usiarios_Netflix[[#This Row],[País]])</f>
        <v>Australia</v>
      </c>
      <c r="Q1778">
        <v>31</v>
      </c>
      <c r="R1778" t="s">
        <v>30</v>
      </c>
      <c r="S1778" t="s">
        <v>31</v>
      </c>
      <c r="T1778" t="s">
        <v>27</v>
      </c>
      <c r="U1778">
        <f>IF(IFERROR(VLOOKUP(BBDD_Usiarios_Netflix[[#This Row],[Identificador Usuario]],A1779:$A$5870,1,FALSE),0)&lt;&gt;0,1,0)</f>
        <v>0</v>
      </c>
      <c r="V1778" s="6" t="str">
        <f>IF(BBDD_Usiarios_Netflix[[#This Row],[Duración Plan]]="12 Meses",LEFT(BBDD_Usiarios_Netflix[[#This Row],[Duración Plan]],2),LEFT(BBDD_Usiarios_Netflix[[#This Row],[Duración Plan]],1))</f>
        <v>1</v>
      </c>
      <c r="W17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79" spans="1:23" x14ac:dyDescent="0.25">
      <c r="A1779">
        <v>1778</v>
      </c>
      <c r="B1779" t="s">
        <v>32</v>
      </c>
      <c r="C1779">
        <v>12</v>
      </c>
      <c r="D1779" s="3">
        <v>29</v>
      </c>
      <c r="E1779" s="3">
        <v>7</v>
      </c>
      <c r="F1779">
        <v>23</v>
      </c>
      <c r="G1779" s="1">
        <f>DATEVALUE(_xlfn.CONCAT(BBDD_Usiarios_Netflix[[#This Row],[Día Suscripción]],"/",BBDD_Usiarios_Netflix[[#This Row],[Mes Suscripción]],"/",BBDD_Usiarios_Netflix[[#This Row],[Año Suscripción]]))</f>
        <v>45136</v>
      </c>
      <c r="H1779" s="1">
        <v>9</v>
      </c>
      <c r="I1779" s="1">
        <v>7</v>
      </c>
      <c r="J1779" s="1">
        <v>24</v>
      </c>
      <c r="K1779" s="1" t="str">
        <f>TEXT(BBDD_Usiarios_Netflix[[#This Row],[Fecha Suscripción]],"dddd")</f>
        <v>sábado</v>
      </c>
      <c r="L1779" s="1">
        <f>DATEVALUE(_xlfn.CONCAT(BBDD_Usiarios_Netflix[[#This Row],[Día Último Pago]],"/",BBDD_Usiarios_Netflix[[#This Row],[Mes Último Pago]],"/",BBDD_Usiarios_Netflix[[#This Row],[Año Último Pago]]))</f>
        <v>45482</v>
      </c>
      <c r="M1779" s="4">
        <f>DATEDIF(BBDD_Usiarios_Netflix[[#This Row],[Fecha Suscripción]],BBDD_Usiarios_Netflix[[#This Row],[Fecha Último Pago]],"M")+1</f>
        <v>12</v>
      </c>
      <c r="N1779" s="4">
        <f>BBDD_Usiarios_Netflix[[#This Row],[Ingresos Mensuales]]*BBDD_Usiarios_Netflix[[#This Row],[Meses contratados]]</f>
        <v>144</v>
      </c>
      <c r="O1779" t="s">
        <v>24</v>
      </c>
      <c r="P1779" t="str">
        <f>IF(BBDD_Usiarios_Netflix[[#This Row],[País]]="","Desconocido",BBDD_Usiarios_Netflix[[#This Row],[País]])</f>
        <v>Australia</v>
      </c>
      <c r="Q1779">
        <v>42</v>
      </c>
      <c r="R1779" t="s">
        <v>30</v>
      </c>
      <c r="S1779" t="s">
        <v>31</v>
      </c>
      <c r="T1779" t="s">
        <v>38</v>
      </c>
      <c r="U1779">
        <f>IF(IFERROR(VLOOKUP(BBDD_Usiarios_Netflix[[#This Row],[Identificador Usuario]],A1780:$A$5870,1,FALSE),0)&lt;&gt;0,1,0)</f>
        <v>0</v>
      </c>
      <c r="V1779" s="6" t="str">
        <f>IF(BBDD_Usiarios_Netflix[[#This Row],[Duración Plan]]="12 Meses",LEFT(BBDD_Usiarios_Netflix[[#This Row],[Duración Plan]],2),LEFT(BBDD_Usiarios_Netflix[[#This Row],[Duración Plan]],1))</f>
        <v>3</v>
      </c>
      <c r="W17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80" spans="1:23" x14ac:dyDescent="0.25">
      <c r="A1780">
        <v>1779</v>
      </c>
      <c r="B1780" t="s">
        <v>32</v>
      </c>
      <c r="C1780">
        <v>12</v>
      </c>
      <c r="D1780" s="3">
        <v>28</v>
      </c>
      <c r="E1780" s="3">
        <v>7</v>
      </c>
      <c r="F1780">
        <v>23</v>
      </c>
      <c r="G1780" s="1">
        <f>DATEVALUE(_xlfn.CONCAT(BBDD_Usiarios_Netflix[[#This Row],[Día Suscripción]],"/",BBDD_Usiarios_Netflix[[#This Row],[Mes Suscripción]],"/",BBDD_Usiarios_Netflix[[#This Row],[Año Suscripción]]))</f>
        <v>45135</v>
      </c>
      <c r="H1780" s="1">
        <v>6</v>
      </c>
      <c r="I1780" s="1">
        <v>7</v>
      </c>
      <c r="J1780" s="1">
        <v>24</v>
      </c>
      <c r="K1780" s="1" t="str">
        <f>TEXT(BBDD_Usiarios_Netflix[[#This Row],[Fecha Suscripción]],"dddd")</f>
        <v>viernes</v>
      </c>
      <c r="L1780" s="1">
        <f>DATEVALUE(_xlfn.CONCAT(BBDD_Usiarios_Netflix[[#This Row],[Día Último Pago]],"/",BBDD_Usiarios_Netflix[[#This Row],[Mes Último Pago]],"/",BBDD_Usiarios_Netflix[[#This Row],[Año Último Pago]]))</f>
        <v>45479</v>
      </c>
      <c r="M1780" s="4">
        <f>DATEDIF(BBDD_Usiarios_Netflix[[#This Row],[Fecha Suscripción]],BBDD_Usiarios_Netflix[[#This Row],[Fecha Último Pago]],"M")+1</f>
        <v>12</v>
      </c>
      <c r="N1780" s="4">
        <f>BBDD_Usiarios_Netflix[[#This Row],[Ingresos Mensuales]]*BBDD_Usiarios_Netflix[[#This Row],[Meses contratados]]</f>
        <v>144</v>
      </c>
      <c r="O1780" t="s">
        <v>44</v>
      </c>
      <c r="P1780" t="str">
        <f>IF(BBDD_Usiarios_Netflix[[#This Row],[País]]="","Desconocido",BBDD_Usiarios_Netflix[[#This Row],[País]])</f>
        <v>Desconocido</v>
      </c>
      <c r="Q1780">
        <v>43</v>
      </c>
      <c r="R1780" t="s">
        <v>30</v>
      </c>
      <c r="S1780" t="s">
        <v>26</v>
      </c>
      <c r="T1780" t="s">
        <v>35</v>
      </c>
      <c r="U1780">
        <f>IF(IFERROR(VLOOKUP(BBDD_Usiarios_Netflix[[#This Row],[Identificador Usuario]],A1781:$A$5870,1,FALSE),0)&lt;&gt;0,1,0)</f>
        <v>0</v>
      </c>
      <c r="V1780" s="6" t="str">
        <f>IF(BBDD_Usiarios_Netflix[[#This Row],[Duración Plan]]="12 Meses",LEFT(BBDD_Usiarios_Netflix[[#This Row],[Duración Plan]],2),LEFT(BBDD_Usiarios_Netflix[[#This Row],[Duración Plan]],1))</f>
        <v>6</v>
      </c>
      <c r="W17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81" spans="1:23" x14ac:dyDescent="0.25">
      <c r="A1781">
        <v>1780</v>
      </c>
      <c r="B1781" t="s">
        <v>23</v>
      </c>
      <c r="C1781">
        <v>10</v>
      </c>
      <c r="D1781" s="3">
        <v>24</v>
      </c>
      <c r="E1781" s="3">
        <v>7</v>
      </c>
      <c r="F1781">
        <v>23</v>
      </c>
      <c r="G1781" s="1">
        <f>DATEVALUE(_xlfn.CONCAT(BBDD_Usiarios_Netflix[[#This Row],[Día Suscripción]],"/",BBDD_Usiarios_Netflix[[#This Row],[Mes Suscripción]],"/",BBDD_Usiarios_Netflix[[#This Row],[Año Suscripción]]))</f>
        <v>45131</v>
      </c>
      <c r="H1781" s="1">
        <v>7</v>
      </c>
      <c r="I1781" s="1">
        <v>7</v>
      </c>
      <c r="J1781" s="1">
        <v>24</v>
      </c>
      <c r="K1781" s="1" t="str">
        <f>TEXT(BBDD_Usiarios_Netflix[[#This Row],[Fecha Suscripción]],"dddd")</f>
        <v>lunes</v>
      </c>
      <c r="L1781" s="1">
        <f>DATEVALUE(_xlfn.CONCAT(BBDD_Usiarios_Netflix[[#This Row],[Día Último Pago]],"/",BBDD_Usiarios_Netflix[[#This Row],[Mes Último Pago]],"/",BBDD_Usiarios_Netflix[[#This Row],[Año Último Pago]]))</f>
        <v>45480</v>
      </c>
      <c r="M1781" s="4">
        <f>DATEDIF(BBDD_Usiarios_Netflix[[#This Row],[Fecha Suscripción]],BBDD_Usiarios_Netflix[[#This Row],[Fecha Último Pago]],"M")+1</f>
        <v>12</v>
      </c>
      <c r="N1781" s="4">
        <f>BBDD_Usiarios_Netflix[[#This Row],[Ingresos Mensuales]]*BBDD_Usiarios_Netflix[[#This Row],[Meses contratados]]</f>
        <v>120</v>
      </c>
      <c r="O1781" t="s">
        <v>24</v>
      </c>
      <c r="P1781" t="str">
        <f>IF(BBDD_Usiarios_Netflix[[#This Row],[País]]="","Desconocido",BBDD_Usiarios_Netflix[[#This Row],[País]])</f>
        <v>Australia</v>
      </c>
      <c r="Q1781">
        <v>43</v>
      </c>
      <c r="R1781" t="s">
        <v>25</v>
      </c>
      <c r="S1781" t="s">
        <v>34</v>
      </c>
      <c r="T1781" t="s">
        <v>41</v>
      </c>
      <c r="U1781">
        <f>IF(IFERROR(VLOOKUP(BBDD_Usiarios_Netflix[[#This Row],[Identificador Usuario]],A1782:$A$5870,1,FALSE),0)&lt;&gt;0,1,0)</f>
        <v>0</v>
      </c>
      <c r="V1781" s="6" t="str">
        <f>IF(BBDD_Usiarios_Netflix[[#This Row],[Duración Plan]]="12 Meses",LEFT(BBDD_Usiarios_Netflix[[#This Row],[Duración Plan]],2),LEFT(BBDD_Usiarios_Netflix[[#This Row],[Duración Plan]],1))</f>
        <v>12</v>
      </c>
      <c r="W17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82" spans="1:23" x14ac:dyDescent="0.25">
      <c r="A1782">
        <v>1781</v>
      </c>
      <c r="B1782" t="s">
        <v>28</v>
      </c>
      <c r="C1782">
        <v>14</v>
      </c>
      <c r="D1782" s="3">
        <v>22</v>
      </c>
      <c r="E1782" s="3">
        <v>7</v>
      </c>
      <c r="F1782">
        <v>23</v>
      </c>
      <c r="G1782" s="1">
        <f>DATEVALUE(_xlfn.CONCAT(BBDD_Usiarios_Netflix[[#This Row],[Día Suscripción]],"/",BBDD_Usiarios_Netflix[[#This Row],[Mes Suscripción]],"/",BBDD_Usiarios_Netflix[[#This Row],[Año Suscripción]]))</f>
        <v>45129</v>
      </c>
      <c r="H1782" s="1">
        <v>6</v>
      </c>
      <c r="I1782" s="1">
        <v>7</v>
      </c>
      <c r="J1782" s="1">
        <v>24</v>
      </c>
      <c r="K1782" s="1" t="str">
        <f>TEXT(BBDD_Usiarios_Netflix[[#This Row],[Fecha Suscripción]],"dddd")</f>
        <v>sábado</v>
      </c>
      <c r="L1782" s="1">
        <f>DATEVALUE(_xlfn.CONCAT(BBDD_Usiarios_Netflix[[#This Row],[Día Último Pago]],"/",BBDD_Usiarios_Netflix[[#This Row],[Mes Último Pago]],"/",BBDD_Usiarios_Netflix[[#This Row],[Año Último Pago]]))</f>
        <v>45479</v>
      </c>
      <c r="M1782" s="4">
        <f>DATEDIF(BBDD_Usiarios_Netflix[[#This Row],[Fecha Suscripción]],BBDD_Usiarios_Netflix[[#This Row],[Fecha Último Pago]],"M")+1</f>
        <v>12</v>
      </c>
      <c r="N1782" s="4">
        <f>BBDD_Usiarios_Netflix[[#This Row],[Ingresos Mensuales]]*BBDD_Usiarios_Netflix[[#This Row],[Meses contratados]]</f>
        <v>168</v>
      </c>
      <c r="O1782" t="s">
        <v>24</v>
      </c>
      <c r="P1782" t="str">
        <f>IF(BBDD_Usiarios_Netflix[[#This Row],[País]]="","Desconocido",BBDD_Usiarios_Netflix[[#This Row],[País]])</f>
        <v>Australia</v>
      </c>
      <c r="Q1782">
        <v>35</v>
      </c>
      <c r="R1782" t="s">
        <v>30</v>
      </c>
      <c r="S1782" t="s">
        <v>36</v>
      </c>
      <c r="T1782" t="s">
        <v>27</v>
      </c>
      <c r="U1782">
        <f>IF(IFERROR(VLOOKUP(BBDD_Usiarios_Netflix[[#This Row],[Identificador Usuario]],A1783:$A$5870,1,FALSE),0)&lt;&gt;0,1,0)</f>
        <v>0</v>
      </c>
      <c r="V1782" s="6" t="str">
        <f>IF(BBDD_Usiarios_Netflix[[#This Row],[Duración Plan]]="12 Meses",LEFT(BBDD_Usiarios_Netflix[[#This Row],[Duración Plan]],2),LEFT(BBDD_Usiarios_Netflix[[#This Row],[Duración Plan]],1))</f>
        <v>1</v>
      </c>
      <c r="W17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83" spans="1:23" x14ac:dyDescent="0.25">
      <c r="A1783">
        <v>1782</v>
      </c>
      <c r="B1783" t="s">
        <v>23</v>
      </c>
      <c r="C1783">
        <v>10</v>
      </c>
      <c r="D1783" s="3">
        <v>19</v>
      </c>
      <c r="E1783" s="3">
        <v>7</v>
      </c>
      <c r="F1783">
        <v>23</v>
      </c>
      <c r="G1783" s="1">
        <f>DATEVALUE(_xlfn.CONCAT(BBDD_Usiarios_Netflix[[#This Row],[Día Suscripción]],"/",BBDD_Usiarios_Netflix[[#This Row],[Mes Suscripción]],"/",BBDD_Usiarios_Netflix[[#This Row],[Año Suscripción]]))</f>
        <v>45126</v>
      </c>
      <c r="H1783" s="1">
        <v>10</v>
      </c>
      <c r="I1783" s="1">
        <v>7</v>
      </c>
      <c r="J1783" s="1">
        <v>24</v>
      </c>
      <c r="K1783" s="1" t="str">
        <f>TEXT(BBDD_Usiarios_Netflix[[#This Row],[Fecha Suscripción]],"dddd")</f>
        <v>miércoles</v>
      </c>
      <c r="L1783" s="1">
        <f>DATEVALUE(_xlfn.CONCAT(BBDD_Usiarios_Netflix[[#This Row],[Día Último Pago]],"/",BBDD_Usiarios_Netflix[[#This Row],[Mes Último Pago]],"/",BBDD_Usiarios_Netflix[[#This Row],[Año Último Pago]]))</f>
        <v>45483</v>
      </c>
      <c r="M1783" s="4">
        <f>DATEDIF(BBDD_Usiarios_Netflix[[#This Row],[Fecha Suscripción]],BBDD_Usiarios_Netflix[[#This Row],[Fecha Último Pago]],"M")+1</f>
        <v>12</v>
      </c>
      <c r="N1783" s="4">
        <f>BBDD_Usiarios_Netflix[[#This Row],[Ingresos Mensuales]]*BBDD_Usiarios_Netflix[[#This Row],[Meses contratados]]</f>
        <v>120</v>
      </c>
      <c r="O1783" t="s">
        <v>33</v>
      </c>
      <c r="P1783" t="str">
        <f>IF(BBDD_Usiarios_Netflix[[#This Row],[País]]="","Desconocido",BBDD_Usiarios_Netflix[[#This Row],[País]])</f>
        <v>Francia</v>
      </c>
      <c r="Q1783">
        <v>51</v>
      </c>
      <c r="R1783" t="s">
        <v>25</v>
      </c>
      <c r="S1783" t="s">
        <v>36</v>
      </c>
      <c r="T1783" t="s">
        <v>41</v>
      </c>
      <c r="U1783">
        <f>IF(IFERROR(VLOOKUP(BBDD_Usiarios_Netflix[[#This Row],[Identificador Usuario]],A1784:$A$5870,1,FALSE),0)&lt;&gt;0,1,0)</f>
        <v>0</v>
      </c>
      <c r="V1783" s="6" t="str">
        <f>IF(BBDD_Usiarios_Netflix[[#This Row],[Duración Plan]]="12 Meses",LEFT(BBDD_Usiarios_Netflix[[#This Row],[Duración Plan]],2),LEFT(BBDD_Usiarios_Netflix[[#This Row],[Duración Plan]],1))</f>
        <v>12</v>
      </c>
      <c r="W17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84" spans="1:23" x14ac:dyDescent="0.25">
      <c r="A1784">
        <v>1783</v>
      </c>
      <c r="B1784" t="s">
        <v>32</v>
      </c>
      <c r="C1784">
        <v>12</v>
      </c>
      <c r="D1784" s="3">
        <v>17</v>
      </c>
      <c r="E1784" s="3">
        <v>7</v>
      </c>
      <c r="F1784">
        <v>23</v>
      </c>
      <c r="G1784" s="1">
        <f>DATEVALUE(_xlfn.CONCAT(BBDD_Usiarios_Netflix[[#This Row],[Día Suscripción]],"/",BBDD_Usiarios_Netflix[[#This Row],[Mes Suscripción]],"/",BBDD_Usiarios_Netflix[[#This Row],[Año Suscripción]]))</f>
        <v>45124</v>
      </c>
      <c r="H1784" s="1">
        <v>7</v>
      </c>
      <c r="I1784" s="1">
        <v>7</v>
      </c>
      <c r="J1784" s="1">
        <v>24</v>
      </c>
      <c r="K1784" s="1" t="str">
        <f>TEXT(BBDD_Usiarios_Netflix[[#This Row],[Fecha Suscripción]],"dddd")</f>
        <v>lunes</v>
      </c>
      <c r="L1784" s="1">
        <f>DATEVALUE(_xlfn.CONCAT(BBDD_Usiarios_Netflix[[#This Row],[Día Último Pago]],"/",BBDD_Usiarios_Netflix[[#This Row],[Mes Último Pago]],"/",BBDD_Usiarios_Netflix[[#This Row],[Año Último Pago]]))</f>
        <v>45480</v>
      </c>
      <c r="M1784" s="4">
        <f>DATEDIF(BBDD_Usiarios_Netflix[[#This Row],[Fecha Suscripción]],BBDD_Usiarios_Netflix[[#This Row],[Fecha Último Pago]],"M")+1</f>
        <v>12</v>
      </c>
      <c r="N1784" s="4">
        <f>BBDD_Usiarios_Netflix[[#This Row],[Ingresos Mensuales]]*BBDD_Usiarios_Netflix[[#This Row],[Meses contratados]]</f>
        <v>144</v>
      </c>
      <c r="O1784" t="s">
        <v>29</v>
      </c>
      <c r="P1784" t="str">
        <f>IF(BBDD_Usiarios_Netflix[[#This Row],[País]]="","Desconocido",BBDD_Usiarios_Netflix[[#This Row],[País]])</f>
        <v>EEUU</v>
      </c>
      <c r="Q1784">
        <v>42</v>
      </c>
      <c r="R1784" t="s">
        <v>30</v>
      </c>
      <c r="S1784" t="s">
        <v>26</v>
      </c>
      <c r="T1784" t="s">
        <v>38</v>
      </c>
      <c r="U1784">
        <f>IF(IFERROR(VLOOKUP(BBDD_Usiarios_Netflix[[#This Row],[Identificador Usuario]],A1785:$A$5870,1,FALSE),0)&lt;&gt;0,1,0)</f>
        <v>0</v>
      </c>
      <c r="V1784" s="6" t="str">
        <f>IF(BBDD_Usiarios_Netflix[[#This Row],[Duración Plan]]="12 Meses",LEFT(BBDD_Usiarios_Netflix[[#This Row],[Duración Plan]],2),LEFT(BBDD_Usiarios_Netflix[[#This Row],[Duración Plan]],1))</f>
        <v>3</v>
      </c>
      <c r="W17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785" spans="1:23" x14ac:dyDescent="0.25">
      <c r="A1785">
        <v>1784</v>
      </c>
      <c r="B1785" t="s">
        <v>28</v>
      </c>
      <c r="C1785">
        <v>14</v>
      </c>
      <c r="D1785" s="3">
        <v>16</v>
      </c>
      <c r="E1785" s="3">
        <v>7</v>
      </c>
      <c r="F1785">
        <v>23</v>
      </c>
      <c r="G1785" s="1">
        <f>DATEVALUE(_xlfn.CONCAT(BBDD_Usiarios_Netflix[[#This Row],[Día Suscripción]],"/",BBDD_Usiarios_Netflix[[#This Row],[Mes Suscripción]],"/",BBDD_Usiarios_Netflix[[#This Row],[Año Suscripción]]))</f>
        <v>45123</v>
      </c>
      <c r="H1785" s="1">
        <v>7</v>
      </c>
      <c r="I1785" s="1">
        <v>7</v>
      </c>
      <c r="J1785" s="1">
        <v>24</v>
      </c>
      <c r="K1785" s="1" t="str">
        <f>TEXT(BBDD_Usiarios_Netflix[[#This Row],[Fecha Suscripción]],"dddd")</f>
        <v>domingo</v>
      </c>
      <c r="L1785" s="1">
        <f>DATEVALUE(_xlfn.CONCAT(BBDD_Usiarios_Netflix[[#This Row],[Día Último Pago]],"/",BBDD_Usiarios_Netflix[[#This Row],[Mes Último Pago]],"/",BBDD_Usiarios_Netflix[[#This Row],[Año Último Pago]]))</f>
        <v>45480</v>
      </c>
      <c r="M1785" s="4">
        <f>DATEDIF(BBDD_Usiarios_Netflix[[#This Row],[Fecha Suscripción]],BBDD_Usiarios_Netflix[[#This Row],[Fecha Último Pago]],"M")+1</f>
        <v>12</v>
      </c>
      <c r="N1785" s="4">
        <f>BBDD_Usiarios_Netflix[[#This Row],[Ingresos Mensuales]]*BBDD_Usiarios_Netflix[[#This Row],[Meses contratados]]</f>
        <v>168</v>
      </c>
      <c r="O1785" t="s">
        <v>45</v>
      </c>
      <c r="P1785" t="str">
        <f>IF(BBDD_Usiarios_Netflix[[#This Row],[País]]="","Desconocido",BBDD_Usiarios_Netflix[[#This Row],[País]])</f>
        <v>España</v>
      </c>
      <c r="Q1785">
        <v>36</v>
      </c>
      <c r="R1785" t="s">
        <v>25</v>
      </c>
      <c r="S1785" t="s">
        <v>31</v>
      </c>
      <c r="T1785" t="s">
        <v>27</v>
      </c>
      <c r="U1785">
        <f>IF(IFERROR(VLOOKUP(BBDD_Usiarios_Netflix[[#This Row],[Identificador Usuario]],A1786:$A$5870,1,FALSE),0)&lt;&gt;0,1,0)</f>
        <v>0</v>
      </c>
      <c r="V1785" s="6" t="str">
        <f>IF(BBDD_Usiarios_Netflix[[#This Row],[Duración Plan]]="12 Meses",LEFT(BBDD_Usiarios_Netflix[[#This Row],[Duración Plan]],2),LEFT(BBDD_Usiarios_Netflix[[#This Row],[Duración Plan]],1))</f>
        <v>1</v>
      </c>
      <c r="W17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86" spans="1:23" x14ac:dyDescent="0.25">
      <c r="A1786">
        <v>1785</v>
      </c>
      <c r="B1786" t="s">
        <v>23</v>
      </c>
      <c r="C1786">
        <v>10</v>
      </c>
      <c r="D1786" s="3">
        <v>13</v>
      </c>
      <c r="E1786" s="3">
        <v>7</v>
      </c>
      <c r="F1786">
        <v>23</v>
      </c>
      <c r="G1786" s="1">
        <f>DATEVALUE(_xlfn.CONCAT(BBDD_Usiarios_Netflix[[#This Row],[Día Suscripción]],"/",BBDD_Usiarios_Netflix[[#This Row],[Mes Suscripción]],"/",BBDD_Usiarios_Netflix[[#This Row],[Año Suscripción]]))</f>
        <v>45120</v>
      </c>
      <c r="H1786" s="1">
        <v>7</v>
      </c>
      <c r="I1786" s="1">
        <v>7</v>
      </c>
      <c r="J1786" s="1">
        <v>24</v>
      </c>
      <c r="K1786" s="1" t="str">
        <f>TEXT(BBDD_Usiarios_Netflix[[#This Row],[Fecha Suscripción]],"dddd")</f>
        <v>jueves</v>
      </c>
      <c r="L1786" s="1">
        <f>DATEVALUE(_xlfn.CONCAT(BBDD_Usiarios_Netflix[[#This Row],[Día Último Pago]],"/",BBDD_Usiarios_Netflix[[#This Row],[Mes Último Pago]],"/",BBDD_Usiarios_Netflix[[#This Row],[Año Último Pago]]))</f>
        <v>45480</v>
      </c>
      <c r="M1786" s="4">
        <f>DATEDIF(BBDD_Usiarios_Netflix[[#This Row],[Fecha Suscripción]],BBDD_Usiarios_Netflix[[#This Row],[Fecha Último Pago]],"M")+1</f>
        <v>12</v>
      </c>
      <c r="N1786" s="4">
        <f>BBDD_Usiarios_Netflix[[#This Row],[Ingresos Mensuales]]*BBDD_Usiarios_Netflix[[#This Row],[Meses contratados]]</f>
        <v>120</v>
      </c>
      <c r="O1786" t="s">
        <v>29</v>
      </c>
      <c r="P1786" t="str">
        <f>IF(BBDD_Usiarios_Netflix[[#This Row],[País]]="","Desconocido",BBDD_Usiarios_Netflix[[#This Row],[País]])</f>
        <v>EEUU</v>
      </c>
      <c r="Q1786">
        <v>50</v>
      </c>
      <c r="R1786" t="s">
        <v>30</v>
      </c>
      <c r="S1786" t="s">
        <v>31</v>
      </c>
      <c r="T1786" t="s">
        <v>41</v>
      </c>
      <c r="U1786">
        <f>IF(IFERROR(VLOOKUP(BBDD_Usiarios_Netflix[[#This Row],[Identificador Usuario]],A1787:$A$5870,1,FALSE),0)&lt;&gt;0,1,0)</f>
        <v>0</v>
      </c>
      <c r="V1786" s="6" t="str">
        <f>IF(BBDD_Usiarios_Netflix[[#This Row],[Duración Plan]]="12 Meses",LEFT(BBDD_Usiarios_Netflix[[#This Row],[Duración Plan]],2),LEFT(BBDD_Usiarios_Netflix[[#This Row],[Duración Plan]],1))</f>
        <v>12</v>
      </c>
      <c r="W17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87" spans="1:23" x14ac:dyDescent="0.25">
      <c r="A1787">
        <v>1786</v>
      </c>
      <c r="B1787" t="s">
        <v>28</v>
      </c>
      <c r="C1787">
        <v>14</v>
      </c>
      <c r="D1787" s="3">
        <v>14</v>
      </c>
      <c r="E1787" s="3">
        <v>7</v>
      </c>
      <c r="F1787">
        <v>23</v>
      </c>
      <c r="G1787" s="1">
        <f>DATEVALUE(_xlfn.CONCAT(BBDD_Usiarios_Netflix[[#This Row],[Día Suscripción]],"/",BBDD_Usiarios_Netflix[[#This Row],[Mes Suscripción]],"/",BBDD_Usiarios_Netflix[[#This Row],[Año Suscripción]]))</f>
        <v>45121</v>
      </c>
      <c r="H1787" s="1">
        <v>9</v>
      </c>
      <c r="I1787" s="1">
        <v>7</v>
      </c>
      <c r="J1787" s="1">
        <v>24</v>
      </c>
      <c r="K1787" s="1" t="str">
        <f>TEXT(BBDD_Usiarios_Netflix[[#This Row],[Fecha Suscripción]],"dddd")</f>
        <v>viernes</v>
      </c>
      <c r="L1787" s="1">
        <f>DATEVALUE(_xlfn.CONCAT(BBDD_Usiarios_Netflix[[#This Row],[Día Último Pago]],"/",BBDD_Usiarios_Netflix[[#This Row],[Mes Último Pago]],"/",BBDD_Usiarios_Netflix[[#This Row],[Año Último Pago]]))</f>
        <v>45482</v>
      </c>
      <c r="M1787" s="4">
        <f>DATEDIF(BBDD_Usiarios_Netflix[[#This Row],[Fecha Suscripción]],BBDD_Usiarios_Netflix[[#This Row],[Fecha Último Pago]],"M")+1</f>
        <v>12</v>
      </c>
      <c r="N1787" s="4">
        <f>BBDD_Usiarios_Netflix[[#This Row],[Ingresos Mensuales]]*BBDD_Usiarios_Netflix[[#This Row],[Meses contratados]]</f>
        <v>168</v>
      </c>
      <c r="O1787" t="s">
        <v>42</v>
      </c>
      <c r="P1787" t="str">
        <f>IF(BBDD_Usiarios_Netflix[[#This Row],[País]]="","Desconocido",BBDD_Usiarios_Netflix[[#This Row],[País]])</f>
        <v>Reino Unido</v>
      </c>
      <c r="Q1787">
        <v>43</v>
      </c>
      <c r="R1787" t="s">
        <v>30</v>
      </c>
      <c r="S1787" t="s">
        <v>36</v>
      </c>
      <c r="T1787" t="s">
        <v>41</v>
      </c>
      <c r="U1787">
        <f>IF(IFERROR(VLOOKUP(BBDD_Usiarios_Netflix[[#This Row],[Identificador Usuario]],A1788:$A$5870,1,FALSE),0)&lt;&gt;0,1,0)</f>
        <v>0</v>
      </c>
      <c r="V1787" s="6" t="str">
        <f>IF(BBDD_Usiarios_Netflix[[#This Row],[Duración Plan]]="12 Meses",LEFT(BBDD_Usiarios_Netflix[[#This Row],[Duración Plan]],2),LEFT(BBDD_Usiarios_Netflix[[#This Row],[Duración Plan]],1))</f>
        <v>12</v>
      </c>
      <c r="W17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88" spans="1:23" x14ac:dyDescent="0.25">
      <c r="A1788">
        <v>1787</v>
      </c>
      <c r="B1788" t="s">
        <v>23</v>
      </c>
      <c r="C1788">
        <v>10</v>
      </c>
      <c r="D1788" s="3">
        <v>7</v>
      </c>
      <c r="E1788" s="3">
        <v>7</v>
      </c>
      <c r="F1788">
        <v>23</v>
      </c>
      <c r="G1788" s="1">
        <f>DATEVALUE(_xlfn.CONCAT(BBDD_Usiarios_Netflix[[#This Row],[Día Suscripción]],"/",BBDD_Usiarios_Netflix[[#This Row],[Mes Suscripción]],"/",BBDD_Usiarios_Netflix[[#This Row],[Año Suscripción]]))</f>
        <v>45114</v>
      </c>
      <c r="H1788" s="1">
        <v>7</v>
      </c>
      <c r="I1788" s="1">
        <v>7</v>
      </c>
      <c r="J1788" s="1">
        <v>24</v>
      </c>
      <c r="K1788" s="1" t="str">
        <f>TEXT(BBDD_Usiarios_Netflix[[#This Row],[Fecha Suscripción]],"dddd")</f>
        <v>viernes</v>
      </c>
      <c r="L1788" s="1">
        <f>DATEVALUE(_xlfn.CONCAT(BBDD_Usiarios_Netflix[[#This Row],[Día Último Pago]],"/",BBDD_Usiarios_Netflix[[#This Row],[Mes Último Pago]],"/",BBDD_Usiarios_Netflix[[#This Row],[Año Último Pago]]))</f>
        <v>45480</v>
      </c>
      <c r="M1788" s="4">
        <f>DATEDIF(BBDD_Usiarios_Netflix[[#This Row],[Fecha Suscripción]],BBDD_Usiarios_Netflix[[#This Row],[Fecha Último Pago]],"M")+1</f>
        <v>13</v>
      </c>
      <c r="N1788" s="4">
        <f>BBDD_Usiarios_Netflix[[#This Row],[Ingresos Mensuales]]*BBDD_Usiarios_Netflix[[#This Row],[Meses contratados]]</f>
        <v>130</v>
      </c>
      <c r="O1788" t="s">
        <v>40</v>
      </c>
      <c r="P1788" t="str">
        <f>IF(BBDD_Usiarios_Netflix[[#This Row],[País]]="","Desconocido",BBDD_Usiarios_Netflix[[#This Row],[País]])</f>
        <v>Italia</v>
      </c>
      <c r="Q1788">
        <v>28</v>
      </c>
      <c r="R1788" t="s">
        <v>25</v>
      </c>
      <c r="S1788" t="s">
        <v>36</v>
      </c>
      <c r="T1788" t="s">
        <v>35</v>
      </c>
      <c r="U1788">
        <f>IF(IFERROR(VLOOKUP(BBDD_Usiarios_Netflix[[#This Row],[Identificador Usuario]],A1789:$A$5870,1,FALSE),0)&lt;&gt;0,1,0)</f>
        <v>0</v>
      </c>
      <c r="V1788" s="6" t="str">
        <f>IF(BBDD_Usiarios_Netflix[[#This Row],[Duración Plan]]="12 Meses",LEFT(BBDD_Usiarios_Netflix[[#This Row],[Duración Plan]],2),LEFT(BBDD_Usiarios_Netflix[[#This Row],[Duración Plan]],1))</f>
        <v>6</v>
      </c>
      <c r="W17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89" spans="1:23" x14ac:dyDescent="0.25">
      <c r="A1789">
        <v>1788</v>
      </c>
      <c r="B1789" t="s">
        <v>32</v>
      </c>
      <c r="C1789">
        <v>12</v>
      </c>
      <c r="D1789" s="3">
        <v>6</v>
      </c>
      <c r="E1789" s="3">
        <v>7</v>
      </c>
      <c r="F1789">
        <v>23</v>
      </c>
      <c r="G1789" s="1">
        <f>DATEVALUE(_xlfn.CONCAT(BBDD_Usiarios_Netflix[[#This Row],[Día Suscripción]],"/",BBDD_Usiarios_Netflix[[#This Row],[Mes Suscripción]],"/",BBDD_Usiarios_Netflix[[#This Row],[Año Suscripción]]))</f>
        <v>45113</v>
      </c>
      <c r="H1789" s="1">
        <v>9</v>
      </c>
      <c r="I1789" s="1">
        <v>7</v>
      </c>
      <c r="J1789" s="1">
        <v>24</v>
      </c>
      <c r="K1789" s="1" t="str">
        <f>TEXT(BBDD_Usiarios_Netflix[[#This Row],[Fecha Suscripción]],"dddd")</f>
        <v>jueves</v>
      </c>
      <c r="L1789" s="1">
        <f>DATEVALUE(_xlfn.CONCAT(BBDD_Usiarios_Netflix[[#This Row],[Día Último Pago]],"/",BBDD_Usiarios_Netflix[[#This Row],[Mes Último Pago]],"/",BBDD_Usiarios_Netflix[[#This Row],[Año Último Pago]]))</f>
        <v>45482</v>
      </c>
      <c r="M1789" s="4">
        <f>DATEDIF(BBDD_Usiarios_Netflix[[#This Row],[Fecha Suscripción]],BBDD_Usiarios_Netflix[[#This Row],[Fecha Último Pago]],"M")+1</f>
        <v>13</v>
      </c>
      <c r="N1789" s="4">
        <f>BBDD_Usiarios_Netflix[[#This Row],[Ingresos Mensuales]]*BBDD_Usiarios_Netflix[[#This Row],[Meses contratados]]</f>
        <v>156</v>
      </c>
      <c r="O1789" t="s">
        <v>39</v>
      </c>
      <c r="P1789" t="str">
        <f>IF(BBDD_Usiarios_Netflix[[#This Row],[País]]="","Desconocido",BBDD_Usiarios_Netflix[[#This Row],[País]])</f>
        <v>Canadá</v>
      </c>
      <c r="Q1789">
        <v>48</v>
      </c>
      <c r="R1789" t="s">
        <v>30</v>
      </c>
      <c r="S1789" t="s">
        <v>34</v>
      </c>
      <c r="T1789" t="s">
        <v>27</v>
      </c>
      <c r="U1789">
        <f>IF(IFERROR(VLOOKUP(BBDD_Usiarios_Netflix[[#This Row],[Identificador Usuario]],A1790:$A$5870,1,FALSE),0)&lt;&gt;0,1,0)</f>
        <v>0</v>
      </c>
      <c r="V1789" s="6" t="str">
        <f>IF(BBDD_Usiarios_Netflix[[#This Row],[Duración Plan]]="12 Meses",LEFT(BBDD_Usiarios_Netflix[[#This Row],[Duración Plan]],2),LEFT(BBDD_Usiarios_Netflix[[#This Row],[Duración Plan]],1))</f>
        <v>1</v>
      </c>
      <c r="W17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90" spans="1:23" x14ac:dyDescent="0.25">
      <c r="A1790">
        <v>1789</v>
      </c>
      <c r="B1790" t="s">
        <v>32</v>
      </c>
      <c r="C1790">
        <v>12</v>
      </c>
      <c r="D1790" s="3">
        <v>30</v>
      </c>
      <c r="E1790" s="3">
        <v>6</v>
      </c>
      <c r="F1790">
        <v>23</v>
      </c>
      <c r="G1790" s="1">
        <f>DATEVALUE(_xlfn.CONCAT(BBDD_Usiarios_Netflix[[#This Row],[Día Suscripción]],"/",BBDD_Usiarios_Netflix[[#This Row],[Mes Suscripción]],"/",BBDD_Usiarios_Netflix[[#This Row],[Año Suscripción]]))</f>
        <v>45107</v>
      </c>
      <c r="H1790" s="1">
        <v>7</v>
      </c>
      <c r="I1790" s="1">
        <v>7</v>
      </c>
      <c r="J1790" s="1">
        <v>24</v>
      </c>
      <c r="K1790" s="1" t="str">
        <f>TEXT(BBDD_Usiarios_Netflix[[#This Row],[Fecha Suscripción]],"dddd")</f>
        <v>viernes</v>
      </c>
      <c r="L1790" s="1">
        <f>DATEVALUE(_xlfn.CONCAT(BBDD_Usiarios_Netflix[[#This Row],[Día Último Pago]],"/",BBDD_Usiarios_Netflix[[#This Row],[Mes Último Pago]],"/",BBDD_Usiarios_Netflix[[#This Row],[Año Último Pago]]))</f>
        <v>45480</v>
      </c>
      <c r="M1790" s="4">
        <f>DATEDIF(BBDD_Usiarios_Netflix[[#This Row],[Fecha Suscripción]],BBDD_Usiarios_Netflix[[#This Row],[Fecha Último Pago]],"M")+1</f>
        <v>13</v>
      </c>
      <c r="N1790" s="4">
        <f>BBDD_Usiarios_Netflix[[#This Row],[Ingresos Mensuales]]*BBDD_Usiarios_Netflix[[#This Row],[Meses contratados]]</f>
        <v>156</v>
      </c>
      <c r="O1790" t="s">
        <v>43</v>
      </c>
      <c r="P1790" t="str">
        <f>IF(BBDD_Usiarios_Netflix[[#This Row],[País]]="","Desconocido",BBDD_Usiarios_Netflix[[#This Row],[País]])</f>
        <v>Alemania</v>
      </c>
      <c r="Q1790">
        <v>47</v>
      </c>
      <c r="R1790" t="s">
        <v>30</v>
      </c>
      <c r="S1790" t="s">
        <v>31</v>
      </c>
      <c r="T1790" t="s">
        <v>35</v>
      </c>
      <c r="U1790">
        <f>IF(IFERROR(VLOOKUP(BBDD_Usiarios_Netflix[[#This Row],[Identificador Usuario]],A1791:$A$5870,1,FALSE),0)&lt;&gt;0,1,0)</f>
        <v>0</v>
      </c>
      <c r="V1790" s="6" t="str">
        <f>IF(BBDD_Usiarios_Netflix[[#This Row],[Duración Plan]]="12 Meses",LEFT(BBDD_Usiarios_Netflix[[#This Row],[Duración Plan]],2),LEFT(BBDD_Usiarios_Netflix[[#This Row],[Duración Plan]],1))</f>
        <v>6</v>
      </c>
      <c r="W17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91" spans="1:23" x14ac:dyDescent="0.25">
      <c r="A1791">
        <v>1790</v>
      </c>
      <c r="B1791" t="s">
        <v>23</v>
      </c>
      <c r="C1791">
        <v>10</v>
      </c>
      <c r="D1791" s="3">
        <v>30</v>
      </c>
      <c r="E1791" s="3">
        <v>6</v>
      </c>
      <c r="F1791">
        <v>23</v>
      </c>
      <c r="G1791" s="1">
        <f>DATEVALUE(_xlfn.CONCAT(BBDD_Usiarios_Netflix[[#This Row],[Día Suscripción]],"/",BBDD_Usiarios_Netflix[[#This Row],[Mes Suscripción]],"/",BBDD_Usiarios_Netflix[[#This Row],[Año Suscripción]]))</f>
        <v>45107</v>
      </c>
      <c r="H1791" s="1">
        <v>9</v>
      </c>
      <c r="I1791" s="1">
        <v>7</v>
      </c>
      <c r="J1791" s="1">
        <v>24</v>
      </c>
      <c r="K1791" s="1" t="str">
        <f>TEXT(BBDD_Usiarios_Netflix[[#This Row],[Fecha Suscripción]],"dddd")</f>
        <v>viernes</v>
      </c>
      <c r="L1791" s="1">
        <f>DATEVALUE(_xlfn.CONCAT(BBDD_Usiarios_Netflix[[#This Row],[Día Último Pago]],"/",BBDD_Usiarios_Netflix[[#This Row],[Mes Último Pago]],"/",BBDD_Usiarios_Netflix[[#This Row],[Año Último Pago]]))</f>
        <v>45482</v>
      </c>
      <c r="M1791" s="4">
        <f>DATEDIF(BBDD_Usiarios_Netflix[[#This Row],[Fecha Suscripción]],BBDD_Usiarios_Netflix[[#This Row],[Fecha Último Pago]],"M")+1</f>
        <v>13</v>
      </c>
      <c r="N1791" s="4">
        <f>BBDD_Usiarios_Netflix[[#This Row],[Ingresos Mensuales]]*BBDD_Usiarios_Netflix[[#This Row],[Meses contratados]]</f>
        <v>130</v>
      </c>
      <c r="O1791" t="s">
        <v>33</v>
      </c>
      <c r="P1791" t="str">
        <f>IF(BBDD_Usiarios_Netflix[[#This Row],[País]]="","Desconocido",BBDD_Usiarios_Netflix[[#This Row],[País]])</f>
        <v>Francia</v>
      </c>
      <c r="Q1791">
        <v>31</v>
      </c>
      <c r="R1791" t="s">
        <v>25</v>
      </c>
      <c r="S1791" t="s">
        <v>34</v>
      </c>
      <c r="T1791" t="s">
        <v>27</v>
      </c>
      <c r="U1791">
        <f>IF(IFERROR(VLOOKUP(BBDD_Usiarios_Netflix[[#This Row],[Identificador Usuario]],A1792:$A$5870,1,FALSE),0)&lt;&gt;0,1,0)</f>
        <v>0</v>
      </c>
      <c r="V1791" s="6" t="str">
        <f>IF(BBDD_Usiarios_Netflix[[#This Row],[Duración Plan]]="12 Meses",LEFT(BBDD_Usiarios_Netflix[[#This Row],[Duración Plan]],2),LEFT(BBDD_Usiarios_Netflix[[#This Row],[Duración Plan]],1))</f>
        <v>1</v>
      </c>
      <c r="W17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92" spans="1:23" x14ac:dyDescent="0.25">
      <c r="A1792">
        <v>1791</v>
      </c>
      <c r="B1792" t="s">
        <v>28</v>
      </c>
      <c r="C1792">
        <v>14</v>
      </c>
      <c r="D1792" s="3">
        <v>1</v>
      </c>
      <c r="E1792" s="3">
        <v>7</v>
      </c>
      <c r="F1792">
        <v>23</v>
      </c>
      <c r="G1792" s="1">
        <f>DATEVALUE(_xlfn.CONCAT(BBDD_Usiarios_Netflix[[#This Row],[Día Suscripción]],"/",BBDD_Usiarios_Netflix[[#This Row],[Mes Suscripción]],"/",BBDD_Usiarios_Netflix[[#This Row],[Año Suscripción]]))</f>
        <v>45108</v>
      </c>
      <c r="H1792" s="1">
        <v>6</v>
      </c>
      <c r="I1792" s="1">
        <v>7</v>
      </c>
      <c r="J1792" s="1">
        <v>24</v>
      </c>
      <c r="K1792" s="1" t="str">
        <f>TEXT(BBDD_Usiarios_Netflix[[#This Row],[Fecha Suscripción]],"dddd")</f>
        <v>sábado</v>
      </c>
      <c r="L1792" s="1">
        <f>DATEVALUE(_xlfn.CONCAT(BBDD_Usiarios_Netflix[[#This Row],[Día Último Pago]],"/",BBDD_Usiarios_Netflix[[#This Row],[Mes Último Pago]],"/",BBDD_Usiarios_Netflix[[#This Row],[Año Último Pago]]))</f>
        <v>45479</v>
      </c>
      <c r="M1792" s="4">
        <f>DATEDIF(BBDD_Usiarios_Netflix[[#This Row],[Fecha Suscripción]],BBDD_Usiarios_Netflix[[#This Row],[Fecha Último Pago]],"M")+1</f>
        <v>13</v>
      </c>
      <c r="N1792" s="4">
        <f>BBDD_Usiarios_Netflix[[#This Row],[Ingresos Mensuales]]*BBDD_Usiarios_Netflix[[#This Row],[Meses contratados]]</f>
        <v>182</v>
      </c>
      <c r="O1792" t="s">
        <v>24</v>
      </c>
      <c r="P1792" t="str">
        <f>IF(BBDD_Usiarios_Netflix[[#This Row],[País]]="","Desconocido",BBDD_Usiarios_Netflix[[#This Row],[País]])</f>
        <v>Australia</v>
      </c>
      <c r="Q1792">
        <v>45</v>
      </c>
      <c r="R1792" t="s">
        <v>25</v>
      </c>
      <c r="S1792" t="s">
        <v>36</v>
      </c>
      <c r="T1792" t="s">
        <v>27</v>
      </c>
      <c r="U1792">
        <f>IF(IFERROR(VLOOKUP(BBDD_Usiarios_Netflix[[#This Row],[Identificador Usuario]],A1793:$A$5870,1,FALSE),0)&lt;&gt;0,1,0)</f>
        <v>0</v>
      </c>
      <c r="V1792" s="6" t="str">
        <f>IF(BBDD_Usiarios_Netflix[[#This Row],[Duración Plan]]="12 Meses",LEFT(BBDD_Usiarios_Netflix[[#This Row],[Duración Plan]],2),LEFT(BBDD_Usiarios_Netflix[[#This Row],[Duración Plan]],1))</f>
        <v>1</v>
      </c>
      <c r="W17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793" spans="1:23" x14ac:dyDescent="0.25">
      <c r="A1793">
        <v>1792</v>
      </c>
      <c r="B1793" t="s">
        <v>23</v>
      </c>
      <c r="C1793">
        <v>10</v>
      </c>
      <c r="D1793" s="3">
        <v>2</v>
      </c>
      <c r="E1793" s="3">
        <v>7</v>
      </c>
      <c r="F1793">
        <v>23</v>
      </c>
      <c r="G1793" s="1">
        <f>DATEVALUE(_xlfn.CONCAT(BBDD_Usiarios_Netflix[[#This Row],[Día Suscripción]],"/",BBDD_Usiarios_Netflix[[#This Row],[Mes Suscripción]],"/",BBDD_Usiarios_Netflix[[#This Row],[Año Suscripción]]))</f>
        <v>45109</v>
      </c>
      <c r="H1793" s="1">
        <v>9</v>
      </c>
      <c r="I1793" s="1">
        <v>7</v>
      </c>
      <c r="J1793" s="1">
        <v>24</v>
      </c>
      <c r="K1793" s="1" t="str">
        <f>TEXT(BBDD_Usiarios_Netflix[[#This Row],[Fecha Suscripción]],"dddd")</f>
        <v>domingo</v>
      </c>
      <c r="L1793" s="1">
        <f>DATEVALUE(_xlfn.CONCAT(BBDD_Usiarios_Netflix[[#This Row],[Día Último Pago]],"/",BBDD_Usiarios_Netflix[[#This Row],[Mes Último Pago]],"/",BBDD_Usiarios_Netflix[[#This Row],[Año Último Pago]]))</f>
        <v>45482</v>
      </c>
      <c r="M1793" s="4">
        <f>DATEDIF(BBDD_Usiarios_Netflix[[#This Row],[Fecha Suscripción]],BBDD_Usiarios_Netflix[[#This Row],[Fecha Último Pago]],"M")+1</f>
        <v>13</v>
      </c>
      <c r="N1793" s="4">
        <f>BBDD_Usiarios_Netflix[[#This Row],[Ingresos Mensuales]]*BBDD_Usiarios_Netflix[[#This Row],[Meses contratados]]</f>
        <v>130</v>
      </c>
      <c r="O1793" t="s">
        <v>24</v>
      </c>
      <c r="P1793" t="str">
        <f>IF(BBDD_Usiarios_Netflix[[#This Row],[País]]="","Desconocido",BBDD_Usiarios_Netflix[[#This Row],[País]])</f>
        <v>Australia</v>
      </c>
      <c r="Q1793">
        <v>45</v>
      </c>
      <c r="R1793" t="s">
        <v>30</v>
      </c>
      <c r="S1793" t="s">
        <v>31</v>
      </c>
      <c r="T1793" t="s">
        <v>41</v>
      </c>
      <c r="U1793">
        <f>IF(IFERROR(VLOOKUP(BBDD_Usiarios_Netflix[[#This Row],[Identificador Usuario]],A1794:$A$5870,1,FALSE),0)&lt;&gt;0,1,0)</f>
        <v>0</v>
      </c>
      <c r="V1793" s="6" t="str">
        <f>IF(BBDD_Usiarios_Netflix[[#This Row],[Duración Plan]]="12 Meses",LEFT(BBDD_Usiarios_Netflix[[#This Row],[Duración Plan]],2),LEFT(BBDD_Usiarios_Netflix[[#This Row],[Duración Plan]],1))</f>
        <v>12</v>
      </c>
      <c r="W17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94" spans="1:23" x14ac:dyDescent="0.25">
      <c r="A1794">
        <v>1793</v>
      </c>
      <c r="B1794" t="s">
        <v>32</v>
      </c>
      <c r="C1794">
        <v>12</v>
      </c>
      <c r="D1794" s="3">
        <v>3</v>
      </c>
      <c r="E1794" s="3">
        <v>7</v>
      </c>
      <c r="F1794">
        <v>23</v>
      </c>
      <c r="G1794" s="1">
        <f>DATEVALUE(_xlfn.CONCAT(BBDD_Usiarios_Netflix[[#This Row],[Día Suscripción]],"/",BBDD_Usiarios_Netflix[[#This Row],[Mes Suscripción]],"/",BBDD_Usiarios_Netflix[[#This Row],[Año Suscripción]]))</f>
        <v>45110</v>
      </c>
      <c r="H1794" s="1">
        <v>6</v>
      </c>
      <c r="I1794" s="1">
        <v>7</v>
      </c>
      <c r="J1794" s="1">
        <v>24</v>
      </c>
      <c r="K1794" s="1" t="str">
        <f>TEXT(BBDD_Usiarios_Netflix[[#This Row],[Fecha Suscripción]],"dddd")</f>
        <v>lunes</v>
      </c>
      <c r="L1794" s="1">
        <f>DATEVALUE(_xlfn.CONCAT(BBDD_Usiarios_Netflix[[#This Row],[Día Último Pago]],"/",BBDD_Usiarios_Netflix[[#This Row],[Mes Último Pago]],"/",BBDD_Usiarios_Netflix[[#This Row],[Año Último Pago]]))</f>
        <v>45479</v>
      </c>
      <c r="M1794" s="4">
        <f>DATEDIF(BBDD_Usiarios_Netflix[[#This Row],[Fecha Suscripción]],BBDD_Usiarios_Netflix[[#This Row],[Fecha Último Pago]],"M")+1</f>
        <v>13</v>
      </c>
      <c r="N1794" s="4">
        <f>BBDD_Usiarios_Netflix[[#This Row],[Ingresos Mensuales]]*BBDD_Usiarios_Netflix[[#This Row],[Meses contratados]]</f>
        <v>156</v>
      </c>
      <c r="O1794" t="s">
        <v>42</v>
      </c>
      <c r="P1794" t="str">
        <f>IF(BBDD_Usiarios_Netflix[[#This Row],[País]]="","Desconocido",BBDD_Usiarios_Netflix[[#This Row],[País]])</f>
        <v>Reino Unido</v>
      </c>
      <c r="Q1794">
        <v>42</v>
      </c>
      <c r="R1794" t="s">
        <v>30</v>
      </c>
      <c r="S1794" t="s">
        <v>34</v>
      </c>
      <c r="T1794" t="s">
        <v>41</v>
      </c>
      <c r="U1794">
        <f>IF(IFERROR(VLOOKUP(BBDD_Usiarios_Netflix[[#This Row],[Identificador Usuario]],A1795:$A$5870,1,FALSE),0)&lt;&gt;0,1,0)</f>
        <v>0</v>
      </c>
      <c r="V1794" s="6" t="str">
        <f>IF(BBDD_Usiarios_Netflix[[#This Row],[Duración Plan]]="12 Meses",LEFT(BBDD_Usiarios_Netflix[[#This Row],[Duración Plan]],2),LEFT(BBDD_Usiarios_Netflix[[#This Row],[Duración Plan]],1))</f>
        <v>12</v>
      </c>
      <c r="W17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95" spans="1:23" x14ac:dyDescent="0.25">
      <c r="A1795">
        <v>1794</v>
      </c>
      <c r="B1795" t="s">
        <v>28</v>
      </c>
      <c r="C1795">
        <v>14</v>
      </c>
      <c r="D1795" s="3">
        <v>6</v>
      </c>
      <c r="E1795" s="3">
        <v>7</v>
      </c>
      <c r="F1795">
        <v>23</v>
      </c>
      <c r="G1795" s="1">
        <f>DATEVALUE(_xlfn.CONCAT(BBDD_Usiarios_Netflix[[#This Row],[Día Suscripción]],"/",BBDD_Usiarios_Netflix[[#This Row],[Mes Suscripción]],"/",BBDD_Usiarios_Netflix[[#This Row],[Año Suscripción]]))</f>
        <v>45113</v>
      </c>
      <c r="H1795" s="1">
        <v>8</v>
      </c>
      <c r="I1795" s="1">
        <v>7</v>
      </c>
      <c r="J1795" s="1">
        <v>24</v>
      </c>
      <c r="K1795" s="1" t="str">
        <f>TEXT(BBDD_Usiarios_Netflix[[#This Row],[Fecha Suscripción]],"dddd")</f>
        <v>jueves</v>
      </c>
      <c r="L1795" s="1">
        <f>DATEVALUE(_xlfn.CONCAT(BBDD_Usiarios_Netflix[[#This Row],[Día Último Pago]],"/",BBDD_Usiarios_Netflix[[#This Row],[Mes Último Pago]],"/",BBDD_Usiarios_Netflix[[#This Row],[Año Último Pago]]))</f>
        <v>45481</v>
      </c>
      <c r="M1795" s="4">
        <f>DATEDIF(BBDD_Usiarios_Netflix[[#This Row],[Fecha Suscripción]],BBDD_Usiarios_Netflix[[#This Row],[Fecha Último Pago]],"M")+1</f>
        <v>13</v>
      </c>
      <c r="N1795" s="4">
        <f>BBDD_Usiarios_Netflix[[#This Row],[Ingresos Mensuales]]*BBDD_Usiarios_Netflix[[#This Row],[Meses contratados]]</f>
        <v>182</v>
      </c>
      <c r="O1795" t="s">
        <v>45</v>
      </c>
      <c r="P1795" t="str">
        <f>IF(BBDD_Usiarios_Netflix[[#This Row],[País]]="","Desconocido",BBDD_Usiarios_Netflix[[#This Row],[País]])</f>
        <v>España</v>
      </c>
      <c r="Q1795">
        <v>36</v>
      </c>
      <c r="R1795" t="s">
        <v>30</v>
      </c>
      <c r="S1795" t="s">
        <v>31</v>
      </c>
      <c r="T1795" t="s">
        <v>41</v>
      </c>
      <c r="U1795">
        <f>IF(IFERROR(VLOOKUP(BBDD_Usiarios_Netflix[[#This Row],[Identificador Usuario]],A1796:$A$5870,1,FALSE),0)&lt;&gt;0,1,0)</f>
        <v>0</v>
      </c>
      <c r="V1795" s="6" t="str">
        <f>IF(BBDD_Usiarios_Netflix[[#This Row],[Duración Plan]]="12 Meses",LEFT(BBDD_Usiarios_Netflix[[#This Row],[Duración Plan]],2),LEFT(BBDD_Usiarios_Netflix[[#This Row],[Duración Plan]],1))</f>
        <v>12</v>
      </c>
      <c r="W17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796" spans="1:23" x14ac:dyDescent="0.25">
      <c r="A1796">
        <v>1795</v>
      </c>
      <c r="B1796" t="s">
        <v>23</v>
      </c>
      <c r="C1796">
        <v>10</v>
      </c>
      <c r="D1796" s="3">
        <v>7</v>
      </c>
      <c r="E1796" s="3">
        <v>7</v>
      </c>
      <c r="F1796">
        <v>23</v>
      </c>
      <c r="G1796" s="1">
        <f>DATEVALUE(_xlfn.CONCAT(BBDD_Usiarios_Netflix[[#This Row],[Día Suscripción]],"/",BBDD_Usiarios_Netflix[[#This Row],[Mes Suscripción]],"/",BBDD_Usiarios_Netflix[[#This Row],[Año Suscripción]]))</f>
        <v>45114</v>
      </c>
      <c r="H1796" s="1">
        <v>7</v>
      </c>
      <c r="I1796" s="1">
        <v>7</v>
      </c>
      <c r="J1796" s="1">
        <v>24</v>
      </c>
      <c r="K1796" s="1" t="str">
        <f>TEXT(BBDD_Usiarios_Netflix[[#This Row],[Fecha Suscripción]],"dddd")</f>
        <v>viernes</v>
      </c>
      <c r="L1796" s="1">
        <f>DATEVALUE(_xlfn.CONCAT(BBDD_Usiarios_Netflix[[#This Row],[Día Último Pago]],"/",BBDD_Usiarios_Netflix[[#This Row],[Mes Último Pago]],"/",BBDD_Usiarios_Netflix[[#This Row],[Año Último Pago]]))</f>
        <v>45480</v>
      </c>
      <c r="M1796" s="4">
        <f>DATEDIF(BBDD_Usiarios_Netflix[[#This Row],[Fecha Suscripción]],BBDD_Usiarios_Netflix[[#This Row],[Fecha Último Pago]],"M")+1</f>
        <v>13</v>
      </c>
      <c r="N1796" s="4">
        <f>BBDD_Usiarios_Netflix[[#This Row],[Ingresos Mensuales]]*BBDD_Usiarios_Netflix[[#This Row],[Meses contratados]]</f>
        <v>130</v>
      </c>
      <c r="O1796" t="s">
        <v>24</v>
      </c>
      <c r="P1796" t="str">
        <f>IF(BBDD_Usiarios_Netflix[[#This Row],[País]]="","Desconocido",BBDD_Usiarios_Netflix[[#This Row],[País]])</f>
        <v>Australia</v>
      </c>
      <c r="Q1796">
        <v>32</v>
      </c>
      <c r="R1796" t="s">
        <v>25</v>
      </c>
      <c r="S1796" t="s">
        <v>34</v>
      </c>
      <c r="T1796" t="s">
        <v>35</v>
      </c>
      <c r="U1796">
        <f>IF(IFERROR(VLOOKUP(BBDD_Usiarios_Netflix[[#This Row],[Identificador Usuario]],A1797:$A$5870,1,FALSE),0)&lt;&gt;0,1,0)</f>
        <v>0</v>
      </c>
      <c r="V1796" s="6" t="str">
        <f>IF(BBDD_Usiarios_Netflix[[#This Row],[Duración Plan]]="12 Meses",LEFT(BBDD_Usiarios_Netflix[[#This Row],[Duración Plan]],2),LEFT(BBDD_Usiarios_Netflix[[#This Row],[Duración Plan]],1))</f>
        <v>6</v>
      </c>
      <c r="W17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97" spans="1:23" x14ac:dyDescent="0.25">
      <c r="A1797">
        <v>1796</v>
      </c>
      <c r="B1797" t="s">
        <v>23</v>
      </c>
      <c r="C1797">
        <v>10</v>
      </c>
      <c r="D1797" s="3">
        <v>15</v>
      </c>
      <c r="E1797" s="3">
        <v>7</v>
      </c>
      <c r="F1797">
        <v>23</v>
      </c>
      <c r="G1797" s="1">
        <f>DATEVALUE(_xlfn.CONCAT(BBDD_Usiarios_Netflix[[#This Row],[Día Suscripción]],"/",BBDD_Usiarios_Netflix[[#This Row],[Mes Suscripción]],"/",BBDD_Usiarios_Netflix[[#This Row],[Año Suscripción]]))</f>
        <v>45122</v>
      </c>
      <c r="H1797" s="1">
        <v>9</v>
      </c>
      <c r="I1797" s="1">
        <v>7</v>
      </c>
      <c r="J1797" s="1">
        <v>24</v>
      </c>
      <c r="K1797" s="1" t="str">
        <f>TEXT(BBDD_Usiarios_Netflix[[#This Row],[Fecha Suscripción]],"dddd")</f>
        <v>sábado</v>
      </c>
      <c r="L1797" s="1">
        <f>DATEVALUE(_xlfn.CONCAT(BBDD_Usiarios_Netflix[[#This Row],[Día Último Pago]],"/",BBDD_Usiarios_Netflix[[#This Row],[Mes Último Pago]],"/",BBDD_Usiarios_Netflix[[#This Row],[Año Último Pago]]))</f>
        <v>45482</v>
      </c>
      <c r="M1797" s="4">
        <f>DATEDIF(BBDD_Usiarios_Netflix[[#This Row],[Fecha Suscripción]],BBDD_Usiarios_Netflix[[#This Row],[Fecha Último Pago]],"M")+1</f>
        <v>12</v>
      </c>
      <c r="N1797" s="4">
        <f>BBDD_Usiarios_Netflix[[#This Row],[Ingresos Mensuales]]*BBDD_Usiarios_Netflix[[#This Row],[Meses contratados]]</f>
        <v>120</v>
      </c>
      <c r="O1797" t="s">
        <v>44</v>
      </c>
      <c r="P1797" t="str">
        <f>IF(BBDD_Usiarios_Netflix[[#This Row],[País]]="","Desconocido",BBDD_Usiarios_Netflix[[#This Row],[País]])</f>
        <v>Desconocido</v>
      </c>
      <c r="Q1797">
        <v>50</v>
      </c>
      <c r="R1797" t="s">
        <v>25</v>
      </c>
      <c r="S1797" t="s">
        <v>31</v>
      </c>
      <c r="T1797" t="s">
        <v>35</v>
      </c>
      <c r="U1797">
        <f>IF(IFERROR(VLOOKUP(BBDD_Usiarios_Netflix[[#This Row],[Identificador Usuario]],A1798:$A$5870,1,FALSE),0)&lt;&gt;0,1,0)</f>
        <v>0</v>
      </c>
      <c r="V1797" s="6" t="str">
        <f>IF(BBDD_Usiarios_Netflix[[#This Row],[Duración Plan]]="12 Meses",LEFT(BBDD_Usiarios_Netflix[[#This Row],[Duración Plan]],2),LEFT(BBDD_Usiarios_Netflix[[#This Row],[Duración Plan]],1))</f>
        <v>6</v>
      </c>
      <c r="W17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98" spans="1:23" x14ac:dyDescent="0.25">
      <c r="A1798">
        <v>1797</v>
      </c>
      <c r="B1798" t="s">
        <v>23</v>
      </c>
      <c r="C1798">
        <v>10</v>
      </c>
      <c r="D1798" s="3">
        <v>17</v>
      </c>
      <c r="E1798" s="3">
        <v>7</v>
      </c>
      <c r="F1798">
        <v>23</v>
      </c>
      <c r="G1798" s="1">
        <f>DATEVALUE(_xlfn.CONCAT(BBDD_Usiarios_Netflix[[#This Row],[Día Suscripción]],"/",BBDD_Usiarios_Netflix[[#This Row],[Mes Suscripción]],"/",BBDD_Usiarios_Netflix[[#This Row],[Año Suscripción]]))</f>
        <v>45124</v>
      </c>
      <c r="H1798" s="1">
        <v>6</v>
      </c>
      <c r="I1798" s="1">
        <v>7</v>
      </c>
      <c r="J1798" s="1">
        <v>24</v>
      </c>
      <c r="K1798" s="1" t="str">
        <f>TEXT(BBDD_Usiarios_Netflix[[#This Row],[Fecha Suscripción]],"dddd")</f>
        <v>lunes</v>
      </c>
      <c r="L1798" s="1">
        <f>DATEVALUE(_xlfn.CONCAT(BBDD_Usiarios_Netflix[[#This Row],[Día Último Pago]],"/",BBDD_Usiarios_Netflix[[#This Row],[Mes Último Pago]],"/",BBDD_Usiarios_Netflix[[#This Row],[Año Último Pago]]))</f>
        <v>45479</v>
      </c>
      <c r="M1798" s="4">
        <f>DATEDIF(BBDD_Usiarios_Netflix[[#This Row],[Fecha Suscripción]],BBDD_Usiarios_Netflix[[#This Row],[Fecha Último Pago]],"M")+1</f>
        <v>12</v>
      </c>
      <c r="N1798" s="4">
        <f>BBDD_Usiarios_Netflix[[#This Row],[Ingresos Mensuales]]*BBDD_Usiarios_Netflix[[#This Row],[Meses contratados]]</f>
        <v>120</v>
      </c>
      <c r="O1798" t="s">
        <v>45</v>
      </c>
      <c r="P1798" t="str">
        <f>IF(BBDD_Usiarios_Netflix[[#This Row],[País]]="","Desconocido",BBDD_Usiarios_Netflix[[#This Row],[País]])</f>
        <v>España</v>
      </c>
      <c r="Q1798">
        <v>39</v>
      </c>
      <c r="R1798" t="s">
        <v>25</v>
      </c>
      <c r="S1798" t="s">
        <v>34</v>
      </c>
      <c r="T1798" t="s">
        <v>35</v>
      </c>
      <c r="U1798">
        <f>IF(IFERROR(VLOOKUP(BBDD_Usiarios_Netflix[[#This Row],[Identificador Usuario]],A1799:$A$5870,1,FALSE),0)&lt;&gt;0,1,0)</f>
        <v>0</v>
      </c>
      <c r="V1798" s="6" t="str">
        <f>IF(BBDD_Usiarios_Netflix[[#This Row],[Duración Plan]]="12 Meses",LEFT(BBDD_Usiarios_Netflix[[#This Row],[Duración Plan]],2),LEFT(BBDD_Usiarios_Netflix[[#This Row],[Duración Plan]],1))</f>
        <v>6</v>
      </c>
      <c r="W17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799" spans="1:23" x14ac:dyDescent="0.25">
      <c r="A1799">
        <v>1798</v>
      </c>
      <c r="B1799" t="s">
        <v>32</v>
      </c>
      <c r="C1799">
        <v>12</v>
      </c>
      <c r="D1799" s="3">
        <v>26</v>
      </c>
      <c r="E1799" s="3">
        <v>7</v>
      </c>
      <c r="F1799">
        <v>23</v>
      </c>
      <c r="G1799" s="1">
        <f>DATEVALUE(_xlfn.CONCAT(BBDD_Usiarios_Netflix[[#This Row],[Día Suscripción]],"/",BBDD_Usiarios_Netflix[[#This Row],[Mes Suscripción]],"/",BBDD_Usiarios_Netflix[[#This Row],[Año Suscripción]]))</f>
        <v>45133</v>
      </c>
      <c r="H1799" s="1">
        <v>8</v>
      </c>
      <c r="I1799" s="1">
        <v>7</v>
      </c>
      <c r="J1799" s="1">
        <v>24</v>
      </c>
      <c r="K1799" s="1" t="str">
        <f>TEXT(BBDD_Usiarios_Netflix[[#This Row],[Fecha Suscripción]],"dddd")</f>
        <v>miércoles</v>
      </c>
      <c r="L1799" s="1">
        <f>DATEVALUE(_xlfn.CONCAT(BBDD_Usiarios_Netflix[[#This Row],[Día Último Pago]],"/",BBDD_Usiarios_Netflix[[#This Row],[Mes Último Pago]],"/",BBDD_Usiarios_Netflix[[#This Row],[Año Último Pago]]))</f>
        <v>45481</v>
      </c>
      <c r="M1799" s="4">
        <f>DATEDIF(BBDD_Usiarios_Netflix[[#This Row],[Fecha Suscripción]],BBDD_Usiarios_Netflix[[#This Row],[Fecha Último Pago]],"M")+1</f>
        <v>12</v>
      </c>
      <c r="N1799" s="4">
        <f>BBDD_Usiarios_Netflix[[#This Row],[Ingresos Mensuales]]*BBDD_Usiarios_Netflix[[#This Row],[Meses contratados]]</f>
        <v>144</v>
      </c>
      <c r="O1799" t="s">
        <v>39</v>
      </c>
      <c r="P1799" t="str">
        <f>IF(BBDD_Usiarios_Netflix[[#This Row],[País]]="","Desconocido",BBDD_Usiarios_Netflix[[#This Row],[País]])</f>
        <v>Canadá</v>
      </c>
      <c r="Q1799">
        <v>51</v>
      </c>
      <c r="R1799" t="s">
        <v>25</v>
      </c>
      <c r="S1799" t="s">
        <v>26</v>
      </c>
      <c r="T1799" t="s">
        <v>27</v>
      </c>
      <c r="U1799">
        <f>IF(IFERROR(VLOOKUP(BBDD_Usiarios_Netflix[[#This Row],[Identificador Usuario]],A1800:$A$5870,1,FALSE),0)&lt;&gt;0,1,0)</f>
        <v>0</v>
      </c>
      <c r="V1799" s="6" t="str">
        <f>IF(BBDD_Usiarios_Netflix[[#This Row],[Duración Plan]]="12 Meses",LEFT(BBDD_Usiarios_Netflix[[#This Row],[Duración Plan]],2),LEFT(BBDD_Usiarios_Netflix[[#This Row],[Duración Plan]],1))</f>
        <v>1</v>
      </c>
      <c r="W17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00" spans="1:23" x14ac:dyDescent="0.25">
      <c r="A1800">
        <v>1799</v>
      </c>
      <c r="B1800" t="s">
        <v>28</v>
      </c>
      <c r="C1800">
        <v>14</v>
      </c>
      <c r="D1800" s="3">
        <v>5</v>
      </c>
      <c r="E1800" s="3">
        <v>8</v>
      </c>
      <c r="F1800">
        <v>23</v>
      </c>
      <c r="G1800" s="1">
        <f>DATEVALUE(_xlfn.CONCAT(BBDD_Usiarios_Netflix[[#This Row],[Día Suscripción]],"/",BBDD_Usiarios_Netflix[[#This Row],[Mes Suscripción]],"/",BBDD_Usiarios_Netflix[[#This Row],[Año Suscripción]]))</f>
        <v>45143</v>
      </c>
      <c r="H1800" s="1">
        <v>7</v>
      </c>
      <c r="I1800" s="1">
        <v>7</v>
      </c>
      <c r="J1800" s="1">
        <v>24</v>
      </c>
      <c r="K1800" s="1" t="str">
        <f>TEXT(BBDD_Usiarios_Netflix[[#This Row],[Fecha Suscripción]],"dddd")</f>
        <v>sábado</v>
      </c>
      <c r="L1800" s="1">
        <f>DATEVALUE(_xlfn.CONCAT(BBDD_Usiarios_Netflix[[#This Row],[Día Último Pago]],"/",BBDD_Usiarios_Netflix[[#This Row],[Mes Último Pago]],"/",BBDD_Usiarios_Netflix[[#This Row],[Año Último Pago]]))</f>
        <v>45480</v>
      </c>
      <c r="M1800" s="4">
        <f>DATEDIF(BBDD_Usiarios_Netflix[[#This Row],[Fecha Suscripción]],BBDD_Usiarios_Netflix[[#This Row],[Fecha Último Pago]],"M")+1</f>
        <v>12</v>
      </c>
      <c r="N1800" s="4">
        <f>BBDD_Usiarios_Netflix[[#This Row],[Ingresos Mensuales]]*BBDD_Usiarios_Netflix[[#This Row],[Meses contratados]]</f>
        <v>168</v>
      </c>
      <c r="O1800" t="s">
        <v>39</v>
      </c>
      <c r="P1800" t="str">
        <f>IF(BBDD_Usiarios_Netflix[[#This Row],[País]]="","Desconocido",BBDD_Usiarios_Netflix[[#This Row],[País]])</f>
        <v>Canadá</v>
      </c>
      <c r="Q1800">
        <v>49</v>
      </c>
      <c r="R1800" t="s">
        <v>30</v>
      </c>
      <c r="S1800" t="s">
        <v>31</v>
      </c>
      <c r="T1800" t="s">
        <v>41</v>
      </c>
      <c r="U1800">
        <f>IF(IFERROR(VLOOKUP(BBDD_Usiarios_Netflix[[#This Row],[Identificador Usuario]],A1801:$A$5870,1,FALSE),0)&lt;&gt;0,1,0)</f>
        <v>0</v>
      </c>
      <c r="V1800" s="6" t="str">
        <f>IF(BBDD_Usiarios_Netflix[[#This Row],[Duración Plan]]="12 Meses",LEFT(BBDD_Usiarios_Netflix[[#This Row],[Duración Plan]],2),LEFT(BBDD_Usiarios_Netflix[[#This Row],[Duración Plan]],1))</f>
        <v>12</v>
      </c>
      <c r="W18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01" spans="1:23" x14ac:dyDescent="0.25">
      <c r="A1801">
        <v>1800</v>
      </c>
      <c r="B1801" t="s">
        <v>23</v>
      </c>
      <c r="C1801">
        <v>10</v>
      </c>
      <c r="D1801" s="3">
        <v>12</v>
      </c>
      <c r="E1801" s="3">
        <v>8</v>
      </c>
      <c r="F1801">
        <v>23</v>
      </c>
      <c r="G1801" s="1">
        <f>DATEVALUE(_xlfn.CONCAT(BBDD_Usiarios_Netflix[[#This Row],[Día Suscripción]],"/",BBDD_Usiarios_Netflix[[#This Row],[Mes Suscripción]],"/",BBDD_Usiarios_Netflix[[#This Row],[Año Suscripción]]))</f>
        <v>45150</v>
      </c>
      <c r="H1801" s="1">
        <v>9</v>
      </c>
      <c r="I1801" s="1">
        <v>7</v>
      </c>
      <c r="J1801" s="1">
        <v>24</v>
      </c>
      <c r="K1801" s="1" t="str">
        <f>TEXT(BBDD_Usiarios_Netflix[[#This Row],[Fecha Suscripción]],"dddd")</f>
        <v>sábado</v>
      </c>
      <c r="L1801" s="1">
        <f>DATEVALUE(_xlfn.CONCAT(BBDD_Usiarios_Netflix[[#This Row],[Día Último Pago]],"/",BBDD_Usiarios_Netflix[[#This Row],[Mes Último Pago]],"/",BBDD_Usiarios_Netflix[[#This Row],[Año Último Pago]]))</f>
        <v>45482</v>
      </c>
      <c r="M1801" s="4">
        <f>DATEDIF(BBDD_Usiarios_Netflix[[#This Row],[Fecha Suscripción]],BBDD_Usiarios_Netflix[[#This Row],[Fecha Último Pago]],"M")+1</f>
        <v>11</v>
      </c>
      <c r="N1801" s="4">
        <f>BBDD_Usiarios_Netflix[[#This Row],[Ingresos Mensuales]]*BBDD_Usiarios_Netflix[[#This Row],[Meses contratados]]</f>
        <v>110</v>
      </c>
      <c r="O1801" t="s">
        <v>40</v>
      </c>
      <c r="P1801" t="str">
        <f>IF(BBDD_Usiarios_Netflix[[#This Row],[País]]="","Desconocido",BBDD_Usiarios_Netflix[[#This Row],[País]])</f>
        <v>Italia</v>
      </c>
      <c r="Q1801">
        <v>42</v>
      </c>
      <c r="R1801" t="s">
        <v>25</v>
      </c>
      <c r="S1801" t="s">
        <v>31</v>
      </c>
      <c r="T1801" t="s">
        <v>27</v>
      </c>
      <c r="U1801">
        <f>IF(IFERROR(VLOOKUP(BBDD_Usiarios_Netflix[[#This Row],[Identificador Usuario]],A1802:$A$5870,1,FALSE),0)&lt;&gt;0,1,0)</f>
        <v>0</v>
      </c>
      <c r="V1801" s="6" t="str">
        <f>IF(BBDD_Usiarios_Netflix[[#This Row],[Duración Plan]]="12 Meses",LEFT(BBDD_Usiarios_Netflix[[#This Row],[Duración Plan]],2),LEFT(BBDD_Usiarios_Netflix[[#This Row],[Duración Plan]],1))</f>
        <v>1</v>
      </c>
      <c r="W18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02" spans="1:23" x14ac:dyDescent="0.25">
      <c r="A1802">
        <v>1801</v>
      </c>
      <c r="B1802" t="s">
        <v>23</v>
      </c>
      <c r="C1802">
        <v>10</v>
      </c>
      <c r="D1802" s="3">
        <v>14</v>
      </c>
      <c r="E1802" s="3">
        <v>8</v>
      </c>
      <c r="F1802">
        <v>23</v>
      </c>
      <c r="G1802" s="1">
        <f>DATEVALUE(_xlfn.CONCAT(BBDD_Usiarios_Netflix[[#This Row],[Día Suscripción]],"/",BBDD_Usiarios_Netflix[[#This Row],[Mes Suscripción]],"/",BBDD_Usiarios_Netflix[[#This Row],[Año Suscripción]]))</f>
        <v>45152</v>
      </c>
      <c r="H1802" s="1">
        <v>6</v>
      </c>
      <c r="I1802" s="1">
        <v>7</v>
      </c>
      <c r="J1802" s="1">
        <v>24</v>
      </c>
      <c r="K1802" s="1" t="str">
        <f>TEXT(BBDD_Usiarios_Netflix[[#This Row],[Fecha Suscripción]],"dddd")</f>
        <v>lunes</v>
      </c>
      <c r="L1802" s="1">
        <f>DATEVALUE(_xlfn.CONCAT(BBDD_Usiarios_Netflix[[#This Row],[Día Último Pago]],"/",BBDD_Usiarios_Netflix[[#This Row],[Mes Último Pago]],"/",BBDD_Usiarios_Netflix[[#This Row],[Año Último Pago]]))</f>
        <v>45479</v>
      </c>
      <c r="M1802" s="4">
        <f>DATEDIF(BBDD_Usiarios_Netflix[[#This Row],[Fecha Suscripción]],BBDD_Usiarios_Netflix[[#This Row],[Fecha Último Pago]],"M")+1</f>
        <v>11</v>
      </c>
      <c r="N1802" s="4">
        <f>BBDD_Usiarios_Netflix[[#This Row],[Ingresos Mensuales]]*BBDD_Usiarios_Netflix[[#This Row],[Meses contratados]]</f>
        <v>110</v>
      </c>
      <c r="O1802" t="s">
        <v>37</v>
      </c>
      <c r="P1802" t="str">
        <f>IF(BBDD_Usiarios_Netflix[[#This Row],[País]]="","Desconocido",BBDD_Usiarios_Netflix[[#This Row],[País]])</f>
        <v>Brasil</v>
      </c>
      <c r="Q1802">
        <v>46</v>
      </c>
      <c r="R1802" t="s">
        <v>25</v>
      </c>
      <c r="S1802" t="s">
        <v>31</v>
      </c>
      <c r="T1802" t="s">
        <v>27</v>
      </c>
      <c r="U1802">
        <f>IF(IFERROR(VLOOKUP(BBDD_Usiarios_Netflix[[#This Row],[Identificador Usuario]],A1803:$A$5870,1,FALSE),0)&lt;&gt;0,1,0)</f>
        <v>0</v>
      </c>
      <c r="V1802" s="6" t="str">
        <f>IF(BBDD_Usiarios_Netflix[[#This Row],[Duración Plan]]="12 Meses",LEFT(BBDD_Usiarios_Netflix[[#This Row],[Duración Plan]],2),LEFT(BBDD_Usiarios_Netflix[[#This Row],[Duración Plan]],1))</f>
        <v>1</v>
      </c>
      <c r="W18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03" spans="1:23" x14ac:dyDescent="0.25">
      <c r="A1803">
        <v>1802</v>
      </c>
      <c r="B1803" t="s">
        <v>28</v>
      </c>
      <c r="C1803">
        <v>14</v>
      </c>
      <c r="D1803" s="3">
        <v>15</v>
      </c>
      <c r="E1803" s="3">
        <v>8</v>
      </c>
      <c r="F1803">
        <v>23</v>
      </c>
      <c r="G1803" s="1">
        <f>DATEVALUE(_xlfn.CONCAT(BBDD_Usiarios_Netflix[[#This Row],[Día Suscripción]],"/",BBDD_Usiarios_Netflix[[#This Row],[Mes Suscripción]],"/",BBDD_Usiarios_Netflix[[#This Row],[Año Suscripción]]))</f>
        <v>45153</v>
      </c>
      <c r="H1803" s="1">
        <v>7</v>
      </c>
      <c r="I1803" s="1">
        <v>7</v>
      </c>
      <c r="J1803" s="1">
        <v>24</v>
      </c>
      <c r="K1803" s="1" t="str">
        <f>TEXT(BBDD_Usiarios_Netflix[[#This Row],[Fecha Suscripción]],"dddd")</f>
        <v>martes</v>
      </c>
      <c r="L1803" s="1">
        <f>DATEVALUE(_xlfn.CONCAT(BBDD_Usiarios_Netflix[[#This Row],[Día Último Pago]],"/",BBDD_Usiarios_Netflix[[#This Row],[Mes Último Pago]],"/",BBDD_Usiarios_Netflix[[#This Row],[Año Último Pago]]))</f>
        <v>45480</v>
      </c>
      <c r="M1803" s="4">
        <f>DATEDIF(BBDD_Usiarios_Netflix[[#This Row],[Fecha Suscripción]],BBDD_Usiarios_Netflix[[#This Row],[Fecha Último Pago]],"M")+1</f>
        <v>11</v>
      </c>
      <c r="N1803" s="4">
        <f>BBDD_Usiarios_Netflix[[#This Row],[Ingresos Mensuales]]*BBDD_Usiarios_Netflix[[#This Row],[Meses contratados]]</f>
        <v>154</v>
      </c>
      <c r="O1803" t="s">
        <v>39</v>
      </c>
      <c r="P1803" t="str">
        <f>IF(BBDD_Usiarios_Netflix[[#This Row],[País]]="","Desconocido",BBDD_Usiarios_Netflix[[#This Row],[País]])</f>
        <v>Canadá</v>
      </c>
      <c r="Q1803">
        <v>30</v>
      </c>
      <c r="R1803" t="s">
        <v>25</v>
      </c>
      <c r="S1803" t="s">
        <v>26</v>
      </c>
      <c r="T1803" t="s">
        <v>38</v>
      </c>
      <c r="U1803">
        <f>IF(IFERROR(VLOOKUP(BBDD_Usiarios_Netflix[[#This Row],[Identificador Usuario]],A1804:$A$5870,1,FALSE),0)&lt;&gt;0,1,0)</f>
        <v>0</v>
      </c>
      <c r="V1803" s="6" t="str">
        <f>IF(BBDD_Usiarios_Netflix[[#This Row],[Duración Plan]]="12 Meses",LEFT(BBDD_Usiarios_Netflix[[#This Row],[Duración Plan]],2),LEFT(BBDD_Usiarios_Netflix[[#This Row],[Duración Plan]],1))</f>
        <v>3</v>
      </c>
      <c r="W18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04" spans="1:23" x14ac:dyDescent="0.25">
      <c r="A1804">
        <v>1803</v>
      </c>
      <c r="B1804" t="s">
        <v>32</v>
      </c>
      <c r="C1804">
        <v>12</v>
      </c>
      <c r="D1804" s="3">
        <v>18</v>
      </c>
      <c r="E1804" s="3">
        <v>8</v>
      </c>
      <c r="F1804">
        <v>23</v>
      </c>
      <c r="G1804" s="1">
        <f>DATEVALUE(_xlfn.CONCAT(BBDD_Usiarios_Netflix[[#This Row],[Día Suscripción]],"/",BBDD_Usiarios_Netflix[[#This Row],[Mes Suscripción]],"/",BBDD_Usiarios_Netflix[[#This Row],[Año Suscripción]]))</f>
        <v>45156</v>
      </c>
      <c r="H1804" s="1">
        <v>7</v>
      </c>
      <c r="I1804" s="1">
        <v>7</v>
      </c>
      <c r="J1804" s="1">
        <v>24</v>
      </c>
      <c r="K1804" s="1" t="str">
        <f>TEXT(BBDD_Usiarios_Netflix[[#This Row],[Fecha Suscripción]],"dddd")</f>
        <v>viernes</v>
      </c>
      <c r="L1804" s="1">
        <f>DATEVALUE(_xlfn.CONCAT(BBDD_Usiarios_Netflix[[#This Row],[Día Último Pago]],"/",BBDD_Usiarios_Netflix[[#This Row],[Mes Último Pago]],"/",BBDD_Usiarios_Netflix[[#This Row],[Año Último Pago]]))</f>
        <v>45480</v>
      </c>
      <c r="M1804" s="4">
        <f>DATEDIF(BBDD_Usiarios_Netflix[[#This Row],[Fecha Suscripción]],BBDD_Usiarios_Netflix[[#This Row],[Fecha Último Pago]],"M")+1</f>
        <v>11</v>
      </c>
      <c r="N1804" s="4">
        <f>BBDD_Usiarios_Netflix[[#This Row],[Ingresos Mensuales]]*BBDD_Usiarios_Netflix[[#This Row],[Meses contratados]]</f>
        <v>132</v>
      </c>
      <c r="O1804" t="s">
        <v>39</v>
      </c>
      <c r="P1804" t="str">
        <f>IF(BBDD_Usiarios_Netflix[[#This Row],[País]]="","Desconocido",BBDD_Usiarios_Netflix[[#This Row],[País]])</f>
        <v>Canadá</v>
      </c>
      <c r="Q1804">
        <v>48</v>
      </c>
      <c r="R1804" t="s">
        <v>25</v>
      </c>
      <c r="S1804" t="s">
        <v>34</v>
      </c>
      <c r="T1804" t="s">
        <v>27</v>
      </c>
      <c r="U1804">
        <f>IF(IFERROR(VLOOKUP(BBDD_Usiarios_Netflix[[#This Row],[Identificador Usuario]],A1805:$A$5870,1,FALSE),0)&lt;&gt;0,1,0)</f>
        <v>0</v>
      </c>
      <c r="V1804" s="6" t="str">
        <f>IF(BBDD_Usiarios_Netflix[[#This Row],[Duración Plan]]="12 Meses",LEFT(BBDD_Usiarios_Netflix[[#This Row],[Duración Plan]],2),LEFT(BBDD_Usiarios_Netflix[[#This Row],[Duración Plan]],1))</f>
        <v>1</v>
      </c>
      <c r="W18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05" spans="1:23" x14ac:dyDescent="0.25">
      <c r="A1805">
        <v>1804</v>
      </c>
      <c r="B1805" t="s">
        <v>32</v>
      </c>
      <c r="C1805">
        <v>12</v>
      </c>
      <c r="D1805" s="3">
        <v>21</v>
      </c>
      <c r="E1805" s="3">
        <v>8</v>
      </c>
      <c r="F1805">
        <v>23</v>
      </c>
      <c r="G1805" s="1">
        <f>DATEVALUE(_xlfn.CONCAT(BBDD_Usiarios_Netflix[[#This Row],[Día Suscripción]],"/",BBDD_Usiarios_Netflix[[#This Row],[Mes Suscripción]],"/",BBDD_Usiarios_Netflix[[#This Row],[Año Suscripción]]))</f>
        <v>45159</v>
      </c>
      <c r="H1805" s="1">
        <v>9</v>
      </c>
      <c r="I1805" s="1">
        <v>7</v>
      </c>
      <c r="J1805" s="1">
        <v>24</v>
      </c>
      <c r="K1805" s="1" t="str">
        <f>TEXT(BBDD_Usiarios_Netflix[[#This Row],[Fecha Suscripción]],"dddd")</f>
        <v>lunes</v>
      </c>
      <c r="L1805" s="1">
        <f>DATEVALUE(_xlfn.CONCAT(BBDD_Usiarios_Netflix[[#This Row],[Día Último Pago]],"/",BBDD_Usiarios_Netflix[[#This Row],[Mes Último Pago]],"/",BBDD_Usiarios_Netflix[[#This Row],[Año Último Pago]]))</f>
        <v>45482</v>
      </c>
      <c r="M1805" s="4">
        <f>DATEDIF(BBDD_Usiarios_Netflix[[#This Row],[Fecha Suscripción]],BBDD_Usiarios_Netflix[[#This Row],[Fecha Último Pago]],"M")+1</f>
        <v>11</v>
      </c>
      <c r="N1805" s="4">
        <f>BBDD_Usiarios_Netflix[[#This Row],[Ingresos Mensuales]]*BBDD_Usiarios_Netflix[[#This Row],[Meses contratados]]</f>
        <v>132</v>
      </c>
      <c r="O1805" t="s">
        <v>33</v>
      </c>
      <c r="P1805" t="str">
        <f>IF(BBDD_Usiarios_Netflix[[#This Row],[País]]="","Desconocido",BBDD_Usiarios_Netflix[[#This Row],[País]])</f>
        <v>Francia</v>
      </c>
      <c r="Q1805">
        <v>40</v>
      </c>
      <c r="R1805" t="s">
        <v>30</v>
      </c>
      <c r="S1805" t="s">
        <v>36</v>
      </c>
      <c r="T1805" t="s">
        <v>38</v>
      </c>
      <c r="U1805">
        <f>IF(IFERROR(VLOOKUP(BBDD_Usiarios_Netflix[[#This Row],[Identificador Usuario]],A1806:$A$5870,1,FALSE),0)&lt;&gt;0,1,0)</f>
        <v>0</v>
      </c>
      <c r="V1805" s="6" t="str">
        <f>IF(BBDD_Usiarios_Netflix[[#This Row],[Duración Plan]]="12 Meses",LEFT(BBDD_Usiarios_Netflix[[#This Row],[Duración Plan]],2),LEFT(BBDD_Usiarios_Netflix[[#This Row],[Duración Plan]],1))</f>
        <v>3</v>
      </c>
      <c r="W18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06" spans="1:23" x14ac:dyDescent="0.25">
      <c r="A1806">
        <v>1805</v>
      </c>
      <c r="B1806" t="s">
        <v>23</v>
      </c>
      <c r="C1806">
        <v>10</v>
      </c>
      <c r="D1806" s="3">
        <v>4</v>
      </c>
      <c r="E1806" s="3">
        <v>9</v>
      </c>
      <c r="F1806">
        <v>23</v>
      </c>
      <c r="G1806" s="1">
        <f>DATEVALUE(_xlfn.CONCAT(BBDD_Usiarios_Netflix[[#This Row],[Día Suscripción]],"/",BBDD_Usiarios_Netflix[[#This Row],[Mes Suscripción]],"/",BBDD_Usiarios_Netflix[[#This Row],[Año Suscripción]]))</f>
        <v>45173</v>
      </c>
      <c r="H1806" s="1">
        <v>6</v>
      </c>
      <c r="I1806" s="1">
        <v>7</v>
      </c>
      <c r="J1806" s="1">
        <v>24</v>
      </c>
      <c r="K1806" s="1" t="str">
        <f>TEXT(BBDD_Usiarios_Netflix[[#This Row],[Fecha Suscripción]],"dddd")</f>
        <v>lunes</v>
      </c>
      <c r="L1806" s="1">
        <f>DATEVALUE(_xlfn.CONCAT(BBDD_Usiarios_Netflix[[#This Row],[Día Último Pago]],"/",BBDD_Usiarios_Netflix[[#This Row],[Mes Último Pago]],"/",BBDD_Usiarios_Netflix[[#This Row],[Año Último Pago]]))</f>
        <v>45479</v>
      </c>
      <c r="M1806" s="4">
        <f>DATEDIF(BBDD_Usiarios_Netflix[[#This Row],[Fecha Suscripción]],BBDD_Usiarios_Netflix[[#This Row],[Fecha Último Pago]],"M")+1</f>
        <v>11</v>
      </c>
      <c r="N1806" s="4">
        <f>BBDD_Usiarios_Netflix[[#This Row],[Ingresos Mensuales]]*BBDD_Usiarios_Netflix[[#This Row],[Meses contratados]]</f>
        <v>110</v>
      </c>
      <c r="O1806" t="s">
        <v>42</v>
      </c>
      <c r="P1806" t="str">
        <f>IF(BBDD_Usiarios_Netflix[[#This Row],[País]]="","Desconocido",BBDD_Usiarios_Netflix[[#This Row],[País]])</f>
        <v>Reino Unido</v>
      </c>
      <c r="Q1806">
        <v>50</v>
      </c>
      <c r="R1806" t="s">
        <v>30</v>
      </c>
      <c r="S1806" t="s">
        <v>34</v>
      </c>
      <c r="T1806" t="s">
        <v>27</v>
      </c>
      <c r="U1806">
        <f>IF(IFERROR(VLOOKUP(BBDD_Usiarios_Netflix[[#This Row],[Identificador Usuario]],A1807:$A$5870,1,FALSE),0)&lt;&gt;0,1,0)</f>
        <v>0</v>
      </c>
      <c r="V1806" s="6" t="str">
        <f>IF(BBDD_Usiarios_Netflix[[#This Row],[Duración Plan]]="12 Meses",LEFT(BBDD_Usiarios_Netflix[[#This Row],[Duración Plan]],2),LEFT(BBDD_Usiarios_Netflix[[#This Row],[Duración Plan]],1))</f>
        <v>1</v>
      </c>
      <c r="W18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07" spans="1:23" x14ac:dyDescent="0.25">
      <c r="A1807">
        <v>1806</v>
      </c>
      <c r="B1807" t="s">
        <v>28</v>
      </c>
      <c r="C1807">
        <v>14</v>
      </c>
      <c r="D1807" s="3">
        <v>5</v>
      </c>
      <c r="E1807" s="3">
        <v>9</v>
      </c>
      <c r="F1807">
        <v>23</v>
      </c>
      <c r="G1807" s="1">
        <f>DATEVALUE(_xlfn.CONCAT(BBDD_Usiarios_Netflix[[#This Row],[Día Suscripción]],"/",BBDD_Usiarios_Netflix[[#This Row],[Mes Suscripción]],"/",BBDD_Usiarios_Netflix[[#This Row],[Año Suscripción]]))</f>
        <v>45174</v>
      </c>
      <c r="H1807" s="1">
        <v>7</v>
      </c>
      <c r="I1807" s="1">
        <v>7</v>
      </c>
      <c r="J1807" s="1">
        <v>24</v>
      </c>
      <c r="K1807" s="1" t="str">
        <f>TEXT(BBDD_Usiarios_Netflix[[#This Row],[Fecha Suscripción]],"dddd")</f>
        <v>martes</v>
      </c>
      <c r="L1807" s="1">
        <f>DATEVALUE(_xlfn.CONCAT(BBDD_Usiarios_Netflix[[#This Row],[Día Último Pago]],"/",BBDD_Usiarios_Netflix[[#This Row],[Mes Último Pago]],"/",BBDD_Usiarios_Netflix[[#This Row],[Año Último Pago]]))</f>
        <v>45480</v>
      </c>
      <c r="M1807" s="4">
        <f>DATEDIF(BBDD_Usiarios_Netflix[[#This Row],[Fecha Suscripción]],BBDD_Usiarios_Netflix[[#This Row],[Fecha Último Pago]],"M")+1</f>
        <v>11</v>
      </c>
      <c r="N1807" s="4">
        <f>BBDD_Usiarios_Netflix[[#This Row],[Ingresos Mensuales]]*BBDD_Usiarios_Netflix[[#This Row],[Meses contratados]]</f>
        <v>154</v>
      </c>
      <c r="O1807" t="s">
        <v>24</v>
      </c>
      <c r="P1807" t="str">
        <f>IF(BBDD_Usiarios_Netflix[[#This Row],[País]]="","Desconocido",BBDD_Usiarios_Netflix[[#This Row],[País]])</f>
        <v>Australia</v>
      </c>
      <c r="Q1807">
        <v>49</v>
      </c>
      <c r="R1807" t="s">
        <v>30</v>
      </c>
      <c r="S1807" t="s">
        <v>36</v>
      </c>
      <c r="T1807" t="s">
        <v>41</v>
      </c>
      <c r="U1807">
        <f>IF(IFERROR(VLOOKUP(BBDD_Usiarios_Netflix[[#This Row],[Identificador Usuario]],A1808:$A$5870,1,FALSE),0)&lt;&gt;0,1,0)</f>
        <v>0</v>
      </c>
      <c r="V1807" s="6" t="str">
        <f>IF(BBDD_Usiarios_Netflix[[#This Row],[Duración Plan]]="12 Meses",LEFT(BBDD_Usiarios_Netflix[[#This Row],[Duración Plan]],2),LEFT(BBDD_Usiarios_Netflix[[#This Row],[Duración Plan]],1))</f>
        <v>12</v>
      </c>
      <c r="W18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08" spans="1:23" x14ac:dyDescent="0.25">
      <c r="A1808">
        <v>1807</v>
      </c>
      <c r="B1808" t="s">
        <v>32</v>
      </c>
      <c r="C1808">
        <v>12</v>
      </c>
      <c r="D1808" s="3">
        <v>8</v>
      </c>
      <c r="E1808" s="3">
        <v>9</v>
      </c>
      <c r="F1808">
        <v>23</v>
      </c>
      <c r="G1808" s="1">
        <f>DATEVALUE(_xlfn.CONCAT(BBDD_Usiarios_Netflix[[#This Row],[Día Suscripción]],"/",BBDD_Usiarios_Netflix[[#This Row],[Mes Suscripción]],"/",BBDD_Usiarios_Netflix[[#This Row],[Año Suscripción]]))</f>
        <v>45177</v>
      </c>
      <c r="H1808" s="1">
        <v>7</v>
      </c>
      <c r="I1808" s="1">
        <v>7</v>
      </c>
      <c r="J1808" s="1">
        <v>24</v>
      </c>
      <c r="K1808" s="1" t="str">
        <f>TEXT(BBDD_Usiarios_Netflix[[#This Row],[Fecha Suscripción]],"dddd")</f>
        <v>viernes</v>
      </c>
      <c r="L1808" s="1">
        <f>DATEVALUE(_xlfn.CONCAT(BBDD_Usiarios_Netflix[[#This Row],[Día Último Pago]],"/",BBDD_Usiarios_Netflix[[#This Row],[Mes Último Pago]],"/",BBDD_Usiarios_Netflix[[#This Row],[Año Último Pago]]))</f>
        <v>45480</v>
      </c>
      <c r="M1808" s="4">
        <f>DATEDIF(BBDD_Usiarios_Netflix[[#This Row],[Fecha Suscripción]],BBDD_Usiarios_Netflix[[#This Row],[Fecha Último Pago]],"M")+1</f>
        <v>10</v>
      </c>
      <c r="N1808" s="4">
        <f>BBDD_Usiarios_Netflix[[#This Row],[Ingresos Mensuales]]*BBDD_Usiarios_Netflix[[#This Row],[Meses contratados]]</f>
        <v>120</v>
      </c>
      <c r="O1808" t="s">
        <v>37</v>
      </c>
      <c r="P1808" t="str">
        <f>IF(BBDD_Usiarios_Netflix[[#This Row],[País]]="","Desconocido",BBDD_Usiarios_Netflix[[#This Row],[País]])</f>
        <v>Brasil</v>
      </c>
      <c r="Q1808">
        <v>37</v>
      </c>
      <c r="R1808" t="s">
        <v>25</v>
      </c>
      <c r="S1808" t="s">
        <v>26</v>
      </c>
      <c r="T1808" t="s">
        <v>27</v>
      </c>
      <c r="U1808">
        <f>IF(IFERROR(VLOOKUP(BBDD_Usiarios_Netflix[[#This Row],[Identificador Usuario]],A1809:$A$5870,1,FALSE),0)&lt;&gt;0,1,0)</f>
        <v>0</v>
      </c>
      <c r="V1808" s="6" t="str">
        <f>IF(BBDD_Usiarios_Netflix[[#This Row],[Duración Plan]]="12 Meses",LEFT(BBDD_Usiarios_Netflix[[#This Row],[Duración Plan]],2),LEFT(BBDD_Usiarios_Netflix[[#This Row],[Duración Plan]],1))</f>
        <v>1</v>
      </c>
      <c r="W18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09" spans="1:23" x14ac:dyDescent="0.25">
      <c r="A1809">
        <v>1808</v>
      </c>
      <c r="B1809" t="s">
        <v>23</v>
      </c>
      <c r="C1809">
        <v>10</v>
      </c>
      <c r="D1809" s="3">
        <v>15</v>
      </c>
      <c r="E1809" s="3">
        <v>9</v>
      </c>
      <c r="F1809">
        <v>23</v>
      </c>
      <c r="G1809" s="1">
        <f>DATEVALUE(_xlfn.CONCAT(BBDD_Usiarios_Netflix[[#This Row],[Día Suscripción]],"/",BBDD_Usiarios_Netflix[[#This Row],[Mes Suscripción]],"/",BBDD_Usiarios_Netflix[[#This Row],[Año Suscripción]]))</f>
        <v>45184</v>
      </c>
      <c r="H1809" s="1">
        <v>8</v>
      </c>
      <c r="I1809" s="1">
        <v>7</v>
      </c>
      <c r="J1809" s="1">
        <v>24</v>
      </c>
      <c r="K1809" s="1" t="str">
        <f>TEXT(BBDD_Usiarios_Netflix[[#This Row],[Fecha Suscripción]],"dddd")</f>
        <v>viernes</v>
      </c>
      <c r="L1809" s="1">
        <f>DATEVALUE(_xlfn.CONCAT(BBDD_Usiarios_Netflix[[#This Row],[Día Último Pago]],"/",BBDD_Usiarios_Netflix[[#This Row],[Mes Último Pago]],"/",BBDD_Usiarios_Netflix[[#This Row],[Año Último Pago]]))</f>
        <v>45481</v>
      </c>
      <c r="M1809" s="4">
        <f>DATEDIF(BBDD_Usiarios_Netflix[[#This Row],[Fecha Suscripción]],BBDD_Usiarios_Netflix[[#This Row],[Fecha Último Pago]],"M")+1</f>
        <v>10</v>
      </c>
      <c r="N1809" s="4">
        <f>BBDD_Usiarios_Netflix[[#This Row],[Ingresos Mensuales]]*BBDD_Usiarios_Netflix[[#This Row],[Meses contratados]]</f>
        <v>100</v>
      </c>
      <c r="O1809" t="s">
        <v>24</v>
      </c>
      <c r="P1809" t="str">
        <f>IF(BBDD_Usiarios_Netflix[[#This Row],[País]]="","Desconocido",BBDD_Usiarios_Netflix[[#This Row],[País]])</f>
        <v>Australia</v>
      </c>
      <c r="Q1809">
        <v>43</v>
      </c>
      <c r="R1809" t="s">
        <v>25</v>
      </c>
      <c r="S1809" t="s">
        <v>36</v>
      </c>
      <c r="T1809" t="s">
        <v>27</v>
      </c>
      <c r="U1809">
        <f>IF(IFERROR(VLOOKUP(BBDD_Usiarios_Netflix[[#This Row],[Identificador Usuario]],A1810:$A$5870,1,FALSE),0)&lt;&gt;0,1,0)</f>
        <v>0</v>
      </c>
      <c r="V1809" s="6" t="str">
        <f>IF(BBDD_Usiarios_Netflix[[#This Row],[Duración Plan]]="12 Meses",LEFT(BBDD_Usiarios_Netflix[[#This Row],[Duración Plan]],2),LEFT(BBDD_Usiarios_Netflix[[#This Row],[Duración Plan]],1))</f>
        <v>1</v>
      </c>
      <c r="W18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10" spans="1:23" x14ac:dyDescent="0.25">
      <c r="A1810">
        <v>1809</v>
      </c>
      <c r="B1810" t="s">
        <v>32</v>
      </c>
      <c r="C1810">
        <v>12</v>
      </c>
      <c r="D1810" s="3">
        <v>17</v>
      </c>
      <c r="E1810" s="3">
        <v>9</v>
      </c>
      <c r="F1810">
        <v>23</v>
      </c>
      <c r="G1810" s="1">
        <f>DATEVALUE(_xlfn.CONCAT(BBDD_Usiarios_Netflix[[#This Row],[Día Suscripción]],"/",BBDD_Usiarios_Netflix[[#This Row],[Mes Suscripción]],"/",BBDD_Usiarios_Netflix[[#This Row],[Año Suscripción]]))</f>
        <v>45186</v>
      </c>
      <c r="H1810" s="1">
        <v>6</v>
      </c>
      <c r="I1810" s="1">
        <v>7</v>
      </c>
      <c r="J1810" s="1">
        <v>24</v>
      </c>
      <c r="K1810" s="1" t="str">
        <f>TEXT(BBDD_Usiarios_Netflix[[#This Row],[Fecha Suscripción]],"dddd")</f>
        <v>domingo</v>
      </c>
      <c r="L1810" s="1">
        <f>DATEVALUE(_xlfn.CONCAT(BBDD_Usiarios_Netflix[[#This Row],[Día Último Pago]],"/",BBDD_Usiarios_Netflix[[#This Row],[Mes Último Pago]],"/",BBDD_Usiarios_Netflix[[#This Row],[Año Último Pago]]))</f>
        <v>45479</v>
      </c>
      <c r="M1810" s="4">
        <f>DATEDIF(BBDD_Usiarios_Netflix[[#This Row],[Fecha Suscripción]],BBDD_Usiarios_Netflix[[#This Row],[Fecha Último Pago]],"M")+1</f>
        <v>10</v>
      </c>
      <c r="N1810" s="4">
        <f>BBDD_Usiarios_Netflix[[#This Row],[Ingresos Mensuales]]*BBDD_Usiarios_Netflix[[#This Row],[Meses contratados]]</f>
        <v>120</v>
      </c>
      <c r="O1810" t="s">
        <v>43</v>
      </c>
      <c r="P1810" t="str">
        <f>IF(BBDD_Usiarios_Netflix[[#This Row],[País]]="","Desconocido",BBDD_Usiarios_Netflix[[#This Row],[País]])</f>
        <v>Alemania</v>
      </c>
      <c r="Q1810">
        <v>40</v>
      </c>
      <c r="R1810" t="s">
        <v>30</v>
      </c>
      <c r="S1810" t="s">
        <v>31</v>
      </c>
      <c r="T1810" t="s">
        <v>41</v>
      </c>
      <c r="U1810">
        <f>IF(IFERROR(VLOOKUP(BBDD_Usiarios_Netflix[[#This Row],[Identificador Usuario]],A1811:$A$5870,1,FALSE),0)&lt;&gt;0,1,0)</f>
        <v>0</v>
      </c>
      <c r="V1810" s="6" t="str">
        <f>IF(BBDD_Usiarios_Netflix[[#This Row],[Duración Plan]]="12 Meses",LEFT(BBDD_Usiarios_Netflix[[#This Row],[Duración Plan]],2),LEFT(BBDD_Usiarios_Netflix[[#This Row],[Duración Plan]],1))</f>
        <v>12</v>
      </c>
      <c r="W18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11" spans="1:23" x14ac:dyDescent="0.25">
      <c r="A1811">
        <v>1810</v>
      </c>
      <c r="B1811" t="s">
        <v>28</v>
      </c>
      <c r="C1811">
        <v>14</v>
      </c>
      <c r="D1811" s="3">
        <v>19</v>
      </c>
      <c r="E1811" s="3">
        <v>9</v>
      </c>
      <c r="F1811">
        <v>23</v>
      </c>
      <c r="G1811" s="1">
        <f>DATEVALUE(_xlfn.CONCAT(BBDD_Usiarios_Netflix[[#This Row],[Día Suscripción]],"/",BBDD_Usiarios_Netflix[[#This Row],[Mes Suscripción]],"/",BBDD_Usiarios_Netflix[[#This Row],[Año Suscripción]]))</f>
        <v>45188</v>
      </c>
      <c r="H1811" s="1">
        <v>9</v>
      </c>
      <c r="I1811" s="1">
        <v>7</v>
      </c>
      <c r="J1811" s="1">
        <v>24</v>
      </c>
      <c r="K1811" s="1" t="str">
        <f>TEXT(BBDD_Usiarios_Netflix[[#This Row],[Fecha Suscripción]],"dddd")</f>
        <v>martes</v>
      </c>
      <c r="L1811" s="1">
        <f>DATEVALUE(_xlfn.CONCAT(BBDD_Usiarios_Netflix[[#This Row],[Día Último Pago]],"/",BBDD_Usiarios_Netflix[[#This Row],[Mes Último Pago]],"/",BBDD_Usiarios_Netflix[[#This Row],[Año Último Pago]]))</f>
        <v>45482</v>
      </c>
      <c r="M1811" s="4">
        <f>DATEDIF(BBDD_Usiarios_Netflix[[#This Row],[Fecha Suscripción]],BBDD_Usiarios_Netflix[[#This Row],[Fecha Último Pago]],"M")+1</f>
        <v>10</v>
      </c>
      <c r="N1811" s="4">
        <f>BBDD_Usiarios_Netflix[[#This Row],[Ingresos Mensuales]]*BBDD_Usiarios_Netflix[[#This Row],[Meses contratados]]</f>
        <v>140</v>
      </c>
      <c r="O1811" t="s">
        <v>29</v>
      </c>
      <c r="P1811" t="str">
        <f>IF(BBDD_Usiarios_Netflix[[#This Row],[País]]="","Desconocido",BBDD_Usiarios_Netflix[[#This Row],[País]])</f>
        <v>EEUU</v>
      </c>
      <c r="Q1811">
        <v>27</v>
      </c>
      <c r="R1811" t="s">
        <v>25</v>
      </c>
      <c r="S1811" t="s">
        <v>36</v>
      </c>
      <c r="T1811" t="s">
        <v>27</v>
      </c>
      <c r="U1811">
        <f>IF(IFERROR(VLOOKUP(BBDD_Usiarios_Netflix[[#This Row],[Identificador Usuario]],A1812:$A$5870,1,FALSE),0)&lt;&gt;0,1,0)</f>
        <v>0</v>
      </c>
      <c r="V1811" s="6" t="str">
        <f>IF(BBDD_Usiarios_Netflix[[#This Row],[Duración Plan]]="12 Meses",LEFT(BBDD_Usiarios_Netflix[[#This Row],[Duración Plan]],2),LEFT(BBDD_Usiarios_Netflix[[#This Row],[Duración Plan]],1))</f>
        <v>1</v>
      </c>
      <c r="W18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12" spans="1:23" x14ac:dyDescent="0.25">
      <c r="A1812">
        <v>1811</v>
      </c>
      <c r="B1812" t="s">
        <v>23</v>
      </c>
      <c r="C1812">
        <v>10</v>
      </c>
      <c r="D1812" s="3">
        <v>23</v>
      </c>
      <c r="E1812" s="3">
        <v>9</v>
      </c>
      <c r="F1812">
        <v>23</v>
      </c>
      <c r="G1812" s="1">
        <f>DATEVALUE(_xlfn.CONCAT(BBDD_Usiarios_Netflix[[#This Row],[Día Suscripción]],"/",BBDD_Usiarios_Netflix[[#This Row],[Mes Suscripción]],"/",BBDD_Usiarios_Netflix[[#This Row],[Año Suscripción]]))</f>
        <v>45192</v>
      </c>
      <c r="H1812" s="1">
        <v>6</v>
      </c>
      <c r="I1812" s="1">
        <v>7</v>
      </c>
      <c r="J1812" s="1">
        <v>24</v>
      </c>
      <c r="K1812" s="1" t="str">
        <f>TEXT(BBDD_Usiarios_Netflix[[#This Row],[Fecha Suscripción]],"dddd")</f>
        <v>sábado</v>
      </c>
      <c r="L1812" s="1">
        <f>DATEVALUE(_xlfn.CONCAT(BBDD_Usiarios_Netflix[[#This Row],[Día Último Pago]],"/",BBDD_Usiarios_Netflix[[#This Row],[Mes Último Pago]],"/",BBDD_Usiarios_Netflix[[#This Row],[Año Último Pago]]))</f>
        <v>45479</v>
      </c>
      <c r="M1812" s="4">
        <f>DATEDIF(BBDD_Usiarios_Netflix[[#This Row],[Fecha Suscripción]],BBDD_Usiarios_Netflix[[#This Row],[Fecha Último Pago]],"M")+1</f>
        <v>10</v>
      </c>
      <c r="N1812" s="4">
        <f>BBDD_Usiarios_Netflix[[#This Row],[Ingresos Mensuales]]*BBDD_Usiarios_Netflix[[#This Row],[Meses contratados]]</f>
        <v>100</v>
      </c>
      <c r="O1812" t="s">
        <v>29</v>
      </c>
      <c r="P1812" t="str">
        <f>IF(BBDD_Usiarios_Netflix[[#This Row],[País]]="","Desconocido",BBDD_Usiarios_Netflix[[#This Row],[País]])</f>
        <v>EEUU</v>
      </c>
      <c r="Q1812">
        <v>47</v>
      </c>
      <c r="R1812" t="s">
        <v>25</v>
      </c>
      <c r="S1812" t="s">
        <v>34</v>
      </c>
      <c r="T1812" t="s">
        <v>35</v>
      </c>
      <c r="U1812">
        <f>IF(IFERROR(VLOOKUP(BBDD_Usiarios_Netflix[[#This Row],[Identificador Usuario]],A1813:$A$5870,1,FALSE),0)&lt;&gt;0,1,0)</f>
        <v>0</v>
      </c>
      <c r="V1812" s="6" t="str">
        <f>IF(BBDD_Usiarios_Netflix[[#This Row],[Duración Plan]]="12 Meses",LEFT(BBDD_Usiarios_Netflix[[#This Row],[Duración Plan]],2),LEFT(BBDD_Usiarios_Netflix[[#This Row],[Duración Plan]],1))</f>
        <v>6</v>
      </c>
      <c r="W18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13" spans="1:23" x14ac:dyDescent="0.25">
      <c r="A1813">
        <v>1812</v>
      </c>
      <c r="B1813" t="s">
        <v>28</v>
      </c>
      <c r="C1813">
        <v>14</v>
      </c>
      <c r="D1813" s="3">
        <v>26</v>
      </c>
      <c r="E1813" s="3">
        <v>9</v>
      </c>
      <c r="F1813">
        <v>23</v>
      </c>
      <c r="G1813" s="1">
        <f>DATEVALUE(_xlfn.CONCAT(BBDD_Usiarios_Netflix[[#This Row],[Día Suscripción]],"/",BBDD_Usiarios_Netflix[[#This Row],[Mes Suscripción]],"/",BBDD_Usiarios_Netflix[[#This Row],[Año Suscripción]]))</f>
        <v>45195</v>
      </c>
      <c r="H1813" s="1">
        <v>8</v>
      </c>
      <c r="I1813" s="1">
        <v>7</v>
      </c>
      <c r="J1813" s="1">
        <v>24</v>
      </c>
      <c r="K1813" s="1" t="str">
        <f>TEXT(BBDD_Usiarios_Netflix[[#This Row],[Fecha Suscripción]],"dddd")</f>
        <v>martes</v>
      </c>
      <c r="L1813" s="1">
        <f>DATEVALUE(_xlfn.CONCAT(BBDD_Usiarios_Netflix[[#This Row],[Día Último Pago]],"/",BBDD_Usiarios_Netflix[[#This Row],[Mes Último Pago]],"/",BBDD_Usiarios_Netflix[[#This Row],[Año Último Pago]]))</f>
        <v>45481</v>
      </c>
      <c r="M1813" s="4">
        <f>DATEDIF(BBDD_Usiarios_Netflix[[#This Row],[Fecha Suscripción]],BBDD_Usiarios_Netflix[[#This Row],[Fecha Último Pago]],"M")+1</f>
        <v>10</v>
      </c>
      <c r="N1813" s="4">
        <f>BBDD_Usiarios_Netflix[[#This Row],[Ingresos Mensuales]]*BBDD_Usiarios_Netflix[[#This Row],[Meses contratados]]</f>
        <v>140</v>
      </c>
      <c r="O1813" t="s">
        <v>46</v>
      </c>
      <c r="P1813" t="str">
        <f>IF(BBDD_Usiarios_Netflix[[#This Row],[País]]="","Desconocido",BBDD_Usiarios_Netflix[[#This Row],[País]])</f>
        <v>Méjico</v>
      </c>
      <c r="Q1813">
        <v>50</v>
      </c>
      <c r="R1813" t="s">
        <v>25</v>
      </c>
      <c r="S1813" t="s">
        <v>26</v>
      </c>
      <c r="T1813" t="s">
        <v>38</v>
      </c>
      <c r="U1813">
        <f>IF(IFERROR(VLOOKUP(BBDD_Usiarios_Netflix[[#This Row],[Identificador Usuario]],A1814:$A$5870,1,FALSE),0)&lt;&gt;0,1,0)</f>
        <v>0</v>
      </c>
      <c r="V1813" s="6" t="str">
        <f>IF(BBDD_Usiarios_Netflix[[#This Row],[Duración Plan]]="12 Meses",LEFT(BBDD_Usiarios_Netflix[[#This Row],[Duración Plan]],2),LEFT(BBDD_Usiarios_Netflix[[#This Row],[Duración Plan]],1))</f>
        <v>3</v>
      </c>
      <c r="W18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14" spans="1:23" x14ac:dyDescent="0.25">
      <c r="A1814">
        <v>1813</v>
      </c>
      <c r="B1814" t="s">
        <v>32</v>
      </c>
      <c r="C1814">
        <v>12</v>
      </c>
      <c r="D1814" s="3">
        <v>30</v>
      </c>
      <c r="E1814" s="3">
        <v>9</v>
      </c>
      <c r="F1814">
        <v>23</v>
      </c>
      <c r="G1814" s="1">
        <f>DATEVALUE(_xlfn.CONCAT(BBDD_Usiarios_Netflix[[#This Row],[Día Suscripción]],"/",BBDD_Usiarios_Netflix[[#This Row],[Mes Suscripción]],"/",BBDD_Usiarios_Netflix[[#This Row],[Año Suscripción]]))</f>
        <v>45199</v>
      </c>
      <c r="H1814" s="1">
        <v>8</v>
      </c>
      <c r="I1814" s="1">
        <v>7</v>
      </c>
      <c r="J1814" s="1">
        <v>24</v>
      </c>
      <c r="K1814" s="1" t="str">
        <f>TEXT(BBDD_Usiarios_Netflix[[#This Row],[Fecha Suscripción]],"dddd")</f>
        <v>sábado</v>
      </c>
      <c r="L1814" s="1">
        <f>DATEVALUE(_xlfn.CONCAT(BBDD_Usiarios_Netflix[[#This Row],[Día Último Pago]],"/",BBDD_Usiarios_Netflix[[#This Row],[Mes Último Pago]],"/",BBDD_Usiarios_Netflix[[#This Row],[Año Último Pago]]))</f>
        <v>45481</v>
      </c>
      <c r="M1814" s="4">
        <f>DATEDIF(BBDD_Usiarios_Netflix[[#This Row],[Fecha Suscripción]],BBDD_Usiarios_Netflix[[#This Row],[Fecha Último Pago]],"M")+1</f>
        <v>10</v>
      </c>
      <c r="N1814" s="4">
        <f>BBDD_Usiarios_Netflix[[#This Row],[Ingresos Mensuales]]*BBDD_Usiarios_Netflix[[#This Row],[Meses contratados]]</f>
        <v>120</v>
      </c>
      <c r="O1814" t="s">
        <v>33</v>
      </c>
      <c r="P1814" t="str">
        <f>IF(BBDD_Usiarios_Netflix[[#This Row],[País]]="","Desconocido",BBDD_Usiarios_Netflix[[#This Row],[País]])</f>
        <v>Francia</v>
      </c>
      <c r="Q1814">
        <v>31</v>
      </c>
      <c r="R1814" t="s">
        <v>30</v>
      </c>
      <c r="S1814" t="s">
        <v>26</v>
      </c>
      <c r="T1814" t="s">
        <v>27</v>
      </c>
      <c r="U1814">
        <f>IF(IFERROR(VLOOKUP(BBDD_Usiarios_Netflix[[#This Row],[Identificador Usuario]],A1815:$A$5870,1,FALSE),0)&lt;&gt;0,1,0)</f>
        <v>0</v>
      </c>
      <c r="V1814" s="6" t="str">
        <f>IF(BBDD_Usiarios_Netflix[[#This Row],[Duración Plan]]="12 Meses",LEFT(BBDD_Usiarios_Netflix[[#This Row],[Duración Plan]],2),LEFT(BBDD_Usiarios_Netflix[[#This Row],[Duración Plan]],1))</f>
        <v>1</v>
      </c>
      <c r="W18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15" spans="1:23" x14ac:dyDescent="0.25">
      <c r="A1815">
        <v>1814</v>
      </c>
      <c r="B1815" t="s">
        <v>23</v>
      </c>
      <c r="C1815">
        <v>10</v>
      </c>
      <c r="D1815" s="3">
        <v>7</v>
      </c>
      <c r="E1815" s="3">
        <v>10</v>
      </c>
      <c r="F1815">
        <v>23</v>
      </c>
      <c r="G1815" s="1">
        <f>DATEVALUE(_xlfn.CONCAT(BBDD_Usiarios_Netflix[[#This Row],[Día Suscripción]],"/",BBDD_Usiarios_Netflix[[#This Row],[Mes Suscripción]],"/",BBDD_Usiarios_Netflix[[#This Row],[Año Suscripción]]))</f>
        <v>45206</v>
      </c>
      <c r="H1815" s="1">
        <v>10</v>
      </c>
      <c r="I1815" s="1">
        <v>7</v>
      </c>
      <c r="J1815" s="1">
        <v>24</v>
      </c>
      <c r="K1815" s="1" t="str">
        <f>TEXT(BBDD_Usiarios_Netflix[[#This Row],[Fecha Suscripción]],"dddd")</f>
        <v>sábado</v>
      </c>
      <c r="L1815" s="1">
        <f>DATEVALUE(_xlfn.CONCAT(BBDD_Usiarios_Netflix[[#This Row],[Día Último Pago]],"/",BBDD_Usiarios_Netflix[[#This Row],[Mes Último Pago]],"/",BBDD_Usiarios_Netflix[[#This Row],[Año Último Pago]]))</f>
        <v>45483</v>
      </c>
      <c r="M1815" s="4">
        <f>DATEDIF(BBDD_Usiarios_Netflix[[#This Row],[Fecha Suscripción]],BBDD_Usiarios_Netflix[[#This Row],[Fecha Último Pago]],"M")+1</f>
        <v>10</v>
      </c>
      <c r="N1815" s="4">
        <f>BBDD_Usiarios_Netflix[[#This Row],[Ingresos Mensuales]]*BBDD_Usiarios_Netflix[[#This Row],[Meses contratados]]</f>
        <v>100</v>
      </c>
      <c r="O1815" t="s">
        <v>42</v>
      </c>
      <c r="P1815" t="str">
        <f>IF(BBDD_Usiarios_Netflix[[#This Row],[País]]="","Desconocido",BBDD_Usiarios_Netflix[[#This Row],[País]])</f>
        <v>Reino Unido</v>
      </c>
      <c r="Q1815">
        <v>33</v>
      </c>
      <c r="R1815" t="s">
        <v>25</v>
      </c>
      <c r="S1815" t="s">
        <v>26</v>
      </c>
      <c r="T1815" t="s">
        <v>41</v>
      </c>
      <c r="U1815">
        <f>IF(IFERROR(VLOOKUP(BBDD_Usiarios_Netflix[[#This Row],[Identificador Usuario]],A1816:$A$5870,1,FALSE),0)&lt;&gt;0,1,0)</f>
        <v>0</v>
      </c>
      <c r="V1815" s="6" t="str">
        <f>IF(BBDD_Usiarios_Netflix[[#This Row],[Duración Plan]]="12 Meses",LEFT(BBDD_Usiarios_Netflix[[#This Row],[Duración Plan]],2),LEFT(BBDD_Usiarios_Netflix[[#This Row],[Duración Plan]],1))</f>
        <v>12</v>
      </c>
      <c r="W18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16" spans="1:23" x14ac:dyDescent="0.25">
      <c r="A1816">
        <v>1815</v>
      </c>
      <c r="B1816" t="s">
        <v>32</v>
      </c>
      <c r="C1816">
        <v>12</v>
      </c>
      <c r="D1816" s="3">
        <v>9</v>
      </c>
      <c r="E1816" s="3">
        <v>10</v>
      </c>
      <c r="F1816">
        <v>23</v>
      </c>
      <c r="G1816" s="1">
        <f>DATEVALUE(_xlfn.CONCAT(BBDD_Usiarios_Netflix[[#This Row],[Día Suscripción]],"/",BBDD_Usiarios_Netflix[[#This Row],[Mes Suscripción]],"/",BBDD_Usiarios_Netflix[[#This Row],[Año Suscripción]]))</f>
        <v>45208</v>
      </c>
      <c r="H1816" s="1">
        <v>7</v>
      </c>
      <c r="I1816" s="1">
        <v>7</v>
      </c>
      <c r="J1816" s="1">
        <v>24</v>
      </c>
      <c r="K1816" s="1" t="str">
        <f>TEXT(BBDD_Usiarios_Netflix[[#This Row],[Fecha Suscripción]],"dddd")</f>
        <v>lunes</v>
      </c>
      <c r="L1816" s="1">
        <f>DATEVALUE(_xlfn.CONCAT(BBDD_Usiarios_Netflix[[#This Row],[Día Último Pago]],"/",BBDD_Usiarios_Netflix[[#This Row],[Mes Último Pago]],"/",BBDD_Usiarios_Netflix[[#This Row],[Año Último Pago]]))</f>
        <v>45480</v>
      </c>
      <c r="M1816" s="4">
        <f>DATEDIF(BBDD_Usiarios_Netflix[[#This Row],[Fecha Suscripción]],BBDD_Usiarios_Netflix[[#This Row],[Fecha Último Pago]],"M")+1</f>
        <v>9</v>
      </c>
      <c r="N1816" s="4">
        <f>BBDD_Usiarios_Netflix[[#This Row],[Ingresos Mensuales]]*BBDD_Usiarios_Netflix[[#This Row],[Meses contratados]]</f>
        <v>108</v>
      </c>
      <c r="O1816" t="s">
        <v>24</v>
      </c>
      <c r="P1816" t="str">
        <f>IF(BBDD_Usiarios_Netflix[[#This Row],[País]]="","Desconocido",BBDD_Usiarios_Netflix[[#This Row],[País]])</f>
        <v>Australia</v>
      </c>
      <c r="Q1816">
        <v>42</v>
      </c>
      <c r="R1816" t="s">
        <v>30</v>
      </c>
      <c r="S1816" t="s">
        <v>31</v>
      </c>
      <c r="T1816" t="s">
        <v>27</v>
      </c>
      <c r="U1816">
        <f>IF(IFERROR(VLOOKUP(BBDD_Usiarios_Netflix[[#This Row],[Identificador Usuario]],A1817:$A$5870,1,FALSE),0)&lt;&gt;0,1,0)</f>
        <v>0</v>
      </c>
      <c r="V1816" s="6" t="str">
        <f>IF(BBDD_Usiarios_Netflix[[#This Row],[Duración Plan]]="12 Meses",LEFT(BBDD_Usiarios_Netflix[[#This Row],[Duración Plan]],2),LEFT(BBDD_Usiarios_Netflix[[#This Row],[Duración Plan]],1))</f>
        <v>1</v>
      </c>
      <c r="W18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17" spans="1:23" x14ac:dyDescent="0.25">
      <c r="A1817">
        <v>1816</v>
      </c>
      <c r="B1817" t="s">
        <v>28</v>
      </c>
      <c r="C1817">
        <v>14</v>
      </c>
      <c r="D1817" s="3">
        <v>12</v>
      </c>
      <c r="E1817" s="3">
        <v>10</v>
      </c>
      <c r="F1817">
        <v>23</v>
      </c>
      <c r="G1817" s="1">
        <f>DATEVALUE(_xlfn.CONCAT(BBDD_Usiarios_Netflix[[#This Row],[Día Suscripción]],"/",BBDD_Usiarios_Netflix[[#This Row],[Mes Suscripción]],"/",BBDD_Usiarios_Netflix[[#This Row],[Año Suscripción]]))</f>
        <v>45211</v>
      </c>
      <c r="H1817" s="1">
        <v>7</v>
      </c>
      <c r="I1817" s="1">
        <v>7</v>
      </c>
      <c r="J1817" s="1">
        <v>24</v>
      </c>
      <c r="K1817" s="1" t="str">
        <f>TEXT(BBDD_Usiarios_Netflix[[#This Row],[Fecha Suscripción]],"dddd")</f>
        <v>jueves</v>
      </c>
      <c r="L1817" s="1">
        <f>DATEVALUE(_xlfn.CONCAT(BBDD_Usiarios_Netflix[[#This Row],[Día Último Pago]],"/",BBDD_Usiarios_Netflix[[#This Row],[Mes Último Pago]],"/",BBDD_Usiarios_Netflix[[#This Row],[Año Último Pago]]))</f>
        <v>45480</v>
      </c>
      <c r="M1817" s="4">
        <f>DATEDIF(BBDD_Usiarios_Netflix[[#This Row],[Fecha Suscripción]],BBDD_Usiarios_Netflix[[#This Row],[Fecha Último Pago]],"M")+1</f>
        <v>9</v>
      </c>
      <c r="N1817" s="4">
        <f>BBDD_Usiarios_Netflix[[#This Row],[Ingresos Mensuales]]*BBDD_Usiarios_Netflix[[#This Row],[Meses contratados]]</f>
        <v>126</v>
      </c>
      <c r="O1817" t="s">
        <v>44</v>
      </c>
      <c r="P1817" t="str">
        <f>IF(BBDD_Usiarios_Netflix[[#This Row],[País]]="","Desconocido",BBDD_Usiarios_Netflix[[#This Row],[País]])</f>
        <v>Desconocido</v>
      </c>
      <c r="Q1817">
        <v>51</v>
      </c>
      <c r="R1817" t="s">
        <v>30</v>
      </c>
      <c r="S1817" t="s">
        <v>36</v>
      </c>
      <c r="T1817" t="s">
        <v>35</v>
      </c>
      <c r="U1817">
        <f>IF(IFERROR(VLOOKUP(BBDD_Usiarios_Netflix[[#This Row],[Identificador Usuario]],A1818:$A$5870,1,FALSE),0)&lt;&gt;0,1,0)</f>
        <v>0</v>
      </c>
      <c r="V1817" s="6" t="str">
        <f>IF(BBDD_Usiarios_Netflix[[#This Row],[Duración Plan]]="12 Meses",LEFT(BBDD_Usiarios_Netflix[[#This Row],[Duración Plan]],2),LEFT(BBDD_Usiarios_Netflix[[#This Row],[Duración Plan]],1))</f>
        <v>6</v>
      </c>
      <c r="W18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18" spans="1:23" x14ac:dyDescent="0.25">
      <c r="A1818">
        <v>1817</v>
      </c>
      <c r="B1818" t="s">
        <v>23</v>
      </c>
      <c r="C1818">
        <v>10</v>
      </c>
      <c r="D1818" s="3">
        <v>13</v>
      </c>
      <c r="E1818" s="3">
        <v>10</v>
      </c>
      <c r="F1818">
        <v>23</v>
      </c>
      <c r="G1818" s="1">
        <f>DATEVALUE(_xlfn.CONCAT(BBDD_Usiarios_Netflix[[#This Row],[Día Suscripción]],"/",BBDD_Usiarios_Netflix[[#This Row],[Mes Suscripción]],"/",BBDD_Usiarios_Netflix[[#This Row],[Año Suscripción]]))</f>
        <v>45212</v>
      </c>
      <c r="H1818" s="1">
        <v>8</v>
      </c>
      <c r="I1818" s="1">
        <v>7</v>
      </c>
      <c r="J1818" s="1">
        <v>24</v>
      </c>
      <c r="K1818" s="1" t="str">
        <f>TEXT(BBDD_Usiarios_Netflix[[#This Row],[Fecha Suscripción]],"dddd")</f>
        <v>viernes</v>
      </c>
      <c r="L1818" s="1">
        <f>DATEVALUE(_xlfn.CONCAT(BBDD_Usiarios_Netflix[[#This Row],[Día Último Pago]],"/",BBDD_Usiarios_Netflix[[#This Row],[Mes Último Pago]],"/",BBDD_Usiarios_Netflix[[#This Row],[Año Último Pago]]))</f>
        <v>45481</v>
      </c>
      <c r="M1818" s="4">
        <f>DATEDIF(BBDD_Usiarios_Netflix[[#This Row],[Fecha Suscripción]],BBDD_Usiarios_Netflix[[#This Row],[Fecha Último Pago]],"M")+1</f>
        <v>9</v>
      </c>
      <c r="N1818" s="4">
        <f>BBDD_Usiarios_Netflix[[#This Row],[Ingresos Mensuales]]*BBDD_Usiarios_Netflix[[#This Row],[Meses contratados]]</f>
        <v>90</v>
      </c>
      <c r="O1818" t="s">
        <v>39</v>
      </c>
      <c r="P1818" t="str">
        <f>IF(BBDD_Usiarios_Netflix[[#This Row],[País]]="","Desconocido",BBDD_Usiarios_Netflix[[#This Row],[País]])</f>
        <v>Canadá</v>
      </c>
      <c r="Q1818">
        <v>43</v>
      </c>
      <c r="R1818" t="s">
        <v>30</v>
      </c>
      <c r="S1818" t="s">
        <v>26</v>
      </c>
      <c r="T1818" t="s">
        <v>38</v>
      </c>
      <c r="U1818">
        <f>IF(IFERROR(VLOOKUP(BBDD_Usiarios_Netflix[[#This Row],[Identificador Usuario]],A1819:$A$5870,1,FALSE),0)&lt;&gt;0,1,0)</f>
        <v>0</v>
      </c>
      <c r="V1818" s="6" t="str">
        <f>IF(BBDD_Usiarios_Netflix[[#This Row],[Duración Plan]]="12 Meses",LEFT(BBDD_Usiarios_Netflix[[#This Row],[Duración Plan]],2),LEFT(BBDD_Usiarios_Netflix[[#This Row],[Duración Plan]],1))</f>
        <v>3</v>
      </c>
      <c r="W18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19" spans="1:23" x14ac:dyDescent="0.25">
      <c r="A1819">
        <v>1818</v>
      </c>
      <c r="B1819" t="s">
        <v>32</v>
      </c>
      <c r="C1819">
        <v>12</v>
      </c>
      <c r="D1819" s="3">
        <v>14</v>
      </c>
      <c r="E1819" s="3">
        <v>10</v>
      </c>
      <c r="F1819">
        <v>23</v>
      </c>
      <c r="G1819" s="1">
        <f>DATEVALUE(_xlfn.CONCAT(BBDD_Usiarios_Netflix[[#This Row],[Día Suscripción]],"/",BBDD_Usiarios_Netflix[[#This Row],[Mes Suscripción]],"/",BBDD_Usiarios_Netflix[[#This Row],[Año Suscripción]]))</f>
        <v>45213</v>
      </c>
      <c r="H1819" s="1">
        <v>10</v>
      </c>
      <c r="I1819" s="1">
        <v>7</v>
      </c>
      <c r="J1819" s="1">
        <v>24</v>
      </c>
      <c r="K1819" s="1" t="str">
        <f>TEXT(BBDD_Usiarios_Netflix[[#This Row],[Fecha Suscripción]],"dddd")</f>
        <v>sábado</v>
      </c>
      <c r="L1819" s="1">
        <f>DATEVALUE(_xlfn.CONCAT(BBDD_Usiarios_Netflix[[#This Row],[Día Último Pago]],"/",BBDD_Usiarios_Netflix[[#This Row],[Mes Último Pago]],"/",BBDD_Usiarios_Netflix[[#This Row],[Año Último Pago]]))</f>
        <v>45483</v>
      </c>
      <c r="M1819" s="4">
        <f>DATEDIF(BBDD_Usiarios_Netflix[[#This Row],[Fecha Suscripción]],BBDD_Usiarios_Netflix[[#This Row],[Fecha Último Pago]],"M")+1</f>
        <v>9</v>
      </c>
      <c r="N1819" s="4">
        <f>BBDD_Usiarios_Netflix[[#This Row],[Ingresos Mensuales]]*BBDD_Usiarios_Netflix[[#This Row],[Meses contratados]]</f>
        <v>108</v>
      </c>
      <c r="O1819" t="s">
        <v>45</v>
      </c>
      <c r="P1819" t="str">
        <f>IF(BBDD_Usiarios_Netflix[[#This Row],[País]]="","Desconocido",BBDD_Usiarios_Netflix[[#This Row],[País]])</f>
        <v>España</v>
      </c>
      <c r="Q1819">
        <v>45</v>
      </c>
      <c r="R1819" t="s">
        <v>30</v>
      </c>
      <c r="S1819" t="s">
        <v>34</v>
      </c>
      <c r="T1819" t="s">
        <v>41</v>
      </c>
      <c r="U1819">
        <f>IF(IFERROR(VLOOKUP(BBDD_Usiarios_Netflix[[#This Row],[Identificador Usuario]],A1820:$A$5870,1,FALSE),0)&lt;&gt;0,1,0)</f>
        <v>0</v>
      </c>
      <c r="V1819" s="6" t="str">
        <f>IF(BBDD_Usiarios_Netflix[[#This Row],[Duración Plan]]="12 Meses",LEFT(BBDD_Usiarios_Netflix[[#This Row],[Duración Plan]],2),LEFT(BBDD_Usiarios_Netflix[[#This Row],[Duración Plan]],1))</f>
        <v>12</v>
      </c>
      <c r="W18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20" spans="1:23" x14ac:dyDescent="0.25">
      <c r="A1820">
        <v>1819</v>
      </c>
      <c r="B1820" t="s">
        <v>28</v>
      </c>
      <c r="C1820">
        <v>14</v>
      </c>
      <c r="D1820" s="3">
        <v>19</v>
      </c>
      <c r="E1820" s="3">
        <v>10</v>
      </c>
      <c r="F1820">
        <v>23</v>
      </c>
      <c r="G1820" s="1">
        <f>DATEVALUE(_xlfn.CONCAT(BBDD_Usiarios_Netflix[[#This Row],[Día Suscripción]],"/",BBDD_Usiarios_Netflix[[#This Row],[Mes Suscripción]],"/",BBDD_Usiarios_Netflix[[#This Row],[Año Suscripción]]))</f>
        <v>45218</v>
      </c>
      <c r="H1820" s="1">
        <v>7</v>
      </c>
      <c r="I1820" s="1">
        <v>7</v>
      </c>
      <c r="J1820" s="1">
        <v>24</v>
      </c>
      <c r="K1820" s="1" t="str">
        <f>TEXT(BBDD_Usiarios_Netflix[[#This Row],[Fecha Suscripción]],"dddd")</f>
        <v>jueves</v>
      </c>
      <c r="L1820" s="1">
        <f>DATEVALUE(_xlfn.CONCAT(BBDD_Usiarios_Netflix[[#This Row],[Día Último Pago]],"/",BBDD_Usiarios_Netflix[[#This Row],[Mes Último Pago]],"/",BBDD_Usiarios_Netflix[[#This Row],[Año Último Pago]]))</f>
        <v>45480</v>
      </c>
      <c r="M1820" s="4">
        <f>DATEDIF(BBDD_Usiarios_Netflix[[#This Row],[Fecha Suscripción]],BBDD_Usiarios_Netflix[[#This Row],[Fecha Último Pago]],"M")+1</f>
        <v>9</v>
      </c>
      <c r="N1820" s="4">
        <f>BBDD_Usiarios_Netflix[[#This Row],[Ingresos Mensuales]]*BBDD_Usiarios_Netflix[[#This Row],[Meses contratados]]</f>
        <v>126</v>
      </c>
      <c r="O1820" t="s">
        <v>24</v>
      </c>
      <c r="P1820" t="str">
        <f>IF(BBDD_Usiarios_Netflix[[#This Row],[País]]="","Desconocido",BBDD_Usiarios_Netflix[[#This Row],[País]])</f>
        <v>Australia</v>
      </c>
      <c r="Q1820">
        <v>48</v>
      </c>
      <c r="R1820" t="s">
        <v>30</v>
      </c>
      <c r="S1820" t="s">
        <v>31</v>
      </c>
      <c r="T1820" t="s">
        <v>41</v>
      </c>
      <c r="U1820">
        <f>IF(IFERROR(VLOOKUP(BBDD_Usiarios_Netflix[[#This Row],[Identificador Usuario]],A1821:$A$5870,1,FALSE),0)&lt;&gt;0,1,0)</f>
        <v>0</v>
      </c>
      <c r="V1820" s="6" t="str">
        <f>IF(BBDD_Usiarios_Netflix[[#This Row],[Duración Plan]]="12 Meses",LEFT(BBDD_Usiarios_Netflix[[#This Row],[Duración Plan]],2),LEFT(BBDD_Usiarios_Netflix[[#This Row],[Duración Plan]],1))</f>
        <v>12</v>
      </c>
      <c r="W18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21" spans="1:23" x14ac:dyDescent="0.25">
      <c r="A1821">
        <v>1820</v>
      </c>
      <c r="B1821" t="s">
        <v>23</v>
      </c>
      <c r="C1821">
        <v>10</v>
      </c>
      <c r="D1821" s="3">
        <v>20</v>
      </c>
      <c r="E1821" s="3">
        <v>10</v>
      </c>
      <c r="F1821">
        <v>23</v>
      </c>
      <c r="G1821" s="1">
        <f>DATEVALUE(_xlfn.CONCAT(BBDD_Usiarios_Netflix[[#This Row],[Día Suscripción]],"/",BBDD_Usiarios_Netflix[[#This Row],[Mes Suscripción]],"/",BBDD_Usiarios_Netflix[[#This Row],[Año Suscripción]]))</f>
        <v>45219</v>
      </c>
      <c r="H1821" s="1">
        <v>7</v>
      </c>
      <c r="I1821" s="1">
        <v>7</v>
      </c>
      <c r="J1821" s="1">
        <v>24</v>
      </c>
      <c r="K1821" s="1" t="str">
        <f>TEXT(BBDD_Usiarios_Netflix[[#This Row],[Fecha Suscripción]],"dddd")</f>
        <v>viernes</v>
      </c>
      <c r="L1821" s="1">
        <f>DATEVALUE(_xlfn.CONCAT(BBDD_Usiarios_Netflix[[#This Row],[Día Último Pago]],"/",BBDD_Usiarios_Netflix[[#This Row],[Mes Último Pago]],"/",BBDD_Usiarios_Netflix[[#This Row],[Año Último Pago]]))</f>
        <v>45480</v>
      </c>
      <c r="M1821" s="4">
        <f>DATEDIF(BBDD_Usiarios_Netflix[[#This Row],[Fecha Suscripción]],BBDD_Usiarios_Netflix[[#This Row],[Fecha Último Pago]],"M")+1</f>
        <v>9</v>
      </c>
      <c r="N1821" s="4">
        <f>BBDD_Usiarios_Netflix[[#This Row],[Ingresos Mensuales]]*BBDD_Usiarios_Netflix[[#This Row],[Meses contratados]]</f>
        <v>90</v>
      </c>
      <c r="O1821" t="s">
        <v>33</v>
      </c>
      <c r="P1821" t="str">
        <f>IF(BBDD_Usiarios_Netflix[[#This Row],[País]]="","Desconocido",BBDD_Usiarios_Netflix[[#This Row],[País]])</f>
        <v>Francia</v>
      </c>
      <c r="Q1821">
        <v>48</v>
      </c>
      <c r="R1821" t="s">
        <v>30</v>
      </c>
      <c r="S1821" t="s">
        <v>34</v>
      </c>
      <c r="T1821" t="s">
        <v>27</v>
      </c>
      <c r="U1821">
        <f>IF(IFERROR(VLOOKUP(BBDD_Usiarios_Netflix[[#This Row],[Identificador Usuario]],A1822:$A$5870,1,FALSE),0)&lt;&gt;0,1,0)</f>
        <v>0</v>
      </c>
      <c r="V1821" s="6" t="str">
        <f>IF(BBDD_Usiarios_Netflix[[#This Row],[Duración Plan]]="12 Meses",LEFT(BBDD_Usiarios_Netflix[[#This Row],[Duración Plan]],2),LEFT(BBDD_Usiarios_Netflix[[#This Row],[Duración Plan]],1))</f>
        <v>1</v>
      </c>
      <c r="W18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22" spans="1:23" x14ac:dyDescent="0.25">
      <c r="A1822">
        <v>1821</v>
      </c>
      <c r="B1822" t="s">
        <v>28</v>
      </c>
      <c r="C1822">
        <v>14</v>
      </c>
      <c r="D1822" s="3">
        <v>22</v>
      </c>
      <c r="E1822" s="3">
        <v>10</v>
      </c>
      <c r="F1822">
        <v>23</v>
      </c>
      <c r="G1822" s="1">
        <f>DATEVALUE(_xlfn.CONCAT(BBDD_Usiarios_Netflix[[#This Row],[Día Suscripción]],"/",BBDD_Usiarios_Netflix[[#This Row],[Mes Suscripción]],"/",BBDD_Usiarios_Netflix[[#This Row],[Año Suscripción]]))</f>
        <v>45221</v>
      </c>
      <c r="H1822" s="1">
        <v>8</v>
      </c>
      <c r="I1822" s="1">
        <v>7</v>
      </c>
      <c r="J1822" s="1">
        <v>24</v>
      </c>
      <c r="K1822" s="1" t="str">
        <f>TEXT(BBDD_Usiarios_Netflix[[#This Row],[Fecha Suscripción]],"dddd")</f>
        <v>domingo</v>
      </c>
      <c r="L1822" s="1">
        <f>DATEVALUE(_xlfn.CONCAT(BBDD_Usiarios_Netflix[[#This Row],[Día Último Pago]],"/",BBDD_Usiarios_Netflix[[#This Row],[Mes Último Pago]],"/",BBDD_Usiarios_Netflix[[#This Row],[Año Último Pago]]))</f>
        <v>45481</v>
      </c>
      <c r="M1822" s="4">
        <f>DATEDIF(BBDD_Usiarios_Netflix[[#This Row],[Fecha Suscripción]],BBDD_Usiarios_Netflix[[#This Row],[Fecha Último Pago]],"M")+1</f>
        <v>9</v>
      </c>
      <c r="N1822" s="4">
        <f>BBDD_Usiarios_Netflix[[#This Row],[Ingresos Mensuales]]*BBDD_Usiarios_Netflix[[#This Row],[Meses contratados]]</f>
        <v>126</v>
      </c>
      <c r="O1822" t="s">
        <v>33</v>
      </c>
      <c r="P1822" t="str">
        <f>IF(BBDD_Usiarios_Netflix[[#This Row],[País]]="","Desconocido",BBDD_Usiarios_Netflix[[#This Row],[País]])</f>
        <v>Francia</v>
      </c>
      <c r="Q1822">
        <v>30</v>
      </c>
      <c r="R1822" t="s">
        <v>25</v>
      </c>
      <c r="S1822" t="s">
        <v>26</v>
      </c>
      <c r="T1822" t="s">
        <v>35</v>
      </c>
      <c r="U1822">
        <f>IF(IFERROR(VLOOKUP(BBDD_Usiarios_Netflix[[#This Row],[Identificador Usuario]],A1823:$A$5870,1,FALSE),0)&lt;&gt;0,1,0)</f>
        <v>0</v>
      </c>
      <c r="V1822" s="6" t="str">
        <f>IF(BBDD_Usiarios_Netflix[[#This Row],[Duración Plan]]="12 Meses",LEFT(BBDD_Usiarios_Netflix[[#This Row],[Duración Plan]],2),LEFT(BBDD_Usiarios_Netflix[[#This Row],[Duración Plan]],1))</f>
        <v>6</v>
      </c>
      <c r="W18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23" spans="1:23" x14ac:dyDescent="0.25">
      <c r="A1823">
        <v>1822</v>
      </c>
      <c r="B1823" t="s">
        <v>23</v>
      </c>
      <c r="C1823">
        <v>10</v>
      </c>
      <c r="D1823" s="3">
        <v>24</v>
      </c>
      <c r="E1823" s="3">
        <v>10</v>
      </c>
      <c r="F1823">
        <v>23</v>
      </c>
      <c r="G1823" s="1">
        <f>DATEVALUE(_xlfn.CONCAT(BBDD_Usiarios_Netflix[[#This Row],[Día Suscripción]],"/",BBDD_Usiarios_Netflix[[#This Row],[Mes Suscripción]],"/",BBDD_Usiarios_Netflix[[#This Row],[Año Suscripción]]))</f>
        <v>45223</v>
      </c>
      <c r="H1823" s="1">
        <v>9</v>
      </c>
      <c r="I1823" s="1">
        <v>7</v>
      </c>
      <c r="J1823" s="1">
        <v>24</v>
      </c>
      <c r="K1823" s="1" t="str">
        <f>TEXT(BBDD_Usiarios_Netflix[[#This Row],[Fecha Suscripción]],"dddd")</f>
        <v>martes</v>
      </c>
      <c r="L1823" s="1">
        <f>DATEVALUE(_xlfn.CONCAT(BBDD_Usiarios_Netflix[[#This Row],[Día Último Pago]],"/",BBDD_Usiarios_Netflix[[#This Row],[Mes Último Pago]],"/",BBDD_Usiarios_Netflix[[#This Row],[Año Último Pago]]))</f>
        <v>45482</v>
      </c>
      <c r="M1823" s="4">
        <f>DATEDIF(BBDD_Usiarios_Netflix[[#This Row],[Fecha Suscripción]],BBDD_Usiarios_Netflix[[#This Row],[Fecha Último Pago]],"M")+1</f>
        <v>9</v>
      </c>
      <c r="N1823" s="4">
        <f>BBDD_Usiarios_Netflix[[#This Row],[Ingresos Mensuales]]*BBDD_Usiarios_Netflix[[#This Row],[Meses contratados]]</f>
        <v>90</v>
      </c>
      <c r="O1823" t="s">
        <v>43</v>
      </c>
      <c r="P1823" t="str">
        <f>IF(BBDD_Usiarios_Netflix[[#This Row],[País]]="","Desconocido",BBDD_Usiarios_Netflix[[#This Row],[País]])</f>
        <v>Alemania</v>
      </c>
      <c r="Q1823">
        <v>29</v>
      </c>
      <c r="R1823" t="s">
        <v>30</v>
      </c>
      <c r="S1823" t="s">
        <v>31</v>
      </c>
      <c r="T1823" t="s">
        <v>35</v>
      </c>
      <c r="U1823">
        <f>IF(IFERROR(VLOOKUP(BBDD_Usiarios_Netflix[[#This Row],[Identificador Usuario]],A1824:$A$5870,1,FALSE),0)&lt;&gt;0,1,0)</f>
        <v>0</v>
      </c>
      <c r="V1823" s="6" t="str">
        <f>IF(BBDD_Usiarios_Netflix[[#This Row],[Duración Plan]]="12 Meses",LEFT(BBDD_Usiarios_Netflix[[#This Row],[Duración Plan]],2),LEFT(BBDD_Usiarios_Netflix[[#This Row],[Duración Plan]],1))</f>
        <v>6</v>
      </c>
      <c r="W18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24" spans="1:23" x14ac:dyDescent="0.25">
      <c r="A1824">
        <v>1823</v>
      </c>
      <c r="B1824" t="s">
        <v>32</v>
      </c>
      <c r="C1824">
        <v>12</v>
      </c>
      <c r="D1824" s="3">
        <v>28</v>
      </c>
      <c r="E1824" s="3">
        <v>10</v>
      </c>
      <c r="F1824">
        <v>23</v>
      </c>
      <c r="G1824" s="1">
        <f>DATEVALUE(_xlfn.CONCAT(BBDD_Usiarios_Netflix[[#This Row],[Día Suscripción]],"/",BBDD_Usiarios_Netflix[[#This Row],[Mes Suscripción]],"/",BBDD_Usiarios_Netflix[[#This Row],[Año Suscripción]]))</f>
        <v>45227</v>
      </c>
      <c r="H1824" s="1">
        <v>6</v>
      </c>
      <c r="I1824" s="1">
        <v>7</v>
      </c>
      <c r="J1824" s="1">
        <v>24</v>
      </c>
      <c r="K1824" s="1" t="str">
        <f>TEXT(BBDD_Usiarios_Netflix[[#This Row],[Fecha Suscripción]],"dddd")</f>
        <v>sábado</v>
      </c>
      <c r="L1824" s="1">
        <f>DATEVALUE(_xlfn.CONCAT(BBDD_Usiarios_Netflix[[#This Row],[Día Último Pago]],"/",BBDD_Usiarios_Netflix[[#This Row],[Mes Último Pago]],"/",BBDD_Usiarios_Netflix[[#This Row],[Año Último Pago]]))</f>
        <v>45479</v>
      </c>
      <c r="M1824" s="4">
        <f>DATEDIF(BBDD_Usiarios_Netflix[[#This Row],[Fecha Suscripción]],BBDD_Usiarios_Netflix[[#This Row],[Fecha Último Pago]],"M")+1</f>
        <v>9</v>
      </c>
      <c r="N1824" s="4">
        <f>BBDD_Usiarios_Netflix[[#This Row],[Ingresos Mensuales]]*BBDD_Usiarios_Netflix[[#This Row],[Meses contratados]]</f>
        <v>108</v>
      </c>
      <c r="O1824" t="s">
        <v>24</v>
      </c>
      <c r="P1824" t="str">
        <f>IF(BBDD_Usiarios_Netflix[[#This Row],[País]]="","Desconocido",BBDD_Usiarios_Netflix[[#This Row],[País]])</f>
        <v>Australia</v>
      </c>
      <c r="Q1824">
        <v>28</v>
      </c>
      <c r="R1824" t="s">
        <v>25</v>
      </c>
      <c r="S1824" t="s">
        <v>31</v>
      </c>
      <c r="T1824" t="s">
        <v>38</v>
      </c>
      <c r="U1824">
        <f>IF(IFERROR(VLOOKUP(BBDD_Usiarios_Netflix[[#This Row],[Identificador Usuario]],A1825:$A$5870,1,FALSE),0)&lt;&gt;0,1,0)</f>
        <v>0</v>
      </c>
      <c r="V1824" s="6" t="str">
        <f>IF(BBDD_Usiarios_Netflix[[#This Row],[Duración Plan]]="12 Meses",LEFT(BBDD_Usiarios_Netflix[[#This Row],[Duración Plan]],2),LEFT(BBDD_Usiarios_Netflix[[#This Row],[Duración Plan]],1))</f>
        <v>3</v>
      </c>
      <c r="W18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25" spans="1:23" x14ac:dyDescent="0.25">
      <c r="A1825">
        <v>1824</v>
      </c>
      <c r="B1825" t="s">
        <v>32</v>
      </c>
      <c r="C1825">
        <v>12</v>
      </c>
      <c r="D1825" s="3">
        <v>30</v>
      </c>
      <c r="E1825" s="3">
        <v>10</v>
      </c>
      <c r="F1825">
        <v>23</v>
      </c>
      <c r="G1825" s="1">
        <f>DATEVALUE(_xlfn.CONCAT(BBDD_Usiarios_Netflix[[#This Row],[Día Suscripción]],"/",BBDD_Usiarios_Netflix[[#This Row],[Mes Suscripción]],"/",BBDD_Usiarios_Netflix[[#This Row],[Año Suscripción]]))</f>
        <v>45229</v>
      </c>
      <c r="H1825" s="1">
        <v>8</v>
      </c>
      <c r="I1825" s="1">
        <v>7</v>
      </c>
      <c r="J1825" s="1">
        <v>24</v>
      </c>
      <c r="K1825" s="1" t="str">
        <f>TEXT(BBDD_Usiarios_Netflix[[#This Row],[Fecha Suscripción]],"dddd")</f>
        <v>lunes</v>
      </c>
      <c r="L1825" s="1">
        <f>DATEVALUE(_xlfn.CONCAT(BBDD_Usiarios_Netflix[[#This Row],[Día Último Pago]],"/",BBDD_Usiarios_Netflix[[#This Row],[Mes Último Pago]],"/",BBDD_Usiarios_Netflix[[#This Row],[Año Último Pago]]))</f>
        <v>45481</v>
      </c>
      <c r="M1825" s="4">
        <f>DATEDIF(BBDD_Usiarios_Netflix[[#This Row],[Fecha Suscripción]],BBDD_Usiarios_Netflix[[#This Row],[Fecha Último Pago]],"M")+1</f>
        <v>9</v>
      </c>
      <c r="N1825" s="4">
        <f>BBDD_Usiarios_Netflix[[#This Row],[Ingresos Mensuales]]*BBDD_Usiarios_Netflix[[#This Row],[Meses contratados]]</f>
        <v>108</v>
      </c>
      <c r="O1825" t="s">
        <v>29</v>
      </c>
      <c r="P1825" t="str">
        <f>IF(BBDD_Usiarios_Netflix[[#This Row],[País]]="","Desconocido",BBDD_Usiarios_Netflix[[#This Row],[País]])</f>
        <v>EEUU</v>
      </c>
      <c r="Q1825">
        <v>46</v>
      </c>
      <c r="R1825" t="s">
        <v>30</v>
      </c>
      <c r="S1825" t="s">
        <v>36</v>
      </c>
      <c r="T1825" t="s">
        <v>38</v>
      </c>
      <c r="U1825">
        <f>IF(IFERROR(VLOOKUP(BBDD_Usiarios_Netflix[[#This Row],[Identificador Usuario]],A1826:$A$5870,1,FALSE),0)&lt;&gt;0,1,0)</f>
        <v>0</v>
      </c>
      <c r="V1825" s="6" t="str">
        <f>IF(BBDD_Usiarios_Netflix[[#This Row],[Duración Plan]]="12 Meses",LEFT(BBDD_Usiarios_Netflix[[#This Row],[Duración Plan]],2),LEFT(BBDD_Usiarios_Netflix[[#This Row],[Duración Plan]],1))</f>
        <v>3</v>
      </c>
      <c r="W18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26" spans="1:23" x14ac:dyDescent="0.25">
      <c r="A1826">
        <v>1825</v>
      </c>
      <c r="B1826" t="s">
        <v>23</v>
      </c>
      <c r="C1826">
        <v>10</v>
      </c>
      <c r="D1826" s="3">
        <v>1</v>
      </c>
      <c r="E1826" s="3">
        <v>11</v>
      </c>
      <c r="F1826">
        <v>23</v>
      </c>
      <c r="G1826" s="1">
        <f>DATEVALUE(_xlfn.CONCAT(BBDD_Usiarios_Netflix[[#This Row],[Día Suscripción]],"/",BBDD_Usiarios_Netflix[[#This Row],[Mes Suscripción]],"/",BBDD_Usiarios_Netflix[[#This Row],[Año Suscripción]]))</f>
        <v>45231</v>
      </c>
      <c r="H1826" s="1">
        <v>8</v>
      </c>
      <c r="I1826" s="1">
        <v>7</v>
      </c>
      <c r="J1826" s="1">
        <v>24</v>
      </c>
      <c r="K1826" s="1" t="str">
        <f>TEXT(BBDD_Usiarios_Netflix[[#This Row],[Fecha Suscripción]],"dddd")</f>
        <v>miércoles</v>
      </c>
      <c r="L1826" s="1">
        <f>DATEVALUE(_xlfn.CONCAT(BBDD_Usiarios_Netflix[[#This Row],[Día Último Pago]],"/",BBDD_Usiarios_Netflix[[#This Row],[Mes Último Pago]],"/",BBDD_Usiarios_Netflix[[#This Row],[Año Último Pago]]))</f>
        <v>45481</v>
      </c>
      <c r="M1826" s="4">
        <f>DATEDIF(BBDD_Usiarios_Netflix[[#This Row],[Fecha Suscripción]],BBDD_Usiarios_Netflix[[#This Row],[Fecha Último Pago]],"M")+1</f>
        <v>9</v>
      </c>
      <c r="N1826" s="4">
        <f>BBDD_Usiarios_Netflix[[#This Row],[Ingresos Mensuales]]*BBDD_Usiarios_Netflix[[#This Row],[Meses contratados]]</f>
        <v>90</v>
      </c>
      <c r="O1826" t="s">
        <v>42</v>
      </c>
      <c r="P1826" t="str">
        <f>IF(BBDD_Usiarios_Netflix[[#This Row],[País]]="","Desconocido",BBDD_Usiarios_Netflix[[#This Row],[País]])</f>
        <v>Reino Unido</v>
      </c>
      <c r="Q1826">
        <v>45</v>
      </c>
      <c r="R1826" t="s">
        <v>25</v>
      </c>
      <c r="S1826" t="s">
        <v>34</v>
      </c>
      <c r="T1826" t="s">
        <v>27</v>
      </c>
      <c r="U1826">
        <f>IF(IFERROR(VLOOKUP(BBDD_Usiarios_Netflix[[#This Row],[Identificador Usuario]],A1827:$A$5870,1,FALSE),0)&lt;&gt;0,1,0)</f>
        <v>0</v>
      </c>
      <c r="V1826" s="6" t="str">
        <f>IF(BBDD_Usiarios_Netflix[[#This Row],[Duración Plan]]="12 Meses",LEFT(BBDD_Usiarios_Netflix[[#This Row],[Duración Plan]],2),LEFT(BBDD_Usiarios_Netflix[[#This Row],[Duración Plan]],1))</f>
        <v>1</v>
      </c>
      <c r="W18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27" spans="1:23" x14ac:dyDescent="0.25">
      <c r="A1827">
        <v>1826</v>
      </c>
      <c r="B1827" t="s">
        <v>28</v>
      </c>
      <c r="C1827">
        <v>14</v>
      </c>
      <c r="D1827" s="3">
        <v>3</v>
      </c>
      <c r="E1827" s="3">
        <v>11</v>
      </c>
      <c r="F1827">
        <v>23</v>
      </c>
      <c r="G1827" s="1">
        <f>DATEVALUE(_xlfn.CONCAT(BBDD_Usiarios_Netflix[[#This Row],[Día Suscripción]],"/",BBDD_Usiarios_Netflix[[#This Row],[Mes Suscripción]],"/",BBDD_Usiarios_Netflix[[#This Row],[Año Suscripción]]))</f>
        <v>45233</v>
      </c>
      <c r="H1827" s="1">
        <v>8</v>
      </c>
      <c r="I1827" s="1">
        <v>7</v>
      </c>
      <c r="J1827" s="1">
        <v>24</v>
      </c>
      <c r="K1827" s="1" t="str">
        <f>TEXT(BBDD_Usiarios_Netflix[[#This Row],[Fecha Suscripción]],"dddd")</f>
        <v>viernes</v>
      </c>
      <c r="L1827" s="1">
        <f>DATEVALUE(_xlfn.CONCAT(BBDD_Usiarios_Netflix[[#This Row],[Día Último Pago]],"/",BBDD_Usiarios_Netflix[[#This Row],[Mes Último Pago]],"/",BBDD_Usiarios_Netflix[[#This Row],[Año Último Pago]]))</f>
        <v>45481</v>
      </c>
      <c r="M1827" s="4">
        <f>DATEDIF(BBDD_Usiarios_Netflix[[#This Row],[Fecha Suscripción]],BBDD_Usiarios_Netflix[[#This Row],[Fecha Último Pago]],"M")+1</f>
        <v>9</v>
      </c>
      <c r="N1827" s="4">
        <f>BBDD_Usiarios_Netflix[[#This Row],[Ingresos Mensuales]]*BBDD_Usiarios_Netflix[[#This Row],[Meses contratados]]</f>
        <v>126</v>
      </c>
      <c r="O1827" t="s">
        <v>39</v>
      </c>
      <c r="P1827" t="str">
        <f>IF(BBDD_Usiarios_Netflix[[#This Row],[País]]="","Desconocido",BBDD_Usiarios_Netflix[[#This Row],[País]])</f>
        <v>Canadá</v>
      </c>
      <c r="Q1827">
        <v>30</v>
      </c>
      <c r="R1827" t="s">
        <v>25</v>
      </c>
      <c r="S1827" t="s">
        <v>31</v>
      </c>
      <c r="T1827" t="s">
        <v>27</v>
      </c>
      <c r="U1827">
        <f>IF(IFERROR(VLOOKUP(BBDD_Usiarios_Netflix[[#This Row],[Identificador Usuario]],A1828:$A$5870,1,FALSE),0)&lt;&gt;0,1,0)</f>
        <v>0</v>
      </c>
      <c r="V1827" s="6" t="str">
        <f>IF(BBDD_Usiarios_Netflix[[#This Row],[Duración Plan]]="12 Meses",LEFT(BBDD_Usiarios_Netflix[[#This Row],[Duración Plan]],2),LEFT(BBDD_Usiarios_Netflix[[#This Row],[Duración Plan]],1))</f>
        <v>1</v>
      </c>
      <c r="W18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28" spans="1:23" x14ac:dyDescent="0.25">
      <c r="A1828">
        <v>1827</v>
      </c>
      <c r="B1828" t="s">
        <v>23</v>
      </c>
      <c r="C1828">
        <v>10</v>
      </c>
      <c r="D1828" s="3">
        <v>4</v>
      </c>
      <c r="E1828" s="3">
        <v>11</v>
      </c>
      <c r="F1828">
        <v>23</v>
      </c>
      <c r="G1828" s="1">
        <f>DATEVALUE(_xlfn.CONCAT(BBDD_Usiarios_Netflix[[#This Row],[Día Suscripción]],"/",BBDD_Usiarios_Netflix[[#This Row],[Mes Suscripción]],"/",BBDD_Usiarios_Netflix[[#This Row],[Año Suscripción]]))</f>
        <v>45234</v>
      </c>
      <c r="H1828" s="1">
        <v>6</v>
      </c>
      <c r="I1828" s="1">
        <v>7</v>
      </c>
      <c r="J1828" s="1">
        <v>24</v>
      </c>
      <c r="K1828" s="1" t="str">
        <f>TEXT(BBDD_Usiarios_Netflix[[#This Row],[Fecha Suscripción]],"dddd")</f>
        <v>sábado</v>
      </c>
      <c r="L1828" s="1">
        <f>DATEVALUE(_xlfn.CONCAT(BBDD_Usiarios_Netflix[[#This Row],[Día Último Pago]],"/",BBDD_Usiarios_Netflix[[#This Row],[Mes Último Pago]],"/",BBDD_Usiarios_Netflix[[#This Row],[Año Último Pago]]))</f>
        <v>45479</v>
      </c>
      <c r="M1828" s="4">
        <f>DATEDIF(BBDD_Usiarios_Netflix[[#This Row],[Fecha Suscripción]],BBDD_Usiarios_Netflix[[#This Row],[Fecha Último Pago]],"M")+1</f>
        <v>9</v>
      </c>
      <c r="N1828" s="4">
        <f>BBDD_Usiarios_Netflix[[#This Row],[Ingresos Mensuales]]*BBDD_Usiarios_Netflix[[#This Row],[Meses contratados]]</f>
        <v>90</v>
      </c>
      <c r="O1828" t="s">
        <v>39</v>
      </c>
      <c r="P1828" t="str">
        <f>IF(BBDD_Usiarios_Netflix[[#This Row],[País]]="","Desconocido",BBDD_Usiarios_Netflix[[#This Row],[País]])</f>
        <v>Canadá</v>
      </c>
      <c r="Q1828">
        <v>44</v>
      </c>
      <c r="R1828" t="s">
        <v>30</v>
      </c>
      <c r="S1828" t="s">
        <v>36</v>
      </c>
      <c r="T1828" t="s">
        <v>41</v>
      </c>
      <c r="U1828">
        <f>IF(IFERROR(VLOOKUP(BBDD_Usiarios_Netflix[[#This Row],[Identificador Usuario]],A1829:$A$5870,1,FALSE),0)&lt;&gt;0,1,0)</f>
        <v>0</v>
      </c>
      <c r="V1828" s="6" t="str">
        <f>IF(BBDD_Usiarios_Netflix[[#This Row],[Duración Plan]]="12 Meses",LEFT(BBDD_Usiarios_Netflix[[#This Row],[Duración Plan]],2),LEFT(BBDD_Usiarios_Netflix[[#This Row],[Duración Plan]],1))</f>
        <v>12</v>
      </c>
      <c r="W18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29" spans="1:23" x14ac:dyDescent="0.25">
      <c r="A1829">
        <v>1828</v>
      </c>
      <c r="B1829" t="s">
        <v>32</v>
      </c>
      <c r="C1829">
        <v>12</v>
      </c>
      <c r="D1829" s="3">
        <v>5</v>
      </c>
      <c r="E1829" s="3">
        <v>11</v>
      </c>
      <c r="F1829">
        <v>23</v>
      </c>
      <c r="G1829" s="1">
        <f>DATEVALUE(_xlfn.CONCAT(BBDD_Usiarios_Netflix[[#This Row],[Día Suscripción]],"/",BBDD_Usiarios_Netflix[[#This Row],[Mes Suscripción]],"/",BBDD_Usiarios_Netflix[[#This Row],[Año Suscripción]]))</f>
        <v>45235</v>
      </c>
      <c r="H1829" s="1">
        <v>7</v>
      </c>
      <c r="I1829" s="1">
        <v>7</v>
      </c>
      <c r="J1829" s="1">
        <v>24</v>
      </c>
      <c r="K1829" s="1" t="str">
        <f>TEXT(BBDD_Usiarios_Netflix[[#This Row],[Fecha Suscripción]],"dddd")</f>
        <v>domingo</v>
      </c>
      <c r="L1829" s="1">
        <f>DATEVALUE(_xlfn.CONCAT(BBDD_Usiarios_Netflix[[#This Row],[Día Último Pago]],"/",BBDD_Usiarios_Netflix[[#This Row],[Mes Último Pago]],"/",BBDD_Usiarios_Netflix[[#This Row],[Año Último Pago]]))</f>
        <v>45480</v>
      </c>
      <c r="M1829" s="4">
        <f>DATEDIF(BBDD_Usiarios_Netflix[[#This Row],[Fecha Suscripción]],BBDD_Usiarios_Netflix[[#This Row],[Fecha Último Pago]],"M")+1</f>
        <v>9</v>
      </c>
      <c r="N1829" s="4">
        <f>BBDD_Usiarios_Netflix[[#This Row],[Ingresos Mensuales]]*BBDD_Usiarios_Netflix[[#This Row],[Meses contratados]]</f>
        <v>108</v>
      </c>
      <c r="O1829" t="s">
        <v>24</v>
      </c>
      <c r="P1829" t="str">
        <f>IF(BBDD_Usiarios_Netflix[[#This Row],[País]]="","Desconocido",BBDD_Usiarios_Netflix[[#This Row],[País]])</f>
        <v>Australia</v>
      </c>
      <c r="Q1829">
        <v>46</v>
      </c>
      <c r="R1829" t="s">
        <v>25</v>
      </c>
      <c r="S1829" t="s">
        <v>36</v>
      </c>
      <c r="T1829" t="s">
        <v>38</v>
      </c>
      <c r="U1829">
        <f>IF(IFERROR(VLOOKUP(BBDD_Usiarios_Netflix[[#This Row],[Identificador Usuario]],A1830:$A$5870,1,FALSE),0)&lt;&gt;0,1,0)</f>
        <v>0</v>
      </c>
      <c r="V1829" s="6" t="str">
        <f>IF(BBDD_Usiarios_Netflix[[#This Row],[Duración Plan]]="12 Meses",LEFT(BBDD_Usiarios_Netflix[[#This Row],[Duración Plan]],2),LEFT(BBDD_Usiarios_Netflix[[#This Row],[Duración Plan]],1))</f>
        <v>3</v>
      </c>
      <c r="W18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30" spans="1:23" x14ac:dyDescent="0.25">
      <c r="A1830">
        <v>1829</v>
      </c>
      <c r="B1830" t="s">
        <v>28</v>
      </c>
      <c r="C1830">
        <v>14</v>
      </c>
      <c r="D1830" s="3">
        <v>6</v>
      </c>
      <c r="E1830" s="3">
        <v>11</v>
      </c>
      <c r="F1830">
        <v>23</v>
      </c>
      <c r="G1830" s="1">
        <f>DATEVALUE(_xlfn.CONCAT(BBDD_Usiarios_Netflix[[#This Row],[Día Suscripción]],"/",BBDD_Usiarios_Netflix[[#This Row],[Mes Suscripción]],"/",BBDD_Usiarios_Netflix[[#This Row],[Año Suscripción]]))</f>
        <v>45236</v>
      </c>
      <c r="H1830" s="1">
        <v>8</v>
      </c>
      <c r="I1830" s="1">
        <v>7</v>
      </c>
      <c r="J1830" s="1">
        <v>24</v>
      </c>
      <c r="K1830" s="1" t="str">
        <f>TEXT(BBDD_Usiarios_Netflix[[#This Row],[Fecha Suscripción]],"dddd")</f>
        <v>lunes</v>
      </c>
      <c r="L1830" s="1">
        <f>DATEVALUE(_xlfn.CONCAT(BBDD_Usiarios_Netflix[[#This Row],[Día Último Pago]],"/",BBDD_Usiarios_Netflix[[#This Row],[Mes Último Pago]],"/",BBDD_Usiarios_Netflix[[#This Row],[Año Último Pago]]))</f>
        <v>45481</v>
      </c>
      <c r="M1830" s="4">
        <f>DATEDIF(BBDD_Usiarios_Netflix[[#This Row],[Fecha Suscripción]],BBDD_Usiarios_Netflix[[#This Row],[Fecha Último Pago]],"M")+1</f>
        <v>9</v>
      </c>
      <c r="N1830" s="4">
        <f>BBDD_Usiarios_Netflix[[#This Row],[Ingresos Mensuales]]*BBDD_Usiarios_Netflix[[#This Row],[Meses contratados]]</f>
        <v>126</v>
      </c>
      <c r="O1830" t="s">
        <v>43</v>
      </c>
      <c r="P1830" t="str">
        <f>IF(BBDD_Usiarios_Netflix[[#This Row],[País]]="","Desconocido",BBDD_Usiarios_Netflix[[#This Row],[País]])</f>
        <v>Alemania</v>
      </c>
      <c r="Q1830">
        <v>36</v>
      </c>
      <c r="R1830" t="s">
        <v>30</v>
      </c>
      <c r="S1830" t="s">
        <v>31</v>
      </c>
      <c r="T1830" t="s">
        <v>41</v>
      </c>
      <c r="U1830">
        <f>IF(IFERROR(VLOOKUP(BBDD_Usiarios_Netflix[[#This Row],[Identificador Usuario]],A1831:$A$5870,1,FALSE),0)&lt;&gt;0,1,0)</f>
        <v>0</v>
      </c>
      <c r="V1830" s="6" t="str">
        <f>IF(BBDD_Usiarios_Netflix[[#This Row],[Duración Plan]]="12 Meses",LEFT(BBDD_Usiarios_Netflix[[#This Row],[Duración Plan]],2),LEFT(BBDD_Usiarios_Netflix[[#This Row],[Duración Plan]],1))</f>
        <v>12</v>
      </c>
      <c r="W18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31" spans="1:23" x14ac:dyDescent="0.25">
      <c r="A1831">
        <v>1830</v>
      </c>
      <c r="B1831" t="s">
        <v>23</v>
      </c>
      <c r="C1831">
        <v>10</v>
      </c>
      <c r="D1831" s="3">
        <v>7</v>
      </c>
      <c r="E1831" s="3">
        <v>11</v>
      </c>
      <c r="F1831">
        <v>23</v>
      </c>
      <c r="G1831" s="1">
        <f>DATEVALUE(_xlfn.CONCAT(BBDD_Usiarios_Netflix[[#This Row],[Día Suscripción]],"/",BBDD_Usiarios_Netflix[[#This Row],[Mes Suscripción]],"/",BBDD_Usiarios_Netflix[[#This Row],[Año Suscripción]]))</f>
        <v>45237</v>
      </c>
      <c r="H1831" s="1">
        <v>8</v>
      </c>
      <c r="I1831" s="1">
        <v>7</v>
      </c>
      <c r="J1831" s="1">
        <v>24</v>
      </c>
      <c r="K1831" s="1" t="str">
        <f>TEXT(BBDD_Usiarios_Netflix[[#This Row],[Fecha Suscripción]],"dddd")</f>
        <v>martes</v>
      </c>
      <c r="L1831" s="1">
        <f>DATEVALUE(_xlfn.CONCAT(BBDD_Usiarios_Netflix[[#This Row],[Día Último Pago]],"/",BBDD_Usiarios_Netflix[[#This Row],[Mes Último Pago]],"/",BBDD_Usiarios_Netflix[[#This Row],[Año Último Pago]]))</f>
        <v>45481</v>
      </c>
      <c r="M1831" s="4">
        <f>DATEDIF(BBDD_Usiarios_Netflix[[#This Row],[Fecha Suscripción]],BBDD_Usiarios_Netflix[[#This Row],[Fecha Último Pago]],"M")+1</f>
        <v>9</v>
      </c>
      <c r="N1831" s="4">
        <f>BBDD_Usiarios_Netflix[[#This Row],[Ingresos Mensuales]]*BBDD_Usiarios_Netflix[[#This Row],[Meses contratados]]</f>
        <v>90</v>
      </c>
      <c r="O1831" t="s">
        <v>39</v>
      </c>
      <c r="P1831" t="str">
        <f>IF(BBDD_Usiarios_Netflix[[#This Row],[País]]="","Desconocido",BBDD_Usiarios_Netflix[[#This Row],[País]])</f>
        <v>Canadá</v>
      </c>
      <c r="Q1831">
        <v>27</v>
      </c>
      <c r="R1831" t="s">
        <v>30</v>
      </c>
      <c r="S1831" t="s">
        <v>26</v>
      </c>
      <c r="T1831" t="s">
        <v>27</v>
      </c>
      <c r="U1831">
        <f>IF(IFERROR(VLOOKUP(BBDD_Usiarios_Netflix[[#This Row],[Identificador Usuario]],A1832:$A$5870,1,FALSE),0)&lt;&gt;0,1,0)</f>
        <v>0</v>
      </c>
      <c r="V1831" s="6" t="str">
        <f>IF(BBDD_Usiarios_Netflix[[#This Row],[Duración Plan]]="12 Meses",LEFT(BBDD_Usiarios_Netflix[[#This Row],[Duración Plan]],2),LEFT(BBDD_Usiarios_Netflix[[#This Row],[Duración Plan]],1))</f>
        <v>1</v>
      </c>
      <c r="W18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32" spans="1:23" x14ac:dyDescent="0.25">
      <c r="A1832">
        <v>1831</v>
      </c>
      <c r="B1832" t="s">
        <v>28</v>
      </c>
      <c r="C1832">
        <v>14</v>
      </c>
      <c r="D1832" s="3">
        <v>5</v>
      </c>
      <c r="E1832" s="3">
        <v>11</v>
      </c>
      <c r="F1832">
        <v>23</v>
      </c>
      <c r="G1832" s="1">
        <f>DATEVALUE(_xlfn.CONCAT(BBDD_Usiarios_Netflix[[#This Row],[Día Suscripción]],"/",BBDD_Usiarios_Netflix[[#This Row],[Mes Suscripción]],"/",BBDD_Usiarios_Netflix[[#This Row],[Año Suscripción]]))</f>
        <v>45235</v>
      </c>
      <c r="H1832" s="1">
        <v>5</v>
      </c>
      <c r="I1832" s="1">
        <v>7</v>
      </c>
      <c r="J1832" s="1">
        <v>24</v>
      </c>
      <c r="K1832" s="1" t="str">
        <f>TEXT(BBDD_Usiarios_Netflix[[#This Row],[Fecha Suscripción]],"dddd")</f>
        <v>domingo</v>
      </c>
      <c r="L1832" s="1">
        <f>DATEVALUE(_xlfn.CONCAT(BBDD_Usiarios_Netflix[[#This Row],[Día Último Pago]],"/",BBDD_Usiarios_Netflix[[#This Row],[Mes Último Pago]],"/",BBDD_Usiarios_Netflix[[#This Row],[Año Último Pago]]))</f>
        <v>45478</v>
      </c>
      <c r="M1832" s="4">
        <f>DATEDIF(BBDD_Usiarios_Netflix[[#This Row],[Fecha Suscripción]],BBDD_Usiarios_Netflix[[#This Row],[Fecha Último Pago]],"M")+1</f>
        <v>9</v>
      </c>
      <c r="N1832" s="4">
        <f>BBDD_Usiarios_Netflix[[#This Row],[Ingresos Mensuales]]*BBDD_Usiarios_Netflix[[#This Row],[Meses contratados]]</f>
        <v>126</v>
      </c>
      <c r="O1832" t="s">
        <v>33</v>
      </c>
      <c r="P1832" t="str">
        <f>IF(BBDD_Usiarios_Netflix[[#This Row],[País]]="","Desconocido",BBDD_Usiarios_Netflix[[#This Row],[País]])</f>
        <v>Francia</v>
      </c>
      <c r="Q1832">
        <v>43</v>
      </c>
      <c r="R1832" t="s">
        <v>25</v>
      </c>
      <c r="S1832" t="s">
        <v>36</v>
      </c>
      <c r="T1832" t="s">
        <v>27</v>
      </c>
      <c r="U1832">
        <f>IF(IFERROR(VLOOKUP(BBDD_Usiarios_Netflix[[#This Row],[Identificador Usuario]],A1833:$A$5870,1,FALSE),0)&lt;&gt;0,1,0)</f>
        <v>0</v>
      </c>
      <c r="V1832" s="6" t="str">
        <f>IF(BBDD_Usiarios_Netflix[[#This Row],[Duración Plan]]="12 Meses",LEFT(BBDD_Usiarios_Netflix[[#This Row],[Duración Plan]],2),LEFT(BBDD_Usiarios_Netflix[[#This Row],[Duración Plan]],1))</f>
        <v>1</v>
      </c>
      <c r="W18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33" spans="1:23" x14ac:dyDescent="0.25">
      <c r="A1833">
        <v>1832</v>
      </c>
      <c r="B1833" t="s">
        <v>23</v>
      </c>
      <c r="C1833">
        <v>10</v>
      </c>
      <c r="D1833" s="3">
        <v>5</v>
      </c>
      <c r="E1833" s="3">
        <v>11</v>
      </c>
      <c r="F1833">
        <v>23</v>
      </c>
      <c r="G1833" s="1">
        <f>DATEVALUE(_xlfn.CONCAT(BBDD_Usiarios_Netflix[[#This Row],[Día Suscripción]],"/",BBDD_Usiarios_Netflix[[#This Row],[Mes Suscripción]],"/",BBDD_Usiarios_Netflix[[#This Row],[Año Suscripción]]))</f>
        <v>45235</v>
      </c>
      <c r="H1833" s="1">
        <v>9</v>
      </c>
      <c r="I1833" s="1">
        <v>7</v>
      </c>
      <c r="J1833" s="1">
        <v>24</v>
      </c>
      <c r="K1833" s="1" t="str">
        <f>TEXT(BBDD_Usiarios_Netflix[[#This Row],[Fecha Suscripción]],"dddd")</f>
        <v>domingo</v>
      </c>
      <c r="L1833" s="1">
        <f>DATEVALUE(_xlfn.CONCAT(BBDD_Usiarios_Netflix[[#This Row],[Día Último Pago]],"/",BBDD_Usiarios_Netflix[[#This Row],[Mes Último Pago]],"/",BBDD_Usiarios_Netflix[[#This Row],[Año Último Pago]]))</f>
        <v>45482</v>
      </c>
      <c r="M1833" s="4">
        <f>DATEDIF(BBDD_Usiarios_Netflix[[#This Row],[Fecha Suscripción]],BBDD_Usiarios_Netflix[[#This Row],[Fecha Último Pago]],"M")+1</f>
        <v>9</v>
      </c>
      <c r="N1833" s="4">
        <f>BBDD_Usiarios_Netflix[[#This Row],[Ingresos Mensuales]]*BBDD_Usiarios_Netflix[[#This Row],[Meses contratados]]</f>
        <v>90</v>
      </c>
      <c r="O1833" t="s">
        <v>24</v>
      </c>
      <c r="P1833" t="str">
        <f>IF(BBDD_Usiarios_Netflix[[#This Row],[País]]="","Desconocido",BBDD_Usiarios_Netflix[[#This Row],[País]])</f>
        <v>Australia</v>
      </c>
      <c r="Q1833">
        <v>48</v>
      </c>
      <c r="R1833" t="s">
        <v>30</v>
      </c>
      <c r="S1833" t="s">
        <v>26</v>
      </c>
      <c r="T1833" t="s">
        <v>41</v>
      </c>
      <c r="U1833">
        <f>IF(IFERROR(VLOOKUP(BBDD_Usiarios_Netflix[[#This Row],[Identificador Usuario]],A1834:$A$5870,1,FALSE),0)&lt;&gt;0,1,0)</f>
        <v>0</v>
      </c>
      <c r="V1833" s="6" t="str">
        <f>IF(BBDD_Usiarios_Netflix[[#This Row],[Duración Plan]]="12 Meses",LEFT(BBDD_Usiarios_Netflix[[#This Row],[Duración Plan]],2),LEFT(BBDD_Usiarios_Netflix[[#This Row],[Duración Plan]],1))</f>
        <v>12</v>
      </c>
      <c r="W18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34" spans="1:23" x14ac:dyDescent="0.25">
      <c r="A1834">
        <v>1833</v>
      </c>
      <c r="B1834" t="s">
        <v>32</v>
      </c>
      <c r="C1834">
        <v>12</v>
      </c>
      <c r="D1834" s="3">
        <v>6</v>
      </c>
      <c r="E1834" s="3">
        <v>11</v>
      </c>
      <c r="F1834">
        <v>23</v>
      </c>
      <c r="G1834" s="1">
        <f>DATEVALUE(_xlfn.CONCAT(BBDD_Usiarios_Netflix[[#This Row],[Día Suscripción]],"/",BBDD_Usiarios_Netflix[[#This Row],[Mes Suscripción]],"/",BBDD_Usiarios_Netflix[[#This Row],[Año Suscripción]]))</f>
        <v>45236</v>
      </c>
      <c r="H1834" s="1">
        <v>8</v>
      </c>
      <c r="I1834" s="1">
        <v>7</v>
      </c>
      <c r="J1834" s="1">
        <v>24</v>
      </c>
      <c r="K1834" s="1" t="str">
        <f>TEXT(BBDD_Usiarios_Netflix[[#This Row],[Fecha Suscripción]],"dddd")</f>
        <v>lunes</v>
      </c>
      <c r="L1834" s="1">
        <f>DATEVALUE(_xlfn.CONCAT(BBDD_Usiarios_Netflix[[#This Row],[Día Último Pago]],"/",BBDD_Usiarios_Netflix[[#This Row],[Mes Último Pago]],"/",BBDD_Usiarios_Netflix[[#This Row],[Año Último Pago]]))</f>
        <v>45481</v>
      </c>
      <c r="M1834" s="4">
        <f>DATEDIF(BBDD_Usiarios_Netflix[[#This Row],[Fecha Suscripción]],BBDD_Usiarios_Netflix[[#This Row],[Fecha Último Pago]],"M")+1</f>
        <v>9</v>
      </c>
      <c r="N1834" s="4">
        <f>BBDD_Usiarios_Netflix[[#This Row],[Ingresos Mensuales]]*BBDD_Usiarios_Netflix[[#This Row],[Meses contratados]]</f>
        <v>108</v>
      </c>
      <c r="O1834" t="s">
        <v>37</v>
      </c>
      <c r="P1834" t="str">
        <f>IF(BBDD_Usiarios_Netflix[[#This Row],[País]]="","Desconocido",BBDD_Usiarios_Netflix[[#This Row],[País]])</f>
        <v>Brasil</v>
      </c>
      <c r="Q1834">
        <v>36</v>
      </c>
      <c r="R1834" t="s">
        <v>30</v>
      </c>
      <c r="S1834" t="s">
        <v>26</v>
      </c>
      <c r="T1834" t="s">
        <v>27</v>
      </c>
      <c r="U1834">
        <f>IF(IFERROR(VLOOKUP(BBDD_Usiarios_Netflix[[#This Row],[Identificador Usuario]],A1835:$A$5870,1,FALSE),0)&lt;&gt;0,1,0)</f>
        <v>0</v>
      </c>
      <c r="V1834" s="6" t="str">
        <f>IF(BBDD_Usiarios_Netflix[[#This Row],[Duración Plan]]="12 Meses",LEFT(BBDD_Usiarios_Netflix[[#This Row],[Duración Plan]],2),LEFT(BBDD_Usiarios_Netflix[[#This Row],[Duración Plan]],1))</f>
        <v>1</v>
      </c>
      <c r="W18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35" spans="1:23" x14ac:dyDescent="0.25">
      <c r="A1835">
        <v>1834</v>
      </c>
      <c r="B1835" t="s">
        <v>32</v>
      </c>
      <c r="C1835">
        <v>12</v>
      </c>
      <c r="D1835" s="3">
        <v>3</v>
      </c>
      <c r="E1835" s="3">
        <v>11</v>
      </c>
      <c r="F1835">
        <v>23</v>
      </c>
      <c r="G1835" s="1">
        <f>DATEVALUE(_xlfn.CONCAT(BBDD_Usiarios_Netflix[[#This Row],[Día Suscripción]],"/",BBDD_Usiarios_Netflix[[#This Row],[Mes Suscripción]],"/",BBDD_Usiarios_Netflix[[#This Row],[Año Suscripción]]))</f>
        <v>45233</v>
      </c>
      <c r="H1835" s="1">
        <v>7</v>
      </c>
      <c r="I1835" s="1">
        <v>7</v>
      </c>
      <c r="J1835" s="1">
        <v>24</v>
      </c>
      <c r="K1835" s="1" t="str">
        <f>TEXT(BBDD_Usiarios_Netflix[[#This Row],[Fecha Suscripción]],"dddd")</f>
        <v>viernes</v>
      </c>
      <c r="L1835" s="1">
        <f>DATEVALUE(_xlfn.CONCAT(BBDD_Usiarios_Netflix[[#This Row],[Día Último Pago]],"/",BBDD_Usiarios_Netflix[[#This Row],[Mes Último Pago]],"/",BBDD_Usiarios_Netflix[[#This Row],[Año Último Pago]]))</f>
        <v>45480</v>
      </c>
      <c r="M1835" s="4">
        <f>DATEDIF(BBDD_Usiarios_Netflix[[#This Row],[Fecha Suscripción]],BBDD_Usiarios_Netflix[[#This Row],[Fecha Último Pago]],"M")+1</f>
        <v>9</v>
      </c>
      <c r="N1835" s="4">
        <f>BBDD_Usiarios_Netflix[[#This Row],[Ingresos Mensuales]]*BBDD_Usiarios_Netflix[[#This Row],[Meses contratados]]</f>
        <v>108</v>
      </c>
      <c r="O1835" t="s">
        <v>42</v>
      </c>
      <c r="P1835" t="str">
        <f>IF(BBDD_Usiarios_Netflix[[#This Row],[País]]="","Desconocido",BBDD_Usiarios_Netflix[[#This Row],[País]])</f>
        <v>Reino Unido</v>
      </c>
      <c r="Q1835">
        <v>44</v>
      </c>
      <c r="R1835" t="s">
        <v>25</v>
      </c>
      <c r="S1835" t="s">
        <v>34</v>
      </c>
      <c r="T1835" t="s">
        <v>27</v>
      </c>
      <c r="U1835">
        <f>IF(IFERROR(VLOOKUP(BBDD_Usiarios_Netflix[[#This Row],[Identificador Usuario]],A1836:$A$5870,1,FALSE),0)&lt;&gt;0,1,0)</f>
        <v>0</v>
      </c>
      <c r="V1835" s="6" t="str">
        <f>IF(BBDD_Usiarios_Netflix[[#This Row],[Duración Plan]]="12 Meses",LEFT(BBDD_Usiarios_Netflix[[#This Row],[Duración Plan]],2),LEFT(BBDD_Usiarios_Netflix[[#This Row],[Duración Plan]],1))</f>
        <v>1</v>
      </c>
      <c r="W18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36" spans="1:23" x14ac:dyDescent="0.25">
      <c r="A1836">
        <v>1835</v>
      </c>
      <c r="B1836" t="s">
        <v>23</v>
      </c>
      <c r="C1836">
        <v>10</v>
      </c>
      <c r="D1836" s="3">
        <v>22</v>
      </c>
      <c r="E1836" s="3">
        <v>10</v>
      </c>
      <c r="F1836">
        <v>23</v>
      </c>
      <c r="G1836" s="1">
        <f>DATEVALUE(_xlfn.CONCAT(BBDD_Usiarios_Netflix[[#This Row],[Día Suscripción]],"/",BBDD_Usiarios_Netflix[[#This Row],[Mes Suscripción]],"/",BBDD_Usiarios_Netflix[[#This Row],[Año Suscripción]]))</f>
        <v>45221</v>
      </c>
      <c r="H1836" s="1">
        <v>6</v>
      </c>
      <c r="I1836" s="1">
        <v>7</v>
      </c>
      <c r="J1836" s="1">
        <v>24</v>
      </c>
      <c r="K1836" s="1" t="str">
        <f>TEXT(BBDD_Usiarios_Netflix[[#This Row],[Fecha Suscripción]],"dddd")</f>
        <v>domingo</v>
      </c>
      <c r="L1836" s="1">
        <f>DATEVALUE(_xlfn.CONCAT(BBDD_Usiarios_Netflix[[#This Row],[Día Último Pago]],"/",BBDD_Usiarios_Netflix[[#This Row],[Mes Último Pago]],"/",BBDD_Usiarios_Netflix[[#This Row],[Año Último Pago]]))</f>
        <v>45479</v>
      </c>
      <c r="M1836" s="4">
        <f>DATEDIF(BBDD_Usiarios_Netflix[[#This Row],[Fecha Suscripción]],BBDD_Usiarios_Netflix[[#This Row],[Fecha Último Pago]],"M")+1</f>
        <v>9</v>
      </c>
      <c r="N1836" s="4">
        <f>BBDD_Usiarios_Netflix[[#This Row],[Ingresos Mensuales]]*BBDD_Usiarios_Netflix[[#This Row],[Meses contratados]]</f>
        <v>90</v>
      </c>
      <c r="O1836" t="s">
        <v>33</v>
      </c>
      <c r="P1836" t="str">
        <f>IF(BBDD_Usiarios_Netflix[[#This Row],[País]]="","Desconocido",BBDD_Usiarios_Netflix[[#This Row],[País]])</f>
        <v>Francia</v>
      </c>
      <c r="Q1836">
        <v>41</v>
      </c>
      <c r="R1836" t="s">
        <v>30</v>
      </c>
      <c r="S1836" t="s">
        <v>31</v>
      </c>
      <c r="T1836" t="s">
        <v>41</v>
      </c>
      <c r="U1836">
        <f>IF(IFERROR(VLOOKUP(BBDD_Usiarios_Netflix[[#This Row],[Identificador Usuario]],A1837:$A$5870,1,FALSE),0)&lt;&gt;0,1,0)</f>
        <v>0</v>
      </c>
      <c r="V1836" s="6" t="str">
        <f>IF(BBDD_Usiarios_Netflix[[#This Row],[Duración Plan]]="12 Meses",LEFT(BBDD_Usiarios_Netflix[[#This Row],[Duración Plan]],2),LEFT(BBDD_Usiarios_Netflix[[#This Row],[Duración Plan]],1))</f>
        <v>12</v>
      </c>
      <c r="W18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37" spans="1:23" x14ac:dyDescent="0.25">
      <c r="A1837">
        <v>1836</v>
      </c>
      <c r="B1837" t="s">
        <v>28</v>
      </c>
      <c r="C1837">
        <v>14</v>
      </c>
      <c r="D1837" s="3">
        <v>22</v>
      </c>
      <c r="E1837" s="3">
        <v>10</v>
      </c>
      <c r="F1837">
        <v>23</v>
      </c>
      <c r="G1837" s="1">
        <f>DATEVALUE(_xlfn.CONCAT(BBDD_Usiarios_Netflix[[#This Row],[Día Suscripción]],"/",BBDD_Usiarios_Netflix[[#This Row],[Mes Suscripción]],"/",BBDD_Usiarios_Netflix[[#This Row],[Año Suscripción]]))</f>
        <v>45221</v>
      </c>
      <c r="H1837" s="1">
        <v>9</v>
      </c>
      <c r="I1837" s="1">
        <v>7</v>
      </c>
      <c r="J1837" s="1">
        <v>24</v>
      </c>
      <c r="K1837" s="1" t="str">
        <f>TEXT(BBDD_Usiarios_Netflix[[#This Row],[Fecha Suscripción]],"dddd")</f>
        <v>domingo</v>
      </c>
      <c r="L1837" s="1">
        <f>DATEVALUE(_xlfn.CONCAT(BBDD_Usiarios_Netflix[[#This Row],[Día Último Pago]],"/",BBDD_Usiarios_Netflix[[#This Row],[Mes Último Pago]],"/",BBDD_Usiarios_Netflix[[#This Row],[Año Último Pago]]))</f>
        <v>45482</v>
      </c>
      <c r="M1837" s="4">
        <f>DATEDIF(BBDD_Usiarios_Netflix[[#This Row],[Fecha Suscripción]],BBDD_Usiarios_Netflix[[#This Row],[Fecha Último Pago]],"M")+1</f>
        <v>9</v>
      </c>
      <c r="N1837" s="4">
        <f>BBDD_Usiarios_Netflix[[#This Row],[Ingresos Mensuales]]*BBDD_Usiarios_Netflix[[#This Row],[Meses contratados]]</f>
        <v>126</v>
      </c>
      <c r="O1837" t="s">
        <v>24</v>
      </c>
      <c r="P1837" t="str">
        <f>IF(BBDD_Usiarios_Netflix[[#This Row],[País]]="","Desconocido",BBDD_Usiarios_Netflix[[#This Row],[País]])</f>
        <v>Australia</v>
      </c>
      <c r="Q1837">
        <v>29</v>
      </c>
      <c r="R1837" t="s">
        <v>30</v>
      </c>
      <c r="S1837" t="s">
        <v>34</v>
      </c>
      <c r="T1837" t="s">
        <v>35</v>
      </c>
      <c r="U1837">
        <f>IF(IFERROR(VLOOKUP(BBDD_Usiarios_Netflix[[#This Row],[Identificador Usuario]],A1838:$A$5870,1,FALSE),0)&lt;&gt;0,1,0)</f>
        <v>0</v>
      </c>
      <c r="V1837" s="6" t="str">
        <f>IF(BBDD_Usiarios_Netflix[[#This Row],[Duración Plan]]="12 Meses",LEFT(BBDD_Usiarios_Netflix[[#This Row],[Duración Plan]],2),LEFT(BBDD_Usiarios_Netflix[[#This Row],[Duración Plan]],1))</f>
        <v>6</v>
      </c>
      <c r="W18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38" spans="1:23" x14ac:dyDescent="0.25">
      <c r="A1838">
        <v>1837</v>
      </c>
      <c r="B1838" t="s">
        <v>23</v>
      </c>
      <c r="C1838">
        <v>10</v>
      </c>
      <c r="D1838" s="3">
        <v>15</v>
      </c>
      <c r="E1838" s="3">
        <v>10</v>
      </c>
      <c r="F1838">
        <v>23</v>
      </c>
      <c r="G1838" s="1">
        <f>DATEVALUE(_xlfn.CONCAT(BBDD_Usiarios_Netflix[[#This Row],[Día Suscripción]],"/",BBDD_Usiarios_Netflix[[#This Row],[Mes Suscripción]],"/",BBDD_Usiarios_Netflix[[#This Row],[Año Suscripción]]))</f>
        <v>45214</v>
      </c>
      <c r="H1838" s="1">
        <v>9</v>
      </c>
      <c r="I1838" s="1">
        <v>7</v>
      </c>
      <c r="J1838" s="1">
        <v>24</v>
      </c>
      <c r="K1838" s="1" t="str">
        <f>TEXT(BBDD_Usiarios_Netflix[[#This Row],[Fecha Suscripción]],"dddd")</f>
        <v>domingo</v>
      </c>
      <c r="L1838" s="1">
        <f>DATEVALUE(_xlfn.CONCAT(BBDD_Usiarios_Netflix[[#This Row],[Día Último Pago]],"/",BBDD_Usiarios_Netflix[[#This Row],[Mes Último Pago]],"/",BBDD_Usiarios_Netflix[[#This Row],[Año Último Pago]]))</f>
        <v>45482</v>
      </c>
      <c r="M1838" s="4">
        <f>DATEDIF(BBDD_Usiarios_Netflix[[#This Row],[Fecha Suscripción]],BBDD_Usiarios_Netflix[[#This Row],[Fecha Último Pago]],"M")+1</f>
        <v>9</v>
      </c>
      <c r="N1838" s="4">
        <f>BBDD_Usiarios_Netflix[[#This Row],[Ingresos Mensuales]]*BBDD_Usiarios_Netflix[[#This Row],[Meses contratados]]</f>
        <v>90</v>
      </c>
      <c r="O1838" t="s">
        <v>24</v>
      </c>
      <c r="P1838" t="str">
        <f>IF(BBDD_Usiarios_Netflix[[#This Row],[País]]="","Desconocido",BBDD_Usiarios_Netflix[[#This Row],[País]])</f>
        <v>Australia</v>
      </c>
      <c r="Q1838">
        <v>28</v>
      </c>
      <c r="R1838" t="s">
        <v>30</v>
      </c>
      <c r="S1838" t="s">
        <v>26</v>
      </c>
      <c r="T1838" t="s">
        <v>38</v>
      </c>
      <c r="U1838">
        <f>IF(IFERROR(VLOOKUP(BBDD_Usiarios_Netflix[[#This Row],[Identificador Usuario]],A1839:$A$5870,1,FALSE),0)&lt;&gt;0,1,0)</f>
        <v>0</v>
      </c>
      <c r="V1838" s="6" t="str">
        <f>IF(BBDD_Usiarios_Netflix[[#This Row],[Duración Plan]]="12 Meses",LEFT(BBDD_Usiarios_Netflix[[#This Row],[Duración Plan]],2),LEFT(BBDD_Usiarios_Netflix[[#This Row],[Duración Plan]],1))</f>
        <v>3</v>
      </c>
      <c r="W18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39" spans="1:23" x14ac:dyDescent="0.25">
      <c r="A1839">
        <v>1838</v>
      </c>
      <c r="B1839" t="s">
        <v>32</v>
      </c>
      <c r="C1839">
        <v>12</v>
      </c>
      <c r="D1839" s="3">
        <v>24</v>
      </c>
      <c r="E1839" s="3">
        <v>9</v>
      </c>
      <c r="F1839">
        <v>23</v>
      </c>
      <c r="G1839" s="1">
        <f>DATEVALUE(_xlfn.CONCAT(BBDD_Usiarios_Netflix[[#This Row],[Día Suscripción]],"/",BBDD_Usiarios_Netflix[[#This Row],[Mes Suscripción]],"/",BBDD_Usiarios_Netflix[[#This Row],[Año Suscripción]]))</f>
        <v>45193</v>
      </c>
      <c r="H1839" s="1">
        <v>7</v>
      </c>
      <c r="I1839" s="1">
        <v>7</v>
      </c>
      <c r="J1839" s="1">
        <v>24</v>
      </c>
      <c r="K1839" s="1" t="str">
        <f>TEXT(BBDD_Usiarios_Netflix[[#This Row],[Fecha Suscripción]],"dddd")</f>
        <v>domingo</v>
      </c>
      <c r="L1839" s="1">
        <f>DATEVALUE(_xlfn.CONCAT(BBDD_Usiarios_Netflix[[#This Row],[Día Último Pago]],"/",BBDD_Usiarios_Netflix[[#This Row],[Mes Último Pago]],"/",BBDD_Usiarios_Netflix[[#This Row],[Año Último Pago]]))</f>
        <v>45480</v>
      </c>
      <c r="M1839" s="4">
        <f>DATEDIF(BBDD_Usiarios_Netflix[[#This Row],[Fecha Suscripción]],BBDD_Usiarios_Netflix[[#This Row],[Fecha Último Pago]],"M")+1</f>
        <v>10</v>
      </c>
      <c r="N1839" s="4">
        <f>BBDD_Usiarios_Netflix[[#This Row],[Ingresos Mensuales]]*BBDD_Usiarios_Netflix[[#This Row],[Meses contratados]]</f>
        <v>120</v>
      </c>
      <c r="O1839" t="s">
        <v>40</v>
      </c>
      <c r="P1839" t="str">
        <f>IF(BBDD_Usiarios_Netflix[[#This Row],[País]]="","Desconocido",BBDD_Usiarios_Netflix[[#This Row],[País]])</f>
        <v>Italia</v>
      </c>
      <c r="Q1839">
        <v>36</v>
      </c>
      <c r="R1839" t="s">
        <v>30</v>
      </c>
      <c r="S1839" t="s">
        <v>26</v>
      </c>
      <c r="T1839" t="s">
        <v>41</v>
      </c>
      <c r="U1839">
        <f>IF(IFERROR(VLOOKUP(BBDD_Usiarios_Netflix[[#This Row],[Identificador Usuario]],A1840:$A$5870,1,FALSE),0)&lt;&gt;0,1,0)</f>
        <v>0</v>
      </c>
      <c r="V1839" s="6" t="str">
        <f>IF(BBDD_Usiarios_Netflix[[#This Row],[Duración Plan]]="12 Meses",LEFT(BBDD_Usiarios_Netflix[[#This Row],[Duración Plan]],2),LEFT(BBDD_Usiarios_Netflix[[#This Row],[Duración Plan]],1))</f>
        <v>12</v>
      </c>
      <c r="W18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40" spans="1:23" x14ac:dyDescent="0.25">
      <c r="A1840">
        <v>1839</v>
      </c>
      <c r="B1840" t="s">
        <v>28</v>
      </c>
      <c r="C1840">
        <v>14</v>
      </c>
      <c r="D1840" s="3">
        <v>15</v>
      </c>
      <c r="E1840" s="3">
        <v>9</v>
      </c>
      <c r="F1840">
        <v>23</v>
      </c>
      <c r="G1840" s="1">
        <f>DATEVALUE(_xlfn.CONCAT(BBDD_Usiarios_Netflix[[#This Row],[Día Suscripción]],"/",BBDD_Usiarios_Netflix[[#This Row],[Mes Suscripción]],"/",BBDD_Usiarios_Netflix[[#This Row],[Año Suscripción]]))</f>
        <v>45184</v>
      </c>
      <c r="H1840" s="1">
        <v>6</v>
      </c>
      <c r="I1840" s="1">
        <v>7</v>
      </c>
      <c r="J1840" s="1">
        <v>24</v>
      </c>
      <c r="K1840" s="1" t="str">
        <f>TEXT(BBDD_Usiarios_Netflix[[#This Row],[Fecha Suscripción]],"dddd")</f>
        <v>viernes</v>
      </c>
      <c r="L1840" s="1">
        <f>DATEVALUE(_xlfn.CONCAT(BBDD_Usiarios_Netflix[[#This Row],[Día Último Pago]],"/",BBDD_Usiarios_Netflix[[#This Row],[Mes Último Pago]],"/",BBDD_Usiarios_Netflix[[#This Row],[Año Último Pago]]))</f>
        <v>45479</v>
      </c>
      <c r="M1840" s="4">
        <f>DATEDIF(BBDD_Usiarios_Netflix[[#This Row],[Fecha Suscripción]],BBDD_Usiarios_Netflix[[#This Row],[Fecha Último Pago]],"M")+1</f>
        <v>10</v>
      </c>
      <c r="N1840" s="4">
        <f>BBDD_Usiarios_Netflix[[#This Row],[Ingresos Mensuales]]*BBDD_Usiarios_Netflix[[#This Row],[Meses contratados]]</f>
        <v>140</v>
      </c>
      <c r="O1840" t="s">
        <v>29</v>
      </c>
      <c r="P1840" t="str">
        <f>IF(BBDD_Usiarios_Netflix[[#This Row],[País]]="","Desconocido",BBDD_Usiarios_Netflix[[#This Row],[País]])</f>
        <v>EEUU</v>
      </c>
      <c r="Q1840">
        <v>36</v>
      </c>
      <c r="R1840" t="s">
        <v>30</v>
      </c>
      <c r="S1840" t="s">
        <v>34</v>
      </c>
      <c r="T1840" t="s">
        <v>41</v>
      </c>
      <c r="U1840">
        <f>IF(IFERROR(VLOOKUP(BBDD_Usiarios_Netflix[[#This Row],[Identificador Usuario]],A1841:$A$5870,1,FALSE),0)&lt;&gt;0,1,0)</f>
        <v>0</v>
      </c>
      <c r="V1840" s="6" t="str">
        <f>IF(BBDD_Usiarios_Netflix[[#This Row],[Duración Plan]]="12 Meses",LEFT(BBDD_Usiarios_Netflix[[#This Row],[Duración Plan]],2),LEFT(BBDD_Usiarios_Netflix[[#This Row],[Duración Plan]],1))</f>
        <v>12</v>
      </c>
      <c r="W18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41" spans="1:23" x14ac:dyDescent="0.25">
      <c r="A1841">
        <v>1840</v>
      </c>
      <c r="B1841" t="s">
        <v>23</v>
      </c>
      <c r="C1841">
        <v>10</v>
      </c>
      <c r="D1841" s="3">
        <v>15</v>
      </c>
      <c r="E1841" s="3">
        <v>9</v>
      </c>
      <c r="F1841">
        <v>23</v>
      </c>
      <c r="G1841" s="1">
        <f>DATEVALUE(_xlfn.CONCAT(BBDD_Usiarios_Netflix[[#This Row],[Día Suscripción]],"/",BBDD_Usiarios_Netflix[[#This Row],[Mes Suscripción]],"/",BBDD_Usiarios_Netflix[[#This Row],[Año Suscripción]]))</f>
        <v>45184</v>
      </c>
      <c r="H1841" s="1">
        <v>8</v>
      </c>
      <c r="I1841" s="1">
        <v>7</v>
      </c>
      <c r="J1841" s="1">
        <v>24</v>
      </c>
      <c r="K1841" s="1" t="str">
        <f>TEXT(BBDD_Usiarios_Netflix[[#This Row],[Fecha Suscripción]],"dddd")</f>
        <v>viernes</v>
      </c>
      <c r="L1841" s="1">
        <f>DATEVALUE(_xlfn.CONCAT(BBDD_Usiarios_Netflix[[#This Row],[Día Último Pago]],"/",BBDD_Usiarios_Netflix[[#This Row],[Mes Último Pago]],"/",BBDD_Usiarios_Netflix[[#This Row],[Año Último Pago]]))</f>
        <v>45481</v>
      </c>
      <c r="M1841" s="4">
        <f>DATEDIF(BBDD_Usiarios_Netflix[[#This Row],[Fecha Suscripción]],BBDD_Usiarios_Netflix[[#This Row],[Fecha Último Pago]],"M")+1</f>
        <v>10</v>
      </c>
      <c r="N1841" s="4">
        <f>BBDD_Usiarios_Netflix[[#This Row],[Ingresos Mensuales]]*BBDD_Usiarios_Netflix[[#This Row],[Meses contratados]]</f>
        <v>100</v>
      </c>
      <c r="O1841" t="s">
        <v>40</v>
      </c>
      <c r="P1841" t="str">
        <f>IF(BBDD_Usiarios_Netflix[[#This Row],[País]]="","Desconocido",BBDD_Usiarios_Netflix[[#This Row],[País]])</f>
        <v>Italia</v>
      </c>
      <c r="Q1841">
        <v>40</v>
      </c>
      <c r="R1841" t="s">
        <v>25</v>
      </c>
      <c r="S1841" t="s">
        <v>36</v>
      </c>
      <c r="T1841" t="s">
        <v>27</v>
      </c>
      <c r="U1841">
        <f>IF(IFERROR(VLOOKUP(BBDD_Usiarios_Netflix[[#This Row],[Identificador Usuario]],A1842:$A$5870,1,FALSE),0)&lt;&gt;0,1,0)</f>
        <v>0</v>
      </c>
      <c r="V1841" s="6" t="str">
        <f>IF(BBDD_Usiarios_Netflix[[#This Row],[Duración Plan]]="12 Meses",LEFT(BBDD_Usiarios_Netflix[[#This Row],[Duración Plan]],2),LEFT(BBDD_Usiarios_Netflix[[#This Row],[Duración Plan]],1))</f>
        <v>1</v>
      </c>
      <c r="W18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42" spans="1:23" x14ac:dyDescent="0.25">
      <c r="A1842">
        <v>1841</v>
      </c>
      <c r="B1842" t="s">
        <v>28</v>
      </c>
      <c r="C1842">
        <v>14</v>
      </c>
      <c r="D1842" s="3">
        <v>12</v>
      </c>
      <c r="E1842" s="3">
        <v>9</v>
      </c>
      <c r="F1842">
        <v>23</v>
      </c>
      <c r="G1842" s="1">
        <f>DATEVALUE(_xlfn.CONCAT(BBDD_Usiarios_Netflix[[#This Row],[Día Suscripción]],"/",BBDD_Usiarios_Netflix[[#This Row],[Mes Suscripción]],"/",BBDD_Usiarios_Netflix[[#This Row],[Año Suscripción]]))</f>
        <v>45181</v>
      </c>
      <c r="H1842" s="1">
        <v>8</v>
      </c>
      <c r="I1842" s="1">
        <v>7</v>
      </c>
      <c r="J1842" s="1">
        <v>24</v>
      </c>
      <c r="K1842" s="1" t="str">
        <f>TEXT(BBDD_Usiarios_Netflix[[#This Row],[Fecha Suscripción]],"dddd")</f>
        <v>martes</v>
      </c>
      <c r="L1842" s="1">
        <f>DATEVALUE(_xlfn.CONCAT(BBDD_Usiarios_Netflix[[#This Row],[Día Último Pago]],"/",BBDD_Usiarios_Netflix[[#This Row],[Mes Último Pago]],"/",BBDD_Usiarios_Netflix[[#This Row],[Año Último Pago]]))</f>
        <v>45481</v>
      </c>
      <c r="M1842" s="4">
        <f>DATEDIF(BBDD_Usiarios_Netflix[[#This Row],[Fecha Suscripción]],BBDD_Usiarios_Netflix[[#This Row],[Fecha Último Pago]],"M")+1</f>
        <v>10</v>
      </c>
      <c r="N1842" s="4">
        <f>BBDD_Usiarios_Netflix[[#This Row],[Ingresos Mensuales]]*BBDD_Usiarios_Netflix[[#This Row],[Meses contratados]]</f>
        <v>140</v>
      </c>
      <c r="O1842" t="s">
        <v>29</v>
      </c>
      <c r="P1842" t="str">
        <f>IF(BBDD_Usiarios_Netflix[[#This Row],[País]]="","Desconocido",BBDD_Usiarios_Netflix[[#This Row],[País]])</f>
        <v>EEUU</v>
      </c>
      <c r="Q1842">
        <v>35</v>
      </c>
      <c r="R1842" t="s">
        <v>30</v>
      </c>
      <c r="S1842" t="s">
        <v>31</v>
      </c>
      <c r="T1842" t="s">
        <v>41</v>
      </c>
      <c r="U1842">
        <f>IF(IFERROR(VLOOKUP(BBDD_Usiarios_Netflix[[#This Row],[Identificador Usuario]],A1843:$A$5870,1,FALSE),0)&lt;&gt;0,1,0)</f>
        <v>0</v>
      </c>
      <c r="V1842" s="6" t="str">
        <f>IF(BBDD_Usiarios_Netflix[[#This Row],[Duración Plan]]="12 Meses",LEFT(BBDD_Usiarios_Netflix[[#This Row],[Duración Plan]],2),LEFT(BBDD_Usiarios_Netflix[[#This Row],[Duración Plan]],1))</f>
        <v>12</v>
      </c>
      <c r="W18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43" spans="1:23" x14ac:dyDescent="0.25">
      <c r="A1843">
        <v>1842</v>
      </c>
      <c r="B1843" t="s">
        <v>23</v>
      </c>
      <c r="C1843">
        <v>10</v>
      </c>
      <c r="D1843" s="3">
        <v>12</v>
      </c>
      <c r="E1843" s="3">
        <v>9</v>
      </c>
      <c r="F1843">
        <v>23</v>
      </c>
      <c r="G1843" s="1">
        <f>DATEVALUE(_xlfn.CONCAT(BBDD_Usiarios_Netflix[[#This Row],[Día Suscripción]],"/",BBDD_Usiarios_Netflix[[#This Row],[Mes Suscripción]],"/",BBDD_Usiarios_Netflix[[#This Row],[Año Suscripción]]))</f>
        <v>45181</v>
      </c>
      <c r="H1843" s="1">
        <v>9</v>
      </c>
      <c r="I1843" s="1">
        <v>7</v>
      </c>
      <c r="J1843" s="1">
        <v>24</v>
      </c>
      <c r="K1843" s="1" t="str">
        <f>TEXT(BBDD_Usiarios_Netflix[[#This Row],[Fecha Suscripción]],"dddd")</f>
        <v>martes</v>
      </c>
      <c r="L1843" s="1">
        <f>DATEVALUE(_xlfn.CONCAT(BBDD_Usiarios_Netflix[[#This Row],[Día Último Pago]],"/",BBDD_Usiarios_Netflix[[#This Row],[Mes Último Pago]],"/",BBDD_Usiarios_Netflix[[#This Row],[Año Último Pago]]))</f>
        <v>45482</v>
      </c>
      <c r="M1843" s="4">
        <f>DATEDIF(BBDD_Usiarios_Netflix[[#This Row],[Fecha Suscripción]],BBDD_Usiarios_Netflix[[#This Row],[Fecha Último Pago]],"M")+1</f>
        <v>10</v>
      </c>
      <c r="N1843" s="4">
        <f>BBDD_Usiarios_Netflix[[#This Row],[Ingresos Mensuales]]*BBDD_Usiarios_Netflix[[#This Row],[Meses contratados]]</f>
        <v>100</v>
      </c>
      <c r="O1843" t="s">
        <v>29</v>
      </c>
      <c r="P1843" t="str">
        <f>IF(BBDD_Usiarios_Netflix[[#This Row],[País]]="","Desconocido",BBDD_Usiarios_Netflix[[#This Row],[País]])</f>
        <v>EEUU</v>
      </c>
      <c r="Q1843">
        <v>34</v>
      </c>
      <c r="R1843" t="s">
        <v>30</v>
      </c>
      <c r="S1843" t="s">
        <v>26</v>
      </c>
      <c r="T1843" t="s">
        <v>27</v>
      </c>
      <c r="U1843">
        <f>IF(IFERROR(VLOOKUP(BBDD_Usiarios_Netflix[[#This Row],[Identificador Usuario]],A1844:$A$5870,1,FALSE),0)&lt;&gt;0,1,0)</f>
        <v>0</v>
      </c>
      <c r="V1843" s="6" t="str">
        <f>IF(BBDD_Usiarios_Netflix[[#This Row],[Duración Plan]]="12 Meses",LEFT(BBDD_Usiarios_Netflix[[#This Row],[Duración Plan]],2),LEFT(BBDD_Usiarios_Netflix[[#This Row],[Duración Plan]],1))</f>
        <v>1</v>
      </c>
      <c r="W18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44" spans="1:23" x14ac:dyDescent="0.25">
      <c r="A1844">
        <v>1843</v>
      </c>
      <c r="B1844" t="s">
        <v>32</v>
      </c>
      <c r="C1844">
        <v>12</v>
      </c>
      <c r="D1844" s="3">
        <v>11</v>
      </c>
      <c r="E1844" s="3">
        <v>9</v>
      </c>
      <c r="F1844">
        <v>23</v>
      </c>
      <c r="G1844" s="1">
        <f>DATEVALUE(_xlfn.CONCAT(BBDD_Usiarios_Netflix[[#This Row],[Día Suscripción]],"/",BBDD_Usiarios_Netflix[[#This Row],[Mes Suscripción]],"/",BBDD_Usiarios_Netflix[[#This Row],[Año Suscripción]]))</f>
        <v>45180</v>
      </c>
      <c r="H1844" s="1">
        <v>7</v>
      </c>
      <c r="I1844" s="1">
        <v>7</v>
      </c>
      <c r="J1844" s="1">
        <v>24</v>
      </c>
      <c r="K1844" s="1" t="str">
        <f>TEXT(BBDD_Usiarios_Netflix[[#This Row],[Fecha Suscripción]],"dddd")</f>
        <v>lunes</v>
      </c>
      <c r="L1844" s="1">
        <f>DATEVALUE(_xlfn.CONCAT(BBDD_Usiarios_Netflix[[#This Row],[Día Último Pago]],"/",BBDD_Usiarios_Netflix[[#This Row],[Mes Último Pago]],"/",BBDD_Usiarios_Netflix[[#This Row],[Año Último Pago]]))</f>
        <v>45480</v>
      </c>
      <c r="M1844" s="4">
        <f>DATEDIF(BBDD_Usiarios_Netflix[[#This Row],[Fecha Suscripción]],BBDD_Usiarios_Netflix[[#This Row],[Fecha Último Pago]],"M")+1</f>
        <v>10</v>
      </c>
      <c r="N1844" s="4">
        <f>BBDD_Usiarios_Netflix[[#This Row],[Ingresos Mensuales]]*BBDD_Usiarios_Netflix[[#This Row],[Meses contratados]]</f>
        <v>120</v>
      </c>
      <c r="O1844" t="s">
        <v>43</v>
      </c>
      <c r="P1844" t="str">
        <f>IF(BBDD_Usiarios_Netflix[[#This Row],[País]]="","Desconocido",BBDD_Usiarios_Netflix[[#This Row],[País]])</f>
        <v>Alemania</v>
      </c>
      <c r="Q1844">
        <v>46</v>
      </c>
      <c r="R1844" t="s">
        <v>25</v>
      </c>
      <c r="S1844" t="s">
        <v>36</v>
      </c>
      <c r="T1844" t="s">
        <v>27</v>
      </c>
      <c r="U1844">
        <f>IF(IFERROR(VLOOKUP(BBDD_Usiarios_Netflix[[#This Row],[Identificador Usuario]],A1845:$A$5870,1,FALSE),0)&lt;&gt;0,1,0)</f>
        <v>0</v>
      </c>
      <c r="V1844" s="6" t="str">
        <f>IF(BBDD_Usiarios_Netflix[[#This Row],[Duración Plan]]="12 Meses",LEFT(BBDD_Usiarios_Netflix[[#This Row],[Duración Plan]],2),LEFT(BBDD_Usiarios_Netflix[[#This Row],[Duración Plan]],1))</f>
        <v>1</v>
      </c>
      <c r="W18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45" spans="1:23" x14ac:dyDescent="0.25">
      <c r="A1845">
        <v>1844</v>
      </c>
      <c r="B1845" t="s">
        <v>32</v>
      </c>
      <c r="C1845">
        <v>12</v>
      </c>
      <c r="D1845" s="3">
        <v>11</v>
      </c>
      <c r="E1845" s="3">
        <v>9</v>
      </c>
      <c r="F1845">
        <v>23</v>
      </c>
      <c r="G1845" s="1">
        <f>DATEVALUE(_xlfn.CONCAT(BBDD_Usiarios_Netflix[[#This Row],[Día Suscripción]],"/",BBDD_Usiarios_Netflix[[#This Row],[Mes Suscripción]],"/",BBDD_Usiarios_Netflix[[#This Row],[Año Suscripción]]))</f>
        <v>45180</v>
      </c>
      <c r="H1845" s="1">
        <v>8</v>
      </c>
      <c r="I1845" s="1">
        <v>7</v>
      </c>
      <c r="J1845" s="1">
        <v>24</v>
      </c>
      <c r="K1845" s="1" t="str">
        <f>TEXT(BBDD_Usiarios_Netflix[[#This Row],[Fecha Suscripción]],"dddd")</f>
        <v>lunes</v>
      </c>
      <c r="L1845" s="1">
        <f>DATEVALUE(_xlfn.CONCAT(BBDD_Usiarios_Netflix[[#This Row],[Día Último Pago]],"/",BBDD_Usiarios_Netflix[[#This Row],[Mes Último Pago]],"/",BBDD_Usiarios_Netflix[[#This Row],[Año Último Pago]]))</f>
        <v>45481</v>
      </c>
      <c r="M1845" s="4">
        <f>DATEDIF(BBDD_Usiarios_Netflix[[#This Row],[Fecha Suscripción]],BBDD_Usiarios_Netflix[[#This Row],[Fecha Último Pago]],"M")+1</f>
        <v>10</v>
      </c>
      <c r="N1845" s="4">
        <f>BBDD_Usiarios_Netflix[[#This Row],[Ingresos Mensuales]]*BBDD_Usiarios_Netflix[[#This Row],[Meses contratados]]</f>
        <v>120</v>
      </c>
      <c r="O1845" t="s">
        <v>43</v>
      </c>
      <c r="P1845" t="str">
        <f>IF(BBDD_Usiarios_Netflix[[#This Row],[País]]="","Desconocido",BBDD_Usiarios_Netflix[[#This Row],[País]])</f>
        <v>Alemania</v>
      </c>
      <c r="Q1845">
        <v>47</v>
      </c>
      <c r="R1845" t="s">
        <v>30</v>
      </c>
      <c r="S1845" t="s">
        <v>34</v>
      </c>
      <c r="T1845" t="s">
        <v>27</v>
      </c>
      <c r="U1845">
        <f>IF(IFERROR(VLOOKUP(BBDD_Usiarios_Netflix[[#This Row],[Identificador Usuario]],A1846:$A$5870,1,FALSE),0)&lt;&gt;0,1,0)</f>
        <v>0</v>
      </c>
      <c r="V1845" s="6" t="str">
        <f>IF(BBDD_Usiarios_Netflix[[#This Row],[Duración Plan]]="12 Meses",LEFT(BBDD_Usiarios_Netflix[[#This Row],[Duración Plan]],2),LEFT(BBDD_Usiarios_Netflix[[#This Row],[Duración Plan]],1))</f>
        <v>1</v>
      </c>
      <c r="W18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46" spans="1:23" x14ac:dyDescent="0.25">
      <c r="A1846">
        <v>1845</v>
      </c>
      <c r="B1846" t="s">
        <v>23</v>
      </c>
      <c r="C1846">
        <v>10</v>
      </c>
      <c r="D1846" s="3">
        <v>16</v>
      </c>
      <c r="E1846" s="3">
        <v>8</v>
      </c>
      <c r="F1846">
        <v>23</v>
      </c>
      <c r="G1846" s="1">
        <f>DATEVALUE(_xlfn.CONCAT(BBDD_Usiarios_Netflix[[#This Row],[Día Suscripción]],"/",BBDD_Usiarios_Netflix[[#This Row],[Mes Suscripción]],"/",BBDD_Usiarios_Netflix[[#This Row],[Año Suscripción]]))</f>
        <v>45154</v>
      </c>
      <c r="H1846" s="1">
        <v>7</v>
      </c>
      <c r="I1846" s="1">
        <v>7</v>
      </c>
      <c r="J1846" s="1">
        <v>24</v>
      </c>
      <c r="K1846" s="1" t="str">
        <f>TEXT(BBDD_Usiarios_Netflix[[#This Row],[Fecha Suscripción]],"dddd")</f>
        <v>miércoles</v>
      </c>
      <c r="L1846" s="1">
        <f>DATEVALUE(_xlfn.CONCAT(BBDD_Usiarios_Netflix[[#This Row],[Día Último Pago]],"/",BBDD_Usiarios_Netflix[[#This Row],[Mes Último Pago]],"/",BBDD_Usiarios_Netflix[[#This Row],[Año Último Pago]]))</f>
        <v>45480</v>
      </c>
      <c r="M1846" s="4">
        <f>DATEDIF(BBDD_Usiarios_Netflix[[#This Row],[Fecha Suscripción]],BBDD_Usiarios_Netflix[[#This Row],[Fecha Último Pago]],"M")+1</f>
        <v>11</v>
      </c>
      <c r="N1846" s="4">
        <f>BBDD_Usiarios_Netflix[[#This Row],[Ingresos Mensuales]]*BBDD_Usiarios_Netflix[[#This Row],[Meses contratados]]</f>
        <v>110</v>
      </c>
      <c r="O1846" t="s">
        <v>39</v>
      </c>
      <c r="P1846" t="str">
        <f>IF(BBDD_Usiarios_Netflix[[#This Row],[País]]="","Desconocido",BBDD_Usiarios_Netflix[[#This Row],[País]])</f>
        <v>Canadá</v>
      </c>
      <c r="Q1846">
        <v>32</v>
      </c>
      <c r="R1846" t="s">
        <v>30</v>
      </c>
      <c r="S1846" t="s">
        <v>26</v>
      </c>
      <c r="T1846" t="s">
        <v>27</v>
      </c>
      <c r="U1846">
        <f>IF(IFERROR(VLOOKUP(BBDD_Usiarios_Netflix[[#This Row],[Identificador Usuario]],A1847:$A$5870,1,FALSE),0)&lt;&gt;0,1,0)</f>
        <v>0</v>
      </c>
      <c r="V1846" s="6" t="str">
        <f>IF(BBDD_Usiarios_Netflix[[#This Row],[Duración Plan]]="12 Meses",LEFT(BBDD_Usiarios_Netflix[[#This Row],[Duración Plan]],2),LEFT(BBDD_Usiarios_Netflix[[#This Row],[Duración Plan]],1))</f>
        <v>1</v>
      </c>
      <c r="W18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47" spans="1:23" x14ac:dyDescent="0.25">
      <c r="A1847">
        <v>1846</v>
      </c>
      <c r="B1847" t="s">
        <v>28</v>
      </c>
      <c r="C1847">
        <v>14</v>
      </c>
      <c r="D1847" s="3">
        <v>12</v>
      </c>
      <c r="E1847" s="3">
        <v>8</v>
      </c>
      <c r="F1847">
        <v>23</v>
      </c>
      <c r="G1847" s="1">
        <f>DATEVALUE(_xlfn.CONCAT(BBDD_Usiarios_Netflix[[#This Row],[Día Suscripción]],"/",BBDD_Usiarios_Netflix[[#This Row],[Mes Suscripción]],"/",BBDD_Usiarios_Netflix[[#This Row],[Año Suscripción]]))</f>
        <v>45150</v>
      </c>
      <c r="H1847" s="1">
        <v>8</v>
      </c>
      <c r="I1847" s="1">
        <v>7</v>
      </c>
      <c r="J1847" s="1">
        <v>24</v>
      </c>
      <c r="K1847" s="1" t="str">
        <f>TEXT(BBDD_Usiarios_Netflix[[#This Row],[Fecha Suscripción]],"dddd")</f>
        <v>sábado</v>
      </c>
      <c r="L1847" s="1">
        <f>DATEVALUE(_xlfn.CONCAT(BBDD_Usiarios_Netflix[[#This Row],[Día Último Pago]],"/",BBDD_Usiarios_Netflix[[#This Row],[Mes Último Pago]],"/",BBDD_Usiarios_Netflix[[#This Row],[Año Último Pago]]))</f>
        <v>45481</v>
      </c>
      <c r="M1847" s="4">
        <f>DATEDIF(BBDD_Usiarios_Netflix[[#This Row],[Fecha Suscripción]],BBDD_Usiarios_Netflix[[#This Row],[Fecha Último Pago]],"M")+1</f>
        <v>11</v>
      </c>
      <c r="N1847" s="4">
        <f>BBDD_Usiarios_Netflix[[#This Row],[Ingresos Mensuales]]*BBDD_Usiarios_Netflix[[#This Row],[Meses contratados]]</f>
        <v>154</v>
      </c>
      <c r="O1847" t="s">
        <v>29</v>
      </c>
      <c r="P1847" t="str">
        <f>IF(BBDD_Usiarios_Netflix[[#This Row],[País]]="","Desconocido",BBDD_Usiarios_Netflix[[#This Row],[País]])</f>
        <v>EEUU</v>
      </c>
      <c r="Q1847">
        <v>45</v>
      </c>
      <c r="R1847" t="s">
        <v>25</v>
      </c>
      <c r="S1847" t="s">
        <v>26</v>
      </c>
      <c r="T1847" t="s">
        <v>27</v>
      </c>
      <c r="U1847">
        <f>IF(IFERROR(VLOOKUP(BBDD_Usiarios_Netflix[[#This Row],[Identificador Usuario]],A1848:$A$5870,1,FALSE),0)&lt;&gt;0,1,0)</f>
        <v>0</v>
      </c>
      <c r="V1847" s="6" t="str">
        <f>IF(BBDD_Usiarios_Netflix[[#This Row],[Duración Plan]]="12 Meses",LEFT(BBDD_Usiarios_Netflix[[#This Row],[Duración Plan]],2),LEFT(BBDD_Usiarios_Netflix[[#This Row],[Duración Plan]],1))</f>
        <v>1</v>
      </c>
      <c r="W18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48" spans="1:23" x14ac:dyDescent="0.25">
      <c r="A1848">
        <v>1847</v>
      </c>
      <c r="B1848" t="s">
        <v>23</v>
      </c>
      <c r="C1848">
        <v>10</v>
      </c>
      <c r="D1848" s="3">
        <v>2</v>
      </c>
      <c r="E1848" s="3">
        <v>8</v>
      </c>
      <c r="F1848">
        <v>23</v>
      </c>
      <c r="G1848" s="1">
        <f>DATEVALUE(_xlfn.CONCAT(BBDD_Usiarios_Netflix[[#This Row],[Día Suscripción]],"/",BBDD_Usiarios_Netflix[[#This Row],[Mes Suscripción]],"/",BBDD_Usiarios_Netflix[[#This Row],[Año Suscripción]]))</f>
        <v>45140</v>
      </c>
      <c r="H1848" s="1">
        <v>7</v>
      </c>
      <c r="I1848" s="1">
        <v>7</v>
      </c>
      <c r="J1848" s="1">
        <v>24</v>
      </c>
      <c r="K1848" s="1" t="str">
        <f>TEXT(BBDD_Usiarios_Netflix[[#This Row],[Fecha Suscripción]],"dddd")</f>
        <v>miércoles</v>
      </c>
      <c r="L1848" s="1">
        <f>DATEVALUE(_xlfn.CONCAT(BBDD_Usiarios_Netflix[[#This Row],[Día Último Pago]],"/",BBDD_Usiarios_Netflix[[#This Row],[Mes Último Pago]],"/",BBDD_Usiarios_Netflix[[#This Row],[Año Último Pago]]))</f>
        <v>45480</v>
      </c>
      <c r="M1848" s="4">
        <f>DATEDIF(BBDD_Usiarios_Netflix[[#This Row],[Fecha Suscripción]],BBDD_Usiarios_Netflix[[#This Row],[Fecha Último Pago]],"M")+1</f>
        <v>12</v>
      </c>
      <c r="N1848" s="4">
        <f>BBDD_Usiarios_Netflix[[#This Row],[Ingresos Mensuales]]*BBDD_Usiarios_Netflix[[#This Row],[Meses contratados]]</f>
        <v>120</v>
      </c>
      <c r="O1848" t="s">
        <v>29</v>
      </c>
      <c r="P1848" t="str">
        <f>IF(BBDD_Usiarios_Netflix[[#This Row],[País]]="","Desconocido",BBDD_Usiarios_Netflix[[#This Row],[País]])</f>
        <v>EEUU</v>
      </c>
      <c r="Q1848">
        <v>31</v>
      </c>
      <c r="R1848" t="s">
        <v>30</v>
      </c>
      <c r="S1848" t="s">
        <v>26</v>
      </c>
      <c r="T1848" t="s">
        <v>35</v>
      </c>
      <c r="U1848">
        <f>IF(IFERROR(VLOOKUP(BBDD_Usiarios_Netflix[[#This Row],[Identificador Usuario]],A1849:$A$5870,1,FALSE),0)&lt;&gt;0,1,0)</f>
        <v>0</v>
      </c>
      <c r="V1848" s="6" t="str">
        <f>IF(BBDD_Usiarios_Netflix[[#This Row],[Duración Plan]]="12 Meses",LEFT(BBDD_Usiarios_Netflix[[#This Row],[Duración Plan]],2),LEFT(BBDD_Usiarios_Netflix[[#This Row],[Duración Plan]],1))</f>
        <v>6</v>
      </c>
      <c r="W18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49" spans="1:23" x14ac:dyDescent="0.25">
      <c r="A1849">
        <v>1848</v>
      </c>
      <c r="B1849" t="s">
        <v>32</v>
      </c>
      <c r="C1849">
        <v>12</v>
      </c>
      <c r="D1849" s="3">
        <v>1</v>
      </c>
      <c r="E1849" s="3">
        <v>8</v>
      </c>
      <c r="F1849">
        <v>23</v>
      </c>
      <c r="G1849" s="1">
        <f>DATEVALUE(_xlfn.CONCAT(BBDD_Usiarios_Netflix[[#This Row],[Día Suscripción]],"/",BBDD_Usiarios_Netflix[[#This Row],[Mes Suscripción]],"/",BBDD_Usiarios_Netflix[[#This Row],[Año Suscripción]]))</f>
        <v>45139</v>
      </c>
      <c r="H1849" s="1">
        <v>10</v>
      </c>
      <c r="I1849" s="1">
        <v>7</v>
      </c>
      <c r="J1849" s="1">
        <v>24</v>
      </c>
      <c r="K1849" s="1" t="str">
        <f>TEXT(BBDD_Usiarios_Netflix[[#This Row],[Fecha Suscripción]],"dddd")</f>
        <v>martes</v>
      </c>
      <c r="L1849" s="1">
        <f>DATEVALUE(_xlfn.CONCAT(BBDD_Usiarios_Netflix[[#This Row],[Día Último Pago]],"/",BBDD_Usiarios_Netflix[[#This Row],[Mes Último Pago]],"/",BBDD_Usiarios_Netflix[[#This Row],[Año Último Pago]]))</f>
        <v>45483</v>
      </c>
      <c r="M1849" s="4">
        <f>DATEDIF(BBDD_Usiarios_Netflix[[#This Row],[Fecha Suscripción]],BBDD_Usiarios_Netflix[[#This Row],[Fecha Último Pago]],"M")+1</f>
        <v>12</v>
      </c>
      <c r="N1849" s="4">
        <f>BBDD_Usiarios_Netflix[[#This Row],[Ingresos Mensuales]]*BBDD_Usiarios_Netflix[[#This Row],[Meses contratados]]</f>
        <v>144</v>
      </c>
      <c r="O1849" t="s">
        <v>33</v>
      </c>
      <c r="P1849" t="str">
        <f>IF(BBDD_Usiarios_Netflix[[#This Row],[País]]="","Desconocido",BBDD_Usiarios_Netflix[[#This Row],[País]])</f>
        <v>Francia</v>
      </c>
      <c r="Q1849">
        <v>49</v>
      </c>
      <c r="R1849" t="s">
        <v>25</v>
      </c>
      <c r="S1849" t="s">
        <v>36</v>
      </c>
      <c r="T1849" t="s">
        <v>27</v>
      </c>
      <c r="U1849">
        <f>IF(IFERROR(VLOOKUP(BBDD_Usiarios_Netflix[[#This Row],[Identificador Usuario]],A1850:$A$5870,1,FALSE),0)&lt;&gt;0,1,0)</f>
        <v>0</v>
      </c>
      <c r="V1849" s="6" t="str">
        <f>IF(BBDD_Usiarios_Netflix[[#This Row],[Duración Plan]]="12 Meses",LEFT(BBDD_Usiarios_Netflix[[#This Row],[Duración Plan]],2),LEFT(BBDD_Usiarios_Netflix[[#This Row],[Duración Plan]],1))</f>
        <v>1</v>
      </c>
      <c r="W18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50" spans="1:23" x14ac:dyDescent="0.25">
      <c r="A1850">
        <v>1849</v>
      </c>
      <c r="B1850" t="s">
        <v>28</v>
      </c>
      <c r="C1850">
        <v>14</v>
      </c>
      <c r="D1850" s="3">
        <v>29</v>
      </c>
      <c r="E1850" s="3">
        <v>7</v>
      </c>
      <c r="F1850">
        <v>23</v>
      </c>
      <c r="G1850" s="1">
        <f>DATEVALUE(_xlfn.CONCAT(BBDD_Usiarios_Netflix[[#This Row],[Día Suscripción]],"/",BBDD_Usiarios_Netflix[[#This Row],[Mes Suscripción]],"/",BBDD_Usiarios_Netflix[[#This Row],[Año Suscripción]]))</f>
        <v>45136</v>
      </c>
      <c r="H1850" s="1">
        <v>7</v>
      </c>
      <c r="I1850" s="1">
        <v>7</v>
      </c>
      <c r="J1850" s="1">
        <v>24</v>
      </c>
      <c r="K1850" s="1" t="str">
        <f>TEXT(BBDD_Usiarios_Netflix[[#This Row],[Fecha Suscripción]],"dddd")</f>
        <v>sábado</v>
      </c>
      <c r="L1850" s="1">
        <f>DATEVALUE(_xlfn.CONCAT(BBDD_Usiarios_Netflix[[#This Row],[Día Último Pago]],"/",BBDD_Usiarios_Netflix[[#This Row],[Mes Último Pago]],"/",BBDD_Usiarios_Netflix[[#This Row],[Año Último Pago]]))</f>
        <v>45480</v>
      </c>
      <c r="M1850" s="4">
        <f>DATEDIF(BBDD_Usiarios_Netflix[[#This Row],[Fecha Suscripción]],BBDD_Usiarios_Netflix[[#This Row],[Fecha Último Pago]],"M")+1</f>
        <v>12</v>
      </c>
      <c r="N1850" s="4">
        <f>BBDD_Usiarios_Netflix[[#This Row],[Ingresos Mensuales]]*BBDD_Usiarios_Netflix[[#This Row],[Meses contratados]]</f>
        <v>168</v>
      </c>
      <c r="O1850" t="s">
        <v>29</v>
      </c>
      <c r="P1850" t="str">
        <f>IF(BBDD_Usiarios_Netflix[[#This Row],[País]]="","Desconocido",BBDD_Usiarios_Netflix[[#This Row],[País]])</f>
        <v>EEUU</v>
      </c>
      <c r="Q1850">
        <v>33</v>
      </c>
      <c r="R1850" t="s">
        <v>30</v>
      </c>
      <c r="S1850" t="s">
        <v>26</v>
      </c>
      <c r="T1850" t="s">
        <v>27</v>
      </c>
      <c r="U1850">
        <f>IF(IFERROR(VLOOKUP(BBDD_Usiarios_Netflix[[#This Row],[Identificador Usuario]],A1851:$A$5870,1,FALSE),0)&lt;&gt;0,1,0)</f>
        <v>0</v>
      </c>
      <c r="V1850" s="6" t="str">
        <f>IF(BBDD_Usiarios_Netflix[[#This Row],[Duración Plan]]="12 Meses",LEFT(BBDD_Usiarios_Netflix[[#This Row],[Duración Plan]],2),LEFT(BBDD_Usiarios_Netflix[[#This Row],[Duración Plan]],1))</f>
        <v>1</v>
      </c>
      <c r="W18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51" spans="1:23" x14ac:dyDescent="0.25">
      <c r="A1851">
        <v>1850</v>
      </c>
      <c r="B1851" t="s">
        <v>23</v>
      </c>
      <c r="C1851">
        <v>10</v>
      </c>
      <c r="D1851" s="3">
        <v>28</v>
      </c>
      <c r="E1851" s="3">
        <v>7</v>
      </c>
      <c r="F1851">
        <v>23</v>
      </c>
      <c r="G1851" s="1">
        <f>DATEVALUE(_xlfn.CONCAT(BBDD_Usiarios_Netflix[[#This Row],[Día Suscripción]],"/",BBDD_Usiarios_Netflix[[#This Row],[Mes Suscripción]],"/",BBDD_Usiarios_Netflix[[#This Row],[Año Suscripción]]))</f>
        <v>45135</v>
      </c>
      <c r="H1851" s="1">
        <v>8</v>
      </c>
      <c r="I1851" s="1">
        <v>7</v>
      </c>
      <c r="J1851" s="1">
        <v>24</v>
      </c>
      <c r="K1851" s="1" t="str">
        <f>TEXT(BBDD_Usiarios_Netflix[[#This Row],[Fecha Suscripción]],"dddd")</f>
        <v>viernes</v>
      </c>
      <c r="L1851" s="1">
        <f>DATEVALUE(_xlfn.CONCAT(BBDD_Usiarios_Netflix[[#This Row],[Día Último Pago]],"/",BBDD_Usiarios_Netflix[[#This Row],[Mes Último Pago]],"/",BBDD_Usiarios_Netflix[[#This Row],[Año Último Pago]]))</f>
        <v>45481</v>
      </c>
      <c r="M1851" s="4">
        <f>DATEDIF(BBDD_Usiarios_Netflix[[#This Row],[Fecha Suscripción]],BBDD_Usiarios_Netflix[[#This Row],[Fecha Último Pago]],"M")+1</f>
        <v>12</v>
      </c>
      <c r="N1851" s="4">
        <f>BBDD_Usiarios_Netflix[[#This Row],[Ingresos Mensuales]]*BBDD_Usiarios_Netflix[[#This Row],[Meses contratados]]</f>
        <v>120</v>
      </c>
      <c r="O1851" t="s">
        <v>42</v>
      </c>
      <c r="P1851" t="str">
        <f>IF(BBDD_Usiarios_Netflix[[#This Row],[País]]="","Desconocido",BBDD_Usiarios_Netflix[[#This Row],[País]])</f>
        <v>Reino Unido</v>
      </c>
      <c r="Q1851">
        <v>30</v>
      </c>
      <c r="R1851" t="s">
        <v>25</v>
      </c>
      <c r="S1851" t="s">
        <v>26</v>
      </c>
      <c r="T1851" t="s">
        <v>38</v>
      </c>
      <c r="U1851">
        <f>IF(IFERROR(VLOOKUP(BBDD_Usiarios_Netflix[[#This Row],[Identificador Usuario]],A1852:$A$5870,1,FALSE),0)&lt;&gt;0,1,0)</f>
        <v>0</v>
      </c>
      <c r="V1851" s="6" t="str">
        <f>IF(BBDD_Usiarios_Netflix[[#This Row],[Duración Plan]]="12 Meses",LEFT(BBDD_Usiarios_Netflix[[#This Row],[Duración Plan]],2),LEFT(BBDD_Usiarios_Netflix[[#This Row],[Duración Plan]],1))</f>
        <v>3</v>
      </c>
      <c r="W18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52" spans="1:23" x14ac:dyDescent="0.25">
      <c r="A1852">
        <v>1851</v>
      </c>
      <c r="B1852" t="s">
        <v>28</v>
      </c>
      <c r="C1852">
        <v>14</v>
      </c>
      <c r="D1852" s="3">
        <v>25</v>
      </c>
      <c r="E1852" s="3">
        <v>7</v>
      </c>
      <c r="F1852">
        <v>23</v>
      </c>
      <c r="G1852" s="1">
        <f>DATEVALUE(_xlfn.CONCAT(BBDD_Usiarios_Netflix[[#This Row],[Día Suscripción]],"/",BBDD_Usiarios_Netflix[[#This Row],[Mes Suscripción]],"/",BBDD_Usiarios_Netflix[[#This Row],[Año Suscripción]]))</f>
        <v>45132</v>
      </c>
      <c r="H1852" s="1">
        <v>8</v>
      </c>
      <c r="I1852" s="1">
        <v>7</v>
      </c>
      <c r="J1852" s="1">
        <v>24</v>
      </c>
      <c r="K1852" s="1" t="str">
        <f>TEXT(BBDD_Usiarios_Netflix[[#This Row],[Fecha Suscripción]],"dddd")</f>
        <v>martes</v>
      </c>
      <c r="L1852" s="1">
        <f>DATEVALUE(_xlfn.CONCAT(BBDD_Usiarios_Netflix[[#This Row],[Día Último Pago]],"/",BBDD_Usiarios_Netflix[[#This Row],[Mes Último Pago]],"/",BBDD_Usiarios_Netflix[[#This Row],[Año Último Pago]]))</f>
        <v>45481</v>
      </c>
      <c r="M1852" s="4">
        <f>DATEDIF(BBDD_Usiarios_Netflix[[#This Row],[Fecha Suscripción]],BBDD_Usiarios_Netflix[[#This Row],[Fecha Último Pago]],"M")+1</f>
        <v>12</v>
      </c>
      <c r="N1852" s="4">
        <f>BBDD_Usiarios_Netflix[[#This Row],[Ingresos Mensuales]]*BBDD_Usiarios_Netflix[[#This Row],[Meses contratados]]</f>
        <v>168</v>
      </c>
      <c r="O1852" t="s">
        <v>29</v>
      </c>
      <c r="P1852" t="str">
        <f>IF(BBDD_Usiarios_Netflix[[#This Row],[País]]="","Desconocido",BBDD_Usiarios_Netflix[[#This Row],[País]])</f>
        <v>EEUU</v>
      </c>
      <c r="Q1852">
        <v>48</v>
      </c>
      <c r="R1852" t="s">
        <v>30</v>
      </c>
      <c r="S1852" t="s">
        <v>36</v>
      </c>
      <c r="T1852" t="s">
        <v>27</v>
      </c>
      <c r="U1852">
        <f>IF(IFERROR(VLOOKUP(BBDD_Usiarios_Netflix[[#This Row],[Identificador Usuario]],A1853:$A$5870,1,FALSE),0)&lt;&gt;0,1,0)</f>
        <v>0</v>
      </c>
      <c r="V1852" s="6" t="str">
        <f>IF(BBDD_Usiarios_Netflix[[#This Row],[Duración Plan]]="12 Meses",LEFT(BBDD_Usiarios_Netflix[[#This Row],[Duración Plan]],2),LEFT(BBDD_Usiarios_Netflix[[#This Row],[Duración Plan]],1))</f>
        <v>1</v>
      </c>
      <c r="W18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53" spans="1:23" x14ac:dyDescent="0.25">
      <c r="A1853">
        <v>1852</v>
      </c>
      <c r="B1853" t="s">
        <v>23</v>
      </c>
      <c r="C1853">
        <v>10</v>
      </c>
      <c r="D1853" s="3">
        <v>20</v>
      </c>
      <c r="E1853" s="3">
        <v>7</v>
      </c>
      <c r="F1853">
        <v>23</v>
      </c>
      <c r="G1853" s="1">
        <f>DATEVALUE(_xlfn.CONCAT(BBDD_Usiarios_Netflix[[#This Row],[Día Suscripción]],"/",BBDD_Usiarios_Netflix[[#This Row],[Mes Suscripción]],"/",BBDD_Usiarios_Netflix[[#This Row],[Año Suscripción]]))</f>
        <v>45127</v>
      </c>
      <c r="H1853" s="1">
        <v>10</v>
      </c>
      <c r="I1853" s="1">
        <v>7</v>
      </c>
      <c r="J1853" s="1">
        <v>24</v>
      </c>
      <c r="K1853" s="1" t="str">
        <f>TEXT(BBDD_Usiarios_Netflix[[#This Row],[Fecha Suscripción]],"dddd")</f>
        <v>jueves</v>
      </c>
      <c r="L1853" s="1">
        <f>DATEVALUE(_xlfn.CONCAT(BBDD_Usiarios_Netflix[[#This Row],[Día Último Pago]],"/",BBDD_Usiarios_Netflix[[#This Row],[Mes Último Pago]],"/",BBDD_Usiarios_Netflix[[#This Row],[Año Último Pago]]))</f>
        <v>45483</v>
      </c>
      <c r="M1853" s="4">
        <f>DATEDIF(BBDD_Usiarios_Netflix[[#This Row],[Fecha Suscripción]],BBDD_Usiarios_Netflix[[#This Row],[Fecha Último Pago]],"M")+1</f>
        <v>12</v>
      </c>
      <c r="N1853" s="4">
        <f>BBDD_Usiarios_Netflix[[#This Row],[Ingresos Mensuales]]*BBDD_Usiarios_Netflix[[#This Row],[Meses contratados]]</f>
        <v>120</v>
      </c>
      <c r="O1853" t="s">
        <v>42</v>
      </c>
      <c r="P1853" t="str">
        <f>IF(BBDD_Usiarios_Netflix[[#This Row],[País]]="","Desconocido",BBDD_Usiarios_Netflix[[#This Row],[País]])</f>
        <v>Reino Unido</v>
      </c>
      <c r="Q1853">
        <v>49</v>
      </c>
      <c r="R1853" t="s">
        <v>30</v>
      </c>
      <c r="S1853" t="s">
        <v>31</v>
      </c>
      <c r="T1853" t="s">
        <v>35</v>
      </c>
      <c r="U1853">
        <f>IF(IFERROR(VLOOKUP(BBDD_Usiarios_Netflix[[#This Row],[Identificador Usuario]],A1854:$A$5870,1,FALSE),0)&lt;&gt;0,1,0)</f>
        <v>0</v>
      </c>
      <c r="V1853" s="6" t="str">
        <f>IF(BBDD_Usiarios_Netflix[[#This Row],[Duración Plan]]="12 Meses",LEFT(BBDD_Usiarios_Netflix[[#This Row],[Duración Plan]],2),LEFT(BBDD_Usiarios_Netflix[[#This Row],[Duración Plan]],1))</f>
        <v>6</v>
      </c>
      <c r="W18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54" spans="1:23" x14ac:dyDescent="0.25">
      <c r="A1854">
        <v>1853</v>
      </c>
      <c r="B1854" t="s">
        <v>32</v>
      </c>
      <c r="C1854">
        <v>12</v>
      </c>
      <c r="D1854" s="3">
        <v>16</v>
      </c>
      <c r="E1854" s="3">
        <v>7</v>
      </c>
      <c r="F1854">
        <v>23</v>
      </c>
      <c r="G1854" s="1">
        <f>DATEVALUE(_xlfn.CONCAT(BBDD_Usiarios_Netflix[[#This Row],[Día Suscripción]],"/",BBDD_Usiarios_Netflix[[#This Row],[Mes Suscripción]],"/",BBDD_Usiarios_Netflix[[#This Row],[Año Suscripción]]))</f>
        <v>45123</v>
      </c>
      <c r="H1854" s="1">
        <v>8</v>
      </c>
      <c r="I1854" s="1">
        <v>7</v>
      </c>
      <c r="J1854" s="1">
        <v>24</v>
      </c>
      <c r="K1854" s="1" t="str">
        <f>TEXT(BBDD_Usiarios_Netflix[[#This Row],[Fecha Suscripción]],"dddd")</f>
        <v>domingo</v>
      </c>
      <c r="L1854" s="1">
        <f>DATEVALUE(_xlfn.CONCAT(BBDD_Usiarios_Netflix[[#This Row],[Día Último Pago]],"/",BBDD_Usiarios_Netflix[[#This Row],[Mes Último Pago]],"/",BBDD_Usiarios_Netflix[[#This Row],[Año Último Pago]]))</f>
        <v>45481</v>
      </c>
      <c r="M1854" s="4">
        <f>DATEDIF(BBDD_Usiarios_Netflix[[#This Row],[Fecha Suscripción]],BBDD_Usiarios_Netflix[[#This Row],[Fecha Último Pago]],"M")+1</f>
        <v>12</v>
      </c>
      <c r="N1854" s="4">
        <f>BBDD_Usiarios_Netflix[[#This Row],[Ingresos Mensuales]]*BBDD_Usiarios_Netflix[[#This Row],[Meses contratados]]</f>
        <v>144</v>
      </c>
      <c r="O1854" t="s">
        <v>29</v>
      </c>
      <c r="P1854" t="str">
        <f>IF(BBDD_Usiarios_Netflix[[#This Row],[País]]="","Desconocido",BBDD_Usiarios_Netflix[[#This Row],[País]])</f>
        <v>EEUU</v>
      </c>
      <c r="Q1854">
        <v>43</v>
      </c>
      <c r="R1854" t="s">
        <v>25</v>
      </c>
      <c r="S1854" t="s">
        <v>36</v>
      </c>
      <c r="T1854" t="s">
        <v>27</v>
      </c>
      <c r="U1854">
        <f>IF(IFERROR(VLOOKUP(BBDD_Usiarios_Netflix[[#This Row],[Identificador Usuario]],A1855:$A$5870,1,FALSE),0)&lt;&gt;0,1,0)</f>
        <v>0</v>
      </c>
      <c r="V1854" s="6" t="str">
        <f>IF(BBDD_Usiarios_Netflix[[#This Row],[Duración Plan]]="12 Meses",LEFT(BBDD_Usiarios_Netflix[[#This Row],[Duración Plan]],2),LEFT(BBDD_Usiarios_Netflix[[#This Row],[Duración Plan]],1))</f>
        <v>1</v>
      </c>
      <c r="W18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55" spans="1:23" x14ac:dyDescent="0.25">
      <c r="A1855">
        <v>1854</v>
      </c>
      <c r="B1855" t="s">
        <v>32</v>
      </c>
      <c r="C1855">
        <v>12</v>
      </c>
      <c r="D1855" s="3">
        <v>16</v>
      </c>
      <c r="E1855" s="3">
        <v>7</v>
      </c>
      <c r="F1855">
        <v>23</v>
      </c>
      <c r="G1855" s="1">
        <f>DATEVALUE(_xlfn.CONCAT(BBDD_Usiarios_Netflix[[#This Row],[Día Suscripción]],"/",BBDD_Usiarios_Netflix[[#This Row],[Mes Suscripción]],"/",BBDD_Usiarios_Netflix[[#This Row],[Año Suscripción]]))</f>
        <v>45123</v>
      </c>
      <c r="H1855" s="1">
        <v>8</v>
      </c>
      <c r="I1855" s="1">
        <v>7</v>
      </c>
      <c r="J1855" s="1">
        <v>24</v>
      </c>
      <c r="K1855" s="1" t="str">
        <f>TEXT(BBDD_Usiarios_Netflix[[#This Row],[Fecha Suscripción]],"dddd")</f>
        <v>domingo</v>
      </c>
      <c r="L1855" s="1">
        <f>DATEVALUE(_xlfn.CONCAT(BBDD_Usiarios_Netflix[[#This Row],[Día Último Pago]],"/",BBDD_Usiarios_Netflix[[#This Row],[Mes Último Pago]],"/",BBDD_Usiarios_Netflix[[#This Row],[Año Último Pago]]))</f>
        <v>45481</v>
      </c>
      <c r="M1855" s="4">
        <f>DATEDIF(BBDD_Usiarios_Netflix[[#This Row],[Fecha Suscripción]],BBDD_Usiarios_Netflix[[#This Row],[Fecha Último Pago]],"M")+1</f>
        <v>12</v>
      </c>
      <c r="N1855" s="4">
        <f>BBDD_Usiarios_Netflix[[#This Row],[Ingresos Mensuales]]*BBDD_Usiarios_Netflix[[#This Row],[Meses contratados]]</f>
        <v>144</v>
      </c>
      <c r="O1855" t="s">
        <v>39</v>
      </c>
      <c r="P1855" t="str">
        <f>IF(BBDD_Usiarios_Netflix[[#This Row],[País]]="","Desconocido",BBDD_Usiarios_Netflix[[#This Row],[País]])</f>
        <v>Canadá</v>
      </c>
      <c r="Q1855">
        <v>46</v>
      </c>
      <c r="R1855" t="s">
        <v>30</v>
      </c>
      <c r="S1855" t="s">
        <v>36</v>
      </c>
      <c r="T1855" t="s">
        <v>41</v>
      </c>
      <c r="U1855">
        <f>IF(IFERROR(VLOOKUP(BBDD_Usiarios_Netflix[[#This Row],[Identificador Usuario]],A1856:$A$5870,1,FALSE),0)&lt;&gt;0,1,0)</f>
        <v>0</v>
      </c>
      <c r="V1855" s="6" t="str">
        <f>IF(BBDD_Usiarios_Netflix[[#This Row],[Duración Plan]]="12 Meses",LEFT(BBDD_Usiarios_Netflix[[#This Row],[Duración Plan]],2),LEFT(BBDD_Usiarios_Netflix[[#This Row],[Duración Plan]],1))</f>
        <v>12</v>
      </c>
      <c r="W18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56" spans="1:23" x14ac:dyDescent="0.25">
      <c r="A1856">
        <v>1855</v>
      </c>
      <c r="B1856" t="s">
        <v>23</v>
      </c>
      <c r="C1856">
        <v>10</v>
      </c>
      <c r="D1856" s="3">
        <v>15</v>
      </c>
      <c r="E1856" s="3">
        <v>7</v>
      </c>
      <c r="F1856">
        <v>23</v>
      </c>
      <c r="G1856" s="1">
        <f>DATEVALUE(_xlfn.CONCAT(BBDD_Usiarios_Netflix[[#This Row],[Día Suscripción]],"/",BBDD_Usiarios_Netflix[[#This Row],[Mes Suscripción]],"/",BBDD_Usiarios_Netflix[[#This Row],[Año Suscripción]]))</f>
        <v>45122</v>
      </c>
      <c r="H1856" s="1">
        <v>7</v>
      </c>
      <c r="I1856" s="1">
        <v>7</v>
      </c>
      <c r="J1856" s="1">
        <v>24</v>
      </c>
      <c r="K1856" s="1" t="str">
        <f>TEXT(BBDD_Usiarios_Netflix[[#This Row],[Fecha Suscripción]],"dddd")</f>
        <v>sábado</v>
      </c>
      <c r="L1856" s="1">
        <f>DATEVALUE(_xlfn.CONCAT(BBDD_Usiarios_Netflix[[#This Row],[Día Último Pago]],"/",BBDD_Usiarios_Netflix[[#This Row],[Mes Último Pago]],"/",BBDD_Usiarios_Netflix[[#This Row],[Año Último Pago]]))</f>
        <v>45480</v>
      </c>
      <c r="M1856" s="4">
        <f>DATEDIF(BBDD_Usiarios_Netflix[[#This Row],[Fecha Suscripción]],BBDD_Usiarios_Netflix[[#This Row],[Fecha Último Pago]],"M")+1</f>
        <v>12</v>
      </c>
      <c r="N1856" s="4">
        <f>BBDD_Usiarios_Netflix[[#This Row],[Ingresos Mensuales]]*BBDD_Usiarios_Netflix[[#This Row],[Meses contratados]]</f>
        <v>120</v>
      </c>
      <c r="O1856" t="s">
        <v>24</v>
      </c>
      <c r="P1856" t="str">
        <f>IF(BBDD_Usiarios_Netflix[[#This Row],[País]]="","Desconocido",BBDD_Usiarios_Netflix[[#This Row],[País]])</f>
        <v>Australia</v>
      </c>
      <c r="Q1856">
        <v>33</v>
      </c>
      <c r="R1856" t="s">
        <v>25</v>
      </c>
      <c r="S1856" t="s">
        <v>26</v>
      </c>
      <c r="T1856" t="s">
        <v>27</v>
      </c>
      <c r="U1856">
        <f>IF(IFERROR(VLOOKUP(BBDD_Usiarios_Netflix[[#This Row],[Identificador Usuario]],A1857:$A$5870,1,FALSE),0)&lt;&gt;0,1,0)</f>
        <v>0</v>
      </c>
      <c r="V1856" s="6" t="str">
        <f>IF(BBDD_Usiarios_Netflix[[#This Row],[Duración Plan]]="12 Meses",LEFT(BBDD_Usiarios_Netflix[[#This Row],[Duración Plan]],2),LEFT(BBDD_Usiarios_Netflix[[#This Row],[Duración Plan]],1))</f>
        <v>1</v>
      </c>
      <c r="W18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57" spans="1:23" x14ac:dyDescent="0.25">
      <c r="A1857">
        <v>1856</v>
      </c>
      <c r="B1857" t="s">
        <v>28</v>
      </c>
      <c r="C1857">
        <v>14</v>
      </c>
      <c r="D1857" s="3">
        <v>13</v>
      </c>
      <c r="E1857" s="3">
        <v>7</v>
      </c>
      <c r="F1857">
        <v>23</v>
      </c>
      <c r="G1857" s="1">
        <f>DATEVALUE(_xlfn.CONCAT(BBDD_Usiarios_Netflix[[#This Row],[Día Suscripción]],"/",BBDD_Usiarios_Netflix[[#This Row],[Mes Suscripción]],"/",BBDD_Usiarios_Netflix[[#This Row],[Año Suscripción]]))</f>
        <v>45120</v>
      </c>
      <c r="H1857" s="1">
        <v>9</v>
      </c>
      <c r="I1857" s="1">
        <v>7</v>
      </c>
      <c r="J1857" s="1">
        <v>24</v>
      </c>
      <c r="K1857" s="1" t="str">
        <f>TEXT(BBDD_Usiarios_Netflix[[#This Row],[Fecha Suscripción]],"dddd")</f>
        <v>jueves</v>
      </c>
      <c r="L1857" s="1">
        <f>DATEVALUE(_xlfn.CONCAT(BBDD_Usiarios_Netflix[[#This Row],[Día Último Pago]],"/",BBDD_Usiarios_Netflix[[#This Row],[Mes Último Pago]],"/",BBDD_Usiarios_Netflix[[#This Row],[Año Último Pago]]))</f>
        <v>45482</v>
      </c>
      <c r="M1857" s="4">
        <f>DATEDIF(BBDD_Usiarios_Netflix[[#This Row],[Fecha Suscripción]],BBDD_Usiarios_Netflix[[#This Row],[Fecha Último Pago]],"M")+1</f>
        <v>12</v>
      </c>
      <c r="N1857" s="4">
        <f>BBDD_Usiarios_Netflix[[#This Row],[Ingresos Mensuales]]*BBDD_Usiarios_Netflix[[#This Row],[Meses contratados]]</f>
        <v>168</v>
      </c>
      <c r="O1857" t="s">
        <v>24</v>
      </c>
      <c r="P1857" t="str">
        <f>IF(BBDD_Usiarios_Netflix[[#This Row],[País]]="","Desconocido",BBDD_Usiarios_Netflix[[#This Row],[País]])</f>
        <v>Australia</v>
      </c>
      <c r="Q1857">
        <v>31</v>
      </c>
      <c r="R1857" t="s">
        <v>30</v>
      </c>
      <c r="S1857" t="s">
        <v>26</v>
      </c>
      <c r="T1857" t="s">
        <v>35</v>
      </c>
      <c r="U1857">
        <f>IF(IFERROR(VLOOKUP(BBDD_Usiarios_Netflix[[#This Row],[Identificador Usuario]],A1858:$A$5870,1,FALSE),0)&lt;&gt;0,1,0)</f>
        <v>0</v>
      </c>
      <c r="V1857" s="6" t="str">
        <f>IF(BBDD_Usiarios_Netflix[[#This Row],[Duración Plan]]="12 Meses",LEFT(BBDD_Usiarios_Netflix[[#This Row],[Duración Plan]],2),LEFT(BBDD_Usiarios_Netflix[[#This Row],[Duración Plan]],1))</f>
        <v>6</v>
      </c>
      <c r="W18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58" spans="1:23" x14ac:dyDescent="0.25">
      <c r="A1858">
        <v>1857</v>
      </c>
      <c r="B1858" t="s">
        <v>23</v>
      </c>
      <c r="C1858">
        <v>10</v>
      </c>
      <c r="D1858" s="3">
        <v>6</v>
      </c>
      <c r="E1858" s="3">
        <v>7</v>
      </c>
      <c r="F1858">
        <v>23</v>
      </c>
      <c r="G1858" s="1">
        <f>DATEVALUE(_xlfn.CONCAT(BBDD_Usiarios_Netflix[[#This Row],[Día Suscripción]],"/",BBDD_Usiarios_Netflix[[#This Row],[Mes Suscripción]],"/",BBDD_Usiarios_Netflix[[#This Row],[Año Suscripción]]))</f>
        <v>45113</v>
      </c>
      <c r="H1858" s="1">
        <v>7</v>
      </c>
      <c r="I1858" s="1">
        <v>7</v>
      </c>
      <c r="J1858" s="1">
        <v>24</v>
      </c>
      <c r="K1858" s="1" t="str">
        <f>TEXT(BBDD_Usiarios_Netflix[[#This Row],[Fecha Suscripción]],"dddd")</f>
        <v>jueves</v>
      </c>
      <c r="L1858" s="1">
        <f>DATEVALUE(_xlfn.CONCAT(BBDD_Usiarios_Netflix[[#This Row],[Día Último Pago]],"/",BBDD_Usiarios_Netflix[[#This Row],[Mes Último Pago]],"/",BBDD_Usiarios_Netflix[[#This Row],[Año Último Pago]]))</f>
        <v>45480</v>
      </c>
      <c r="M1858" s="4">
        <f>DATEDIF(BBDD_Usiarios_Netflix[[#This Row],[Fecha Suscripción]],BBDD_Usiarios_Netflix[[#This Row],[Fecha Último Pago]],"M")+1</f>
        <v>13</v>
      </c>
      <c r="N1858" s="4">
        <f>BBDD_Usiarios_Netflix[[#This Row],[Ingresos Mensuales]]*BBDD_Usiarios_Netflix[[#This Row],[Meses contratados]]</f>
        <v>130</v>
      </c>
      <c r="O1858" t="s">
        <v>43</v>
      </c>
      <c r="P1858" t="str">
        <f>IF(BBDD_Usiarios_Netflix[[#This Row],[País]]="","Desconocido",BBDD_Usiarios_Netflix[[#This Row],[País]])</f>
        <v>Alemania</v>
      </c>
      <c r="Q1858">
        <v>44</v>
      </c>
      <c r="R1858" t="s">
        <v>30</v>
      </c>
      <c r="S1858" t="s">
        <v>34</v>
      </c>
      <c r="T1858" t="s">
        <v>27</v>
      </c>
      <c r="U1858">
        <f>IF(IFERROR(VLOOKUP(BBDD_Usiarios_Netflix[[#This Row],[Identificador Usuario]],A1859:$A$5870,1,FALSE),0)&lt;&gt;0,1,0)</f>
        <v>0</v>
      </c>
      <c r="V1858" s="6" t="str">
        <f>IF(BBDD_Usiarios_Netflix[[#This Row],[Duración Plan]]="12 Meses",LEFT(BBDD_Usiarios_Netflix[[#This Row],[Duración Plan]],2),LEFT(BBDD_Usiarios_Netflix[[#This Row],[Duración Plan]],1))</f>
        <v>1</v>
      </c>
      <c r="W18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59" spans="1:23" x14ac:dyDescent="0.25">
      <c r="A1859">
        <v>1858</v>
      </c>
      <c r="B1859" t="s">
        <v>32</v>
      </c>
      <c r="C1859">
        <v>12</v>
      </c>
      <c r="D1859" s="3">
        <v>3</v>
      </c>
      <c r="E1859" s="3">
        <v>7</v>
      </c>
      <c r="F1859">
        <v>23</v>
      </c>
      <c r="G1859" s="1">
        <f>DATEVALUE(_xlfn.CONCAT(BBDD_Usiarios_Netflix[[#This Row],[Día Suscripción]],"/",BBDD_Usiarios_Netflix[[#This Row],[Mes Suscripción]],"/",BBDD_Usiarios_Netflix[[#This Row],[Año Suscripción]]))</f>
        <v>45110</v>
      </c>
      <c r="H1859" s="1">
        <v>9</v>
      </c>
      <c r="I1859" s="1">
        <v>7</v>
      </c>
      <c r="J1859" s="1">
        <v>24</v>
      </c>
      <c r="K1859" s="1" t="str">
        <f>TEXT(BBDD_Usiarios_Netflix[[#This Row],[Fecha Suscripción]],"dddd")</f>
        <v>lunes</v>
      </c>
      <c r="L1859" s="1">
        <f>DATEVALUE(_xlfn.CONCAT(BBDD_Usiarios_Netflix[[#This Row],[Día Último Pago]],"/",BBDD_Usiarios_Netflix[[#This Row],[Mes Último Pago]],"/",BBDD_Usiarios_Netflix[[#This Row],[Año Último Pago]]))</f>
        <v>45482</v>
      </c>
      <c r="M1859" s="4">
        <f>DATEDIF(BBDD_Usiarios_Netflix[[#This Row],[Fecha Suscripción]],BBDD_Usiarios_Netflix[[#This Row],[Fecha Último Pago]],"M")+1</f>
        <v>13</v>
      </c>
      <c r="N1859" s="4">
        <f>BBDD_Usiarios_Netflix[[#This Row],[Ingresos Mensuales]]*BBDD_Usiarios_Netflix[[#This Row],[Meses contratados]]</f>
        <v>156</v>
      </c>
      <c r="O1859" t="s">
        <v>42</v>
      </c>
      <c r="P1859" t="str">
        <f>IF(BBDD_Usiarios_Netflix[[#This Row],[País]]="","Desconocido",BBDD_Usiarios_Netflix[[#This Row],[País]])</f>
        <v>Reino Unido</v>
      </c>
      <c r="Q1859">
        <v>34</v>
      </c>
      <c r="R1859" t="s">
        <v>25</v>
      </c>
      <c r="S1859" t="s">
        <v>34</v>
      </c>
      <c r="T1859" t="s">
        <v>27</v>
      </c>
      <c r="U1859">
        <f>IF(IFERROR(VLOOKUP(BBDD_Usiarios_Netflix[[#This Row],[Identificador Usuario]],A1860:$A$5870,1,FALSE),0)&lt;&gt;0,1,0)</f>
        <v>0</v>
      </c>
      <c r="V1859" s="6" t="str">
        <f>IF(BBDD_Usiarios_Netflix[[#This Row],[Duración Plan]]="12 Meses",LEFT(BBDD_Usiarios_Netflix[[#This Row],[Duración Plan]],2),LEFT(BBDD_Usiarios_Netflix[[#This Row],[Duración Plan]],1))</f>
        <v>1</v>
      </c>
      <c r="W18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60" spans="1:23" x14ac:dyDescent="0.25">
      <c r="A1860">
        <v>1859</v>
      </c>
      <c r="B1860" t="s">
        <v>28</v>
      </c>
      <c r="C1860">
        <v>14</v>
      </c>
      <c r="D1860" s="3">
        <v>4</v>
      </c>
      <c r="E1860" s="3">
        <v>7</v>
      </c>
      <c r="F1860">
        <v>23</v>
      </c>
      <c r="G1860" s="1">
        <f>DATEVALUE(_xlfn.CONCAT(BBDD_Usiarios_Netflix[[#This Row],[Día Suscripción]],"/",BBDD_Usiarios_Netflix[[#This Row],[Mes Suscripción]],"/",BBDD_Usiarios_Netflix[[#This Row],[Año Suscripción]]))</f>
        <v>45111</v>
      </c>
      <c r="H1860" s="1">
        <v>7</v>
      </c>
      <c r="I1860" s="1">
        <v>7</v>
      </c>
      <c r="J1860" s="1">
        <v>24</v>
      </c>
      <c r="K1860" s="1" t="str">
        <f>TEXT(BBDD_Usiarios_Netflix[[#This Row],[Fecha Suscripción]],"dddd")</f>
        <v>martes</v>
      </c>
      <c r="L1860" s="1">
        <f>DATEVALUE(_xlfn.CONCAT(BBDD_Usiarios_Netflix[[#This Row],[Día Último Pago]],"/",BBDD_Usiarios_Netflix[[#This Row],[Mes Último Pago]],"/",BBDD_Usiarios_Netflix[[#This Row],[Año Último Pago]]))</f>
        <v>45480</v>
      </c>
      <c r="M1860" s="4">
        <f>DATEDIF(BBDD_Usiarios_Netflix[[#This Row],[Fecha Suscripción]],BBDD_Usiarios_Netflix[[#This Row],[Fecha Último Pago]],"M")+1</f>
        <v>13</v>
      </c>
      <c r="N1860" s="4">
        <f>BBDD_Usiarios_Netflix[[#This Row],[Ingresos Mensuales]]*BBDD_Usiarios_Netflix[[#This Row],[Meses contratados]]</f>
        <v>182</v>
      </c>
      <c r="O1860" t="s">
        <v>33</v>
      </c>
      <c r="P1860" t="str">
        <f>IF(BBDD_Usiarios_Netflix[[#This Row],[País]]="","Desconocido",BBDD_Usiarios_Netflix[[#This Row],[País]])</f>
        <v>Francia</v>
      </c>
      <c r="Q1860">
        <v>41</v>
      </c>
      <c r="R1860" t="s">
        <v>25</v>
      </c>
      <c r="S1860" t="s">
        <v>36</v>
      </c>
      <c r="T1860" t="s">
        <v>38</v>
      </c>
      <c r="U1860">
        <f>IF(IFERROR(VLOOKUP(BBDD_Usiarios_Netflix[[#This Row],[Identificador Usuario]],A1861:$A$5870,1,FALSE),0)&lt;&gt;0,1,0)</f>
        <v>0</v>
      </c>
      <c r="V1860" s="6" t="str">
        <f>IF(BBDD_Usiarios_Netflix[[#This Row],[Duración Plan]]="12 Meses",LEFT(BBDD_Usiarios_Netflix[[#This Row],[Duración Plan]],2),LEFT(BBDD_Usiarios_Netflix[[#This Row],[Duración Plan]],1))</f>
        <v>3</v>
      </c>
      <c r="W18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61" spans="1:23" x14ac:dyDescent="0.25">
      <c r="A1861">
        <v>1860</v>
      </c>
      <c r="B1861" t="s">
        <v>23</v>
      </c>
      <c r="C1861">
        <v>10</v>
      </c>
      <c r="D1861" s="3">
        <v>3</v>
      </c>
      <c r="E1861" s="3">
        <v>7</v>
      </c>
      <c r="F1861">
        <v>23</v>
      </c>
      <c r="G1861" s="1">
        <f>DATEVALUE(_xlfn.CONCAT(BBDD_Usiarios_Netflix[[#This Row],[Día Suscripción]],"/",BBDD_Usiarios_Netflix[[#This Row],[Mes Suscripción]],"/",BBDD_Usiarios_Netflix[[#This Row],[Año Suscripción]]))</f>
        <v>45110</v>
      </c>
      <c r="H1861" s="1">
        <v>9</v>
      </c>
      <c r="I1861" s="1">
        <v>7</v>
      </c>
      <c r="J1861" s="1">
        <v>24</v>
      </c>
      <c r="K1861" s="1" t="str">
        <f>TEXT(BBDD_Usiarios_Netflix[[#This Row],[Fecha Suscripción]],"dddd")</f>
        <v>lunes</v>
      </c>
      <c r="L1861" s="1">
        <f>DATEVALUE(_xlfn.CONCAT(BBDD_Usiarios_Netflix[[#This Row],[Día Último Pago]],"/",BBDD_Usiarios_Netflix[[#This Row],[Mes Último Pago]],"/",BBDD_Usiarios_Netflix[[#This Row],[Año Último Pago]]))</f>
        <v>45482</v>
      </c>
      <c r="M1861" s="4">
        <f>DATEDIF(BBDD_Usiarios_Netflix[[#This Row],[Fecha Suscripción]],BBDD_Usiarios_Netflix[[#This Row],[Fecha Último Pago]],"M")+1</f>
        <v>13</v>
      </c>
      <c r="N1861" s="4">
        <f>BBDD_Usiarios_Netflix[[#This Row],[Ingresos Mensuales]]*BBDD_Usiarios_Netflix[[#This Row],[Meses contratados]]</f>
        <v>130</v>
      </c>
      <c r="O1861" t="s">
        <v>24</v>
      </c>
      <c r="P1861" t="str">
        <f>IF(BBDD_Usiarios_Netflix[[#This Row],[País]]="","Desconocido",BBDD_Usiarios_Netflix[[#This Row],[País]])</f>
        <v>Australia</v>
      </c>
      <c r="Q1861">
        <v>42</v>
      </c>
      <c r="R1861" t="s">
        <v>25</v>
      </c>
      <c r="S1861" t="s">
        <v>36</v>
      </c>
      <c r="T1861" t="s">
        <v>41</v>
      </c>
      <c r="U1861">
        <f>IF(IFERROR(VLOOKUP(BBDD_Usiarios_Netflix[[#This Row],[Identificador Usuario]],A1862:$A$5870,1,FALSE),0)&lt;&gt;0,1,0)</f>
        <v>0</v>
      </c>
      <c r="V1861" s="6" t="str">
        <f>IF(BBDD_Usiarios_Netflix[[#This Row],[Duración Plan]]="12 Meses",LEFT(BBDD_Usiarios_Netflix[[#This Row],[Duración Plan]],2),LEFT(BBDD_Usiarios_Netflix[[#This Row],[Duración Plan]],1))</f>
        <v>12</v>
      </c>
      <c r="W18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62" spans="1:23" x14ac:dyDescent="0.25">
      <c r="A1862">
        <v>1861</v>
      </c>
      <c r="B1862" t="s">
        <v>28</v>
      </c>
      <c r="C1862">
        <v>14</v>
      </c>
      <c r="D1862" s="3">
        <v>3</v>
      </c>
      <c r="E1862" s="3">
        <v>7</v>
      </c>
      <c r="F1862">
        <v>23</v>
      </c>
      <c r="G1862" s="1">
        <f>DATEVALUE(_xlfn.CONCAT(BBDD_Usiarios_Netflix[[#This Row],[Día Suscripción]],"/",BBDD_Usiarios_Netflix[[#This Row],[Mes Suscripción]],"/",BBDD_Usiarios_Netflix[[#This Row],[Año Suscripción]]))</f>
        <v>45110</v>
      </c>
      <c r="H1862" s="1">
        <v>7</v>
      </c>
      <c r="I1862" s="1">
        <v>7</v>
      </c>
      <c r="J1862" s="1">
        <v>24</v>
      </c>
      <c r="K1862" s="1" t="str">
        <f>TEXT(BBDD_Usiarios_Netflix[[#This Row],[Fecha Suscripción]],"dddd")</f>
        <v>lunes</v>
      </c>
      <c r="L1862" s="1">
        <f>DATEVALUE(_xlfn.CONCAT(BBDD_Usiarios_Netflix[[#This Row],[Día Último Pago]],"/",BBDD_Usiarios_Netflix[[#This Row],[Mes Último Pago]],"/",BBDD_Usiarios_Netflix[[#This Row],[Año Último Pago]]))</f>
        <v>45480</v>
      </c>
      <c r="M1862" s="4">
        <f>DATEDIF(BBDD_Usiarios_Netflix[[#This Row],[Fecha Suscripción]],BBDD_Usiarios_Netflix[[#This Row],[Fecha Último Pago]],"M")+1</f>
        <v>13</v>
      </c>
      <c r="N1862" s="4">
        <f>BBDD_Usiarios_Netflix[[#This Row],[Ingresos Mensuales]]*BBDD_Usiarios_Netflix[[#This Row],[Meses contratados]]</f>
        <v>182</v>
      </c>
      <c r="O1862" t="s">
        <v>43</v>
      </c>
      <c r="P1862" t="str">
        <f>IF(BBDD_Usiarios_Netflix[[#This Row],[País]]="","Desconocido",BBDD_Usiarios_Netflix[[#This Row],[País]])</f>
        <v>Alemania</v>
      </c>
      <c r="Q1862">
        <v>38</v>
      </c>
      <c r="R1862" t="s">
        <v>30</v>
      </c>
      <c r="S1862" t="s">
        <v>36</v>
      </c>
      <c r="T1862" t="s">
        <v>27</v>
      </c>
      <c r="U1862">
        <f>IF(IFERROR(VLOOKUP(BBDD_Usiarios_Netflix[[#This Row],[Identificador Usuario]],A1863:$A$5870,1,FALSE),0)&lt;&gt;0,1,0)</f>
        <v>0</v>
      </c>
      <c r="V1862" s="6" t="str">
        <f>IF(BBDD_Usiarios_Netflix[[#This Row],[Duración Plan]]="12 Meses",LEFT(BBDD_Usiarios_Netflix[[#This Row],[Duración Plan]],2),LEFT(BBDD_Usiarios_Netflix[[#This Row],[Duración Plan]],1))</f>
        <v>1</v>
      </c>
      <c r="W18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63" spans="1:23" x14ac:dyDescent="0.25">
      <c r="A1863">
        <v>1862</v>
      </c>
      <c r="B1863" t="s">
        <v>23</v>
      </c>
      <c r="C1863">
        <v>10</v>
      </c>
      <c r="D1863" s="3">
        <v>4</v>
      </c>
      <c r="E1863" s="3">
        <v>7</v>
      </c>
      <c r="F1863">
        <v>23</v>
      </c>
      <c r="G1863" s="1">
        <f>DATEVALUE(_xlfn.CONCAT(BBDD_Usiarios_Netflix[[#This Row],[Día Suscripción]],"/",BBDD_Usiarios_Netflix[[#This Row],[Mes Suscripción]],"/",BBDD_Usiarios_Netflix[[#This Row],[Año Suscripción]]))</f>
        <v>45111</v>
      </c>
      <c r="H1863" s="1">
        <v>10</v>
      </c>
      <c r="I1863" s="1">
        <v>7</v>
      </c>
      <c r="J1863" s="1">
        <v>24</v>
      </c>
      <c r="K1863" s="1" t="str">
        <f>TEXT(BBDD_Usiarios_Netflix[[#This Row],[Fecha Suscripción]],"dddd")</f>
        <v>martes</v>
      </c>
      <c r="L1863" s="1">
        <f>DATEVALUE(_xlfn.CONCAT(BBDD_Usiarios_Netflix[[#This Row],[Día Último Pago]],"/",BBDD_Usiarios_Netflix[[#This Row],[Mes Último Pago]],"/",BBDD_Usiarios_Netflix[[#This Row],[Año Último Pago]]))</f>
        <v>45483</v>
      </c>
      <c r="M1863" s="4">
        <f>DATEDIF(BBDD_Usiarios_Netflix[[#This Row],[Fecha Suscripción]],BBDD_Usiarios_Netflix[[#This Row],[Fecha Último Pago]],"M")+1</f>
        <v>13</v>
      </c>
      <c r="N1863" s="4">
        <f>BBDD_Usiarios_Netflix[[#This Row],[Ingresos Mensuales]]*BBDD_Usiarios_Netflix[[#This Row],[Meses contratados]]</f>
        <v>130</v>
      </c>
      <c r="O1863" t="s">
        <v>44</v>
      </c>
      <c r="P1863" t="str">
        <f>IF(BBDD_Usiarios_Netflix[[#This Row],[País]]="","Desconocido",BBDD_Usiarios_Netflix[[#This Row],[País]])</f>
        <v>Desconocido</v>
      </c>
      <c r="Q1863">
        <v>31</v>
      </c>
      <c r="R1863" t="s">
        <v>30</v>
      </c>
      <c r="S1863" t="s">
        <v>31</v>
      </c>
      <c r="T1863" t="s">
        <v>27</v>
      </c>
      <c r="U1863">
        <f>IF(IFERROR(VLOOKUP(BBDD_Usiarios_Netflix[[#This Row],[Identificador Usuario]],A1864:$A$5870,1,FALSE),0)&lt;&gt;0,1,0)</f>
        <v>0</v>
      </c>
      <c r="V1863" s="6" t="str">
        <f>IF(BBDD_Usiarios_Netflix[[#This Row],[Duración Plan]]="12 Meses",LEFT(BBDD_Usiarios_Netflix[[#This Row],[Duración Plan]],2),LEFT(BBDD_Usiarios_Netflix[[#This Row],[Duración Plan]],1))</f>
        <v>1</v>
      </c>
      <c r="W18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64" spans="1:23" x14ac:dyDescent="0.25">
      <c r="A1864">
        <v>1863</v>
      </c>
      <c r="B1864" t="s">
        <v>32</v>
      </c>
      <c r="C1864">
        <v>12</v>
      </c>
      <c r="D1864" s="3">
        <v>5</v>
      </c>
      <c r="E1864" s="3">
        <v>7</v>
      </c>
      <c r="F1864">
        <v>23</v>
      </c>
      <c r="G1864" s="1">
        <f>DATEVALUE(_xlfn.CONCAT(BBDD_Usiarios_Netflix[[#This Row],[Día Suscripción]],"/",BBDD_Usiarios_Netflix[[#This Row],[Mes Suscripción]],"/",BBDD_Usiarios_Netflix[[#This Row],[Año Suscripción]]))</f>
        <v>45112</v>
      </c>
      <c r="H1864" s="1">
        <v>6</v>
      </c>
      <c r="I1864" s="1">
        <v>7</v>
      </c>
      <c r="J1864" s="1">
        <v>24</v>
      </c>
      <c r="K1864" s="1" t="str">
        <f>TEXT(BBDD_Usiarios_Netflix[[#This Row],[Fecha Suscripción]],"dddd")</f>
        <v>miércoles</v>
      </c>
      <c r="L1864" s="1">
        <f>DATEVALUE(_xlfn.CONCAT(BBDD_Usiarios_Netflix[[#This Row],[Día Último Pago]],"/",BBDD_Usiarios_Netflix[[#This Row],[Mes Último Pago]],"/",BBDD_Usiarios_Netflix[[#This Row],[Año Último Pago]]))</f>
        <v>45479</v>
      </c>
      <c r="M1864" s="4">
        <f>DATEDIF(BBDD_Usiarios_Netflix[[#This Row],[Fecha Suscripción]],BBDD_Usiarios_Netflix[[#This Row],[Fecha Último Pago]],"M")+1</f>
        <v>13</v>
      </c>
      <c r="N1864" s="4">
        <f>BBDD_Usiarios_Netflix[[#This Row],[Ingresos Mensuales]]*BBDD_Usiarios_Netflix[[#This Row],[Meses contratados]]</f>
        <v>156</v>
      </c>
      <c r="O1864" t="s">
        <v>29</v>
      </c>
      <c r="P1864" t="str">
        <f>IF(BBDD_Usiarios_Netflix[[#This Row],[País]]="","Desconocido",BBDD_Usiarios_Netflix[[#This Row],[País]])</f>
        <v>EEUU</v>
      </c>
      <c r="Q1864">
        <v>35</v>
      </c>
      <c r="R1864" t="s">
        <v>30</v>
      </c>
      <c r="S1864" t="s">
        <v>26</v>
      </c>
      <c r="T1864" t="s">
        <v>38</v>
      </c>
      <c r="U1864">
        <f>IF(IFERROR(VLOOKUP(BBDD_Usiarios_Netflix[[#This Row],[Identificador Usuario]],A1865:$A$5870,1,FALSE),0)&lt;&gt;0,1,0)</f>
        <v>0</v>
      </c>
      <c r="V1864" s="6" t="str">
        <f>IF(BBDD_Usiarios_Netflix[[#This Row],[Duración Plan]]="12 Meses",LEFT(BBDD_Usiarios_Netflix[[#This Row],[Duración Plan]],2),LEFT(BBDD_Usiarios_Netflix[[#This Row],[Duración Plan]],1))</f>
        <v>3</v>
      </c>
      <c r="W18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65" spans="1:23" x14ac:dyDescent="0.25">
      <c r="A1865">
        <v>1864</v>
      </c>
      <c r="B1865" t="s">
        <v>32</v>
      </c>
      <c r="C1865">
        <v>12</v>
      </c>
      <c r="D1865" s="3">
        <v>7</v>
      </c>
      <c r="E1865" s="3">
        <v>7</v>
      </c>
      <c r="F1865">
        <v>23</v>
      </c>
      <c r="G1865" s="1">
        <f>DATEVALUE(_xlfn.CONCAT(BBDD_Usiarios_Netflix[[#This Row],[Día Suscripción]],"/",BBDD_Usiarios_Netflix[[#This Row],[Mes Suscripción]],"/",BBDD_Usiarios_Netflix[[#This Row],[Año Suscripción]]))</f>
        <v>45114</v>
      </c>
      <c r="H1865" s="1">
        <v>8</v>
      </c>
      <c r="I1865" s="1">
        <v>7</v>
      </c>
      <c r="J1865" s="1">
        <v>24</v>
      </c>
      <c r="K1865" s="1" t="str">
        <f>TEXT(BBDD_Usiarios_Netflix[[#This Row],[Fecha Suscripción]],"dddd")</f>
        <v>viernes</v>
      </c>
      <c r="L1865" s="1">
        <f>DATEVALUE(_xlfn.CONCAT(BBDD_Usiarios_Netflix[[#This Row],[Día Último Pago]],"/",BBDD_Usiarios_Netflix[[#This Row],[Mes Último Pago]],"/",BBDD_Usiarios_Netflix[[#This Row],[Año Último Pago]]))</f>
        <v>45481</v>
      </c>
      <c r="M1865" s="4">
        <f>DATEDIF(BBDD_Usiarios_Netflix[[#This Row],[Fecha Suscripción]],BBDD_Usiarios_Netflix[[#This Row],[Fecha Último Pago]],"M")+1</f>
        <v>13</v>
      </c>
      <c r="N1865" s="4">
        <f>BBDD_Usiarios_Netflix[[#This Row],[Ingresos Mensuales]]*BBDD_Usiarios_Netflix[[#This Row],[Meses contratados]]</f>
        <v>156</v>
      </c>
      <c r="O1865" t="s">
        <v>24</v>
      </c>
      <c r="P1865" t="str">
        <f>IF(BBDD_Usiarios_Netflix[[#This Row],[País]]="","Desconocido",BBDD_Usiarios_Netflix[[#This Row],[País]])</f>
        <v>Australia</v>
      </c>
      <c r="Q1865">
        <v>32</v>
      </c>
      <c r="R1865" t="s">
        <v>25</v>
      </c>
      <c r="S1865" t="s">
        <v>26</v>
      </c>
      <c r="T1865" t="s">
        <v>27</v>
      </c>
      <c r="U1865">
        <f>IF(IFERROR(VLOOKUP(BBDD_Usiarios_Netflix[[#This Row],[Identificador Usuario]],A1866:$A$5870,1,FALSE),0)&lt;&gt;0,1,0)</f>
        <v>0</v>
      </c>
      <c r="V1865" s="6" t="str">
        <f>IF(BBDD_Usiarios_Netflix[[#This Row],[Duración Plan]]="12 Meses",LEFT(BBDD_Usiarios_Netflix[[#This Row],[Duración Plan]],2),LEFT(BBDD_Usiarios_Netflix[[#This Row],[Duración Plan]],1))</f>
        <v>1</v>
      </c>
      <c r="W18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66" spans="1:23" x14ac:dyDescent="0.25">
      <c r="A1866">
        <v>1865</v>
      </c>
      <c r="B1866" t="s">
        <v>23</v>
      </c>
      <c r="C1866">
        <v>10</v>
      </c>
      <c r="D1866" s="3">
        <v>8</v>
      </c>
      <c r="E1866" s="3">
        <v>7</v>
      </c>
      <c r="F1866">
        <v>23</v>
      </c>
      <c r="G1866" s="1">
        <f>DATEVALUE(_xlfn.CONCAT(BBDD_Usiarios_Netflix[[#This Row],[Día Suscripción]],"/",BBDD_Usiarios_Netflix[[#This Row],[Mes Suscripción]],"/",BBDD_Usiarios_Netflix[[#This Row],[Año Suscripción]]))</f>
        <v>45115</v>
      </c>
      <c r="H1866" s="1">
        <v>7</v>
      </c>
      <c r="I1866" s="1">
        <v>7</v>
      </c>
      <c r="J1866" s="1">
        <v>24</v>
      </c>
      <c r="K1866" s="1" t="str">
        <f>TEXT(BBDD_Usiarios_Netflix[[#This Row],[Fecha Suscripción]],"dddd")</f>
        <v>sábado</v>
      </c>
      <c r="L1866" s="1">
        <f>DATEVALUE(_xlfn.CONCAT(BBDD_Usiarios_Netflix[[#This Row],[Día Último Pago]],"/",BBDD_Usiarios_Netflix[[#This Row],[Mes Último Pago]],"/",BBDD_Usiarios_Netflix[[#This Row],[Año Último Pago]]))</f>
        <v>45480</v>
      </c>
      <c r="M1866" s="4">
        <f>DATEDIF(BBDD_Usiarios_Netflix[[#This Row],[Fecha Suscripción]],BBDD_Usiarios_Netflix[[#This Row],[Fecha Último Pago]],"M")+1</f>
        <v>12</v>
      </c>
      <c r="N1866" s="4">
        <f>BBDD_Usiarios_Netflix[[#This Row],[Ingresos Mensuales]]*BBDD_Usiarios_Netflix[[#This Row],[Meses contratados]]</f>
        <v>120</v>
      </c>
      <c r="O1866" t="s">
        <v>33</v>
      </c>
      <c r="P1866" t="str">
        <f>IF(BBDD_Usiarios_Netflix[[#This Row],[País]]="","Desconocido",BBDD_Usiarios_Netflix[[#This Row],[País]])</f>
        <v>Francia</v>
      </c>
      <c r="Q1866">
        <v>39</v>
      </c>
      <c r="R1866" t="s">
        <v>25</v>
      </c>
      <c r="S1866" t="s">
        <v>26</v>
      </c>
      <c r="T1866" t="s">
        <v>38</v>
      </c>
      <c r="U1866">
        <f>IF(IFERROR(VLOOKUP(BBDD_Usiarios_Netflix[[#This Row],[Identificador Usuario]],A1867:$A$5870,1,FALSE),0)&lt;&gt;0,1,0)</f>
        <v>0</v>
      </c>
      <c r="V1866" s="6" t="str">
        <f>IF(BBDD_Usiarios_Netflix[[#This Row],[Duración Plan]]="12 Meses",LEFT(BBDD_Usiarios_Netflix[[#This Row],[Duración Plan]],2),LEFT(BBDD_Usiarios_Netflix[[#This Row],[Duración Plan]],1))</f>
        <v>3</v>
      </c>
      <c r="W18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67" spans="1:23" x14ac:dyDescent="0.25">
      <c r="A1867">
        <v>1866</v>
      </c>
      <c r="B1867" t="s">
        <v>28</v>
      </c>
      <c r="C1867">
        <v>14</v>
      </c>
      <c r="D1867" s="3">
        <v>13</v>
      </c>
      <c r="E1867" s="3">
        <v>7</v>
      </c>
      <c r="F1867">
        <v>23</v>
      </c>
      <c r="G1867" s="1">
        <f>DATEVALUE(_xlfn.CONCAT(BBDD_Usiarios_Netflix[[#This Row],[Día Suscripción]],"/",BBDD_Usiarios_Netflix[[#This Row],[Mes Suscripción]],"/",BBDD_Usiarios_Netflix[[#This Row],[Año Suscripción]]))</f>
        <v>45120</v>
      </c>
      <c r="H1867" s="1">
        <v>10</v>
      </c>
      <c r="I1867" s="1">
        <v>7</v>
      </c>
      <c r="J1867" s="1">
        <v>24</v>
      </c>
      <c r="K1867" s="1" t="str">
        <f>TEXT(BBDD_Usiarios_Netflix[[#This Row],[Fecha Suscripción]],"dddd")</f>
        <v>jueves</v>
      </c>
      <c r="L1867" s="1">
        <f>DATEVALUE(_xlfn.CONCAT(BBDD_Usiarios_Netflix[[#This Row],[Día Último Pago]],"/",BBDD_Usiarios_Netflix[[#This Row],[Mes Último Pago]],"/",BBDD_Usiarios_Netflix[[#This Row],[Año Último Pago]]))</f>
        <v>45483</v>
      </c>
      <c r="M1867" s="4">
        <f>DATEDIF(BBDD_Usiarios_Netflix[[#This Row],[Fecha Suscripción]],BBDD_Usiarios_Netflix[[#This Row],[Fecha Último Pago]],"M")+1</f>
        <v>12</v>
      </c>
      <c r="N1867" s="4">
        <f>BBDD_Usiarios_Netflix[[#This Row],[Ingresos Mensuales]]*BBDD_Usiarios_Netflix[[#This Row],[Meses contratados]]</f>
        <v>168</v>
      </c>
      <c r="O1867" t="s">
        <v>37</v>
      </c>
      <c r="P1867" t="str">
        <f>IF(BBDD_Usiarios_Netflix[[#This Row],[País]]="","Desconocido",BBDD_Usiarios_Netflix[[#This Row],[País]])</f>
        <v>Brasil</v>
      </c>
      <c r="Q1867">
        <v>42</v>
      </c>
      <c r="R1867" t="s">
        <v>25</v>
      </c>
      <c r="S1867" t="s">
        <v>36</v>
      </c>
      <c r="T1867" t="s">
        <v>38</v>
      </c>
      <c r="U1867">
        <f>IF(IFERROR(VLOOKUP(BBDD_Usiarios_Netflix[[#This Row],[Identificador Usuario]],A1868:$A$5870,1,FALSE),0)&lt;&gt;0,1,0)</f>
        <v>0</v>
      </c>
      <c r="V1867" s="6" t="str">
        <f>IF(BBDD_Usiarios_Netflix[[#This Row],[Duración Plan]]="12 Meses",LEFT(BBDD_Usiarios_Netflix[[#This Row],[Duración Plan]],2),LEFT(BBDD_Usiarios_Netflix[[#This Row],[Duración Plan]],1))</f>
        <v>3</v>
      </c>
      <c r="W18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68" spans="1:23" x14ac:dyDescent="0.25">
      <c r="A1868">
        <v>1867</v>
      </c>
      <c r="B1868" t="s">
        <v>23</v>
      </c>
      <c r="C1868">
        <v>10</v>
      </c>
      <c r="D1868" s="3">
        <v>15</v>
      </c>
      <c r="E1868" s="3">
        <v>7</v>
      </c>
      <c r="F1868">
        <v>23</v>
      </c>
      <c r="G1868" s="1">
        <f>DATEVALUE(_xlfn.CONCAT(BBDD_Usiarios_Netflix[[#This Row],[Día Suscripción]],"/",BBDD_Usiarios_Netflix[[#This Row],[Mes Suscripción]],"/",BBDD_Usiarios_Netflix[[#This Row],[Año Suscripción]]))</f>
        <v>45122</v>
      </c>
      <c r="H1868" s="1">
        <v>6</v>
      </c>
      <c r="I1868" s="1">
        <v>7</v>
      </c>
      <c r="J1868" s="1">
        <v>24</v>
      </c>
      <c r="K1868" s="1" t="str">
        <f>TEXT(BBDD_Usiarios_Netflix[[#This Row],[Fecha Suscripción]],"dddd")</f>
        <v>sábado</v>
      </c>
      <c r="L1868" s="1">
        <f>DATEVALUE(_xlfn.CONCAT(BBDD_Usiarios_Netflix[[#This Row],[Día Último Pago]],"/",BBDD_Usiarios_Netflix[[#This Row],[Mes Último Pago]],"/",BBDD_Usiarios_Netflix[[#This Row],[Año Último Pago]]))</f>
        <v>45479</v>
      </c>
      <c r="M1868" s="4">
        <f>DATEDIF(BBDD_Usiarios_Netflix[[#This Row],[Fecha Suscripción]],BBDD_Usiarios_Netflix[[#This Row],[Fecha Último Pago]],"M")+1</f>
        <v>12</v>
      </c>
      <c r="N1868" s="4">
        <f>BBDD_Usiarios_Netflix[[#This Row],[Ingresos Mensuales]]*BBDD_Usiarios_Netflix[[#This Row],[Meses contratados]]</f>
        <v>120</v>
      </c>
      <c r="O1868" t="s">
        <v>29</v>
      </c>
      <c r="P1868" t="str">
        <f>IF(BBDD_Usiarios_Netflix[[#This Row],[País]]="","Desconocido",BBDD_Usiarios_Netflix[[#This Row],[País]])</f>
        <v>EEUU</v>
      </c>
      <c r="Q1868">
        <v>31</v>
      </c>
      <c r="R1868" t="s">
        <v>25</v>
      </c>
      <c r="S1868" t="s">
        <v>31</v>
      </c>
      <c r="T1868" t="s">
        <v>38</v>
      </c>
      <c r="U1868">
        <f>IF(IFERROR(VLOOKUP(BBDD_Usiarios_Netflix[[#This Row],[Identificador Usuario]],A1869:$A$5870,1,FALSE),0)&lt;&gt;0,1,0)</f>
        <v>0</v>
      </c>
      <c r="V1868" s="6" t="str">
        <f>IF(BBDD_Usiarios_Netflix[[#This Row],[Duración Plan]]="12 Meses",LEFT(BBDD_Usiarios_Netflix[[#This Row],[Duración Plan]],2),LEFT(BBDD_Usiarios_Netflix[[#This Row],[Duración Plan]],1))</f>
        <v>3</v>
      </c>
      <c r="W18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69" spans="1:23" x14ac:dyDescent="0.25">
      <c r="A1869">
        <v>1868</v>
      </c>
      <c r="B1869" t="s">
        <v>32</v>
      </c>
      <c r="C1869">
        <v>12</v>
      </c>
      <c r="D1869" s="3">
        <v>1</v>
      </c>
      <c r="E1869" s="3">
        <v>8</v>
      </c>
      <c r="F1869">
        <v>23</v>
      </c>
      <c r="G1869" s="1">
        <f>DATEVALUE(_xlfn.CONCAT(BBDD_Usiarios_Netflix[[#This Row],[Día Suscripción]],"/",BBDD_Usiarios_Netflix[[#This Row],[Mes Suscripción]],"/",BBDD_Usiarios_Netflix[[#This Row],[Año Suscripción]]))</f>
        <v>45139</v>
      </c>
      <c r="H1869" s="1">
        <v>8</v>
      </c>
      <c r="I1869" s="1">
        <v>7</v>
      </c>
      <c r="J1869" s="1">
        <v>24</v>
      </c>
      <c r="K1869" s="1" t="str">
        <f>TEXT(BBDD_Usiarios_Netflix[[#This Row],[Fecha Suscripción]],"dddd")</f>
        <v>martes</v>
      </c>
      <c r="L1869" s="1">
        <f>DATEVALUE(_xlfn.CONCAT(BBDD_Usiarios_Netflix[[#This Row],[Día Último Pago]],"/",BBDD_Usiarios_Netflix[[#This Row],[Mes Último Pago]],"/",BBDD_Usiarios_Netflix[[#This Row],[Año Último Pago]]))</f>
        <v>45481</v>
      </c>
      <c r="M1869" s="4">
        <f>DATEDIF(BBDD_Usiarios_Netflix[[#This Row],[Fecha Suscripción]],BBDD_Usiarios_Netflix[[#This Row],[Fecha Último Pago]],"M")+1</f>
        <v>12</v>
      </c>
      <c r="N1869" s="4">
        <f>BBDD_Usiarios_Netflix[[#This Row],[Ingresos Mensuales]]*BBDD_Usiarios_Netflix[[#This Row],[Meses contratados]]</f>
        <v>144</v>
      </c>
      <c r="O1869" t="s">
        <v>40</v>
      </c>
      <c r="P1869" t="str">
        <f>IF(BBDD_Usiarios_Netflix[[#This Row],[País]]="","Desconocido",BBDD_Usiarios_Netflix[[#This Row],[País]])</f>
        <v>Italia</v>
      </c>
      <c r="Q1869">
        <v>38</v>
      </c>
      <c r="R1869" t="s">
        <v>25</v>
      </c>
      <c r="S1869" t="s">
        <v>31</v>
      </c>
      <c r="T1869" t="s">
        <v>27</v>
      </c>
      <c r="U1869">
        <f>IF(IFERROR(VLOOKUP(BBDD_Usiarios_Netflix[[#This Row],[Identificador Usuario]],A1870:$A$5870,1,FALSE),0)&lt;&gt;0,1,0)</f>
        <v>0</v>
      </c>
      <c r="V1869" s="6" t="str">
        <f>IF(BBDD_Usiarios_Netflix[[#This Row],[Duración Plan]]="12 Meses",LEFT(BBDD_Usiarios_Netflix[[#This Row],[Duración Plan]],2),LEFT(BBDD_Usiarios_Netflix[[#This Row],[Duración Plan]],1))</f>
        <v>1</v>
      </c>
      <c r="W18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70" spans="1:23" x14ac:dyDescent="0.25">
      <c r="A1870">
        <v>1869</v>
      </c>
      <c r="B1870" t="s">
        <v>28</v>
      </c>
      <c r="C1870">
        <v>14</v>
      </c>
      <c r="D1870" s="3">
        <v>11</v>
      </c>
      <c r="E1870" s="3">
        <v>8</v>
      </c>
      <c r="F1870">
        <v>23</v>
      </c>
      <c r="G1870" s="1">
        <f>DATEVALUE(_xlfn.CONCAT(BBDD_Usiarios_Netflix[[#This Row],[Día Suscripción]],"/",BBDD_Usiarios_Netflix[[#This Row],[Mes Suscripción]],"/",BBDD_Usiarios_Netflix[[#This Row],[Año Suscripción]]))</f>
        <v>45149</v>
      </c>
      <c r="H1870" s="1">
        <v>8</v>
      </c>
      <c r="I1870" s="1">
        <v>7</v>
      </c>
      <c r="J1870" s="1">
        <v>24</v>
      </c>
      <c r="K1870" s="1" t="str">
        <f>TEXT(BBDD_Usiarios_Netflix[[#This Row],[Fecha Suscripción]],"dddd")</f>
        <v>viernes</v>
      </c>
      <c r="L1870" s="1">
        <f>DATEVALUE(_xlfn.CONCAT(BBDD_Usiarios_Netflix[[#This Row],[Día Último Pago]],"/",BBDD_Usiarios_Netflix[[#This Row],[Mes Último Pago]],"/",BBDD_Usiarios_Netflix[[#This Row],[Año Último Pago]]))</f>
        <v>45481</v>
      </c>
      <c r="M1870" s="4">
        <f>DATEDIF(BBDD_Usiarios_Netflix[[#This Row],[Fecha Suscripción]],BBDD_Usiarios_Netflix[[#This Row],[Fecha Último Pago]],"M")+1</f>
        <v>11</v>
      </c>
      <c r="N1870" s="4">
        <f>BBDD_Usiarios_Netflix[[#This Row],[Ingresos Mensuales]]*BBDD_Usiarios_Netflix[[#This Row],[Meses contratados]]</f>
        <v>154</v>
      </c>
      <c r="O1870" t="s">
        <v>29</v>
      </c>
      <c r="P1870" t="str">
        <f>IF(BBDD_Usiarios_Netflix[[#This Row],[País]]="","Desconocido",BBDD_Usiarios_Netflix[[#This Row],[País]])</f>
        <v>EEUU</v>
      </c>
      <c r="Q1870">
        <v>48</v>
      </c>
      <c r="R1870" t="s">
        <v>25</v>
      </c>
      <c r="S1870" t="s">
        <v>34</v>
      </c>
      <c r="T1870" t="s">
        <v>27</v>
      </c>
      <c r="U1870">
        <f>IF(IFERROR(VLOOKUP(BBDD_Usiarios_Netflix[[#This Row],[Identificador Usuario]],A1871:$A$5870,1,FALSE),0)&lt;&gt;0,1,0)</f>
        <v>0</v>
      </c>
      <c r="V1870" s="6" t="str">
        <f>IF(BBDD_Usiarios_Netflix[[#This Row],[Duración Plan]]="12 Meses",LEFT(BBDD_Usiarios_Netflix[[#This Row],[Duración Plan]],2),LEFT(BBDD_Usiarios_Netflix[[#This Row],[Duración Plan]],1))</f>
        <v>1</v>
      </c>
      <c r="W18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71" spans="1:23" x14ac:dyDescent="0.25">
      <c r="A1871">
        <v>1870</v>
      </c>
      <c r="B1871" t="s">
        <v>23</v>
      </c>
      <c r="C1871">
        <v>10</v>
      </c>
      <c r="D1871" s="3">
        <v>13</v>
      </c>
      <c r="E1871" s="3">
        <v>8</v>
      </c>
      <c r="F1871">
        <v>23</v>
      </c>
      <c r="G1871" s="1">
        <f>DATEVALUE(_xlfn.CONCAT(BBDD_Usiarios_Netflix[[#This Row],[Día Suscripción]],"/",BBDD_Usiarios_Netflix[[#This Row],[Mes Suscripción]],"/",BBDD_Usiarios_Netflix[[#This Row],[Año Suscripción]]))</f>
        <v>45151</v>
      </c>
      <c r="H1871" s="1">
        <v>9</v>
      </c>
      <c r="I1871" s="1">
        <v>7</v>
      </c>
      <c r="J1871" s="1">
        <v>24</v>
      </c>
      <c r="K1871" s="1" t="str">
        <f>TEXT(BBDD_Usiarios_Netflix[[#This Row],[Fecha Suscripción]],"dddd")</f>
        <v>domingo</v>
      </c>
      <c r="L1871" s="1">
        <f>DATEVALUE(_xlfn.CONCAT(BBDD_Usiarios_Netflix[[#This Row],[Día Último Pago]],"/",BBDD_Usiarios_Netflix[[#This Row],[Mes Último Pago]],"/",BBDD_Usiarios_Netflix[[#This Row],[Año Último Pago]]))</f>
        <v>45482</v>
      </c>
      <c r="M1871" s="4">
        <f>DATEDIF(BBDD_Usiarios_Netflix[[#This Row],[Fecha Suscripción]],BBDD_Usiarios_Netflix[[#This Row],[Fecha Último Pago]],"M")+1</f>
        <v>11</v>
      </c>
      <c r="N1871" s="4">
        <f>BBDD_Usiarios_Netflix[[#This Row],[Ingresos Mensuales]]*BBDD_Usiarios_Netflix[[#This Row],[Meses contratados]]</f>
        <v>110</v>
      </c>
      <c r="O1871" t="s">
        <v>24</v>
      </c>
      <c r="P1871" t="str">
        <f>IF(BBDD_Usiarios_Netflix[[#This Row],[País]]="","Desconocido",BBDD_Usiarios_Netflix[[#This Row],[País]])</f>
        <v>Australia</v>
      </c>
      <c r="Q1871">
        <v>29</v>
      </c>
      <c r="R1871" t="s">
        <v>25</v>
      </c>
      <c r="S1871" t="s">
        <v>31</v>
      </c>
      <c r="T1871" t="s">
        <v>38</v>
      </c>
      <c r="U1871">
        <f>IF(IFERROR(VLOOKUP(BBDD_Usiarios_Netflix[[#This Row],[Identificador Usuario]],A1872:$A$5870,1,FALSE),0)&lt;&gt;0,1,0)</f>
        <v>0</v>
      </c>
      <c r="V1871" s="6" t="str">
        <f>IF(BBDD_Usiarios_Netflix[[#This Row],[Duración Plan]]="12 Meses",LEFT(BBDD_Usiarios_Netflix[[#This Row],[Duración Plan]],2),LEFT(BBDD_Usiarios_Netflix[[#This Row],[Duración Plan]],1))</f>
        <v>3</v>
      </c>
      <c r="W18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72" spans="1:23" x14ac:dyDescent="0.25">
      <c r="A1872">
        <v>1871</v>
      </c>
      <c r="B1872" t="s">
        <v>23</v>
      </c>
      <c r="C1872">
        <v>10</v>
      </c>
      <c r="D1872" s="3">
        <v>15</v>
      </c>
      <c r="E1872" s="3">
        <v>8</v>
      </c>
      <c r="F1872">
        <v>23</v>
      </c>
      <c r="G1872" s="1">
        <f>DATEVALUE(_xlfn.CONCAT(BBDD_Usiarios_Netflix[[#This Row],[Día Suscripción]],"/",BBDD_Usiarios_Netflix[[#This Row],[Mes Suscripción]],"/",BBDD_Usiarios_Netflix[[#This Row],[Año Suscripción]]))</f>
        <v>45153</v>
      </c>
      <c r="H1872" s="1">
        <v>6</v>
      </c>
      <c r="I1872" s="1">
        <v>7</v>
      </c>
      <c r="J1872" s="1">
        <v>24</v>
      </c>
      <c r="K1872" s="1" t="str">
        <f>TEXT(BBDD_Usiarios_Netflix[[#This Row],[Fecha Suscripción]],"dddd")</f>
        <v>martes</v>
      </c>
      <c r="L1872" s="1">
        <f>DATEVALUE(_xlfn.CONCAT(BBDD_Usiarios_Netflix[[#This Row],[Día Último Pago]],"/",BBDD_Usiarios_Netflix[[#This Row],[Mes Último Pago]],"/",BBDD_Usiarios_Netflix[[#This Row],[Año Último Pago]]))</f>
        <v>45479</v>
      </c>
      <c r="M1872" s="4">
        <f>DATEDIF(BBDD_Usiarios_Netflix[[#This Row],[Fecha Suscripción]],BBDD_Usiarios_Netflix[[#This Row],[Fecha Último Pago]],"M")+1</f>
        <v>11</v>
      </c>
      <c r="N1872" s="4">
        <f>BBDD_Usiarios_Netflix[[#This Row],[Ingresos Mensuales]]*BBDD_Usiarios_Netflix[[#This Row],[Meses contratados]]</f>
        <v>110</v>
      </c>
      <c r="O1872" t="s">
        <v>42</v>
      </c>
      <c r="P1872" t="str">
        <f>IF(BBDD_Usiarios_Netflix[[#This Row],[País]]="","Desconocido",BBDD_Usiarios_Netflix[[#This Row],[País]])</f>
        <v>Reino Unido</v>
      </c>
      <c r="Q1872">
        <v>43</v>
      </c>
      <c r="R1872" t="s">
        <v>30</v>
      </c>
      <c r="S1872" t="s">
        <v>34</v>
      </c>
      <c r="T1872" t="s">
        <v>38</v>
      </c>
      <c r="U1872">
        <f>IF(IFERROR(VLOOKUP(BBDD_Usiarios_Netflix[[#This Row],[Identificador Usuario]],A1873:$A$5870,1,FALSE),0)&lt;&gt;0,1,0)</f>
        <v>0</v>
      </c>
      <c r="V1872" s="6" t="str">
        <f>IF(BBDD_Usiarios_Netflix[[#This Row],[Duración Plan]]="12 Meses",LEFT(BBDD_Usiarios_Netflix[[#This Row],[Duración Plan]],2),LEFT(BBDD_Usiarios_Netflix[[#This Row],[Duración Plan]],1))</f>
        <v>3</v>
      </c>
      <c r="W18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73" spans="1:23" x14ac:dyDescent="0.25">
      <c r="A1873">
        <v>1872</v>
      </c>
      <c r="B1873" t="s">
        <v>23</v>
      </c>
      <c r="C1873">
        <v>10</v>
      </c>
      <c r="D1873" s="3">
        <v>16</v>
      </c>
      <c r="E1873" s="3">
        <v>8</v>
      </c>
      <c r="F1873">
        <v>23</v>
      </c>
      <c r="G1873" s="1">
        <f>DATEVALUE(_xlfn.CONCAT(BBDD_Usiarios_Netflix[[#This Row],[Día Suscripción]],"/",BBDD_Usiarios_Netflix[[#This Row],[Mes Suscripción]],"/",BBDD_Usiarios_Netflix[[#This Row],[Año Suscripción]]))</f>
        <v>45154</v>
      </c>
      <c r="H1873" s="1">
        <v>8</v>
      </c>
      <c r="I1873" s="1">
        <v>7</v>
      </c>
      <c r="J1873" s="1">
        <v>24</v>
      </c>
      <c r="K1873" s="1" t="str">
        <f>TEXT(BBDD_Usiarios_Netflix[[#This Row],[Fecha Suscripción]],"dddd")</f>
        <v>miércoles</v>
      </c>
      <c r="L1873" s="1">
        <f>DATEVALUE(_xlfn.CONCAT(BBDD_Usiarios_Netflix[[#This Row],[Día Último Pago]],"/",BBDD_Usiarios_Netflix[[#This Row],[Mes Último Pago]],"/",BBDD_Usiarios_Netflix[[#This Row],[Año Último Pago]]))</f>
        <v>45481</v>
      </c>
      <c r="M1873" s="4">
        <f>DATEDIF(BBDD_Usiarios_Netflix[[#This Row],[Fecha Suscripción]],BBDD_Usiarios_Netflix[[#This Row],[Fecha Último Pago]],"M")+1</f>
        <v>11</v>
      </c>
      <c r="N1873" s="4">
        <f>BBDD_Usiarios_Netflix[[#This Row],[Ingresos Mensuales]]*BBDD_Usiarios_Netflix[[#This Row],[Meses contratados]]</f>
        <v>110</v>
      </c>
      <c r="O1873" t="s">
        <v>43</v>
      </c>
      <c r="P1873" t="str">
        <f>IF(BBDD_Usiarios_Netflix[[#This Row],[País]]="","Desconocido",BBDD_Usiarios_Netflix[[#This Row],[País]])</f>
        <v>Alemania</v>
      </c>
      <c r="Q1873">
        <v>49</v>
      </c>
      <c r="R1873" t="s">
        <v>30</v>
      </c>
      <c r="S1873" t="s">
        <v>26</v>
      </c>
      <c r="T1873" t="s">
        <v>38</v>
      </c>
      <c r="U1873">
        <f>IF(IFERROR(VLOOKUP(BBDD_Usiarios_Netflix[[#This Row],[Identificador Usuario]],A1874:$A$5870,1,FALSE),0)&lt;&gt;0,1,0)</f>
        <v>0</v>
      </c>
      <c r="V1873" s="6" t="str">
        <f>IF(BBDD_Usiarios_Netflix[[#This Row],[Duración Plan]]="12 Meses",LEFT(BBDD_Usiarios_Netflix[[#This Row],[Duración Plan]],2),LEFT(BBDD_Usiarios_Netflix[[#This Row],[Duración Plan]],1))</f>
        <v>3</v>
      </c>
      <c r="W18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74" spans="1:23" x14ac:dyDescent="0.25">
      <c r="A1874">
        <v>1873</v>
      </c>
      <c r="B1874" t="s">
        <v>32</v>
      </c>
      <c r="C1874">
        <v>12</v>
      </c>
      <c r="D1874" s="3">
        <v>18</v>
      </c>
      <c r="E1874" s="3">
        <v>8</v>
      </c>
      <c r="F1874">
        <v>23</v>
      </c>
      <c r="G1874" s="1">
        <f>DATEVALUE(_xlfn.CONCAT(BBDD_Usiarios_Netflix[[#This Row],[Día Suscripción]],"/",BBDD_Usiarios_Netflix[[#This Row],[Mes Suscripción]],"/",BBDD_Usiarios_Netflix[[#This Row],[Año Suscripción]]))</f>
        <v>45156</v>
      </c>
      <c r="H1874" s="1">
        <v>8</v>
      </c>
      <c r="I1874" s="1">
        <v>7</v>
      </c>
      <c r="J1874" s="1">
        <v>24</v>
      </c>
      <c r="K1874" s="1" t="str">
        <f>TEXT(BBDD_Usiarios_Netflix[[#This Row],[Fecha Suscripción]],"dddd")</f>
        <v>viernes</v>
      </c>
      <c r="L1874" s="1">
        <f>DATEVALUE(_xlfn.CONCAT(BBDD_Usiarios_Netflix[[#This Row],[Día Último Pago]],"/",BBDD_Usiarios_Netflix[[#This Row],[Mes Último Pago]],"/",BBDD_Usiarios_Netflix[[#This Row],[Año Último Pago]]))</f>
        <v>45481</v>
      </c>
      <c r="M1874" s="4">
        <f>DATEDIF(BBDD_Usiarios_Netflix[[#This Row],[Fecha Suscripción]],BBDD_Usiarios_Netflix[[#This Row],[Fecha Último Pago]],"M")+1</f>
        <v>11</v>
      </c>
      <c r="N1874" s="4">
        <f>BBDD_Usiarios_Netflix[[#This Row],[Ingresos Mensuales]]*BBDD_Usiarios_Netflix[[#This Row],[Meses contratados]]</f>
        <v>132</v>
      </c>
      <c r="O1874" t="s">
        <v>39</v>
      </c>
      <c r="P1874" t="str">
        <f>IF(BBDD_Usiarios_Netflix[[#This Row],[País]]="","Desconocido",BBDD_Usiarios_Netflix[[#This Row],[País]])</f>
        <v>Canadá</v>
      </c>
      <c r="Q1874">
        <v>50</v>
      </c>
      <c r="R1874" t="s">
        <v>25</v>
      </c>
      <c r="S1874" t="s">
        <v>26</v>
      </c>
      <c r="T1874" t="s">
        <v>27</v>
      </c>
      <c r="U1874">
        <f>IF(IFERROR(VLOOKUP(BBDD_Usiarios_Netflix[[#This Row],[Identificador Usuario]],A1875:$A$5870,1,FALSE),0)&lt;&gt;0,1,0)</f>
        <v>0</v>
      </c>
      <c r="V1874" s="6" t="str">
        <f>IF(BBDD_Usiarios_Netflix[[#This Row],[Duración Plan]]="12 Meses",LEFT(BBDD_Usiarios_Netflix[[#This Row],[Duración Plan]],2),LEFT(BBDD_Usiarios_Netflix[[#This Row],[Duración Plan]],1))</f>
        <v>1</v>
      </c>
      <c r="W18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75" spans="1:23" x14ac:dyDescent="0.25">
      <c r="A1875">
        <v>1874</v>
      </c>
      <c r="B1875" t="s">
        <v>28</v>
      </c>
      <c r="C1875">
        <v>14</v>
      </c>
      <c r="D1875" s="3">
        <v>25</v>
      </c>
      <c r="E1875" s="3">
        <v>8</v>
      </c>
      <c r="F1875">
        <v>23</v>
      </c>
      <c r="G1875" s="1">
        <f>DATEVALUE(_xlfn.CONCAT(BBDD_Usiarios_Netflix[[#This Row],[Día Suscripción]],"/",BBDD_Usiarios_Netflix[[#This Row],[Mes Suscripción]],"/",BBDD_Usiarios_Netflix[[#This Row],[Año Suscripción]]))</f>
        <v>45163</v>
      </c>
      <c r="H1875" s="1">
        <v>9</v>
      </c>
      <c r="I1875" s="1">
        <v>7</v>
      </c>
      <c r="J1875" s="1">
        <v>24</v>
      </c>
      <c r="K1875" s="1" t="str">
        <f>TEXT(BBDD_Usiarios_Netflix[[#This Row],[Fecha Suscripción]],"dddd")</f>
        <v>viernes</v>
      </c>
      <c r="L1875" s="1">
        <f>DATEVALUE(_xlfn.CONCAT(BBDD_Usiarios_Netflix[[#This Row],[Día Último Pago]],"/",BBDD_Usiarios_Netflix[[#This Row],[Mes Último Pago]],"/",BBDD_Usiarios_Netflix[[#This Row],[Año Último Pago]]))</f>
        <v>45482</v>
      </c>
      <c r="M1875" s="4">
        <f>DATEDIF(BBDD_Usiarios_Netflix[[#This Row],[Fecha Suscripción]],BBDD_Usiarios_Netflix[[#This Row],[Fecha Último Pago]],"M")+1</f>
        <v>11</v>
      </c>
      <c r="N1875" s="4">
        <f>BBDD_Usiarios_Netflix[[#This Row],[Ingresos Mensuales]]*BBDD_Usiarios_Netflix[[#This Row],[Meses contratados]]</f>
        <v>154</v>
      </c>
      <c r="O1875" t="s">
        <v>29</v>
      </c>
      <c r="P1875" t="str">
        <f>IF(BBDD_Usiarios_Netflix[[#This Row],[País]]="","Desconocido",BBDD_Usiarios_Netflix[[#This Row],[País]])</f>
        <v>EEUU</v>
      </c>
      <c r="Q1875">
        <v>50</v>
      </c>
      <c r="R1875" t="s">
        <v>25</v>
      </c>
      <c r="S1875" t="s">
        <v>26</v>
      </c>
      <c r="T1875" t="s">
        <v>38</v>
      </c>
      <c r="U1875">
        <f>IF(IFERROR(VLOOKUP(BBDD_Usiarios_Netflix[[#This Row],[Identificador Usuario]],A1876:$A$5870,1,FALSE),0)&lt;&gt;0,1,0)</f>
        <v>0</v>
      </c>
      <c r="V1875" s="6" t="str">
        <f>IF(BBDD_Usiarios_Netflix[[#This Row],[Duración Plan]]="12 Meses",LEFT(BBDD_Usiarios_Netflix[[#This Row],[Duración Plan]],2),LEFT(BBDD_Usiarios_Netflix[[#This Row],[Duración Plan]],1))</f>
        <v>3</v>
      </c>
      <c r="W18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76" spans="1:23" x14ac:dyDescent="0.25">
      <c r="A1876">
        <v>1875</v>
      </c>
      <c r="B1876" t="s">
        <v>23</v>
      </c>
      <c r="C1876">
        <v>10</v>
      </c>
      <c r="D1876" s="3">
        <v>29</v>
      </c>
      <c r="E1876" s="3">
        <v>8</v>
      </c>
      <c r="F1876">
        <v>23</v>
      </c>
      <c r="G1876" s="1">
        <f>DATEVALUE(_xlfn.CONCAT(BBDD_Usiarios_Netflix[[#This Row],[Día Suscripción]],"/",BBDD_Usiarios_Netflix[[#This Row],[Mes Suscripción]],"/",BBDD_Usiarios_Netflix[[#This Row],[Año Suscripción]]))</f>
        <v>45167</v>
      </c>
      <c r="H1876" s="1">
        <v>6</v>
      </c>
      <c r="I1876" s="1">
        <v>7</v>
      </c>
      <c r="J1876" s="1">
        <v>24</v>
      </c>
      <c r="K1876" s="1" t="str">
        <f>TEXT(BBDD_Usiarios_Netflix[[#This Row],[Fecha Suscripción]],"dddd")</f>
        <v>martes</v>
      </c>
      <c r="L1876" s="1">
        <f>DATEVALUE(_xlfn.CONCAT(BBDD_Usiarios_Netflix[[#This Row],[Día Último Pago]],"/",BBDD_Usiarios_Netflix[[#This Row],[Mes Último Pago]],"/",BBDD_Usiarios_Netflix[[#This Row],[Año Último Pago]]))</f>
        <v>45479</v>
      </c>
      <c r="M1876" s="4">
        <f>DATEDIF(BBDD_Usiarios_Netflix[[#This Row],[Fecha Suscripción]],BBDD_Usiarios_Netflix[[#This Row],[Fecha Último Pago]],"M")+1</f>
        <v>11</v>
      </c>
      <c r="N1876" s="4">
        <f>BBDD_Usiarios_Netflix[[#This Row],[Ingresos Mensuales]]*BBDD_Usiarios_Netflix[[#This Row],[Meses contratados]]</f>
        <v>110</v>
      </c>
      <c r="O1876" t="s">
        <v>42</v>
      </c>
      <c r="P1876" t="str">
        <f>IF(BBDD_Usiarios_Netflix[[#This Row],[País]]="","Desconocido",BBDD_Usiarios_Netflix[[#This Row],[País]])</f>
        <v>Reino Unido</v>
      </c>
      <c r="Q1876">
        <v>51</v>
      </c>
      <c r="R1876" t="s">
        <v>25</v>
      </c>
      <c r="S1876" t="s">
        <v>34</v>
      </c>
      <c r="T1876" t="s">
        <v>27</v>
      </c>
      <c r="U1876">
        <f>IF(IFERROR(VLOOKUP(BBDD_Usiarios_Netflix[[#This Row],[Identificador Usuario]],A1877:$A$5870,1,FALSE),0)&lt;&gt;0,1,0)</f>
        <v>0</v>
      </c>
      <c r="V1876" s="6" t="str">
        <f>IF(BBDD_Usiarios_Netflix[[#This Row],[Duración Plan]]="12 Meses",LEFT(BBDD_Usiarios_Netflix[[#This Row],[Duración Plan]],2),LEFT(BBDD_Usiarios_Netflix[[#This Row],[Duración Plan]],1))</f>
        <v>1</v>
      </c>
      <c r="W18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77" spans="1:23" x14ac:dyDescent="0.25">
      <c r="A1877">
        <v>1876</v>
      </c>
      <c r="B1877" t="s">
        <v>23</v>
      </c>
      <c r="C1877">
        <v>10</v>
      </c>
      <c r="D1877" s="3">
        <v>4</v>
      </c>
      <c r="E1877" s="3">
        <v>9</v>
      </c>
      <c r="F1877">
        <v>23</v>
      </c>
      <c r="G1877" s="1">
        <f>DATEVALUE(_xlfn.CONCAT(BBDD_Usiarios_Netflix[[#This Row],[Día Suscripción]],"/",BBDD_Usiarios_Netflix[[#This Row],[Mes Suscripción]],"/",BBDD_Usiarios_Netflix[[#This Row],[Año Suscripción]]))</f>
        <v>45173</v>
      </c>
      <c r="H1877" s="1">
        <v>9</v>
      </c>
      <c r="I1877" s="1">
        <v>7</v>
      </c>
      <c r="J1877" s="1">
        <v>24</v>
      </c>
      <c r="K1877" s="1" t="str">
        <f>TEXT(BBDD_Usiarios_Netflix[[#This Row],[Fecha Suscripción]],"dddd")</f>
        <v>lunes</v>
      </c>
      <c r="L1877" s="1">
        <f>DATEVALUE(_xlfn.CONCAT(BBDD_Usiarios_Netflix[[#This Row],[Día Último Pago]],"/",BBDD_Usiarios_Netflix[[#This Row],[Mes Último Pago]],"/",BBDD_Usiarios_Netflix[[#This Row],[Año Último Pago]]))</f>
        <v>45482</v>
      </c>
      <c r="M1877" s="4">
        <f>DATEDIF(BBDD_Usiarios_Netflix[[#This Row],[Fecha Suscripción]],BBDD_Usiarios_Netflix[[#This Row],[Fecha Último Pago]],"M")+1</f>
        <v>11</v>
      </c>
      <c r="N1877" s="4">
        <f>BBDD_Usiarios_Netflix[[#This Row],[Ingresos Mensuales]]*BBDD_Usiarios_Netflix[[#This Row],[Meses contratados]]</f>
        <v>110</v>
      </c>
      <c r="O1877" t="s">
        <v>43</v>
      </c>
      <c r="P1877" t="str">
        <f>IF(BBDD_Usiarios_Netflix[[#This Row],[País]]="","Desconocido",BBDD_Usiarios_Netflix[[#This Row],[País]])</f>
        <v>Alemania</v>
      </c>
      <c r="Q1877">
        <v>29</v>
      </c>
      <c r="R1877" t="s">
        <v>25</v>
      </c>
      <c r="S1877" t="s">
        <v>31</v>
      </c>
      <c r="T1877" t="s">
        <v>38</v>
      </c>
      <c r="U1877">
        <f>IF(IFERROR(VLOOKUP(BBDD_Usiarios_Netflix[[#This Row],[Identificador Usuario]],A1878:$A$5870,1,FALSE),0)&lt;&gt;0,1,0)</f>
        <v>0</v>
      </c>
      <c r="V1877" s="6" t="str">
        <f>IF(BBDD_Usiarios_Netflix[[#This Row],[Duración Plan]]="12 Meses",LEFT(BBDD_Usiarios_Netflix[[#This Row],[Duración Plan]],2),LEFT(BBDD_Usiarios_Netflix[[#This Row],[Duración Plan]],1))</f>
        <v>3</v>
      </c>
      <c r="W18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78" spans="1:23" x14ac:dyDescent="0.25">
      <c r="A1878">
        <v>1877</v>
      </c>
      <c r="B1878" t="s">
        <v>28</v>
      </c>
      <c r="C1878">
        <v>14</v>
      </c>
      <c r="D1878" s="3">
        <v>13</v>
      </c>
      <c r="E1878" s="3">
        <v>9</v>
      </c>
      <c r="F1878">
        <v>23</v>
      </c>
      <c r="G1878" s="1">
        <f>DATEVALUE(_xlfn.CONCAT(BBDD_Usiarios_Netflix[[#This Row],[Día Suscripción]],"/",BBDD_Usiarios_Netflix[[#This Row],[Mes Suscripción]],"/",BBDD_Usiarios_Netflix[[#This Row],[Año Suscripción]]))</f>
        <v>45182</v>
      </c>
      <c r="H1878" s="1">
        <v>7</v>
      </c>
      <c r="I1878" s="1">
        <v>7</v>
      </c>
      <c r="J1878" s="1">
        <v>24</v>
      </c>
      <c r="K1878" s="1" t="str">
        <f>TEXT(BBDD_Usiarios_Netflix[[#This Row],[Fecha Suscripción]],"dddd")</f>
        <v>miércoles</v>
      </c>
      <c r="L1878" s="1">
        <f>DATEVALUE(_xlfn.CONCAT(BBDD_Usiarios_Netflix[[#This Row],[Día Último Pago]],"/",BBDD_Usiarios_Netflix[[#This Row],[Mes Último Pago]],"/",BBDD_Usiarios_Netflix[[#This Row],[Año Último Pago]]))</f>
        <v>45480</v>
      </c>
      <c r="M1878" s="4">
        <f>DATEDIF(BBDD_Usiarios_Netflix[[#This Row],[Fecha Suscripción]],BBDD_Usiarios_Netflix[[#This Row],[Fecha Último Pago]],"M")+1</f>
        <v>10</v>
      </c>
      <c r="N1878" s="4">
        <f>BBDD_Usiarios_Netflix[[#This Row],[Ingresos Mensuales]]*BBDD_Usiarios_Netflix[[#This Row],[Meses contratados]]</f>
        <v>140</v>
      </c>
      <c r="O1878" t="s">
        <v>40</v>
      </c>
      <c r="P1878" t="str">
        <f>IF(BBDD_Usiarios_Netflix[[#This Row],[País]]="","Desconocido",BBDD_Usiarios_Netflix[[#This Row],[País]])</f>
        <v>Italia</v>
      </c>
      <c r="Q1878">
        <v>50</v>
      </c>
      <c r="R1878" t="s">
        <v>30</v>
      </c>
      <c r="S1878" t="s">
        <v>26</v>
      </c>
      <c r="T1878" t="s">
        <v>38</v>
      </c>
      <c r="U1878">
        <f>IF(IFERROR(VLOOKUP(BBDD_Usiarios_Netflix[[#This Row],[Identificador Usuario]],A1879:$A$5870,1,FALSE),0)&lt;&gt;0,1,0)</f>
        <v>0</v>
      </c>
      <c r="V1878" s="6" t="str">
        <f>IF(BBDD_Usiarios_Netflix[[#This Row],[Duración Plan]]="12 Meses",LEFT(BBDD_Usiarios_Netflix[[#This Row],[Duración Plan]],2),LEFT(BBDD_Usiarios_Netflix[[#This Row],[Duración Plan]],1))</f>
        <v>3</v>
      </c>
      <c r="W18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79" spans="1:23" x14ac:dyDescent="0.25">
      <c r="A1879">
        <v>1878</v>
      </c>
      <c r="B1879" t="s">
        <v>32</v>
      </c>
      <c r="C1879">
        <v>12</v>
      </c>
      <c r="D1879" s="3">
        <v>14</v>
      </c>
      <c r="E1879" s="3">
        <v>9</v>
      </c>
      <c r="F1879">
        <v>23</v>
      </c>
      <c r="G1879" s="1">
        <f>DATEVALUE(_xlfn.CONCAT(BBDD_Usiarios_Netflix[[#This Row],[Día Suscripción]],"/",BBDD_Usiarios_Netflix[[#This Row],[Mes Suscripción]],"/",BBDD_Usiarios_Netflix[[#This Row],[Año Suscripción]]))</f>
        <v>45183</v>
      </c>
      <c r="H1879" s="1">
        <v>8</v>
      </c>
      <c r="I1879" s="1">
        <v>7</v>
      </c>
      <c r="J1879" s="1">
        <v>24</v>
      </c>
      <c r="K1879" s="1" t="str">
        <f>TEXT(BBDD_Usiarios_Netflix[[#This Row],[Fecha Suscripción]],"dddd")</f>
        <v>jueves</v>
      </c>
      <c r="L1879" s="1">
        <f>DATEVALUE(_xlfn.CONCAT(BBDD_Usiarios_Netflix[[#This Row],[Día Último Pago]],"/",BBDD_Usiarios_Netflix[[#This Row],[Mes Último Pago]],"/",BBDD_Usiarios_Netflix[[#This Row],[Año Último Pago]]))</f>
        <v>45481</v>
      </c>
      <c r="M1879" s="4">
        <f>DATEDIF(BBDD_Usiarios_Netflix[[#This Row],[Fecha Suscripción]],BBDD_Usiarios_Netflix[[#This Row],[Fecha Último Pago]],"M")+1</f>
        <v>10</v>
      </c>
      <c r="N1879" s="4">
        <f>BBDD_Usiarios_Netflix[[#This Row],[Ingresos Mensuales]]*BBDD_Usiarios_Netflix[[#This Row],[Meses contratados]]</f>
        <v>120</v>
      </c>
      <c r="O1879" t="s">
        <v>45</v>
      </c>
      <c r="P1879" t="str">
        <f>IF(BBDD_Usiarios_Netflix[[#This Row],[País]]="","Desconocido",BBDD_Usiarios_Netflix[[#This Row],[País]])</f>
        <v>España</v>
      </c>
      <c r="Q1879">
        <v>39</v>
      </c>
      <c r="R1879" t="s">
        <v>30</v>
      </c>
      <c r="S1879" t="s">
        <v>31</v>
      </c>
      <c r="T1879" t="s">
        <v>35</v>
      </c>
      <c r="U1879">
        <f>IF(IFERROR(VLOOKUP(BBDD_Usiarios_Netflix[[#This Row],[Identificador Usuario]],A1880:$A$5870,1,FALSE),0)&lt;&gt;0,1,0)</f>
        <v>0</v>
      </c>
      <c r="V1879" s="6" t="str">
        <f>IF(BBDD_Usiarios_Netflix[[#This Row],[Duración Plan]]="12 Meses",LEFT(BBDD_Usiarios_Netflix[[#This Row],[Duración Plan]],2),LEFT(BBDD_Usiarios_Netflix[[#This Row],[Duración Plan]],1))</f>
        <v>6</v>
      </c>
      <c r="W18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80" spans="1:23" x14ac:dyDescent="0.25">
      <c r="A1880">
        <v>1879</v>
      </c>
      <c r="B1880" t="s">
        <v>32</v>
      </c>
      <c r="C1880">
        <v>12</v>
      </c>
      <c r="D1880" s="3">
        <v>17</v>
      </c>
      <c r="E1880" s="3">
        <v>9</v>
      </c>
      <c r="F1880">
        <v>23</v>
      </c>
      <c r="G1880" s="1">
        <f>DATEVALUE(_xlfn.CONCAT(BBDD_Usiarios_Netflix[[#This Row],[Día Suscripción]],"/",BBDD_Usiarios_Netflix[[#This Row],[Mes Suscripción]],"/",BBDD_Usiarios_Netflix[[#This Row],[Año Suscripción]]))</f>
        <v>45186</v>
      </c>
      <c r="H1880" s="1">
        <v>6</v>
      </c>
      <c r="I1880" s="1">
        <v>7</v>
      </c>
      <c r="J1880" s="1">
        <v>24</v>
      </c>
      <c r="K1880" s="1" t="str">
        <f>TEXT(BBDD_Usiarios_Netflix[[#This Row],[Fecha Suscripción]],"dddd")</f>
        <v>domingo</v>
      </c>
      <c r="L1880" s="1">
        <f>DATEVALUE(_xlfn.CONCAT(BBDD_Usiarios_Netflix[[#This Row],[Día Último Pago]],"/",BBDD_Usiarios_Netflix[[#This Row],[Mes Último Pago]],"/",BBDD_Usiarios_Netflix[[#This Row],[Año Último Pago]]))</f>
        <v>45479</v>
      </c>
      <c r="M1880" s="4">
        <f>DATEDIF(BBDD_Usiarios_Netflix[[#This Row],[Fecha Suscripción]],BBDD_Usiarios_Netflix[[#This Row],[Fecha Último Pago]],"M")+1</f>
        <v>10</v>
      </c>
      <c r="N1880" s="4">
        <f>BBDD_Usiarios_Netflix[[#This Row],[Ingresos Mensuales]]*BBDD_Usiarios_Netflix[[#This Row],[Meses contratados]]</f>
        <v>120</v>
      </c>
      <c r="O1880" t="s">
        <v>39</v>
      </c>
      <c r="P1880" t="str">
        <f>IF(BBDD_Usiarios_Netflix[[#This Row],[País]]="","Desconocido",BBDD_Usiarios_Netflix[[#This Row],[País]])</f>
        <v>Canadá</v>
      </c>
      <c r="Q1880">
        <v>27</v>
      </c>
      <c r="R1880" t="s">
        <v>30</v>
      </c>
      <c r="S1880" t="s">
        <v>34</v>
      </c>
      <c r="T1880" t="s">
        <v>41</v>
      </c>
      <c r="U1880">
        <f>IF(IFERROR(VLOOKUP(BBDD_Usiarios_Netflix[[#This Row],[Identificador Usuario]],A1881:$A$5870,1,FALSE),0)&lt;&gt;0,1,0)</f>
        <v>0</v>
      </c>
      <c r="V1880" s="6" t="str">
        <f>IF(BBDD_Usiarios_Netflix[[#This Row],[Duración Plan]]="12 Meses",LEFT(BBDD_Usiarios_Netflix[[#This Row],[Duración Plan]],2),LEFT(BBDD_Usiarios_Netflix[[#This Row],[Duración Plan]],1))</f>
        <v>12</v>
      </c>
      <c r="W18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81" spans="1:23" x14ac:dyDescent="0.25">
      <c r="A1881">
        <v>1880</v>
      </c>
      <c r="B1881" t="s">
        <v>23</v>
      </c>
      <c r="C1881">
        <v>10</v>
      </c>
      <c r="D1881" s="3">
        <v>18</v>
      </c>
      <c r="E1881" s="3">
        <v>9</v>
      </c>
      <c r="F1881">
        <v>23</v>
      </c>
      <c r="G1881" s="1">
        <f>DATEVALUE(_xlfn.CONCAT(BBDD_Usiarios_Netflix[[#This Row],[Día Suscripción]],"/",BBDD_Usiarios_Netflix[[#This Row],[Mes Suscripción]],"/",BBDD_Usiarios_Netflix[[#This Row],[Año Suscripción]]))</f>
        <v>45187</v>
      </c>
      <c r="H1881" s="1">
        <v>10</v>
      </c>
      <c r="I1881" s="1">
        <v>7</v>
      </c>
      <c r="J1881" s="1">
        <v>24</v>
      </c>
      <c r="K1881" s="1" t="str">
        <f>TEXT(BBDD_Usiarios_Netflix[[#This Row],[Fecha Suscripción]],"dddd")</f>
        <v>lunes</v>
      </c>
      <c r="L1881" s="1">
        <f>DATEVALUE(_xlfn.CONCAT(BBDD_Usiarios_Netflix[[#This Row],[Día Último Pago]],"/",BBDD_Usiarios_Netflix[[#This Row],[Mes Último Pago]],"/",BBDD_Usiarios_Netflix[[#This Row],[Año Último Pago]]))</f>
        <v>45483</v>
      </c>
      <c r="M1881" s="4">
        <f>DATEDIF(BBDD_Usiarios_Netflix[[#This Row],[Fecha Suscripción]],BBDD_Usiarios_Netflix[[#This Row],[Fecha Último Pago]],"M")+1</f>
        <v>10</v>
      </c>
      <c r="N1881" s="4">
        <f>BBDD_Usiarios_Netflix[[#This Row],[Ingresos Mensuales]]*BBDD_Usiarios_Netflix[[#This Row],[Meses contratados]]</f>
        <v>100</v>
      </c>
      <c r="O1881" t="s">
        <v>45</v>
      </c>
      <c r="P1881" t="str">
        <f>IF(BBDD_Usiarios_Netflix[[#This Row],[País]]="","Desconocido",BBDD_Usiarios_Netflix[[#This Row],[País]])</f>
        <v>España</v>
      </c>
      <c r="Q1881">
        <v>29</v>
      </c>
      <c r="R1881" t="s">
        <v>25</v>
      </c>
      <c r="S1881" t="s">
        <v>34</v>
      </c>
      <c r="T1881" t="s">
        <v>38</v>
      </c>
      <c r="U1881">
        <f>IF(IFERROR(VLOOKUP(BBDD_Usiarios_Netflix[[#This Row],[Identificador Usuario]],A1882:$A$5870,1,FALSE),0)&lt;&gt;0,1,0)</f>
        <v>0</v>
      </c>
      <c r="V1881" s="6" t="str">
        <f>IF(BBDD_Usiarios_Netflix[[#This Row],[Duración Plan]]="12 Meses",LEFT(BBDD_Usiarios_Netflix[[#This Row],[Duración Plan]],2),LEFT(BBDD_Usiarios_Netflix[[#This Row],[Duración Plan]],1))</f>
        <v>3</v>
      </c>
      <c r="W18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82" spans="1:23" x14ac:dyDescent="0.25">
      <c r="A1882">
        <v>1881</v>
      </c>
      <c r="B1882" t="s">
        <v>28</v>
      </c>
      <c r="C1882">
        <v>14</v>
      </c>
      <c r="D1882" s="3">
        <v>23</v>
      </c>
      <c r="E1882" s="3">
        <v>9</v>
      </c>
      <c r="F1882">
        <v>23</v>
      </c>
      <c r="G1882" s="1">
        <f>DATEVALUE(_xlfn.CONCAT(BBDD_Usiarios_Netflix[[#This Row],[Día Suscripción]],"/",BBDD_Usiarios_Netflix[[#This Row],[Mes Suscripción]],"/",BBDD_Usiarios_Netflix[[#This Row],[Año Suscripción]]))</f>
        <v>45192</v>
      </c>
      <c r="H1882" s="1">
        <v>7</v>
      </c>
      <c r="I1882" s="1">
        <v>7</v>
      </c>
      <c r="J1882" s="1">
        <v>24</v>
      </c>
      <c r="K1882" s="1" t="str">
        <f>TEXT(BBDD_Usiarios_Netflix[[#This Row],[Fecha Suscripción]],"dddd")</f>
        <v>sábado</v>
      </c>
      <c r="L1882" s="1">
        <f>DATEVALUE(_xlfn.CONCAT(BBDD_Usiarios_Netflix[[#This Row],[Día Último Pago]],"/",BBDD_Usiarios_Netflix[[#This Row],[Mes Último Pago]],"/",BBDD_Usiarios_Netflix[[#This Row],[Año Último Pago]]))</f>
        <v>45480</v>
      </c>
      <c r="M1882" s="4">
        <f>DATEDIF(BBDD_Usiarios_Netflix[[#This Row],[Fecha Suscripción]],BBDD_Usiarios_Netflix[[#This Row],[Fecha Último Pago]],"M")+1</f>
        <v>10</v>
      </c>
      <c r="N1882" s="4">
        <f>BBDD_Usiarios_Netflix[[#This Row],[Ingresos Mensuales]]*BBDD_Usiarios_Netflix[[#This Row],[Meses contratados]]</f>
        <v>140</v>
      </c>
      <c r="O1882" t="s">
        <v>33</v>
      </c>
      <c r="P1882" t="str">
        <f>IF(BBDD_Usiarios_Netflix[[#This Row],[País]]="","Desconocido",BBDD_Usiarios_Netflix[[#This Row],[País]])</f>
        <v>Francia</v>
      </c>
      <c r="Q1882">
        <v>28</v>
      </c>
      <c r="R1882" t="s">
        <v>25</v>
      </c>
      <c r="S1882" t="s">
        <v>31</v>
      </c>
      <c r="T1882" t="s">
        <v>27</v>
      </c>
      <c r="U1882">
        <f>IF(IFERROR(VLOOKUP(BBDD_Usiarios_Netflix[[#This Row],[Identificador Usuario]],A1883:$A$5870,1,FALSE),0)&lt;&gt;0,1,0)</f>
        <v>0</v>
      </c>
      <c r="V1882" s="6" t="str">
        <f>IF(BBDD_Usiarios_Netflix[[#This Row],[Duración Plan]]="12 Meses",LEFT(BBDD_Usiarios_Netflix[[#This Row],[Duración Plan]],2),LEFT(BBDD_Usiarios_Netflix[[#This Row],[Duración Plan]],1))</f>
        <v>1</v>
      </c>
      <c r="W18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83" spans="1:23" x14ac:dyDescent="0.25">
      <c r="A1883">
        <v>1882</v>
      </c>
      <c r="B1883" t="s">
        <v>32</v>
      </c>
      <c r="C1883">
        <v>12</v>
      </c>
      <c r="D1883" s="3">
        <v>27</v>
      </c>
      <c r="E1883" s="3">
        <v>9</v>
      </c>
      <c r="F1883">
        <v>23</v>
      </c>
      <c r="G1883" s="1">
        <f>DATEVALUE(_xlfn.CONCAT(BBDD_Usiarios_Netflix[[#This Row],[Día Suscripción]],"/",BBDD_Usiarios_Netflix[[#This Row],[Mes Suscripción]],"/",BBDD_Usiarios_Netflix[[#This Row],[Año Suscripción]]))</f>
        <v>45196</v>
      </c>
      <c r="H1883" s="1">
        <v>8</v>
      </c>
      <c r="I1883" s="1">
        <v>7</v>
      </c>
      <c r="J1883" s="1">
        <v>24</v>
      </c>
      <c r="K1883" s="1" t="str">
        <f>TEXT(BBDD_Usiarios_Netflix[[#This Row],[Fecha Suscripción]],"dddd")</f>
        <v>miércoles</v>
      </c>
      <c r="L1883" s="1">
        <f>DATEVALUE(_xlfn.CONCAT(BBDD_Usiarios_Netflix[[#This Row],[Día Último Pago]],"/",BBDD_Usiarios_Netflix[[#This Row],[Mes Último Pago]],"/",BBDD_Usiarios_Netflix[[#This Row],[Año Último Pago]]))</f>
        <v>45481</v>
      </c>
      <c r="M1883" s="4">
        <f>DATEDIF(BBDD_Usiarios_Netflix[[#This Row],[Fecha Suscripción]],BBDD_Usiarios_Netflix[[#This Row],[Fecha Último Pago]],"M")+1</f>
        <v>10</v>
      </c>
      <c r="N1883" s="4">
        <f>BBDD_Usiarios_Netflix[[#This Row],[Ingresos Mensuales]]*BBDD_Usiarios_Netflix[[#This Row],[Meses contratados]]</f>
        <v>120</v>
      </c>
      <c r="O1883" t="s">
        <v>42</v>
      </c>
      <c r="P1883" t="str">
        <f>IF(BBDD_Usiarios_Netflix[[#This Row],[País]]="","Desconocido",BBDD_Usiarios_Netflix[[#This Row],[País]])</f>
        <v>Reino Unido</v>
      </c>
      <c r="Q1883">
        <v>46</v>
      </c>
      <c r="R1883" t="s">
        <v>25</v>
      </c>
      <c r="S1883" t="s">
        <v>26</v>
      </c>
      <c r="T1883" t="s">
        <v>27</v>
      </c>
      <c r="U1883">
        <f>IF(IFERROR(VLOOKUP(BBDD_Usiarios_Netflix[[#This Row],[Identificador Usuario]],A1884:$A$5870,1,FALSE),0)&lt;&gt;0,1,0)</f>
        <v>0</v>
      </c>
      <c r="V1883" s="6" t="str">
        <f>IF(BBDD_Usiarios_Netflix[[#This Row],[Duración Plan]]="12 Meses",LEFT(BBDD_Usiarios_Netflix[[#This Row],[Duración Plan]],2),LEFT(BBDD_Usiarios_Netflix[[#This Row],[Duración Plan]],1))</f>
        <v>1</v>
      </c>
      <c r="W18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84" spans="1:23" x14ac:dyDescent="0.25">
      <c r="A1884">
        <v>1883</v>
      </c>
      <c r="B1884" t="s">
        <v>23</v>
      </c>
      <c r="C1884">
        <v>10</v>
      </c>
      <c r="D1884" s="3">
        <v>4</v>
      </c>
      <c r="E1884" s="3">
        <v>10</v>
      </c>
      <c r="F1884">
        <v>23</v>
      </c>
      <c r="G1884" s="1">
        <f>DATEVALUE(_xlfn.CONCAT(BBDD_Usiarios_Netflix[[#This Row],[Día Suscripción]],"/",BBDD_Usiarios_Netflix[[#This Row],[Mes Suscripción]],"/",BBDD_Usiarios_Netflix[[#This Row],[Año Suscripción]]))</f>
        <v>45203</v>
      </c>
      <c r="H1884" s="1">
        <v>8</v>
      </c>
      <c r="I1884" s="1">
        <v>7</v>
      </c>
      <c r="J1884" s="1">
        <v>24</v>
      </c>
      <c r="K1884" s="1" t="str">
        <f>TEXT(BBDD_Usiarios_Netflix[[#This Row],[Fecha Suscripción]],"dddd")</f>
        <v>miércoles</v>
      </c>
      <c r="L1884" s="1">
        <f>DATEVALUE(_xlfn.CONCAT(BBDD_Usiarios_Netflix[[#This Row],[Día Último Pago]],"/",BBDD_Usiarios_Netflix[[#This Row],[Mes Último Pago]],"/",BBDD_Usiarios_Netflix[[#This Row],[Año Último Pago]]))</f>
        <v>45481</v>
      </c>
      <c r="M1884" s="4">
        <f>DATEDIF(BBDD_Usiarios_Netflix[[#This Row],[Fecha Suscripción]],BBDD_Usiarios_Netflix[[#This Row],[Fecha Último Pago]],"M")+1</f>
        <v>10</v>
      </c>
      <c r="N1884" s="4">
        <f>BBDD_Usiarios_Netflix[[#This Row],[Ingresos Mensuales]]*BBDD_Usiarios_Netflix[[#This Row],[Meses contratados]]</f>
        <v>100</v>
      </c>
      <c r="O1884" t="s">
        <v>33</v>
      </c>
      <c r="P1884" t="str">
        <f>IF(BBDD_Usiarios_Netflix[[#This Row],[País]]="","Desconocido",BBDD_Usiarios_Netflix[[#This Row],[País]])</f>
        <v>Francia</v>
      </c>
      <c r="Q1884">
        <v>50</v>
      </c>
      <c r="R1884" t="s">
        <v>30</v>
      </c>
      <c r="S1884" t="s">
        <v>31</v>
      </c>
      <c r="T1884" t="s">
        <v>38</v>
      </c>
      <c r="U1884">
        <f>IF(IFERROR(VLOOKUP(BBDD_Usiarios_Netflix[[#This Row],[Identificador Usuario]],A1885:$A$5870,1,FALSE),0)&lt;&gt;0,1,0)</f>
        <v>0</v>
      </c>
      <c r="V1884" s="6" t="str">
        <f>IF(BBDD_Usiarios_Netflix[[#This Row],[Duración Plan]]="12 Meses",LEFT(BBDD_Usiarios_Netflix[[#This Row],[Duración Plan]],2),LEFT(BBDD_Usiarios_Netflix[[#This Row],[Duración Plan]],1))</f>
        <v>3</v>
      </c>
      <c r="W18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85" spans="1:23" x14ac:dyDescent="0.25">
      <c r="A1885">
        <v>1884</v>
      </c>
      <c r="B1885" t="s">
        <v>32</v>
      </c>
      <c r="C1885">
        <v>12</v>
      </c>
      <c r="D1885" s="3">
        <v>9</v>
      </c>
      <c r="E1885" s="3">
        <v>10</v>
      </c>
      <c r="F1885">
        <v>23</v>
      </c>
      <c r="G1885" s="1">
        <f>DATEVALUE(_xlfn.CONCAT(BBDD_Usiarios_Netflix[[#This Row],[Día Suscripción]],"/",BBDD_Usiarios_Netflix[[#This Row],[Mes Suscripción]],"/",BBDD_Usiarios_Netflix[[#This Row],[Año Suscripción]]))</f>
        <v>45208</v>
      </c>
      <c r="H1885" s="1">
        <v>11</v>
      </c>
      <c r="I1885" s="1">
        <v>7</v>
      </c>
      <c r="J1885" s="1">
        <v>24</v>
      </c>
      <c r="K1885" s="1" t="str">
        <f>TEXT(BBDD_Usiarios_Netflix[[#This Row],[Fecha Suscripción]],"dddd")</f>
        <v>lunes</v>
      </c>
      <c r="L1885" s="1">
        <f>DATEVALUE(_xlfn.CONCAT(BBDD_Usiarios_Netflix[[#This Row],[Día Último Pago]],"/",BBDD_Usiarios_Netflix[[#This Row],[Mes Último Pago]],"/",BBDD_Usiarios_Netflix[[#This Row],[Año Último Pago]]))</f>
        <v>45484</v>
      </c>
      <c r="M1885" s="4">
        <f>DATEDIF(BBDD_Usiarios_Netflix[[#This Row],[Fecha Suscripción]],BBDD_Usiarios_Netflix[[#This Row],[Fecha Último Pago]],"M")+1</f>
        <v>10</v>
      </c>
      <c r="N1885" s="4">
        <f>BBDD_Usiarios_Netflix[[#This Row],[Ingresos Mensuales]]*BBDD_Usiarios_Netflix[[#This Row],[Meses contratados]]</f>
        <v>120</v>
      </c>
      <c r="O1885" t="s">
        <v>29</v>
      </c>
      <c r="P1885" t="str">
        <f>IF(BBDD_Usiarios_Netflix[[#This Row],[País]]="","Desconocido",BBDD_Usiarios_Netflix[[#This Row],[País]])</f>
        <v>EEUU</v>
      </c>
      <c r="Q1885">
        <v>33</v>
      </c>
      <c r="R1885" t="s">
        <v>30</v>
      </c>
      <c r="S1885" t="s">
        <v>31</v>
      </c>
      <c r="T1885" t="s">
        <v>38</v>
      </c>
      <c r="U1885">
        <f>IF(IFERROR(VLOOKUP(BBDD_Usiarios_Netflix[[#This Row],[Identificador Usuario]],A1886:$A$5870,1,FALSE),0)&lt;&gt;0,1,0)</f>
        <v>0</v>
      </c>
      <c r="V1885" s="6" t="str">
        <f>IF(BBDD_Usiarios_Netflix[[#This Row],[Duración Plan]]="12 Meses",LEFT(BBDD_Usiarios_Netflix[[#This Row],[Duración Plan]],2),LEFT(BBDD_Usiarios_Netflix[[#This Row],[Duración Plan]],1))</f>
        <v>3</v>
      </c>
      <c r="W18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86" spans="1:23" x14ac:dyDescent="0.25">
      <c r="A1886">
        <v>1885</v>
      </c>
      <c r="B1886" t="s">
        <v>28</v>
      </c>
      <c r="C1886">
        <v>14</v>
      </c>
      <c r="D1886" s="3">
        <v>10</v>
      </c>
      <c r="E1886" s="3">
        <v>10</v>
      </c>
      <c r="F1886">
        <v>23</v>
      </c>
      <c r="G1886" s="1">
        <f>DATEVALUE(_xlfn.CONCAT(BBDD_Usiarios_Netflix[[#This Row],[Día Suscripción]],"/",BBDD_Usiarios_Netflix[[#This Row],[Mes Suscripción]],"/",BBDD_Usiarios_Netflix[[#This Row],[Año Suscripción]]))</f>
        <v>45209</v>
      </c>
      <c r="H1886" s="1">
        <v>7</v>
      </c>
      <c r="I1886" s="1">
        <v>7</v>
      </c>
      <c r="J1886" s="1">
        <v>24</v>
      </c>
      <c r="K1886" s="1" t="str">
        <f>TEXT(BBDD_Usiarios_Netflix[[#This Row],[Fecha Suscripción]],"dddd")</f>
        <v>martes</v>
      </c>
      <c r="L1886" s="1">
        <f>DATEVALUE(_xlfn.CONCAT(BBDD_Usiarios_Netflix[[#This Row],[Día Último Pago]],"/",BBDD_Usiarios_Netflix[[#This Row],[Mes Último Pago]],"/",BBDD_Usiarios_Netflix[[#This Row],[Año Último Pago]]))</f>
        <v>45480</v>
      </c>
      <c r="M1886" s="4">
        <f>DATEDIF(BBDD_Usiarios_Netflix[[#This Row],[Fecha Suscripción]],BBDD_Usiarios_Netflix[[#This Row],[Fecha Último Pago]],"M")+1</f>
        <v>9</v>
      </c>
      <c r="N1886" s="4">
        <f>BBDD_Usiarios_Netflix[[#This Row],[Ingresos Mensuales]]*BBDD_Usiarios_Netflix[[#This Row],[Meses contratados]]</f>
        <v>126</v>
      </c>
      <c r="O1886" t="s">
        <v>45</v>
      </c>
      <c r="P1886" t="str">
        <f>IF(BBDD_Usiarios_Netflix[[#This Row],[País]]="","Desconocido",BBDD_Usiarios_Netflix[[#This Row],[País]])</f>
        <v>España</v>
      </c>
      <c r="Q1886">
        <v>32</v>
      </c>
      <c r="R1886" t="s">
        <v>30</v>
      </c>
      <c r="S1886" t="s">
        <v>31</v>
      </c>
      <c r="T1886" t="s">
        <v>38</v>
      </c>
      <c r="U1886">
        <f>IF(IFERROR(VLOOKUP(BBDD_Usiarios_Netflix[[#This Row],[Identificador Usuario]],A1887:$A$5870,1,FALSE),0)&lt;&gt;0,1,0)</f>
        <v>0</v>
      </c>
      <c r="V1886" s="6" t="str">
        <f>IF(BBDD_Usiarios_Netflix[[#This Row],[Duración Plan]]="12 Meses",LEFT(BBDD_Usiarios_Netflix[[#This Row],[Duración Plan]],2),LEFT(BBDD_Usiarios_Netflix[[#This Row],[Duración Plan]],1))</f>
        <v>3</v>
      </c>
      <c r="W18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87" spans="1:23" x14ac:dyDescent="0.25">
      <c r="A1887">
        <v>1886</v>
      </c>
      <c r="B1887" t="s">
        <v>23</v>
      </c>
      <c r="C1887">
        <v>10</v>
      </c>
      <c r="D1887" s="3">
        <v>11</v>
      </c>
      <c r="E1887" s="3">
        <v>10</v>
      </c>
      <c r="F1887">
        <v>23</v>
      </c>
      <c r="G1887" s="1">
        <f>DATEVALUE(_xlfn.CONCAT(BBDD_Usiarios_Netflix[[#This Row],[Día Suscripción]],"/",BBDD_Usiarios_Netflix[[#This Row],[Mes Suscripción]],"/",BBDD_Usiarios_Netflix[[#This Row],[Año Suscripción]]))</f>
        <v>45210</v>
      </c>
      <c r="H1887" s="1">
        <v>8</v>
      </c>
      <c r="I1887" s="1">
        <v>7</v>
      </c>
      <c r="J1887" s="1">
        <v>24</v>
      </c>
      <c r="K1887" s="1" t="str">
        <f>TEXT(BBDD_Usiarios_Netflix[[#This Row],[Fecha Suscripción]],"dddd")</f>
        <v>miércoles</v>
      </c>
      <c r="L1887" s="1">
        <f>DATEVALUE(_xlfn.CONCAT(BBDD_Usiarios_Netflix[[#This Row],[Día Último Pago]],"/",BBDD_Usiarios_Netflix[[#This Row],[Mes Último Pago]],"/",BBDD_Usiarios_Netflix[[#This Row],[Año Último Pago]]))</f>
        <v>45481</v>
      </c>
      <c r="M1887" s="4">
        <f>DATEDIF(BBDD_Usiarios_Netflix[[#This Row],[Fecha Suscripción]],BBDD_Usiarios_Netflix[[#This Row],[Fecha Último Pago]],"M")+1</f>
        <v>9</v>
      </c>
      <c r="N1887" s="4">
        <f>BBDD_Usiarios_Netflix[[#This Row],[Ingresos Mensuales]]*BBDD_Usiarios_Netflix[[#This Row],[Meses contratados]]</f>
        <v>90</v>
      </c>
      <c r="O1887" t="s">
        <v>39</v>
      </c>
      <c r="P1887" t="str">
        <f>IF(BBDD_Usiarios_Netflix[[#This Row],[País]]="","Desconocido",BBDD_Usiarios_Netflix[[#This Row],[País]])</f>
        <v>Canadá</v>
      </c>
      <c r="Q1887">
        <v>38</v>
      </c>
      <c r="R1887" t="s">
        <v>25</v>
      </c>
      <c r="S1887" t="s">
        <v>34</v>
      </c>
      <c r="T1887" t="s">
        <v>35</v>
      </c>
      <c r="U1887">
        <f>IF(IFERROR(VLOOKUP(BBDD_Usiarios_Netflix[[#This Row],[Identificador Usuario]],A1888:$A$5870,1,FALSE),0)&lt;&gt;0,1,0)</f>
        <v>0</v>
      </c>
      <c r="V1887" s="6" t="str">
        <f>IF(BBDD_Usiarios_Netflix[[#This Row],[Duración Plan]]="12 Meses",LEFT(BBDD_Usiarios_Netflix[[#This Row],[Duración Plan]],2),LEFT(BBDD_Usiarios_Netflix[[#This Row],[Duración Plan]],1))</f>
        <v>6</v>
      </c>
      <c r="W18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88" spans="1:23" x14ac:dyDescent="0.25">
      <c r="A1888">
        <v>1887</v>
      </c>
      <c r="B1888" t="s">
        <v>28</v>
      </c>
      <c r="C1888">
        <v>14</v>
      </c>
      <c r="D1888" s="3">
        <v>13</v>
      </c>
      <c r="E1888" s="3">
        <v>10</v>
      </c>
      <c r="F1888">
        <v>23</v>
      </c>
      <c r="G1888" s="1">
        <f>DATEVALUE(_xlfn.CONCAT(BBDD_Usiarios_Netflix[[#This Row],[Día Suscripción]],"/",BBDD_Usiarios_Netflix[[#This Row],[Mes Suscripción]],"/",BBDD_Usiarios_Netflix[[#This Row],[Año Suscripción]]))</f>
        <v>45212</v>
      </c>
      <c r="H1888" s="1">
        <v>9</v>
      </c>
      <c r="I1888" s="1">
        <v>7</v>
      </c>
      <c r="J1888" s="1">
        <v>24</v>
      </c>
      <c r="K1888" s="1" t="str">
        <f>TEXT(BBDD_Usiarios_Netflix[[#This Row],[Fecha Suscripción]],"dddd")</f>
        <v>viernes</v>
      </c>
      <c r="L1888" s="1">
        <f>DATEVALUE(_xlfn.CONCAT(BBDD_Usiarios_Netflix[[#This Row],[Día Último Pago]],"/",BBDD_Usiarios_Netflix[[#This Row],[Mes Último Pago]],"/",BBDD_Usiarios_Netflix[[#This Row],[Año Último Pago]]))</f>
        <v>45482</v>
      </c>
      <c r="M1888" s="4">
        <f>DATEDIF(BBDD_Usiarios_Netflix[[#This Row],[Fecha Suscripción]],BBDD_Usiarios_Netflix[[#This Row],[Fecha Último Pago]],"M")+1</f>
        <v>9</v>
      </c>
      <c r="N1888" s="4">
        <f>BBDD_Usiarios_Netflix[[#This Row],[Ingresos Mensuales]]*BBDD_Usiarios_Netflix[[#This Row],[Meses contratados]]</f>
        <v>126</v>
      </c>
      <c r="O1888" t="s">
        <v>44</v>
      </c>
      <c r="P1888" t="str">
        <f>IF(BBDD_Usiarios_Netflix[[#This Row],[País]]="","Desconocido",BBDD_Usiarios_Netflix[[#This Row],[País]])</f>
        <v>Desconocido</v>
      </c>
      <c r="Q1888">
        <v>49</v>
      </c>
      <c r="R1888" t="s">
        <v>25</v>
      </c>
      <c r="S1888" t="s">
        <v>34</v>
      </c>
      <c r="T1888" t="s">
        <v>35</v>
      </c>
      <c r="U1888">
        <f>IF(IFERROR(VLOOKUP(BBDD_Usiarios_Netflix[[#This Row],[Identificador Usuario]],A1889:$A$5870,1,FALSE),0)&lt;&gt;0,1,0)</f>
        <v>0</v>
      </c>
      <c r="V1888" s="6" t="str">
        <f>IF(BBDD_Usiarios_Netflix[[#This Row],[Duración Plan]]="12 Meses",LEFT(BBDD_Usiarios_Netflix[[#This Row],[Duración Plan]],2),LEFT(BBDD_Usiarios_Netflix[[#This Row],[Duración Plan]],1))</f>
        <v>6</v>
      </c>
      <c r="W18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89" spans="1:23" x14ac:dyDescent="0.25">
      <c r="A1889">
        <v>1888</v>
      </c>
      <c r="B1889" t="s">
        <v>32</v>
      </c>
      <c r="C1889">
        <v>12</v>
      </c>
      <c r="D1889" s="3">
        <v>15</v>
      </c>
      <c r="E1889" s="3">
        <v>10</v>
      </c>
      <c r="F1889">
        <v>23</v>
      </c>
      <c r="G1889" s="1">
        <f>DATEVALUE(_xlfn.CONCAT(BBDD_Usiarios_Netflix[[#This Row],[Día Suscripción]],"/",BBDD_Usiarios_Netflix[[#This Row],[Mes Suscripción]],"/",BBDD_Usiarios_Netflix[[#This Row],[Año Suscripción]]))</f>
        <v>45214</v>
      </c>
      <c r="H1889" s="1">
        <v>10</v>
      </c>
      <c r="I1889" s="1">
        <v>7</v>
      </c>
      <c r="J1889" s="1">
        <v>24</v>
      </c>
      <c r="K1889" s="1" t="str">
        <f>TEXT(BBDD_Usiarios_Netflix[[#This Row],[Fecha Suscripción]],"dddd")</f>
        <v>domingo</v>
      </c>
      <c r="L1889" s="1">
        <f>DATEVALUE(_xlfn.CONCAT(BBDD_Usiarios_Netflix[[#This Row],[Día Último Pago]],"/",BBDD_Usiarios_Netflix[[#This Row],[Mes Último Pago]],"/",BBDD_Usiarios_Netflix[[#This Row],[Año Último Pago]]))</f>
        <v>45483</v>
      </c>
      <c r="M1889" s="4">
        <f>DATEDIF(BBDD_Usiarios_Netflix[[#This Row],[Fecha Suscripción]],BBDD_Usiarios_Netflix[[#This Row],[Fecha Último Pago]],"M")+1</f>
        <v>9</v>
      </c>
      <c r="N1889" s="4">
        <f>BBDD_Usiarios_Netflix[[#This Row],[Ingresos Mensuales]]*BBDD_Usiarios_Netflix[[#This Row],[Meses contratados]]</f>
        <v>108</v>
      </c>
      <c r="O1889" t="s">
        <v>39</v>
      </c>
      <c r="P1889" t="str">
        <f>IF(BBDD_Usiarios_Netflix[[#This Row],[País]]="","Desconocido",BBDD_Usiarios_Netflix[[#This Row],[País]])</f>
        <v>Canadá</v>
      </c>
      <c r="Q1889">
        <v>50</v>
      </c>
      <c r="R1889" t="s">
        <v>25</v>
      </c>
      <c r="S1889" t="s">
        <v>36</v>
      </c>
      <c r="T1889" t="s">
        <v>38</v>
      </c>
      <c r="U1889">
        <f>IF(IFERROR(VLOOKUP(BBDD_Usiarios_Netflix[[#This Row],[Identificador Usuario]],A1890:$A$5870,1,FALSE),0)&lt;&gt;0,1,0)</f>
        <v>0</v>
      </c>
      <c r="V1889" s="6" t="str">
        <f>IF(BBDD_Usiarios_Netflix[[#This Row],[Duración Plan]]="12 Meses",LEFT(BBDD_Usiarios_Netflix[[#This Row],[Duración Plan]],2),LEFT(BBDD_Usiarios_Netflix[[#This Row],[Duración Plan]],1))</f>
        <v>3</v>
      </c>
      <c r="W18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90" spans="1:23" x14ac:dyDescent="0.25">
      <c r="A1890">
        <v>1889</v>
      </c>
      <c r="B1890" t="s">
        <v>23</v>
      </c>
      <c r="C1890">
        <v>10</v>
      </c>
      <c r="D1890" s="3">
        <v>20</v>
      </c>
      <c r="E1890" s="3">
        <v>10</v>
      </c>
      <c r="F1890">
        <v>23</v>
      </c>
      <c r="G1890" s="1">
        <f>DATEVALUE(_xlfn.CONCAT(BBDD_Usiarios_Netflix[[#This Row],[Día Suscripción]],"/",BBDD_Usiarios_Netflix[[#This Row],[Mes Suscripción]],"/",BBDD_Usiarios_Netflix[[#This Row],[Año Suscripción]]))</f>
        <v>45219</v>
      </c>
      <c r="H1890" s="1">
        <v>7</v>
      </c>
      <c r="I1890" s="1">
        <v>7</v>
      </c>
      <c r="J1890" s="1">
        <v>24</v>
      </c>
      <c r="K1890" s="1" t="str">
        <f>TEXT(BBDD_Usiarios_Netflix[[#This Row],[Fecha Suscripción]],"dddd")</f>
        <v>viernes</v>
      </c>
      <c r="L1890" s="1">
        <f>DATEVALUE(_xlfn.CONCAT(BBDD_Usiarios_Netflix[[#This Row],[Día Último Pago]],"/",BBDD_Usiarios_Netflix[[#This Row],[Mes Último Pago]],"/",BBDD_Usiarios_Netflix[[#This Row],[Año Último Pago]]))</f>
        <v>45480</v>
      </c>
      <c r="M1890" s="4">
        <f>DATEDIF(BBDD_Usiarios_Netflix[[#This Row],[Fecha Suscripción]],BBDD_Usiarios_Netflix[[#This Row],[Fecha Último Pago]],"M")+1</f>
        <v>9</v>
      </c>
      <c r="N1890" s="4">
        <f>BBDD_Usiarios_Netflix[[#This Row],[Ingresos Mensuales]]*BBDD_Usiarios_Netflix[[#This Row],[Meses contratados]]</f>
        <v>90</v>
      </c>
      <c r="O1890" t="s">
        <v>39</v>
      </c>
      <c r="P1890" t="str">
        <f>IF(BBDD_Usiarios_Netflix[[#This Row],[País]]="","Desconocido",BBDD_Usiarios_Netflix[[#This Row],[País]])</f>
        <v>Canadá</v>
      </c>
      <c r="Q1890">
        <v>37</v>
      </c>
      <c r="R1890" t="s">
        <v>30</v>
      </c>
      <c r="S1890" t="s">
        <v>36</v>
      </c>
      <c r="T1890" t="s">
        <v>27</v>
      </c>
      <c r="U1890">
        <f>IF(IFERROR(VLOOKUP(BBDD_Usiarios_Netflix[[#This Row],[Identificador Usuario]],A1891:$A$5870,1,FALSE),0)&lt;&gt;0,1,0)</f>
        <v>0</v>
      </c>
      <c r="V1890" s="6" t="str">
        <f>IF(BBDD_Usiarios_Netflix[[#This Row],[Duración Plan]]="12 Meses",LEFT(BBDD_Usiarios_Netflix[[#This Row],[Duración Plan]],2),LEFT(BBDD_Usiarios_Netflix[[#This Row],[Duración Plan]],1))</f>
        <v>1</v>
      </c>
      <c r="W18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91" spans="1:23" x14ac:dyDescent="0.25">
      <c r="A1891">
        <v>1890</v>
      </c>
      <c r="B1891" t="s">
        <v>32</v>
      </c>
      <c r="C1891">
        <v>12</v>
      </c>
      <c r="D1891" s="3">
        <v>21</v>
      </c>
      <c r="E1891" s="3">
        <v>10</v>
      </c>
      <c r="F1891">
        <v>23</v>
      </c>
      <c r="G1891" s="1">
        <f>DATEVALUE(_xlfn.CONCAT(BBDD_Usiarios_Netflix[[#This Row],[Día Suscripción]],"/",BBDD_Usiarios_Netflix[[#This Row],[Mes Suscripción]],"/",BBDD_Usiarios_Netflix[[#This Row],[Año Suscripción]]))</f>
        <v>45220</v>
      </c>
      <c r="H1891" s="1">
        <v>8</v>
      </c>
      <c r="I1891" s="1">
        <v>7</v>
      </c>
      <c r="J1891" s="1">
        <v>24</v>
      </c>
      <c r="K1891" s="1" t="str">
        <f>TEXT(BBDD_Usiarios_Netflix[[#This Row],[Fecha Suscripción]],"dddd")</f>
        <v>sábado</v>
      </c>
      <c r="L1891" s="1">
        <f>DATEVALUE(_xlfn.CONCAT(BBDD_Usiarios_Netflix[[#This Row],[Día Último Pago]],"/",BBDD_Usiarios_Netflix[[#This Row],[Mes Último Pago]],"/",BBDD_Usiarios_Netflix[[#This Row],[Año Último Pago]]))</f>
        <v>45481</v>
      </c>
      <c r="M1891" s="4">
        <f>DATEDIF(BBDD_Usiarios_Netflix[[#This Row],[Fecha Suscripción]],BBDD_Usiarios_Netflix[[#This Row],[Fecha Último Pago]],"M")+1</f>
        <v>9</v>
      </c>
      <c r="N1891" s="4">
        <f>BBDD_Usiarios_Netflix[[#This Row],[Ingresos Mensuales]]*BBDD_Usiarios_Netflix[[#This Row],[Meses contratados]]</f>
        <v>108</v>
      </c>
      <c r="O1891" t="s">
        <v>42</v>
      </c>
      <c r="P1891" t="str">
        <f>IF(BBDD_Usiarios_Netflix[[#This Row],[País]]="","Desconocido",BBDD_Usiarios_Netflix[[#This Row],[País]])</f>
        <v>Reino Unido</v>
      </c>
      <c r="Q1891">
        <v>33</v>
      </c>
      <c r="R1891" t="s">
        <v>30</v>
      </c>
      <c r="S1891" t="s">
        <v>36</v>
      </c>
      <c r="T1891" t="s">
        <v>27</v>
      </c>
      <c r="U1891">
        <f>IF(IFERROR(VLOOKUP(BBDD_Usiarios_Netflix[[#This Row],[Identificador Usuario]],A1892:$A$5870,1,FALSE),0)&lt;&gt;0,1,0)</f>
        <v>0</v>
      </c>
      <c r="V1891" s="6" t="str">
        <f>IF(BBDD_Usiarios_Netflix[[#This Row],[Duración Plan]]="12 Meses",LEFT(BBDD_Usiarios_Netflix[[#This Row],[Duración Plan]],2),LEFT(BBDD_Usiarios_Netflix[[#This Row],[Duración Plan]],1))</f>
        <v>1</v>
      </c>
      <c r="W18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92" spans="1:23" x14ac:dyDescent="0.25">
      <c r="A1892">
        <v>1891</v>
      </c>
      <c r="B1892" t="s">
        <v>28</v>
      </c>
      <c r="C1892">
        <v>14</v>
      </c>
      <c r="D1892" s="3">
        <v>23</v>
      </c>
      <c r="E1892" s="3">
        <v>10</v>
      </c>
      <c r="F1892">
        <v>23</v>
      </c>
      <c r="G1892" s="1">
        <f>DATEVALUE(_xlfn.CONCAT(BBDD_Usiarios_Netflix[[#This Row],[Día Suscripción]],"/",BBDD_Usiarios_Netflix[[#This Row],[Mes Suscripción]],"/",BBDD_Usiarios_Netflix[[#This Row],[Año Suscripción]]))</f>
        <v>45222</v>
      </c>
      <c r="H1892" s="1">
        <v>9</v>
      </c>
      <c r="I1892" s="1">
        <v>7</v>
      </c>
      <c r="J1892" s="1">
        <v>24</v>
      </c>
      <c r="K1892" s="1" t="str">
        <f>TEXT(BBDD_Usiarios_Netflix[[#This Row],[Fecha Suscripción]],"dddd")</f>
        <v>lunes</v>
      </c>
      <c r="L1892" s="1">
        <f>DATEVALUE(_xlfn.CONCAT(BBDD_Usiarios_Netflix[[#This Row],[Día Último Pago]],"/",BBDD_Usiarios_Netflix[[#This Row],[Mes Último Pago]],"/",BBDD_Usiarios_Netflix[[#This Row],[Año Último Pago]]))</f>
        <v>45482</v>
      </c>
      <c r="M1892" s="4">
        <f>DATEDIF(BBDD_Usiarios_Netflix[[#This Row],[Fecha Suscripción]],BBDD_Usiarios_Netflix[[#This Row],[Fecha Último Pago]],"M")+1</f>
        <v>9</v>
      </c>
      <c r="N1892" s="4">
        <f>BBDD_Usiarios_Netflix[[#This Row],[Ingresos Mensuales]]*BBDD_Usiarios_Netflix[[#This Row],[Meses contratados]]</f>
        <v>126</v>
      </c>
      <c r="O1892" t="s">
        <v>40</v>
      </c>
      <c r="P1892" t="str">
        <f>IF(BBDD_Usiarios_Netflix[[#This Row],[País]]="","Desconocido",BBDD_Usiarios_Netflix[[#This Row],[País]])</f>
        <v>Italia</v>
      </c>
      <c r="Q1892">
        <v>33</v>
      </c>
      <c r="R1892" t="s">
        <v>30</v>
      </c>
      <c r="S1892" t="s">
        <v>31</v>
      </c>
      <c r="T1892" t="s">
        <v>35</v>
      </c>
      <c r="U1892">
        <f>IF(IFERROR(VLOOKUP(BBDD_Usiarios_Netflix[[#This Row],[Identificador Usuario]],A1893:$A$5870,1,FALSE),0)&lt;&gt;0,1,0)</f>
        <v>0</v>
      </c>
      <c r="V1892" s="6" t="str">
        <f>IF(BBDD_Usiarios_Netflix[[#This Row],[Duración Plan]]="12 Meses",LEFT(BBDD_Usiarios_Netflix[[#This Row],[Duración Plan]],2),LEFT(BBDD_Usiarios_Netflix[[#This Row],[Duración Plan]],1))</f>
        <v>6</v>
      </c>
      <c r="W18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93" spans="1:23" x14ac:dyDescent="0.25">
      <c r="A1893">
        <v>1892</v>
      </c>
      <c r="B1893" t="s">
        <v>23</v>
      </c>
      <c r="C1893">
        <v>10</v>
      </c>
      <c r="D1893" s="3">
        <v>25</v>
      </c>
      <c r="E1893" s="3">
        <v>10</v>
      </c>
      <c r="F1893">
        <v>23</v>
      </c>
      <c r="G1893" s="1">
        <f>DATEVALUE(_xlfn.CONCAT(BBDD_Usiarios_Netflix[[#This Row],[Día Suscripción]],"/",BBDD_Usiarios_Netflix[[#This Row],[Mes Suscripción]],"/",BBDD_Usiarios_Netflix[[#This Row],[Año Suscripción]]))</f>
        <v>45224</v>
      </c>
      <c r="H1893" s="1">
        <v>9</v>
      </c>
      <c r="I1893" s="1">
        <v>7</v>
      </c>
      <c r="J1893" s="1">
        <v>24</v>
      </c>
      <c r="K1893" s="1" t="str">
        <f>TEXT(BBDD_Usiarios_Netflix[[#This Row],[Fecha Suscripción]],"dddd")</f>
        <v>miércoles</v>
      </c>
      <c r="L1893" s="1">
        <f>DATEVALUE(_xlfn.CONCAT(BBDD_Usiarios_Netflix[[#This Row],[Día Último Pago]],"/",BBDD_Usiarios_Netflix[[#This Row],[Mes Último Pago]],"/",BBDD_Usiarios_Netflix[[#This Row],[Año Último Pago]]))</f>
        <v>45482</v>
      </c>
      <c r="M1893" s="4">
        <f>DATEDIF(BBDD_Usiarios_Netflix[[#This Row],[Fecha Suscripción]],BBDD_Usiarios_Netflix[[#This Row],[Fecha Último Pago]],"M")+1</f>
        <v>9</v>
      </c>
      <c r="N1893" s="4">
        <f>BBDD_Usiarios_Netflix[[#This Row],[Ingresos Mensuales]]*BBDD_Usiarios_Netflix[[#This Row],[Meses contratados]]</f>
        <v>90</v>
      </c>
      <c r="O1893" t="s">
        <v>39</v>
      </c>
      <c r="P1893" t="str">
        <f>IF(BBDD_Usiarios_Netflix[[#This Row],[País]]="","Desconocido",BBDD_Usiarios_Netflix[[#This Row],[País]])</f>
        <v>Canadá</v>
      </c>
      <c r="Q1893">
        <v>46</v>
      </c>
      <c r="R1893" t="s">
        <v>25</v>
      </c>
      <c r="S1893" t="s">
        <v>26</v>
      </c>
      <c r="T1893" t="s">
        <v>27</v>
      </c>
      <c r="U1893">
        <f>IF(IFERROR(VLOOKUP(BBDD_Usiarios_Netflix[[#This Row],[Identificador Usuario]],A1894:$A$5870,1,FALSE),0)&lt;&gt;0,1,0)</f>
        <v>0</v>
      </c>
      <c r="V1893" s="6" t="str">
        <f>IF(BBDD_Usiarios_Netflix[[#This Row],[Duración Plan]]="12 Meses",LEFT(BBDD_Usiarios_Netflix[[#This Row],[Duración Plan]],2),LEFT(BBDD_Usiarios_Netflix[[#This Row],[Duración Plan]],1))</f>
        <v>1</v>
      </c>
      <c r="W18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94" spans="1:23" x14ac:dyDescent="0.25">
      <c r="A1894">
        <v>1893</v>
      </c>
      <c r="B1894" t="s">
        <v>32</v>
      </c>
      <c r="C1894">
        <v>12</v>
      </c>
      <c r="D1894" s="3">
        <v>27</v>
      </c>
      <c r="E1894" s="3">
        <v>10</v>
      </c>
      <c r="F1894">
        <v>23</v>
      </c>
      <c r="G1894" s="1">
        <f>DATEVALUE(_xlfn.CONCAT(BBDD_Usiarios_Netflix[[#This Row],[Día Suscripción]],"/",BBDD_Usiarios_Netflix[[#This Row],[Mes Suscripción]],"/",BBDD_Usiarios_Netflix[[#This Row],[Año Suscripción]]))</f>
        <v>45226</v>
      </c>
      <c r="H1894" s="1">
        <v>7</v>
      </c>
      <c r="I1894" s="1">
        <v>7</v>
      </c>
      <c r="J1894" s="1">
        <v>24</v>
      </c>
      <c r="K1894" s="1" t="str">
        <f>TEXT(BBDD_Usiarios_Netflix[[#This Row],[Fecha Suscripción]],"dddd")</f>
        <v>viernes</v>
      </c>
      <c r="L1894" s="1">
        <f>DATEVALUE(_xlfn.CONCAT(BBDD_Usiarios_Netflix[[#This Row],[Día Último Pago]],"/",BBDD_Usiarios_Netflix[[#This Row],[Mes Último Pago]],"/",BBDD_Usiarios_Netflix[[#This Row],[Año Último Pago]]))</f>
        <v>45480</v>
      </c>
      <c r="M1894" s="4">
        <f>DATEDIF(BBDD_Usiarios_Netflix[[#This Row],[Fecha Suscripción]],BBDD_Usiarios_Netflix[[#This Row],[Fecha Último Pago]],"M")+1</f>
        <v>9</v>
      </c>
      <c r="N1894" s="4">
        <f>BBDD_Usiarios_Netflix[[#This Row],[Ingresos Mensuales]]*BBDD_Usiarios_Netflix[[#This Row],[Meses contratados]]</f>
        <v>108</v>
      </c>
      <c r="O1894" t="s">
        <v>29</v>
      </c>
      <c r="P1894" t="str">
        <f>IF(BBDD_Usiarios_Netflix[[#This Row],[País]]="","Desconocido",BBDD_Usiarios_Netflix[[#This Row],[País]])</f>
        <v>EEUU</v>
      </c>
      <c r="Q1894">
        <v>28</v>
      </c>
      <c r="R1894" t="s">
        <v>25</v>
      </c>
      <c r="S1894" t="s">
        <v>26</v>
      </c>
      <c r="T1894" t="s">
        <v>35</v>
      </c>
      <c r="U1894">
        <f>IF(IFERROR(VLOOKUP(BBDD_Usiarios_Netflix[[#This Row],[Identificador Usuario]],A1895:$A$5870,1,FALSE),0)&lt;&gt;0,1,0)</f>
        <v>0</v>
      </c>
      <c r="V1894" s="6" t="str">
        <f>IF(BBDD_Usiarios_Netflix[[#This Row],[Duración Plan]]="12 Meses",LEFT(BBDD_Usiarios_Netflix[[#This Row],[Duración Plan]],2),LEFT(BBDD_Usiarios_Netflix[[#This Row],[Duración Plan]],1))</f>
        <v>6</v>
      </c>
      <c r="W18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895" spans="1:23" x14ac:dyDescent="0.25">
      <c r="A1895">
        <v>1894</v>
      </c>
      <c r="B1895" t="s">
        <v>28</v>
      </c>
      <c r="C1895">
        <v>14</v>
      </c>
      <c r="D1895" s="3">
        <v>30</v>
      </c>
      <c r="E1895" s="3">
        <v>10</v>
      </c>
      <c r="F1895">
        <v>23</v>
      </c>
      <c r="G1895" s="1">
        <f>DATEVALUE(_xlfn.CONCAT(BBDD_Usiarios_Netflix[[#This Row],[Día Suscripción]],"/",BBDD_Usiarios_Netflix[[#This Row],[Mes Suscripción]],"/",BBDD_Usiarios_Netflix[[#This Row],[Año Suscripción]]))</f>
        <v>45229</v>
      </c>
      <c r="H1895" s="1">
        <v>8</v>
      </c>
      <c r="I1895" s="1">
        <v>7</v>
      </c>
      <c r="J1895" s="1">
        <v>24</v>
      </c>
      <c r="K1895" s="1" t="str">
        <f>TEXT(BBDD_Usiarios_Netflix[[#This Row],[Fecha Suscripción]],"dddd")</f>
        <v>lunes</v>
      </c>
      <c r="L1895" s="1">
        <f>DATEVALUE(_xlfn.CONCAT(BBDD_Usiarios_Netflix[[#This Row],[Día Último Pago]],"/",BBDD_Usiarios_Netflix[[#This Row],[Mes Último Pago]],"/",BBDD_Usiarios_Netflix[[#This Row],[Año Último Pago]]))</f>
        <v>45481</v>
      </c>
      <c r="M1895" s="4">
        <f>DATEDIF(BBDD_Usiarios_Netflix[[#This Row],[Fecha Suscripción]],BBDD_Usiarios_Netflix[[#This Row],[Fecha Último Pago]],"M")+1</f>
        <v>9</v>
      </c>
      <c r="N1895" s="4">
        <f>BBDD_Usiarios_Netflix[[#This Row],[Ingresos Mensuales]]*BBDD_Usiarios_Netflix[[#This Row],[Meses contratados]]</f>
        <v>126</v>
      </c>
      <c r="O1895" t="s">
        <v>29</v>
      </c>
      <c r="P1895" t="str">
        <f>IF(BBDD_Usiarios_Netflix[[#This Row],[País]]="","Desconocido",BBDD_Usiarios_Netflix[[#This Row],[País]])</f>
        <v>EEUU</v>
      </c>
      <c r="Q1895">
        <v>33</v>
      </c>
      <c r="R1895" t="s">
        <v>25</v>
      </c>
      <c r="S1895" t="s">
        <v>31</v>
      </c>
      <c r="T1895" t="s">
        <v>41</v>
      </c>
      <c r="U1895">
        <f>IF(IFERROR(VLOOKUP(BBDD_Usiarios_Netflix[[#This Row],[Identificador Usuario]],A1896:$A$5870,1,FALSE),0)&lt;&gt;0,1,0)</f>
        <v>0</v>
      </c>
      <c r="V1895" s="6" t="str">
        <f>IF(BBDD_Usiarios_Netflix[[#This Row],[Duración Plan]]="12 Meses",LEFT(BBDD_Usiarios_Netflix[[#This Row],[Duración Plan]],2),LEFT(BBDD_Usiarios_Netflix[[#This Row],[Duración Plan]],1))</f>
        <v>12</v>
      </c>
      <c r="W18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96" spans="1:23" x14ac:dyDescent="0.25">
      <c r="A1896">
        <v>1895</v>
      </c>
      <c r="B1896" t="s">
        <v>23</v>
      </c>
      <c r="C1896">
        <v>10</v>
      </c>
      <c r="D1896" s="3">
        <v>1</v>
      </c>
      <c r="E1896" s="3">
        <v>11</v>
      </c>
      <c r="F1896">
        <v>23</v>
      </c>
      <c r="G1896" s="1">
        <f>DATEVALUE(_xlfn.CONCAT(BBDD_Usiarios_Netflix[[#This Row],[Día Suscripción]],"/",BBDD_Usiarios_Netflix[[#This Row],[Mes Suscripción]],"/",BBDD_Usiarios_Netflix[[#This Row],[Año Suscripción]]))</f>
        <v>45231</v>
      </c>
      <c r="H1896" s="1">
        <v>9</v>
      </c>
      <c r="I1896" s="1">
        <v>7</v>
      </c>
      <c r="J1896" s="1">
        <v>24</v>
      </c>
      <c r="K1896" s="1" t="str">
        <f>TEXT(BBDD_Usiarios_Netflix[[#This Row],[Fecha Suscripción]],"dddd")</f>
        <v>miércoles</v>
      </c>
      <c r="L1896" s="1">
        <f>DATEVALUE(_xlfn.CONCAT(BBDD_Usiarios_Netflix[[#This Row],[Día Último Pago]],"/",BBDD_Usiarios_Netflix[[#This Row],[Mes Último Pago]],"/",BBDD_Usiarios_Netflix[[#This Row],[Año Último Pago]]))</f>
        <v>45482</v>
      </c>
      <c r="M1896" s="4">
        <f>DATEDIF(BBDD_Usiarios_Netflix[[#This Row],[Fecha Suscripción]],BBDD_Usiarios_Netflix[[#This Row],[Fecha Último Pago]],"M")+1</f>
        <v>9</v>
      </c>
      <c r="N1896" s="4">
        <f>BBDD_Usiarios_Netflix[[#This Row],[Ingresos Mensuales]]*BBDD_Usiarios_Netflix[[#This Row],[Meses contratados]]</f>
        <v>90</v>
      </c>
      <c r="O1896" t="s">
        <v>40</v>
      </c>
      <c r="P1896" t="str">
        <f>IF(BBDD_Usiarios_Netflix[[#This Row],[País]]="","Desconocido",BBDD_Usiarios_Netflix[[#This Row],[País]])</f>
        <v>Italia</v>
      </c>
      <c r="Q1896">
        <v>45</v>
      </c>
      <c r="R1896" t="s">
        <v>25</v>
      </c>
      <c r="S1896" t="s">
        <v>36</v>
      </c>
      <c r="T1896" t="s">
        <v>38</v>
      </c>
      <c r="U1896">
        <f>IF(IFERROR(VLOOKUP(BBDD_Usiarios_Netflix[[#This Row],[Identificador Usuario]],A1897:$A$5870,1,FALSE),0)&lt;&gt;0,1,0)</f>
        <v>0</v>
      </c>
      <c r="V1896" s="6" t="str">
        <f>IF(BBDD_Usiarios_Netflix[[#This Row],[Duración Plan]]="12 Meses",LEFT(BBDD_Usiarios_Netflix[[#This Row],[Duración Plan]],2),LEFT(BBDD_Usiarios_Netflix[[#This Row],[Duración Plan]],1))</f>
        <v>3</v>
      </c>
      <c r="W18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897" spans="1:23" x14ac:dyDescent="0.25">
      <c r="A1897">
        <v>1896</v>
      </c>
      <c r="B1897" t="s">
        <v>28</v>
      </c>
      <c r="C1897">
        <v>14</v>
      </c>
      <c r="D1897" s="3">
        <v>2</v>
      </c>
      <c r="E1897" s="3">
        <v>11</v>
      </c>
      <c r="F1897">
        <v>23</v>
      </c>
      <c r="G1897" s="1">
        <f>DATEVALUE(_xlfn.CONCAT(BBDD_Usiarios_Netflix[[#This Row],[Día Suscripción]],"/",BBDD_Usiarios_Netflix[[#This Row],[Mes Suscripción]],"/",BBDD_Usiarios_Netflix[[#This Row],[Año Suscripción]]))</f>
        <v>45232</v>
      </c>
      <c r="H1897" s="1">
        <v>9</v>
      </c>
      <c r="I1897" s="1">
        <v>7</v>
      </c>
      <c r="J1897" s="1">
        <v>24</v>
      </c>
      <c r="K1897" s="1" t="str">
        <f>TEXT(BBDD_Usiarios_Netflix[[#This Row],[Fecha Suscripción]],"dddd")</f>
        <v>jueves</v>
      </c>
      <c r="L1897" s="1">
        <f>DATEVALUE(_xlfn.CONCAT(BBDD_Usiarios_Netflix[[#This Row],[Día Último Pago]],"/",BBDD_Usiarios_Netflix[[#This Row],[Mes Último Pago]],"/",BBDD_Usiarios_Netflix[[#This Row],[Año Último Pago]]))</f>
        <v>45482</v>
      </c>
      <c r="M1897" s="4">
        <f>DATEDIF(BBDD_Usiarios_Netflix[[#This Row],[Fecha Suscripción]],BBDD_Usiarios_Netflix[[#This Row],[Fecha Último Pago]],"M")+1</f>
        <v>9</v>
      </c>
      <c r="N1897" s="4">
        <f>BBDD_Usiarios_Netflix[[#This Row],[Ingresos Mensuales]]*BBDD_Usiarios_Netflix[[#This Row],[Meses contratados]]</f>
        <v>126</v>
      </c>
      <c r="O1897" t="s">
        <v>42</v>
      </c>
      <c r="P1897" t="str">
        <f>IF(BBDD_Usiarios_Netflix[[#This Row],[País]]="","Desconocido",BBDD_Usiarios_Netflix[[#This Row],[País]])</f>
        <v>Reino Unido</v>
      </c>
      <c r="Q1897">
        <v>43</v>
      </c>
      <c r="R1897" t="s">
        <v>25</v>
      </c>
      <c r="S1897" t="s">
        <v>36</v>
      </c>
      <c r="T1897" t="s">
        <v>27</v>
      </c>
      <c r="U1897">
        <f>IF(IFERROR(VLOOKUP(BBDD_Usiarios_Netflix[[#This Row],[Identificador Usuario]],A1898:$A$5870,1,FALSE),0)&lt;&gt;0,1,0)</f>
        <v>0</v>
      </c>
      <c r="V1897" s="6" t="str">
        <f>IF(BBDD_Usiarios_Netflix[[#This Row],[Duración Plan]]="12 Meses",LEFT(BBDD_Usiarios_Netflix[[#This Row],[Duración Plan]],2),LEFT(BBDD_Usiarios_Netflix[[#This Row],[Duración Plan]],1))</f>
        <v>1</v>
      </c>
      <c r="W18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898" spans="1:23" x14ac:dyDescent="0.25">
      <c r="A1898">
        <v>1897</v>
      </c>
      <c r="B1898" t="s">
        <v>23</v>
      </c>
      <c r="C1898">
        <v>10</v>
      </c>
      <c r="D1898" s="3">
        <v>4</v>
      </c>
      <c r="E1898" s="3">
        <v>11</v>
      </c>
      <c r="F1898">
        <v>23</v>
      </c>
      <c r="G1898" s="1">
        <f>DATEVALUE(_xlfn.CONCAT(BBDD_Usiarios_Netflix[[#This Row],[Día Suscripción]],"/",BBDD_Usiarios_Netflix[[#This Row],[Mes Suscripción]],"/",BBDD_Usiarios_Netflix[[#This Row],[Año Suscripción]]))</f>
        <v>45234</v>
      </c>
      <c r="H1898" s="1">
        <v>6</v>
      </c>
      <c r="I1898" s="1">
        <v>7</v>
      </c>
      <c r="J1898" s="1">
        <v>24</v>
      </c>
      <c r="K1898" s="1" t="str">
        <f>TEXT(BBDD_Usiarios_Netflix[[#This Row],[Fecha Suscripción]],"dddd")</f>
        <v>sábado</v>
      </c>
      <c r="L1898" s="1">
        <f>DATEVALUE(_xlfn.CONCAT(BBDD_Usiarios_Netflix[[#This Row],[Día Último Pago]],"/",BBDD_Usiarios_Netflix[[#This Row],[Mes Último Pago]],"/",BBDD_Usiarios_Netflix[[#This Row],[Año Último Pago]]))</f>
        <v>45479</v>
      </c>
      <c r="M1898" s="4">
        <f>DATEDIF(BBDD_Usiarios_Netflix[[#This Row],[Fecha Suscripción]],BBDD_Usiarios_Netflix[[#This Row],[Fecha Último Pago]],"M")+1</f>
        <v>9</v>
      </c>
      <c r="N1898" s="4">
        <f>BBDD_Usiarios_Netflix[[#This Row],[Ingresos Mensuales]]*BBDD_Usiarios_Netflix[[#This Row],[Meses contratados]]</f>
        <v>90</v>
      </c>
      <c r="O1898" t="s">
        <v>42</v>
      </c>
      <c r="P1898" t="str">
        <f>IF(BBDD_Usiarios_Netflix[[#This Row],[País]]="","Desconocido",BBDD_Usiarios_Netflix[[#This Row],[País]])</f>
        <v>Reino Unido</v>
      </c>
      <c r="Q1898">
        <v>49</v>
      </c>
      <c r="R1898" t="s">
        <v>30</v>
      </c>
      <c r="S1898" t="s">
        <v>26</v>
      </c>
      <c r="T1898" t="s">
        <v>41</v>
      </c>
      <c r="U1898">
        <f>IF(IFERROR(VLOOKUP(BBDD_Usiarios_Netflix[[#This Row],[Identificador Usuario]],A1899:$A$5870,1,FALSE),0)&lt;&gt;0,1,0)</f>
        <v>0</v>
      </c>
      <c r="V1898" s="6" t="str">
        <f>IF(BBDD_Usiarios_Netflix[[#This Row],[Duración Plan]]="12 Meses",LEFT(BBDD_Usiarios_Netflix[[#This Row],[Duración Plan]],2),LEFT(BBDD_Usiarios_Netflix[[#This Row],[Duración Plan]],1))</f>
        <v>12</v>
      </c>
      <c r="W18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899" spans="1:23" x14ac:dyDescent="0.25">
      <c r="A1899">
        <v>1898</v>
      </c>
      <c r="B1899" t="s">
        <v>32</v>
      </c>
      <c r="C1899">
        <v>12</v>
      </c>
      <c r="D1899" s="3">
        <v>6</v>
      </c>
      <c r="E1899" s="3">
        <v>11</v>
      </c>
      <c r="F1899">
        <v>23</v>
      </c>
      <c r="G1899" s="1">
        <f>DATEVALUE(_xlfn.CONCAT(BBDD_Usiarios_Netflix[[#This Row],[Día Suscripción]],"/",BBDD_Usiarios_Netflix[[#This Row],[Mes Suscripción]],"/",BBDD_Usiarios_Netflix[[#This Row],[Año Suscripción]]))</f>
        <v>45236</v>
      </c>
      <c r="H1899" s="1">
        <v>7</v>
      </c>
      <c r="I1899" s="1">
        <v>7</v>
      </c>
      <c r="J1899" s="1">
        <v>24</v>
      </c>
      <c r="K1899" s="1" t="str">
        <f>TEXT(BBDD_Usiarios_Netflix[[#This Row],[Fecha Suscripción]],"dddd")</f>
        <v>lunes</v>
      </c>
      <c r="L1899" s="1">
        <f>DATEVALUE(_xlfn.CONCAT(BBDD_Usiarios_Netflix[[#This Row],[Día Último Pago]],"/",BBDD_Usiarios_Netflix[[#This Row],[Mes Último Pago]],"/",BBDD_Usiarios_Netflix[[#This Row],[Año Último Pago]]))</f>
        <v>45480</v>
      </c>
      <c r="M1899" s="4">
        <f>DATEDIF(BBDD_Usiarios_Netflix[[#This Row],[Fecha Suscripción]],BBDD_Usiarios_Netflix[[#This Row],[Fecha Último Pago]],"M")+1</f>
        <v>9</v>
      </c>
      <c r="N1899" s="4">
        <f>BBDD_Usiarios_Netflix[[#This Row],[Ingresos Mensuales]]*BBDD_Usiarios_Netflix[[#This Row],[Meses contratados]]</f>
        <v>108</v>
      </c>
      <c r="O1899" t="s">
        <v>39</v>
      </c>
      <c r="P1899" t="str">
        <f>IF(BBDD_Usiarios_Netflix[[#This Row],[País]]="","Desconocido",BBDD_Usiarios_Netflix[[#This Row],[País]])</f>
        <v>Canadá</v>
      </c>
      <c r="Q1899">
        <v>41</v>
      </c>
      <c r="R1899" t="s">
        <v>30</v>
      </c>
      <c r="S1899" t="s">
        <v>31</v>
      </c>
      <c r="T1899" t="s">
        <v>27</v>
      </c>
      <c r="U1899">
        <f>IF(IFERROR(VLOOKUP(BBDD_Usiarios_Netflix[[#This Row],[Identificador Usuario]],A1900:$A$5870,1,FALSE),0)&lt;&gt;0,1,0)</f>
        <v>0</v>
      </c>
      <c r="V1899" s="6" t="str">
        <f>IF(BBDD_Usiarios_Netflix[[#This Row],[Duración Plan]]="12 Meses",LEFT(BBDD_Usiarios_Netflix[[#This Row],[Duración Plan]],2),LEFT(BBDD_Usiarios_Netflix[[#This Row],[Duración Plan]],1))</f>
        <v>1</v>
      </c>
      <c r="W18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00" spans="1:23" x14ac:dyDescent="0.25">
      <c r="A1900">
        <v>1899</v>
      </c>
      <c r="B1900" t="s">
        <v>32</v>
      </c>
      <c r="C1900">
        <v>12</v>
      </c>
      <c r="D1900" s="3">
        <v>7</v>
      </c>
      <c r="E1900" s="3">
        <v>11</v>
      </c>
      <c r="F1900">
        <v>23</v>
      </c>
      <c r="G1900" s="1">
        <f>DATEVALUE(_xlfn.CONCAT(BBDD_Usiarios_Netflix[[#This Row],[Día Suscripción]],"/",BBDD_Usiarios_Netflix[[#This Row],[Mes Suscripción]],"/",BBDD_Usiarios_Netflix[[#This Row],[Año Suscripción]]))</f>
        <v>45237</v>
      </c>
      <c r="H1900" s="1">
        <v>9</v>
      </c>
      <c r="I1900" s="1">
        <v>7</v>
      </c>
      <c r="J1900" s="1">
        <v>24</v>
      </c>
      <c r="K1900" s="1" t="str">
        <f>TEXT(BBDD_Usiarios_Netflix[[#This Row],[Fecha Suscripción]],"dddd")</f>
        <v>martes</v>
      </c>
      <c r="L1900" s="1">
        <f>DATEVALUE(_xlfn.CONCAT(BBDD_Usiarios_Netflix[[#This Row],[Día Último Pago]],"/",BBDD_Usiarios_Netflix[[#This Row],[Mes Último Pago]],"/",BBDD_Usiarios_Netflix[[#This Row],[Año Último Pago]]))</f>
        <v>45482</v>
      </c>
      <c r="M1900" s="4">
        <f>DATEDIF(BBDD_Usiarios_Netflix[[#This Row],[Fecha Suscripción]],BBDD_Usiarios_Netflix[[#This Row],[Fecha Último Pago]],"M")+1</f>
        <v>9</v>
      </c>
      <c r="N1900" s="4">
        <f>BBDD_Usiarios_Netflix[[#This Row],[Ingresos Mensuales]]*BBDD_Usiarios_Netflix[[#This Row],[Meses contratados]]</f>
        <v>108</v>
      </c>
      <c r="O1900" t="s">
        <v>40</v>
      </c>
      <c r="P1900" t="str">
        <f>IF(BBDD_Usiarios_Netflix[[#This Row],[País]]="","Desconocido",BBDD_Usiarios_Netflix[[#This Row],[País]])</f>
        <v>Italia</v>
      </c>
      <c r="Q1900">
        <v>39</v>
      </c>
      <c r="R1900" t="s">
        <v>30</v>
      </c>
      <c r="S1900" t="s">
        <v>26</v>
      </c>
      <c r="T1900" t="s">
        <v>41</v>
      </c>
      <c r="U1900">
        <f>IF(IFERROR(VLOOKUP(BBDD_Usiarios_Netflix[[#This Row],[Identificador Usuario]],A1901:$A$5870,1,FALSE),0)&lt;&gt;0,1,0)</f>
        <v>0</v>
      </c>
      <c r="V1900" s="6" t="str">
        <f>IF(BBDD_Usiarios_Netflix[[#This Row],[Duración Plan]]="12 Meses",LEFT(BBDD_Usiarios_Netflix[[#This Row],[Duración Plan]],2),LEFT(BBDD_Usiarios_Netflix[[#This Row],[Duración Plan]],1))</f>
        <v>12</v>
      </c>
      <c r="W19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01" spans="1:23" x14ac:dyDescent="0.25">
      <c r="A1901">
        <v>1900</v>
      </c>
      <c r="B1901" t="s">
        <v>23</v>
      </c>
      <c r="C1901">
        <v>10</v>
      </c>
      <c r="D1901" s="3">
        <v>6</v>
      </c>
      <c r="E1901" s="3">
        <v>11</v>
      </c>
      <c r="F1901">
        <v>23</v>
      </c>
      <c r="G1901" s="1">
        <f>DATEVALUE(_xlfn.CONCAT(BBDD_Usiarios_Netflix[[#This Row],[Día Suscripción]],"/",BBDD_Usiarios_Netflix[[#This Row],[Mes Suscripción]],"/",BBDD_Usiarios_Netflix[[#This Row],[Año Suscripción]]))</f>
        <v>45236</v>
      </c>
      <c r="H1901" s="1">
        <v>8</v>
      </c>
      <c r="I1901" s="1">
        <v>7</v>
      </c>
      <c r="J1901" s="1">
        <v>24</v>
      </c>
      <c r="K1901" s="1" t="str">
        <f>TEXT(BBDD_Usiarios_Netflix[[#This Row],[Fecha Suscripción]],"dddd")</f>
        <v>lunes</v>
      </c>
      <c r="L1901" s="1">
        <f>DATEVALUE(_xlfn.CONCAT(BBDD_Usiarios_Netflix[[#This Row],[Día Último Pago]],"/",BBDD_Usiarios_Netflix[[#This Row],[Mes Último Pago]],"/",BBDD_Usiarios_Netflix[[#This Row],[Año Último Pago]]))</f>
        <v>45481</v>
      </c>
      <c r="M1901" s="4">
        <f>DATEDIF(BBDD_Usiarios_Netflix[[#This Row],[Fecha Suscripción]],BBDD_Usiarios_Netflix[[#This Row],[Fecha Último Pago]],"M")+1</f>
        <v>9</v>
      </c>
      <c r="N1901" s="4">
        <f>BBDD_Usiarios_Netflix[[#This Row],[Ingresos Mensuales]]*BBDD_Usiarios_Netflix[[#This Row],[Meses contratados]]</f>
        <v>90</v>
      </c>
      <c r="O1901" t="s">
        <v>45</v>
      </c>
      <c r="P1901" t="str">
        <f>IF(BBDD_Usiarios_Netflix[[#This Row],[País]]="","Desconocido",BBDD_Usiarios_Netflix[[#This Row],[País]])</f>
        <v>España</v>
      </c>
      <c r="Q1901">
        <v>45</v>
      </c>
      <c r="R1901" t="s">
        <v>30</v>
      </c>
      <c r="S1901" t="s">
        <v>26</v>
      </c>
      <c r="T1901" t="s">
        <v>41</v>
      </c>
      <c r="U1901">
        <f>IF(IFERROR(VLOOKUP(BBDD_Usiarios_Netflix[[#This Row],[Identificador Usuario]],A1902:$A$5870,1,FALSE),0)&lt;&gt;0,1,0)</f>
        <v>0</v>
      </c>
      <c r="V1901" s="6" t="str">
        <f>IF(BBDD_Usiarios_Netflix[[#This Row],[Duración Plan]]="12 Meses",LEFT(BBDD_Usiarios_Netflix[[#This Row],[Duración Plan]],2),LEFT(BBDD_Usiarios_Netflix[[#This Row],[Duración Plan]],1))</f>
        <v>12</v>
      </c>
      <c r="W19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02" spans="1:23" x14ac:dyDescent="0.25">
      <c r="A1902">
        <v>1901</v>
      </c>
      <c r="B1902" t="s">
        <v>28</v>
      </c>
      <c r="C1902">
        <v>14</v>
      </c>
      <c r="D1902" s="3">
        <v>7</v>
      </c>
      <c r="E1902" s="3">
        <v>11</v>
      </c>
      <c r="F1902">
        <v>23</v>
      </c>
      <c r="G1902" s="1">
        <f>DATEVALUE(_xlfn.CONCAT(BBDD_Usiarios_Netflix[[#This Row],[Día Suscripción]],"/",BBDD_Usiarios_Netflix[[#This Row],[Mes Suscripción]],"/",BBDD_Usiarios_Netflix[[#This Row],[Año Suscripción]]))</f>
        <v>45237</v>
      </c>
      <c r="H1902" s="1">
        <v>6</v>
      </c>
      <c r="I1902" s="1">
        <v>7</v>
      </c>
      <c r="J1902" s="1">
        <v>24</v>
      </c>
      <c r="K1902" s="1" t="str">
        <f>TEXT(BBDD_Usiarios_Netflix[[#This Row],[Fecha Suscripción]],"dddd")</f>
        <v>martes</v>
      </c>
      <c r="L1902" s="1">
        <f>DATEVALUE(_xlfn.CONCAT(BBDD_Usiarios_Netflix[[#This Row],[Día Último Pago]],"/",BBDD_Usiarios_Netflix[[#This Row],[Mes Último Pago]],"/",BBDD_Usiarios_Netflix[[#This Row],[Año Último Pago]]))</f>
        <v>45479</v>
      </c>
      <c r="M1902" s="4">
        <f>DATEDIF(BBDD_Usiarios_Netflix[[#This Row],[Fecha Suscripción]],BBDD_Usiarios_Netflix[[#This Row],[Fecha Último Pago]],"M")+1</f>
        <v>8</v>
      </c>
      <c r="N1902" s="4">
        <f>BBDD_Usiarios_Netflix[[#This Row],[Ingresos Mensuales]]*BBDD_Usiarios_Netflix[[#This Row],[Meses contratados]]</f>
        <v>112</v>
      </c>
      <c r="O1902" t="s">
        <v>33</v>
      </c>
      <c r="P1902" t="str">
        <f>IF(BBDD_Usiarios_Netflix[[#This Row],[País]]="","Desconocido",BBDD_Usiarios_Netflix[[#This Row],[País]])</f>
        <v>Francia</v>
      </c>
      <c r="Q1902">
        <v>38</v>
      </c>
      <c r="R1902" t="s">
        <v>25</v>
      </c>
      <c r="S1902" t="s">
        <v>31</v>
      </c>
      <c r="T1902" t="s">
        <v>27</v>
      </c>
      <c r="U1902">
        <f>IF(IFERROR(VLOOKUP(BBDD_Usiarios_Netflix[[#This Row],[Identificador Usuario]],A1903:$A$5870,1,FALSE),0)&lt;&gt;0,1,0)</f>
        <v>0</v>
      </c>
      <c r="V1902" s="6" t="str">
        <f>IF(BBDD_Usiarios_Netflix[[#This Row],[Duración Plan]]="12 Meses",LEFT(BBDD_Usiarios_Netflix[[#This Row],[Duración Plan]],2),LEFT(BBDD_Usiarios_Netflix[[#This Row],[Duración Plan]],1))</f>
        <v>1</v>
      </c>
      <c r="W19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03" spans="1:23" x14ac:dyDescent="0.25">
      <c r="A1903">
        <v>1902</v>
      </c>
      <c r="B1903" t="s">
        <v>23</v>
      </c>
      <c r="C1903">
        <v>10</v>
      </c>
      <c r="D1903" s="3">
        <v>7</v>
      </c>
      <c r="E1903" s="3">
        <v>11</v>
      </c>
      <c r="F1903">
        <v>23</v>
      </c>
      <c r="G1903" s="1">
        <f>DATEVALUE(_xlfn.CONCAT(BBDD_Usiarios_Netflix[[#This Row],[Día Suscripción]],"/",BBDD_Usiarios_Netflix[[#This Row],[Mes Suscripción]],"/",BBDD_Usiarios_Netflix[[#This Row],[Año Suscripción]]))</f>
        <v>45237</v>
      </c>
      <c r="H1903" s="1">
        <v>10</v>
      </c>
      <c r="I1903" s="1">
        <v>7</v>
      </c>
      <c r="J1903" s="1">
        <v>24</v>
      </c>
      <c r="K1903" s="1" t="str">
        <f>TEXT(BBDD_Usiarios_Netflix[[#This Row],[Fecha Suscripción]],"dddd")</f>
        <v>martes</v>
      </c>
      <c r="L1903" s="1">
        <f>DATEVALUE(_xlfn.CONCAT(BBDD_Usiarios_Netflix[[#This Row],[Día Último Pago]],"/",BBDD_Usiarios_Netflix[[#This Row],[Mes Último Pago]],"/",BBDD_Usiarios_Netflix[[#This Row],[Año Último Pago]]))</f>
        <v>45483</v>
      </c>
      <c r="M1903" s="4">
        <f>DATEDIF(BBDD_Usiarios_Netflix[[#This Row],[Fecha Suscripción]],BBDD_Usiarios_Netflix[[#This Row],[Fecha Último Pago]],"M")+1</f>
        <v>9</v>
      </c>
      <c r="N1903" s="4">
        <f>BBDD_Usiarios_Netflix[[#This Row],[Ingresos Mensuales]]*BBDD_Usiarios_Netflix[[#This Row],[Meses contratados]]</f>
        <v>90</v>
      </c>
      <c r="O1903" t="s">
        <v>24</v>
      </c>
      <c r="P1903" t="str">
        <f>IF(BBDD_Usiarios_Netflix[[#This Row],[País]]="","Desconocido",BBDD_Usiarios_Netflix[[#This Row],[País]])</f>
        <v>Australia</v>
      </c>
      <c r="Q1903">
        <v>30</v>
      </c>
      <c r="R1903" t="s">
        <v>25</v>
      </c>
      <c r="S1903" t="s">
        <v>34</v>
      </c>
      <c r="T1903" t="s">
        <v>27</v>
      </c>
      <c r="U1903">
        <f>IF(IFERROR(VLOOKUP(BBDD_Usiarios_Netflix[[#This Row],[Identificador Usuario]],A1904:$A$5870,1,FALSE),0)&lt;&gt;0,1,0)</f>
        <v>0</v>
      </c>
      <c r="V1903" s="6" t="str">
        <f>IF(BBDD_Usiarios_Netflix[[#This Row],[Duración Plan]]="12 Meses",LEFT(BBDD_Usiarios_Netflix[[#This Row],[Duración Plan]],2),LEFT(BBDD_Usiarios_Netflix[[#This Row],[Duración Plan]],1))</f>
        <v>1</v>
      </c>
      <c r="W19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04" spans="1:23" x14ac:dyDescent="0.25">
      <c r="A1904">
        <v>1903</v>
      </c>
      <c r="B1904" t="s">
        <v>32</v>
      </c>
      <c r="C1904">
        <v>12</v>
      </c>
      <c r="D1904" s="3">
        <v>3</v>
      </c>
      <c r="E1904" s="3">
        <v>11</v>
      </c>
      <c r="F1904">
        <v>23</v>
      </c>
      <c r="G1904" s="1">
        <f>DATEVALUE(_xlfn.CONCAT(BBDD_Usiarios_Netflix[[#This Row],[Día Suscripción]],"/",BBDD_Usiarios_Netflix[[#This Row],[Mes Suscripción]],"/",BBDD_Usiarios_Netflix[[#This Row],[Año Suscripción]]))</f>
        <v>45233</v>
      </c>
      <c r="H1904" s="1">
        <v>8</v>
      </c>
      <c r="I1904" s="1">
        <v>7</v>
      </c>
      <c r="J1904" s="1">
        <v>24</v>
      </c>
      <c r="K1904" s="1" t="str">
        <f>TEXT(BBDD_Usiarios_Netflix[[#This Row],[Fecha Suscripción]],"dddd")</f>
        <v>viernes</v>
      </c>
      <c r="L1904" s="1">
        <f>DATEVALUE(_xlfn.CONCAT(BBDD_Usiarios_Netflix[[#This Row],[Día Último Pago]],"/",BBDD_Usiarios_Netflix[[#This Row],[Mes Último Pago]],"/",BBDD_Usiarios_Netflix[[#This Row],[Año Último Pago]]))</f>
        <v>45481</v>
      </c>
      <c r="M1904" s="4">
        <f>DATEDIF(BBDD_Usiarios_Netflix[[#This Row],[Fecha Suscripción]],BBDD_Usiarios_Netflix[[#This Row],[Fecha Último Pago]],"M")+1</f>
        <v>9</v>
      </c>
      <c r="N1904" s="4">
        <f>BBDD_Usiarios_Netflix[[#This Row],[Ingresos Mensuales]]*BBDD_Usiarios_Netflix[[#This Row],[Meses contratados]]</f>
        <v>108</v>
      </c>
      <c r="O1904" t="s">
        <v>37</v>
      </c>
      <c r="P1904" t="str">
        <f>IF(BBDD_Usiarios_Netflix[[#This Row],[País]]="","Desconocido",BBDD_Usiarios_Netflix[[#This Row],[País]])</f>
        <v>Brasil</v>
      </c>
      <c r="Q1904">
        <v>27</v>
      </c>
      <c r="R1904" t="s">
        <v>30</v>
      </c>
      <c r="S1904" t="s">
        <v>34</v>
      </c>
      <c r="T1904" t="s">
        <v>38</v>
      </c>
      <c r="U1904">
        <f>IF(IFERROR(VLOOKUP(BBDD_Usiarios_Netflix[[#This Row],[Identificador Usuario]],A1905:$A$5870,1,FALSE),0)&lt;&gt;0,1,0)</f>
        <v>0</v>
      </c>
      <c r="V1904" s="6" t="str">
        <f>IF(BBDD_Usiarios_Netflix[[#This Row],[Duración Plan]]="12 Meses",LEFT(BBDD_Usiarios_Netflix[[#This Row],[Duración Plan]],2),LEFT(BBDD_Usiarios_Netflix[[#This Row],[Duración Plan]],1))</f>
        <v>3</v>
      </c>
      <c r="W19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05" spans="1:23" x14ac:dyDescent="0.25">
      <c r="A1905">
        <v>1904</v>
      </c>
      <c r="B1905" t="s">
        <v>28</v>
      </c>
      <c r="C1905">
        <v>14</v>
      </c>
      <c r="D1905" s="3">
        <v>3</v>
      </c>
      <c r="E1905" s="3">
        <v>11</v>
      </c>
      <c r="F1905">
        <v>23</v>
      </c>
      <c r="G1905" s="1">
        <f>DATEVALUE(_xlfn.CONCAT(BBDD_Usiarios_Netflix[[#This Row],[Día Suscripción]],"/",BBDD_Usiarios_Netflix[[#This Row],[Mes Suscripción]],"/",BBDD_Usiarios_Netflix[[#This Row],[Año Suscripción]]))</f>
        <v>45233</v>
      </c>
      <c r="H1905" s="1">
        <v>8</v>
      </c>
      <c r="I1905" s="1">
        <v>7</v>
      </c>
      <c r="J1905" s="1">
        <v>24</v>
      </c>
      <c r="K1905" s="1" t="str">
        <f>TEXT(BBDD_Usiarios_Netflix[[#This Row],[Fecha Suscripción]],"dddd")</f>
        <v>viernes</v>
      </c>
      <c r="L1905" s="1">
        <f>DATEVALUE(_xlfn.CONCAT(BBDD_Usiarios_Netflix[[#This Row],[Día Último Pago]],"/",BBDD_Usiarios_Netflix[[#This Row],[Mes Último Pago]],"/",BBDD_Usiarios_Netflix[[#This Row],[Año Último Pago]]))</f>
        <v>45481</v>
      </c>
      <c r="M1905" s="4">
        <f>DATEDIF(BBDD_Usiarios_Netflix[[#This Row],[Fecha Suscripción]],BBDD_Usiarios_Netflix[[#This Row],[Fecha Último Pago]],"M")+1</f>
        <v>9</v>
      </c>
      <c r="N1905" s="4">
        <f>BBDD_Usiarios_Netflix[[#This Row],[Ingresos Mensuales]]*BBDD_Usiarios_Netflix[[#This Row],[Meses contratados]]</f>
        <v>126</v>
      </c>
      <c r="O1905" t="s">
        <v>39</v>
      </c>
      <c r="P1905" t="str">
        <f>IF(BBDD_Usiarios_Netflix[[#This Row],[País]]="","Desconocido",BBDD_Usiarios_Netflix[[#This Row],[País]])</f>
        <v>Canadá</v>
      </c>
      <c r="Q1905">
        <v>36</v>
      </c>
      <c r="R1905" t="s">
        <v>30</v>
      </c>
      <c r="S1905" t="s">
        <v>26</v>
      </c>
      <c r="T1905" t="s">
        <v>35</v>
      </c>
      <c r="U1905">
        <f>IF(IFERROR(VLOOKUP(BBDD_Usiarios_Netflix[[#This Row],[Identificador Usuario]],A1906:$A$5870,1,FALSE),0)&lt;&gt;0,1,0)</f>
        <v>0</v>
      </c>
      <c r="V1905" s="6" t="str">
        <f>IF(BBDD_Usiarios_Netflix[[#This Row],[Duración Plan]]="12 Meses",LEFT(BBDD_Usiarios_Netflix[[#This Row],[Duración Plan]],2),LEFT(BBDD_Usiarios_Netflix[[#This Row],[Duración Plan]],1))</f>
        <v>6</v>
      </c>
      <c r="W19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06" spans="1:23" x14ac:dyDescent="0.25">
      <c r="A1906">
        <v>1905</v>
      </c>
      <c r="B1906" t="s">
        <v>23</v>
      </c>
      <c r="C1906">
        <v>10</v>
      </c>
      <c r="D1906" s="3">
        <v>31</v>
      </c>
      <c r="E1906" s="3">
        <v>10</v>
      </c>
      <c r="F1906">
        <v>23</v>
      </c>
      <c r="G1906" s="1">
        <f>DATEVALUE(_xlfn.CONCAT(BBDD_Usiarios_Netflix[[#This Row],[Día Suscripción]],"/",BBDD_Usiarios_Netflix[[#This Row],[Mes Suscripción]],"/",BBDD_Usiarios_Netflix[[#This Row],[Año Suscripción]]))</f>
        <v>45230</v>
      </c>
      <c r="H1906" s="1">
        <v>6</v>
      </c>
      <c r="I1906" s="1">
        <v>7</v>
      </c>
      <c r="J1906" s="1">
        <v>24</v>
      </c>
      <c r="K1906" s="1" t="str">
        <f>TEXT(BBDD_Usiarios_Netflix[[#This Row],[Fecha Suscripción]],"dddd")</f>
        <v>martes</v>
      </c>
      <c r="L1906" s="1">
        <f>DATEVALUE(_xlfn.CONCAT(BBDD_Usiarios_Netflix[[#This Row],[Día Último Pago]],"/",BBDD_Usiarios_Netflix[[#This Row],[Mes Último Pago]],"/",BBDD_Usiarios_Netflix[[#This Row],[Año Último Pago]]))</f>
        <v>45479</v>
      </c>
      <c r="M1906" s="4">
        <f>DATEDIF(BBDD_Usiarios_Netflix[[#This Row],[Fecha Suscripción]],BBDD_Usiarios_Netflix[[#This Row],[Fecha Último Pago]],"M")+1</f>
        <v>9</v>
      </c>
      <c r="N1906" s="4">
        <f>BBDD_Usiarios_Netflix[[#This Row],[Ingresos Mensuales]]*BBDD_Usiarios_Netflix[[#This Row],[Meses contratados]]</f>
        <v>90</v>
      </c>
      <c r="O1906" t="s">
        <v>29</v>
      </c>
      <c r="P1906" t="str">
        <f>IF(BBDD_Usiarios_Netflix[[#This Row],[País]]="","Desconocido",BBDD_Usiarios_Netflix[[#This Row],[País]])</f>
        <v>EEUU</v>
      </c>
      <c r="Q1906">
        <v>36</v>
      </c>
      <c r="R1906" t="s">
        <v>30</v>
      </c>
      <c r="S1906" t="s">
        <v>31</v>
      </c>
      <c r="T1906" t="s">
        <v>27</v>
      </c>
      <c r="U1906">
        <f>IF(IFERROR(VLOOKUP(BBDD_Usiarios_Netflix[[#This Row],[Identificador Usuario]],A1907:$A$5870,1,FALSE),0)&lt;&gt;0,1,0)</f>
        <v>0</v>
      </c>
      <c r="V1906" s="6" t="str">
        <f>IF(BBDD_Usiarios_Netflix[[#This Row],[Duración Plan]]="12 Meses",LEFT(BBDD_Usiarios_Netflix[[#This Row],[Duración Plan]],2),LEFT(BBDD_Usiarios_Netflix[[#This Row],[Duración Plan]],1))</f>
        <v>1</v>
      </c>
      <c r="W19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07" spans="1:23" x14ac:dyDescent="0.25">
      <c r="A1907">
        <v>1906</v>
      </c>
      <c r="B1907" t="s">
        <v>28</v>
      </c>
      <c r="C1907">
        <v>14</v>
      </c>
      <c r="D1907" s="3">
        <v>28</v>
      </c>
      <c r="E1907" s="3">
        <v>10</v>
      </c>
      <c r="F1907">
        <v>23</v>
      </c>
      <c r="G1907" s="1">
        <f>DATEVALUE(_xlfn.CONCAT(BBDD_Usiarios_Netflix[[#This Row],[Día Suscripción]],"/",BBDD_Usiarios_Netflix[[#This Row],[Mes Suscripción]],"/",BBDD_Usiarios_Netflix[[#This Row],[Año Suscripción]]))</f>
        <v>45227</v>
      </c>
      <c r="H1907" s="1">
        <v>9</v>
      </c>
      <c r="I1907" s="1">
        <v>7</v>
      </c>
      <c r="J1907" s="1">
        <v>24</v>
      </c>
      <c r="K1907" s="1" t="str">
        <f>TEXT(BBDD_Usiarios_Netflix[[#This Row],[Fecha Suscripción]],"dddd")</f>
        <v>sábado</v>
      </c>
      <c r="L1907" s="1">
        <f>DATEVALUE(_xlfn.CONCAT(BBDD_Usiarios_Netflix[[#This Row],[Día Último Pago]],"/",BBDD_Usiarios_Netflix[[#This Row],[Mes Último Pago]],"/",BBDD_Usiarios_Netflix[[#This Row],[Año Último Pago]]))</f>
        <v>45482</v>
      </c>
      <c r="M1907" s="4">
        <f>DATEDIF(BBDD_Usiarios_Netflix[[#This Row],[Fecha Suscripción]],BBDD_Usiarios_Netflix[[#This Row],[Fecha Último Pago]],"M")+1</f>
        <v>9</v>
      </c>
      <c r="N1907" s="4">
        <f>BBDD_Usiarios_Netflix[[#This Row],[Ingresos Mensuales]]*BBDD_Usiarios_Netflix[[#This Row],[Meses contratados]]</f>
        <v>126</v>
      </c>
      <c r="O1907" t="s">
        <v>45</v>
      </c>
      <c r="P1907" t="str">
        <f>IF(BBDD_Usiarios_Netflix[[#This Row],[País]]="","Desconocido",BBDD_Usiarios_Netflix[[#This Row],[País]])</f>
        <v>España</v>
      </c>
      <c r="Q1907">
        <v>28</v>
      </c>
      <c r="R1907" t="s">
        <v>25</v>
      </c>
      <c r="S1907" t="s">
        <v>31</v>
      </c>
      <c r="T1907" t="s">
        <v>27</v>
      </c>
      <c r="U1907">
        <f>IF(IFERROR(VLOOKUP(BBDD_Usiarios_Netflix[[#This Row],[Identificador Usuario]],A1908:$A$5870,1,FALSE),0)&lt;&gt;0,1,0)</f>
        <v>0</v>
      </c>
      <c r="V1907" s="6" t="str">
        <f>IF(BBDD_Usiarios_Netflix[[#This Row],[Duración Plan]]="12 Meses",LEFT(BBDD_Usiarios_Netflix[[#This Row],[Duración Plan]],2),LEFT(BBDD_Usiarios_Netflix[[#This Row],[Duración Plan]],1))</f>
        <v>1</v>
      </c>
      <c r="W19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08" spans="1:23" x14ac:dyDescent="0.25">
      <c r="A1908">
        <v>1907</v>
      </c>
      <c r="B1908" t="s">
        <v>23</v>
      </c>
      <c r="C1908">
        <v>10</v>
      </c>
      <c r="D1908" s="3">
        <v>28</v>
      </c>
      <c r="E1908" s="3">
        <v>9</v>
      </c>
      <c r="F1908">
        <v>23</v>
      </c>
      <c r="G1908" s="1">
        <f>DATEVALUE(_xlfn.CONCAT(BBDD_Usiarios_Netflix[[#This Row],[Día Suscripción]],"/",BBDD_Usiarios_Netflix[[#This Row],[Mes Suscripción]],"/",BBDD_Usiarios_Netflix[[#This Row],[Año Suscripción]]))</f>
        <v>45197</v>
      </c>
      <c r="H1908" s="1">
        <v>9</v>
      </c>
      <c r="I1908" s="1">
        <v>7</v>
      </c>
      <c r="J1908" s="1">
        <v>24</v>
      </c>
      <c r="K1908" s="1" t="str">
        <f>TEXT(BBDD_Usiarios_Netflix[[#This Row],[Fecha Suscripción]],"dddd")</f>
        <v>jueves</v>
      </c>
      <c r="L1908" s="1">
        <f>DATEVALUE(_xlfn.CONCAT(BBDD_Usiarios_Netflix[[#This Row],[Día Último Pago]],"/",BBDD_Usiarios_Netflix[[#This Row],[Mes Último Pago]],"/",BBDD_Usiarios_Netflix[[#This Row],[Año Último Pago]]))</f>
        <v>45482</v>
      </c>
      <c r="M1908" s="4">
        <f>DATEDIF(BBDD_Usiarios_Netflix[[#This Row],[Fecha Suscripción]],BBDD_Usiarios_Netflix[[#This Row],[Fecha Último Pago]],"M")+1</f>
        <v>10</v>
      </c>
      <c r="N1908" s="4">
        <f>BBDD_Usiarios_Netflix[[#This Row],[Ingresos Mensuales]]*BBDD_Usiarios_Netflix[[#This Row],[Meses contratados]]</f>
        <v>100</v>
      </c>
      <c r="O1908" t="s">
        <v>33</v>
      </c>
      <c r="P1908" t="str">
        <f>IF(BBDD_Usiarios_Netflix[[#This Row],[País]]="","Desconocido",BBDD_Usiarios_Netflix[[#This Row],[País]])</f>
        <v>Francia</v>
      </c>
      <c r="Q1908">
        <v>45</v>
      </c>
      <c r="R1908" t="s">
        <v>30</v>
      </c>
      <c r="S1908" t="s">
        <v>26</v>
      </c>
      <c r="T1908" t="s">
        <v>38</v>
      </c>
      <c r="U1908">
        <f>IF(IFERROR(VLOOKUP(BBDD_Usiarios_Netflix[[#This Row],[Identificador Usuario]],A1909:$A$5870,1,FALSE),0)&lt;&gt;0,1,0)</f>
        <v>0</v>
      </c>
      <c r="V1908" s="6" t="str">
        <f>IF(BBDD_Usiarios_Netflix[[#This Row],[Duración Plan]]="12 Meses",LEFT(BBDD_Usiarios_Netflix[[#This Row],[Duración Plan]],2),LEFT(BBDD_Usiarios_Netflix[[#This Row],[Duración Plan]],1))</f>
        <v>3</v>
      </c>
      <c r="W19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09" spans="1:23" x14ac:dyDescent="0.25">
      <c r="A1909">
        <v>1908</v>
      </c>
      <c r="B1909" t="s">
        <v>32</v>
      </c>
      <c r="C1909">
        <v>12</v>
      </c>
      <c r="D1909" s="3">
        <v>19</v>
      </c>
      <c r="E1909" s="3">
        <v>9</v>
      </c>
      <c r="F1909">
        <v>23</v>
      </c>
      <c r="G1909" s="1">
        <f>DATEVALUE(_xlfn.CONCAT(BBDD_Usiarios_Netflix[[#This Row],[Día Suscripción]],"/",BBDD_Usiarios_Netflix[[#This Row],[Mes Suscripción]],"/",BBDD_Usiarios_Netflix[[#This Row],[Año Suscripción]]))</f>
        <v>45188</v>
      </c>
      <c r="H1909" s="1">
        <v>9</v>
      </c>
      <c r="I1909" s="1">
        <v>7</v>
      </c>
      <c r="J1909" s="1">
        <v>24</v>
      </c>
      <c r="K1909" s="1" t="str">
        <f>TEXT(BBDD_Usiarios_Netflix[[#This Row],[Fecha Suscripción]],"dddd")</f>
        <v>martes</v>
      </c>
      <c r="L1909" s="1">
        <f>DATEVALUE(_xlfn.CONCAT(BBDD_Usiarios_Netflix[[#This Row],[Día Último Pago]],"/",BBDD_Usiarios_Netflix[[#This Row],[Mes Último Pago]],"/",BBDD_Usiarios_Netflix[[#This Row],[Año Último Pago]]))</f>
        <v>45482</v>
      </c>
      <c r="M1909" s="4">
        <f>DATEDIF(BBDD_Usiarios_Netflix[[#This Row],[Fecha Suscripción]],BBDD_Usiarios_Netflix[[#This Row],[Fecha Último Pago]],"M")+1</f>
        <v>10</v>
      </c>
      <c r="N1909" s="4">
        <f>BBDD_Usiarios_Netflix[[#This Row],[Ingresos Mensuales]]*BBDD_Usiarios_Netflix[[#This Row],[Meses contratados]]</f>
        <v>120</v>
      </c>
      <c r="O1909" t="s">
        <v>44</v>
      </c>
      <c r="P1909" t="str">
        <f>IF(BBDD_Usiarios_Netflix[[#This Row],[País]]="","Desconocido",BBDD_Usiarios_Netflix[[#This Row],[País]])</f>
        <v>Desconocido</v>
      </c>
      <c r="Q1909">
        <v>41</v>
      </c>
      <c r="R1909" t="s">
        <v>25</v>
      </c>
      <c r="S1909" t="s">
        <v>26</v>
      </c>
      <c r="T1909" t="s">
        <v>35</v>
      </c>
      <c r="U1909">
        <f>IF(IFERROR(VLOOKUP(BBDD_Usiarios_Netflix[[#This Row],[Identificador Usuario]],A1910:$A$5870,1,FALSE),0)&lt;&gt;0,1,0)</f>
        <v>0</v>
      </c>
      <c r="V1909" s="6" t="str">
        <f>IF(BBDD_Usiarios_Netflix[[#This Row],[Duración Plan]]="12 Meses",LEFT(BBDD_Usiarios_Netflix[[#This Row],[Duración Plan]],2),LEFT(BBDD_Usiarios_Netflix[[#This Row],[Duración Plan]],1))</f>
        <v>6</v>
      </c>
      <c r="W19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10" spans="1:23" x14ac:dyDescent="0.25">
      <c r="A1910">
        <v>1909</v>
      </c>
      <c r="B1910" t="s">
        <v>32</v>
      </c>
      <c r="C1910">
        <v>12</v>
      </c>
      <c r="D1910" s="3">
        <v>16</v>
      </c>
      <c r="E1910" s="3">
        <v>9</v>
      </c>
      <c r="F1910">
        <v>23</v>
      </c>
      <c r="G1910" s="1">
        <f>DATEVALUE(_xlfn.CONCAT(BBDD_Usiarios_Netflix[[#This Row],[Día Suscripción]],"/",BBDD_Usiarios_Netflix[[#This Row],[Mes Suscripción]],"/",BBDD_Usiarios_Netflix[[#This Row],[Año Suscripción]]))</f>
        <v>45185</v>
      </c>
      <c r="H1910" s="1">
        <v>8</v>
      </c>
      <c r="I1910" s="1">
        <v>7</v>
      </c>
      <c r="J1910" s="1">
        <v>24</v>
      </c>
      <c r="K1910" s="1" t="str">
        <f>TEXT(BBDD_Usiarios_Netflix[[#This Row],[Fecha Suscripción]],"dddd")</f>
        <v>sábado</v>
      </c>
      <c r="L1910" s="1">
        <f>DATEVALUE(_xlfn.CONCAT(BBDD_Usiarios_Netflix[[#This Row],[Día Último Pago]],"/",BBDD_Usiarios_Netflix[[#This Row],[Mes Último Pago]],"/",BBDD_Usiarios_Netflix[[#This Row],[Año Último Pago]]))</f>
        <v>45481</v>
      </c>
      <c r="M1910" s="4">
        <f>DATEDIF(BBDD_Usiarios_Netflix[[#This Row],[Fecha Suscripción]],BBDD_Usiarios_Netflix[[#This Row],[Fecha Último Pago]],"M")+1</f>
        <v>10</v>
      </c>
      <c r="N1910" s="4">
        <f>BBDD_Usiarios_Netflix[[#This Row],[Ingresos Mensuales]]*BBDD_Usiarios_Netflix[[#This Row],[Meses contratados]]</f>
        <v>120</v>
      </c>
      <c r="O1910" t="s">
        <v>43</v>
      </c>
      <c r="P1910" t="str">
        <f>IF(BBDD_Usiarios_Netflix[[#This Row],[País]]="","Desconocido",BBDD_Usiarios_Netflix[[#This Row],[País]])</f>
        <v>Alemania</v>
      </c>
      <c r="Q1910">
        <v>29</v>
      </c>
      <c r="R1910" t="s">
        <v>25</v>
      </c>
      <c r="S1910" t="s">
        <v>34</v>
      </c>
      <c r="T1910" t="s">
        <v>38</v>
      </c>
      <c r="U1910">
        <f>IF(IFERROR(VLOOKUP(BBDD_Usiarios_Netflix[[#This Row],[Identificador Usuario]],A1911:$A$5870,1,FALSE),0)&lt;&gt;0,1,0)</f>
        <v>0</v>
      </c>
      <c r="V1910" s="6" t="str">
        <f>IF(BBDD_Usiarios_Netflix[[#This Row],[Duración Plan]]="12 Meses",LEFT(BBDD_Usiarios_Netflix[[#This Row],[Duración Plan]],2),LEFT(BBDD_Usiarios_Netflix[[#This Row],[Duración Plan]],1))</f>
        <v>3</v>
      </c>
      <c r="W19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11" spans="1:23" x14ac:dyDescent="0.25">
      <c r="A1911">
        <v>1910</v>
      </c>
      <c r="B1911" t="s">
        <v>23</v>
      </c>
      <c r="C1911">
        <v>10</v>
      </c>
      <c r="D1911" s="3">
        <v>17</v>
      </c>
      <c r="E1911" s="3">
        <v>9</v>
      </c>
      <c r="F1911">
        <v>23</v>
      </c>
      <c r="G1911" s="1">
        <f>DATEVALUE(_xlfn.CONCAT(BBDD_Usiarios_Netflix[[#This Row],[Día Suscripción]],"/",BBDD_Usiarios_Netflix[[#This Row],[Mes Suscripción]],"/",BBDD_Usiarios_Netflix[[#This Row],[Año Suscripción]]))</f>
        <v>45186</v>
      </c>
      <c r="H1911" s="1">
        <v>8</v>
      </c>
      <c r="I1911" s="1">
        <v>7</v>
      </c>
      <c r="J1911" s="1">
        <v>24</v>
      </c>
      <c r="K1911" s="1" t="str">
        <f>TEXT(BBDD_Usiarios_Netflix[[#This Row],[Fecha Suscripción]],"dddd")</f>
        <v>domingo</v>
      </c>
      <c r="L1911" s="1">
        <f>DATEVALUE(_xlfn.CONCAT(BBDD_Usiarios_Netflix[[#This Row],[Día Último Pago]],"/",BBDD_Usiarios_Netflix[[#This Row],[Mes Último Pago]],"/",BBDD_Usiarios_Netflix[[#This Row],[Año Último Pago]]))</f>
        <v>45481</v>
      </c>
      <c r="M1911" s="4">
        <f>DATEDIF(BBDD_Usiarios_Netflix[[#This Row],[Fecha Suscripción]],BBDD_Usiarios_Netflix[[#This Row],[Fecha Último Pago]],"M")+1</f>
        <v>10</v>
      </c>
      <c r="N1911" s="4">
        <f>BBDD_Usiarios_Netflix[[#This Row],[Ingresos Mensuales]]*BBDD_Usiarios_Netflix[[#This Row],[Meses contratados]]</f>
        <v>100</v>
      </c>
      <c r="O1911" t="s">
        <v>24</v>
      </c>
      <c r="P1911" t="str">
        <f>IF(BBDD_Usiarios_Netflix[[#This Row],[País]]="","Desconocido",BBDD_Usiarios_Netflix[[#This Row],[País]])</f>
        <v>Australia</v>
      </c>
      <c r="Q1911">
        <v>35</v>
      </c>
      <c r="R1911" t="s">
        <v>25</v>
      </c>
      <c r="S1911" t="s">
        <v>26</v>
      </c>
      <c r="T1911" t="s">
        <v>27</v>
      </c>
      <c r="U1911">
        <f>IF(IFERROR(VLOOKUP(BBDD_Usiarios_Netflix[[#This Row],[Identificador Usuario]],A1912:$A$5870,1,FALSE),0)&lt;&gt;0,1,0)</f>
        <v>0</v>
      </c>
      <c r="V1911" s="6" t="str">
        <f>IF(BBDD_Usiarios_Netflix[[#This Row],[Duración Plan]]="12 Meses",LEFT(BBDD_Usiarios_Netflix[[#This Row],[Duración Plan]],2),LEFT(BBDD_Usiarios_Netflix[[#This Row],[Duración Plan]],1))</f>
        <v>1</v>
      </c>
      <c r="W19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2" spans="1:23" x14ac:dyDescent="0.25">
      <c r="A1912">
        <v>1911</v>
      </c>
      <c r="B1912" t="s">
        <v>28</v>
      </c>
      <c r="C1912">
        <v>14</v>
      </c>
      <c r="D1912" s="3">
        <v>17</v>
      </c>
      <c r="E1912" s="3">
        <v>9</v>
      </c>
      <c r="F1912">
        <v>23</v>
      </c>
      <c r="G1912" s="1">
        <f>DATEVALUE(_xlfn.CONCAT(BBDD_Usiarios_Netflix[[#This Row],[Día Suscripción]],"/",BBDD_Usiarios_Netflix[[#This Row],[Mes Suscripción]],"/",BBDD_Usiarios_Netflix[[#This Row],[Año Suscripción]]))</f>
        <v>45186</v>
      </c>
      <c r="H1912" s="1">
        <v>8</v>
      </c>
      <c r="I1912" s="1">
        <v>7</v>
      </c>
      <c r="J1912" s="1">
        <v>24</v>
      </c>
      <c r="K1912" s="1" t="str">
        <f>TEXT(BBDD_Usiarios_Netflix[[#This Row],[Fecha Suscripción]],"dddd")</f>
        <v>domingo</v>
      </c>
      <c r="L1912" s="1">
        <f>DATEVALUE(_xlfn.CONCAT(BBDD_Usiarios_Netflix[[#This Row],[Día Último Pago]],"/",BBDD_Usiarios_Netflix[[#This Row],[Mes Último Pago]],"/",BBDD_Usiarios_Netflix[[#This Row],[Año Último Pago]]))</f>
        <v>45481</v>
      </c>
      <c r="M1912" s="4">
        <f>DATEDIF(BBDD_Usiarios_Netflix[[#This Row],[Fecha Suscripción]],BBDD_Usiarios_Netflix[[#This Row],[Fecha Último Pago]],"M")+1</f>
        <v>10</v>
      </c>
      <c r="N1912" s="4">
        <f>BBDD_Usiarios_Netflix[[#This Row],[Ingresos Mensuales]]*BBDD_Usiarios_Netflix[[#This Row],[Meses contratados]]</f>
        <v>140</v>
      </c>
      <c r="O1912" t="s">
        <v>33</v>
      </c>
      <c r="P1912" t="str">
        <f>IF(BBDD_Usiarios_Netflix[[#This Row],[País]]="","Desconocido",BBDD_Usiarios_Netflix[[#This Row],[País]])</f>
        <v>Francia</v>
      </c>
      <c r="Q1912">
        <v>36</v>
      </c>
      <c r="R1912" t="s">
        <v>30</v>
      </c>
      <c r="S1912" t="s">
        <v>34</v>
      </c>
      <c r="T1912" t="s">
        <v>27</v>
      </c>
      <c r="U1912">
        <f>IF(IFERROR(VLOOKUP(BBDD_Usiarios_Netflix[[#This Row],[Identificador Usuario]],A1913:$A$5870,1,FALSE),0)&lt;&gt;0,1,0)</f>
        <v>0</v>
      </c>
      <c r="V1912" s="6" t="str">
        <f>IF(BBDD_Usiarios_Netflix[[#This Row],[Duración Plan]]="12 Meses",LEFT(BBDD_Usiarios_Netflix[[#This Row],[Duración Plan]],2),LEFT(BBDD_Usiarios_Netflix[[#This Row],[Duración Plan]],1))</f>
        <v>1</v>
      </c>
      <c r="W19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3" spans="1:23" x14ac:dyDescent="0.25">
      <c r="A1913">
        <v>1912</v>
      </c>
      <c r="B1913" t="s">
        <v>23</v>
      </c>
      <c r="C1913">
        <v>10</v>
      </c>
      <c r="D1913" s="3">
        <v>15</v>
      </c>
      <c r="E1913" s="3">
        <v>9</v>
      </c>
      <c r="F1913">
        <v>23</v>
      </c>
      <c r="G1913" s="1">
        <f>DATEVALUE(_xlfn.CONCAT(BBDD_Usiarios_Netflix[[#This Row],[Día Suscripción]],"/",BBDD_Usiarios_Netflix[[#This Row],[Mes Suscripción]],"/",BBDD_Usiarios_Netflix[[#This Row],[Año Suscripción]]))</f>
        <v>45184</v>
      </c>
      <c r="H1913" s="1">
        <v>9</v>
      </c>
      <c r="I1913" s="1">
        <v>7</v>
      </c>
      <c r="J1913" s="1">
        <v>24</v>
      </c>
      <c r="K1913" s="1" t="str">
        <f>TEXT(BBDD_Usiarios_Netflix[[#This Row],[Fecha Suscripción]],"dddd")</f>
        <v>viernes</v>
      </c>
      <c r="L1913" s="1">
        <f>DATEVALUE(_xlfn.CONCAT(BBDD_Usiarios_Netflix[[#This Row],[Día Último Pago]],"/",BBDD_Usiarios_Netflix[[#This Row],[Mes Último Pago]],"/",BBDD_Usiarios_Netflix[[#This Row],[Año Último Pago]]))</f>
        <v>45482</v>
      </c>
      <c r="M1913" s="4">
        <f>DATEDIF(BBDD_Usiarios_Netflix[[#This Row],[Fecha Suscripción]],BBDD_Usiarios_Netflix[[#This Row],[Fecha Último Pago]],"M")+1</f>
        <v>10</v>
      </c>
      <c r="N1913" s="4">
        <f>BBDD_Usiarios_Netflix[[#This Row],[Ingresos Mensuales]]*BBDD_Usiarios_Netflix[[#This Row],[Meses contratados]]</f>
        <v>100</v>
      </c>
      <c r="O1913" t="s">
        <v>39</v>
      </c>
      <c r="P1913" t="str">
        <f>IF(BBDD_Usiarios_Netflix[[#This Row],[País]]="","Desconocido",BBDD_Usiarios_Netflix[[#This Row],[País]])</f>
        <v>Canadá</v>
      </c>
      <c r="Q1913">
        <v>41</v>
      </c>
      <c r="R1913" t="s">
        <v>25</v>
      </c>
      <c r="S1913" t="s">
        <v>36</v>
      </c>
      <c r="T1913" t="s">
        <v>27</v>
      </c>
      <c r="U1913">
        <f>IF(IFERROR(VLOOKUP(BBDD_Usiarios_Netflix[[#This Row],[Identificador Usuario]],A1914:$A$5870,1,FALSE),0)&lt;&gt;0,1,0)</f>
        <v>0</v>
      </c>
      <c r="V1913" s="6" t="str">
        <f>IF(BBDD_Usiarios_Netflix[[#This Row],[Duración Plan]]="12 Meses",LEFT(BBDD_Usiarios_Netflix[[#This Row],[Duración Plan]],2),LEFT(BBDD_Usiarios_Netflix[[#This Row],[Duración Plan]],1))</f>
        <v>1</v>
      </c>
      <c r="W19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4" spans="1:23" x14ac:dyDescent="0.25">
      <c r="A1914">
        <v>1913</v>
      </c>
      <c r="B1914" t="s">
        <v>32</v>
      </c>
      <c r="C1914">
        <v>12</v>
      </c>
      <c r="D1914" s="3">
        <v>14</v>
      </c>
      <c r="E1914" s="3">
        <v>9</v>
      </c>
      <c r="F1914">
        <v>23</v>
      </c>
      <c r="G1914" s="1">
        <f>DATEVALUE(_xlfn.CONCAT(BBDD_Usiarios_Netflix[[#This Row],[Día Suscripción]],"/",BBDD_Usiarios_Netflix[[#This Row],[Mes Suscripción]],"/",BBDD_Usiarios_Netflix[[#This Row],[Año Suscripción]]))</f>
        <v>45183</v>
      </c>
      <c r="H1914" s="1">
        <v>8</v>
      </c>
      <c r="I1914" s="1">
        <v>7</v>
      </c>
      <c r="J1914" s="1">
        <v>24</v>
      </c>
      <c r="K1914" s="1" t="str">
        <f>TEXT(BBDD_Usiarios_Netflix[[#This Row],[Fecha Suscripción]],"dddd")</f>
        <v>jueves</v>
      </c>
      <c r="L1914" s="1">
        <f>DATEVALUE(_xlfn.CONCAT(BBDD_Usiarios_Netflix[[#This Row],[Día Último Pago]],"/",BBDD_Usiarios_Netflix[[#This Row],[Mes Último Pago]],"/",BBDD_Usiarios_Netflix[[#This Row],[Año Último Pago]]))</f>
        <v>45481</v>
      </c>
      <c r="M1914" s="4">
        <f>DATEDIF(BBDD_Usiarios_Netflix[[#This Row],[Fecha Suscripción]],BBDD_Usiarios_Netflix[[#This Row],[Fecha Último Pago]],"M")+1</f>
        <v>10</v>
      </c>
      <c r="N1914" s="4">
        <f>BBDD_Usiarios_Netflix[[#This Row],[Ingresos Mensuales]]*BBDD_Usiarios_Netflix[[#This Row],[Meses contratados]]</f>
        <v>120</v>
      </c>
      <c r="O1914" t="s">
        <v>33</v>
      </c>
      <c r="P1914" t="str">
        <f>IF(BBDD_Usiarios_Netflix[[#This Row],[País]]="","Desconocido",BBDD_Usiarios_Netflix[[#This Row],[País]])</f>
        <v>Francia</v>
      </c>
      <c r="Q1914">
        <v>46</v>
      </c>
      <c r="R1914" t="s">
        <v>25</v>
      </c>
      <c r="S1914" t="s">
        <v>31</v>
      </c>
      <c r="T1914" t="s">
        <v>27</v>
      </c>
      <c r="U1914">
        <f>IF(IFERROR(VLOOKUP(BBDD_Usiarios_Netflix[[#This Row],[Identificador Usuario]],A1915:$A$5870,1,FALSE),0)&lt;&gt;0,1,0)</f>
        <v>0</v>
      </c>
      <c r="V1914" s="6" t="str">
        <f>IF(BBDD_Usiarios_Netflix[[#This Row],[Duración Plan]]="12 Meses",LEFT(BBDD_Usiarios_Netflix[[#This Row],[Duración Plan]],2),LEFT(BBDD_Usiarios_Netflix[[#This Row],[Duración Plan]],1))</f>
        <v>1</v>
      </c>
      <c r="W19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5" spans="1:23" x14ac:dyDescent="0.25">
      <c r="A1915">
        <v>1914</v>
      </c>
      <c r="B1915" t="s">
        <v>28</v>
      </c>
      <c r="C1915">
        <v>14</v>
      </c>
      <c r="D1915" s="3">
        <v>14</v>
      </c>
      <c r="E1915" s="3">
        <v>9</v>
      </c>
      <c r="F1915">
        <v>23</v>
      </c>
      <c r="G1915" s="1">
        <f>DATEVALUE(_xlfn.CONCAT(BBDD_Usiarios_Netflix[[#This Row],[Día Suscripción]],"/",BBDD_Usiarios_Netflix[[#This Row],[Mes Suscripción]],"/",BBDD_Usiarios_Netflix[[#This Row],[Año Suscripción]]))</f>
        <v>45183</v>
      </c>
      <c r="H1915" s="1">
        <v>8</v>
      </c>
      <c r="I1915" s="1">
        <v>7</v>
      </c>
      <c r="J1915" s="1">
        <v>24</v>
      </c>
      <c r="K1915" s="1" t="str">
        <f>TEXT(BBDD_Usiarios_Netflix[[#This Row],[Fecha Suscripción]],"dddd")</f>
        <v>jueves</v>
      </c>
      <c r="L1915" s="1">
        <f>DATEVALUE(_xlfn.CONCAT(BBDD_Usiarios_Netflix[[#This Row],[Día Último Pago]],"/",BBDD_Usiarios_Netflix[[#This Row],[Mes Último Pago]],"/",BBDD_Usiarios_Netflix[[#This Row],[Año Último Pago]]))</f>
        <v>45481</v>
      </c>
      <c r="M1915" s="4">
        <f>DATEDIF(BBDD_Usiarios_Netflix[[#This Row],[Fecha Suscripción]],BBDD_Usiarios_Netflix[[#This Row],[Fecha Último Pago]],"M")+1</f>
        <v>10</v>
      </c>
      <c r="N1915" s="4">
        <f>BBDD_Usiarios_Netflix[[#This Row],[Ingresos Mensuales]]*BBDD_Usiarios_Netflix[[#This Row],[Meses contratados]]</f>
        <v>140</v>
      </c>
      <c r="O1915" t="s">
        <v>39</v>
      </c>
      <c r="P1915" t="str">
        <f>IF(BBDD_Usiarios_Netflix[[#This Row],[País]]="","Desconocido",BBDD_Usiarios_Netflix[[#This Row],[País]])</f>
        <v>Canadá</v>
      </c>
      <c r="Q1915">
        <v>46</v>
      </c>
      <c r="R1915" t="s">
        <v>30</v>
      </c>
      <c r="S1915" t="s">
        <v>31</v>
      </c>
      <c r="T1915" t="s">
        <v>27</v>
      </c>
      <c r="U1915">
        <f>IF(IFERROR(VLOOKUP(BBDD_Usiarios_Netflix[[#This Row],[Identificador Usuario]],A1916:$A$5870,1,FALSE),0)&lt;&gt;0,1,0)</f>
        <v>0</v>
      </c>
      <c r="V1915" s="6" t="str">
        <f>IF(BBDD_Usiarios_Netflix[[#This Row],[Duración Plan]]="12 Meses",LEFT(BBDD_Usiarios_Netflix[[#This Row],[Duración Plan]],2),LEFT(BBDD_Usiarios_Netflix[[#This Row],[Duración Plan]],1))</f>
        <v>1</v>
      </c>
      <c r="W19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6" spans="1:23" x14ac:dyDescent="0.25">
      <c r="A1916">
        <v>1915</v>
      </c>
      <c r="B1916" t="s">
        <v>23</v>
      </c>
      <c r="C1916">
        <v>10</v>
      </c>
      <c r="D1916" s="3">
        <v>13</v>
      </c>
      <c r="E1916" s="3">
        <v>9</v>
      </c>
      <c r="F1916">
        <v>23</v>
      </c>
      <c r="G1916" s="1">
        <f>DATEVALUE(_xlfn.CONCAT(BBDD_Usiarios_Netflix[[#This Row],[Día Suscripción]],"/",BBDD_Usiarios_Netflix[[#This Row],[Mes Suscripción]],"/",BBDD_Usiarios_Netflix[[#This Row],[Año Suscripción]]))</f>
        <v>45182</v>
      </c>
      <c r="H1916" s="1">
        <v>8</v>
      </c>
      <c r="I1916" s="1">
        <v>7</v>
      </c>
      <c r="J1916" s="1">
        <v>24</v>
      </c>
      <c r="K1916" s="1" t="str">
        <f>TEXT(BBDD_Usiarios_Netflix[[#This Row],[Fecha Suscripción]],"dddd")</f>
        <v>miércoles</v>
      </c>
      <c r="L1916" s="1">
        <f>DATEVALUE(_xlfn.CONCAT(BBDD_Usiarios_Netflix[[#This Row],[Día Último Pago]],"/",BBDD_Usiarios_Netflix[[#This Row],[Mes Último Pago]],"/",BBDD_Usiarios_Netflix[[#This Row],[Año Último Pago]]))</f>
        <v>45481</v>
      </c>
      <c r="M1916" s="4">
        <f>DATEDIF(BBDD_Usiarios_Netflix[[#This Row],[Fecha Suscripción]],BBDD_Usiarios_Netflix[[#This Row],[Fecha Último Pago]],"M")+1</f>
        <v>10</v>
      </c>
      <c r="N1916" s="4">
        <f>BBDD_Usiarios_Netflix[[#This Row],[Ingresos Mensuales]]*BBDD_Usiarios_Netflix[[#This Row],[Meses contratados]]</f>
        <v>100</v>
      </c>
      <c r="O1916" t="s">
        <v>40</v>
      </c>
      <c r="P1916" t="str">
        <f>IF(BBDD_Usiarios_Netflix[[#This Row],[País]]="","Desconocido",BBDD_Usiarios_Netflix[[#This Row],[País]])</f>
        <v>Italia</v>
      </c>
      <c r="Q1916">
        <v>42</v>
      </c>
      <c r="R1916" t="s">
        <v>25</v>
      </c>
      <c r="S1916" t="s">
        <v>26</v>
      </c>
      <c r="T1916" t="s">
        <v>35</v>
      </c>
      <c r="U1916">
        <f>IF(IFERROR(VLOOKUP(BBDD_Usiarios_Netflix[[#This Row],[Identificador Usuario]],A1917:$A$5870,1,FALSE),0)&lt;&gt;0,1,0)</f>
        <v>0</v>
      </c>
      <c r="V1916" s="6" t="str">
        <f>IF(BBDD_Usiarios_Netflix[[#This Row],[Duración Plan]]="12 Meses",LEFT(BBDD_Usiarios_Netflix[[#This Row],[Duración Plan]],2),LEFT(BBDD_Usiarios_Netflix[[#This Row],[Duración Plan]],1))</f>
        <v>6</v>
      </c>
      <c r="W19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17" spans="1:23" x14ac:dyDescent="0.25">
      <c r="A1917">
        <v>1916</v>
      </c>
      <c r="B1917" t="s">
        <v>28</v>
      </c>
      <c r="C1917">
        <v>14</v>
      </c>
      <c r="D1917" s="3">
        <v>13</v>
      </c>
      <c r="E1917" s="3">
        <v>8</v>
      </c>
      <c r="F1917">
        <v>23</v>
      </c>
      <c r="G1917" s="1">
        <f>DATEVALUE(_xlfn.CONCAT(BBDD_Usiarios_Netflix[[#This Row],[Día Suscripción]],"/",BBDD_Usiarios_Netflix[[#This Row],[Mes Suscripción]],"/",BBDD_Usiarios_Netflix[[#This Row],[Año Suscripción]]))</f>
        <v>45151</v>
      </c>
      <c r="H1917" s="1">
        <v>8</v>
      </c>
      <c r="I1917" s="1">
        <v>7</v>
      </c>
      <c r="J1917" s="1">
        <v>24</v>
      </c>
      <c r="K1917" s="1" t="str">
        <f>TEXT(BBDD_Usiarios_Netflix[[#This Row],[Fecha Suscripción]],"dddd")</f>
        <v>domingo</v>
      </c>
      <c r="L1917" s="1">
        <f>DATEVALUE(_xlfn.CONCAT(BBDD_Usiarios_Netflix[[#This Row],[Día Último Pago]],"/",BBDD_Usiarios_Netflix[[#This Row],[Mes Último Pago]],"/",BBDD_Usiarios_Netflix[[#This Row],[Año Último Pago]]))</f>
        <v>45481</v>
      </c>
      <c r="M1917" s="4">
        <f>DATEDIF(BBDD_Usiarios_Netflix[[#This Row],[Fecha Suscripción]],BBDD_Usiarios_Netflix[[#This Row],[Fecha Último Pago]],"M")+1</f>
        <v>11</v>
      </c>
      <c r="N1917" s="4">
        <f>BBDD_Usiarios_Netflix[[#This Row],[Ingresos Mensuales]]*BBDD_Usiarios_Netflix[[#This Row],[Meses contratados]]</f>
        <v>154</v>
      </c>
      <c r="O1917" t="s">
        <v>45</v>
      </c>
      <c r="P1917" t="str">
        <f>IF(BBDD_Usiarios_Netflix[[#This Row],[País]]="","Desconocido",BBDD_Usiarios_Netflix[[#This Row],[País]])</f>
        <v>España</v>
      </c>
      <c r="Q1917">
        <v>40</v>
      </c>
      <c r="R1917" t="s">
        <v>25</v>
      </c>
      <c r="S1917" t="s">
        <v>31</v>
      </c>
      <c r="T1917" t="s">
        <v>35</v>
      </c>
      <c r="U1917">
        <f>IF(IFERROR(VLOOKUP(BBDD_Usiarios_Netflix[[#This Row],[Identificador Usuario]],A1918:$A$5870,1,FALSE),0)&lt;&gt;0,1,0)</f>
        <v>0</v>
      </c>
      <c r="V1917" s="6" t="str">
        <f>IF(BBDD_Usiarios_Netflix[[#This Row],[Duración Plan]]="12 Meses",LEFT(BBDD_Usiarios_Netflix[[#This Row],[Duración Plan]],2),LEFT(BBDD_Usiarios_Netflix[[#This Row],[Duración Plan]],1))</f>
        <v>6</v>
      </c>
      <c r="W19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18" spans="1:23" x14ac:dyDescent="0.25">
      <c r="A1918">
        <v>1917</v>
      </c>
      <c r="B1918" t="s">
        <v>23</v>
      </c>
      <c r="C1918">
        <v>10</v>
      </c>
      <c r="D1918" s="3">
        <v>12</v>
      </c>
      <c r="E1918" s="3">
        <v>8</v>
      </c>
      <c r="F1918">
        <v>23</v>
      </c>
      <c r="G1918" s="1">
        <f>DATEVALUE(_xlfn.CONCAT(BBDD_Usiarios_Netflix[[#This Row],[Día Suscripción]],"/",BBDD_Usiarios_Netflix[[#This Row],[Mes Suscripción]],"/",BBDD_Usiarios_Netflix[[#This Row],[Año Suscripción]]))</f>
        <v>45150</v>
      </c>
      <c r="H1918" s="1">
        <v>8</v>
      </c>
      <c r="I1918" s="1">
        <v>7</v>
      </c>
      <c r="J1918" s="1">
        <v>24</v>
      </c>
      <c r="K1918" s="1" t="str">
        <f>TEXT(BBDD_Usiarios_Netflix[[#This Row],[Fecha Suscripción]],"dddd")</f>
        <v>sábado</v>
      </c>
      <c r="L1918" s="1">
        <f>DATEVALUE(_xlfn.CONCAT(BBDD_Usiarios_Netflix[[#This Row],[Día Último Pago]],"/",BBDD_Usiarios_Netflix[[#This Row],[Mes Último Pago]],"/",BBDD_Usiarios_Netflix[[#This Row],[Año Último Pago]]))</f>
        <v>45481</v>
      </c>
      <c r="M1918" s="4">
        <f>DATEDIF(BBDD_Usiarios_Netflix[[#This Row],[Fecha Suscripción]],BBDD_Usiarios_Netflix[[#This Row],[Fecha Último Pago]],"M")+1</f>
        <v>11</v>
      </c>
      <c r="N1918" s="4">
        <f>BBDD_Usiarios_Netflix[[#This Row],[Ingresos Mensuales]]*BBDD_Usiarios_Netflix[[#This Row],[Meses contratados]]</f>
        <v>110</v>
      </c>
      <c r="O1918" t="s">
        <v>29</v>
      </c>
      <c r="P1918" t="str">
        <f>IF(BBDD_Usiarios_Netflix[[#This Row],[País]]="","Desconocido",BBDD_Usiarios_Netflix[[#This Row],[País]])</f>
        <v>EEUU</v>
      </c>
      <c r="Q1918">
        <v>32</v>
      </c>
      <c r="R1918" t="s">
        <v>30</v>
      </c>
      <c r="S1918" t="s">
        <v>31</v>
      </c>
      <c r="T1918" t="s">
        <v>27</v>
      </c>
      <c r="U1918">
        <f>IF(IFERROR(VLOOKUP(BBDD_Usiarios_Netflix[[#This Row],[Identificador Usuario]],A1919:$A$5870,1,FALSE),0)&lt;&gt;0,1,0)</f>
        <v>0</v>
      </c>
      <c r="V1918" s="6" t="str">
        <f>IF(BBDD_Usiarios_Netflix[[#This Row],[Duración Plan]]="12 Meses",LEFT(BBDD_Usiarios_Netflix[[#This Row],[Duración Plan]],2),LEFT(BBDD_Usiarios_Netflix[[#This Row],[Duración Plan]],1))</f>
        <v>1</v>
      </c>
      <c r="W19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19" spans="1:23" x14ac:dyDescent="0.25">
      <c r="A1919">
        <v>1918</v>
      </c>
      <c r="B1919" t="s">
        <v>32</v>
      </c>
      <c r="C1919">
        <v>12</v>
      </c>
      <c r="D1919" s="3">
        <v>7</v>
      </c>
      <c r="E1919" s="3">
        <v>8</v>
      </c>
      <c r="F1919">
        <v>23</v>
      </c>
      <c r="G1919" s="1">
        <f>DATEVALUE(_xlfn.CONCAT(BBDD_Usiarios_Netflix[[#This Row],[Día Suscripción]],"/",BBDD_Usiarios_Netflix[[#This Row],[Mes Suscripción]],"/",BBDD_Usiarios_Netflix[[#This Row],[Año Suscripción]]))</f>
        <v>45145</v>
      </c>
      <c r="H1919" s="1">
        <v>10</v>
      </c>
      <c r="I1919" s="1">
        <v>7</v>
      </c>
      <c r="J1919" s="1">
        <v>24</v>
      </c>
      <c r="K1919" s="1" t="str">
        <f>TEXT(BBDD_Usiarios_Netflix[[#This Row],[Fecha Suscripción]],"dddd")</f>
        <v>lunes</v>
      </c>
      <c r="L1919" s="1">
        <f>DATEVALUE(_xlfn.CONCAT(BBDD_Usiarios_Netflix[[#This Row],[Día Último Pago]],"/",BBDD_Usiarios_Netflix[[#This Row],[Mes Último Pago]],"/",BBDD_Usiarios_Netflix[[#This Row],[Año Último Pago]]))</f>
        <v>45483</v>
      </c>
      <c r="M1919" s="4">
        <f>DATEDIF(BBDD_Usiarios_Netflix[[#This Row],[Fecha Suscripción]],BBDD_Usiarios_Netflix[[#This Row],[Fecha Último Pago]],"M")+1</f>
        <v>12</v>
      </c>
      <c r="N1919" s="4">
        <f>BBDD_Usiarios_Netflix[[#This Row],[Ingresos Mensuales]]*BBDD_Usiarios_Netflix[[#This Row],[Meses contratados]]</f>
        <v>144</v>
      </c>
      <c r="O1919" t="s">
        <v>42</v>
      </c>
      <c r="P1919" t="str">
        <f>IF(BBDD_Usiarios_Netflix[[#This Row],[País]]="","Desconocido",BBDD_Usiarios_Netflix[[#This Row],[País]])</f>
        <v>Reino Unido</v>
      </c>
      <c r="Q1919">
        <v>34</v>
      </c>
      <c r="R1919" t="s">
        <v>30</v>
      </c>
      <c r="S1919" t="s">
        <v>26</v>
      </c>
      <c r="T1919" t="s">
        <v>38</v>
      </c>
      <c r="U1919">
        <f>IF(IFERROR(VLOOKUP(BBDD_Usiarios_Netflix[[#This Row],[Identificador Usuario]],A1920:$A$5870,1,FALSE),0)&lt;&gt;0,1,0)</f>
        <v>0</v>
      </c>
      <c r="V1919" s="6" t="str">
        <f>IF(BBDD_Usiarios_Netflix[[#This Row],[Duración Plan]]="12 Meses",LEFT(BBDD_Usiarios_Netflix[[#This Row],[Duración Plan]],2),LEFT(BBDD_Usiarios_Netflix[[#This Row],[Duración Plan]],1))</f>
        <v>3</v>
      </c>
      <c r="W19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20" spans="1:23" x14ac:dyDescent="0.25">
      <c r="A1920">
        <v>1919</v>
      </c>
      <c r="B1920" t="s">
        <v>32</v>
      </c>
      <c r="C1920">
        <v>12</v>
      </c>
      <c r="D1920" s="3">
        <v>7</v>
      </c>
      <c r="E1920" s="3">
        <v>8</v>
      </c>
      <c r="F1920">
        <v>23</v>
      </c>
      <c r="G1920" s="1">
        <f>DATEVALUE(_xlfn.CONCAT(BBDD_Usiarios_Netflix[[#This Row],[Día Suscripción]],"/",BBDD_Usiarios_Netflix[[#This Row],[Mes Suscripción]],"/",BBDD_Usiarios_Netflix[[#This Row],[Año Suscripción]]))</f>
        <v>45145</v>
      </c>
      <c r="H1920" s="1">
        <v>9</v>
      </c>
      <c r="I1920" s="1">
        <v>7</v>
      </c>
      <c r="J1920" s="1">
        <v>24</v>
      </c>
      <c r="K1920" s="1" t="str">
        <f>TEXT(BBDD_Usiarios_Netflix[[#This Row],[Fecha Suscripción]],"dddd")</f>
        <v>lunes</v>
      </c>
      <c r="L1920" s="1">
        <f>DATEVALUE(_xlfn.CONCAT(BBDD_Usiarios_Netflix[[#This Row],[Día Último Pago]],"/",BBDD_Usiarios_Netflix[[#This Row],[Mes Último Pago]],"/",BBDD_Usiarios_Netflix[[#This Row],[Año Último Pago]]))</f>
        <v>45482</v>
      </c>
      <c r="M1920" s="4">
        <f>DATEDIF(BBDD_Usiarios_Netflix[[#This Row],[Fecha Suscripción]],BBDD_Usiarios_Netflix[[#This Row],[Fecha Último Pago]],"M")+1</f>
        <v>12</v>
      </c>
      <c r="N1920" s="4">
        <f>BBDD_Usiarios_Netflix[[#This Row],[Ingresos Mensuales]]*BBDD_Usiarios_Netflix[[#This Row],[Meses contratados]]</f>
        <v>144</v>
      </c>
      <c r="O1920" t="s">
        <v>42</v>
      </c>
      <c r="P1920" t="str">
        <f>IF(BBDD_Usiarios_Netflix[[#This Row],[País]]="","Desconocido",BBDD_Usiarios_Netflix[[#This Row],[País]])</f>
        <v>Reino Unido</v>
      </c>
      <c r="Q1920">
        <v>27</v>
      </c>
      <c r="R1920" t="s">
        <v>30</v>
      </c>
      <c r="S1920" t="s">
        <v>34</v>
      </c>
      <c r="T1920" t="s">
        <v>27</v>
      </c>
      <c r="U1920">
        <f>IF(IFERROR(VLOOKUP(BBDD_Usiarios_Netflix[[#This Row],[Identificador Usuario]],A1921:$A$5870,1,FALSE),0)&lt;&gt;0,1,0)</f>
        <v>0</v>
      </c>
      <c r="V1920" s="6" t="str">
        <f>IF(BBDD_Usiarios_Netflix[[#This Row],[Duración Plan]]="12 Meses",LEFT(BBDD_Usiarios_Netflix[[#This Row],[Duración Plan]],2),LEFT(BBDD_Usiarios_Netflix[[#This Row],[Duración Plan]],1))</f>
        <v>1</v>
      </c>
      <c r="W19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21" spans="1:23" x14ac:dyDescent="0.25">
      <c r="A1921">
        <v>1920</v>
      </c>
      <c r="B1921" t="s">
        <v>23</v>
      </c>
      <c r="C1921">
        <v>10</v>
      </c>
      <c r="D1921" s="3">
        <v>4</v>
      </c>
      <c r="E1921" s="3">
        <v>8</v>
      </c>
      <c r="F1921">
        <v>23</v>
      </c>
      <c r="G1921" s="1">
        <f>DATEVALUE(_xlfn.CONCAT(BBDD_Usiarios_Netflix[[#This Row],[Día Suscripción]],"/",BBDD_Usiarios_Netflix[[#This Row],[Mes Suscripción]],"/",BBDD_Usiarios_Netflix[[#This Row],[Año Suscripción]]))</f>
        <v>45142</v>
      </c>
      <c r="H1921" s="1">
        <v>8</v>
      </c>
      <c r="I1921" s="1">
        <v>7</v>
      </c>
      <c r="J1921" s="1">
        <v>24</v>
      </c>
      <c r="K1921" s="1" t="str">
        <f>TEXT(BBDD_Usiarios_Netflix[[#This Row],[Fecha Suscripción]],"dddd")</f>
        <v>viernes</v>
      </c>
      <c r="L1921" s="1">
        <f>DATEVALUE(_xlfn.CONCAT(BBDD_Usiarios_Netflix[[#This Row],[Día Último Pago]],"/",BBDD_Usiarios_Netflix[[#This Row],[Mes Último Pago]],"/",BBDD_Usiarios_Netflix[[#This Row],[Año Último Pago]]))</f>
        <v>45481</v>
      </c>
      <c r="M1921" s="4">
        <f>DATEDIF(BBDD_Usiarios_Netflix[[#This Row],[Fecha Suscripción]],BBDD_Usiarios_Netflix[[#This Row],[Fecha Último Pago]],"M")+1</f>
        <v>12</v>
      </c>
      <c r="N1921" s="4">
        <f>BBDD_Usiarios_Netflix[[#This Row],[Ingresos Mensuales]]*BBDD_Usiarios_Netflix[[#This Row],[Meses contratados]]</f>
        <v>120</v>
      </c>
      <c r="O1921" t="s">
        <v>45</v>
      </c>
      <c r="P1921" t="str">
        <f>IF(BBDD_Usiarios_Netflix[[#This Row],[País]]="","Desconocido",BBDD_Usiarios_Netflix[[#This Row],[País]])</f>
        <v>España</v>
      </c>
      <c r="Q1921">
        <v>38</v>
      </c>
      <c r="R1921" t="s">
        <v>25</v>
      </c>
      <c r="S1921" t="s">
        <v>36</v>
      </c>
      <c r="T1921" t="s">
        <v>27</v>
      </c>
      <c r="U1921">
        <f>IF(IFERROR(VLOOKUP(BBDD_Usiarios_Netflix[[#This Row],[Identificador Usuario]],A1922:$A$5870,1,FALSE),0)&lt;&gt;0,1,0)</f>
        <v>0</v>
      </c>
      <c r="V1921" s="6" t="str">
        <f>IF(BBDD_Usiarios_Netflix[[#This Row],[Duración Plan]]="12 Meses",LEFT(BBDD_Usiarios_Netflix[[#This Row],[Duración Plan]],2),LEFT(BBDD_Usiarios_Netflix[[#This Row],[Duración Plan]],1))</f>
        <v>1</v>
      </c>
      <c r="W19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22" spans="1:23" x14ac:dyDescent="0.25">
      <c r="A1922">
        <v>1921</v>
      </c>
      <c r="B1922" t="s">
        <v>28</v>
      </c>
      <c r="C1922">
        <v>14</v>
      </c>
      <c r="D1922" s="3">
        <v>24</v>
      </c>
      <c r="E1922" s="3">
        <v>7</v>
      </c>
      <c r="F1922">
        <v>23</v>
      </c>
      <c r="G1922" s="1">
        <f>DATEVALUE(_xlfn.CONCAT(BBDD_Usiarios_Netflix[[#This Row],[Día Suscripción]],"/",BBDD_Usiarios_Netflix[[#This Row],[Mes Suscripción]],"/",BBDD_Usiarios_Netflix[[#This Row],[Año Suscripción]]))</f>
        <v>45131</v>
      </c>
      <c r="H1922" s="1">
        <v>8</v>
      </c>
      <c r="I1922" s="1">
        <v>7</v>
      </c>
      <c r="J1922" s="1">
        <v>24</v>
      </c>
      <c r="K1922" s="1" t="str">
        <f>TEXT(BBDD_Usiarios_Netflix[[#This Row],[Fecha Suscripción]],"dddd")</f>
        <v>lunes</v>
      </c>
      <c r="L1922" s="1">
        <f>DATEVALUE(_xlfn.CONCAT(BBDD_Usiarios_Netflix[[#This Row],[Día Último Pago]],"/",BBDD_Usiarios_Netflix[[#This Row],[Mes Último Pago]],"/",BBDD_Usiarios_Netflix[[#This Row],[Año Último Pago]]))</f>
        <v>45481</v>
      </c>
      <c r="M1922" s="4">
        <f>DATEDIF(BBDD_Usiarios_Netflix[[#This Row],[Fecha Suscripción]],BBDD_Usiarios_Netflix[[#This Row],[Fecha Último Pago]],"M")+1</f>
        <v>12</v>
      </c>
      <c r="N1922" s="4">
        <f>BBDD_Usiarios_Netflix[[#This Row],[Ingresos Mensuales]]*BBDD_Usiarios_Netflix[[#This Row],[Meses contratados]]</f>
        <v>168</v>
      </c>
      <c r="O1922" t="s">
        <v>24</v>
      </c>
      <c r="P1922" t="str">
        <f>IF(BBDD_Usiarios_Netflix[[#This Row],[País]]="","Desconocido",BBDD_Usiarios_Netflix[[#This Row],[País]])</f>
        <v>Australia</v>
      </c>
      <c r="Q1922">
        <v>34</v>
      </c>
      <c r="R1922" t="s">
        <v>30</v>
      </c>
      <c r="S1922" t="s">
        <v>36</v>
      </c>
      <c r="T1922" t="s">
        <v>35</v>
      </c>
      <c r="U1922">
        <f>IF(IFERROR(VLOOKUP(BBDD_Usiarios_Netflix[[#This Row],[Identificador Usuario]],A1923:$A$5870,1,FALSE),0)&lt;&gt;0,1,0)</f>
        <v>0</v>
      </c>
      <c r="V1922" s="6" t="str">
        <f>IF(BBDD_Usiarios_Netflix[[#This Row],[Duración Plan]]="12 Meses",LEFT(BBDD_Usiarios_Netflix[[#This Row],[Duración Plan]],2),LEFT(BBDD_Usiarios_Netflix[[#This Row],[Duración Plan]],1))</f>
        <v>6</v>
      </c>
      <c r="W19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23" spans="1:23" x14ac:dyDescent="0.25">
      <c r="A1923">
        <v>1922</v>
      </c>
      <c r="B1923" t="s">
        <v>23</v>
      </c>
      <c r="C1923">
        <v>10</v>
      </c>
      <c r="D1923" s="3">
        <v>18</v>
      </c>
      <c r="E1923" s="3">
        <v>7</v>
      </c>
      <c r="F1923">
        <v>23</v>
      </c>
      <c r="G1923" s="1">
        <f>DATEVALUE(_xlfn.CONCAT(BBDD_Usiarios_Netflix[[#This Row],[Día Suscripción]],"/",BBDD_Usiarios_Netflix[[#This Row],[Mes Suscripción]],"/",BBDD_Usiarios_Netflix[[#This Row],[Año Suscripción]]))</f>
        <v>45125</v>
      </c>
      <c r="H1923" s="1">
        <v>10</v>
      </c>
      <c r="I1923" s="1">
        <v>7</v>
      </c>
      <c r="J1923" s="1">
        <v>24</v>
      </c>
      <c r="K1923" s="1" t="str">
        <f>TEXT(BBDD_Usiarios_Netflix[[#This Row],[Fecha Suscripción]],"dddd")</f>
        <v>martes</v>
      </c>
      <c r="L1923" s="1">
        <f>DATEVALUE(_xlfn.CONCAT(BBDD_Usiarios_Netflix[[#This Row],[Día Último Pago]],"/",BBDD_Usiarios_Netflix[[#This Row],[Mes Último Pago]],"/",BBDD_Usiarios_Netflix[[#This Row],[Año Último Pago]]))</f>
        <v>45483</v>
      </c>
      <c r="M1923" s="4">
        <f>DATEDIF(BBDD_Usiarios_Netflix[[#This Row],[Fecha Suscripción]],BBDD_Usiarios_Netflix[[#This Row],[Fecha Último Pago]],"M")+1</f>
        <v>12</v>
      </c>
      <c r="N1923" s="4">
        <f>BBDD_Usiarios_Netflix[[#This Row],[Ingresos Mensuales]]*BBDD_Usiarios_Netflix[[#This Row],[Meses contratados]]</f>
        <v>120</v>
      </c>
      <c r="O1923" t="s">
        <v>42</v>
      </c>
      <c r="P1923" t="str">
        <f>IF(BBDD_Usiarios_Netflix[[#This Row],[País]]="","Desconocido",BBDD_Usiarios_Netflix[[#This Row],[País]])</f>
        <v>Reino Unido</v>
      </c>
      <c r="Q1923">
        <v>28</v>
      </c>
      <c r="R1923" t="s">
        <v>25</v>
      </c>
      <c r="S1923" t="s">
        <v>31</v>
      </c>
      <c r="T1923" t="s">
        <v>41</v>
      </c>
      <c r="U1923">
        <f>IF(IFERROR(VLOOKUP(BBDD_Usiarios_Netflix[[#This Row],[Identificador Usuario]],A1924:$A$5870,1,FALSE),0)&lt;&gt;0,1,0)</f>
        <v>0</v>
      </c>
      <c r="V1923" s="6" t="str">
        <f>IF(BBDD_Usiarios_Netflix[[#This Row],[Duración Plan]]="12 Meses",LEFT(BBDD_Usiarios_Netflix[[#This Row],[Duración Plan]],2),LEFT(BBDD_Usiarios_Netflix[[#This Row],[Duración Plan]],1))</f>
        <v>12</v>
      </c>
      <c r="W19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24" spans="1:23" x14ac:dyDescent="0.25">
      <c r="A1924">
        <v>1923</v>
      </c>
      <c r="B1924" t="s">
        <v>32</v>
      </c>
      <c r="C1924">
        <v>12</v>
      </c>
      <c r="D1924" s="3">
        <v>17</v>
      </c>
      <c r="E1924" s="3">
        <v>7</v>
      </c>
      <c r="F1924">
        <v>23</v>
      </c>
      <c r="G1924" s="1">
        <f>DATEVALUE(_xlfn.CONCAT(BBDD_Usiarios_Netflix[[#This Row],[Día Suscripción]],"/",BBDD_Usiarios_Netflix[[#This Row],[Mes Suscripción]],"/",BBDD_Usiarios_Netflix[[#This Row],[Año Suscripción]]))</f>
        <v>45124</v>
      </c>
      <c r="H1924" s="1">
        <v>8</v>
      </c>
      <c r="I1924" s="1">
        <v>7</v>
      </c>
      <c r="J1924" s="1">
        <v>24</v>
      </c>
      <c r="K1924" s="1" t="str">
        <f>TEXT(BBDD_Usiarios_Netflix[[#This Row],[Fecha Suscripción]],"dddd")</f>
        <v>lunes</v>
      </c>
      <c r="L1924" s="1">
        <f>DATEVALUE(_xlfn.CONCAT(BBDD_Usiarios_Netflix[[#This Row],[Día Último Pago]],"/",BBDD_Usiarios_Netflix[[#This Row],[Mes Último Pago]],"/",BBDD_Usiarios_Netflix[[#This Row],[Año Último Pago]]))</f>
        <v>45481</v>
      </c>
      <c r="M1924" s="4">
        <f>DATEDIF(BBDD_Usiarios_Netflix[[#This Row],[Fecha Suscripción]],BBDD_Usiarios_Netflix[[#This Row],[Fecha Último Pago]],"M")+1</f>
        <v>12</v>
      </c>
      <c r="N1924" s="4">
        <f>BBDD_Usiarios_Netflix[[#This Row],[Ingresos Mensuales]]*BBDD_Usiarios_Netflix[[#This Row],[Meses contratados]]</f>
        <v>144</v>
      </c>
      <c r="O1924" t="s">
        <v>24</v>
      </c>
      <c r="P1924" t="str">
        <f>IF(BBDD_Usiarios_Netflix[[#This Row],[País]]="","Desconocido",BBDD_Usiarios_Netflix[[#This Row],[País]])</f>
        <v>Australia</v>
      </c>
      <c r="Q1924">
        <v>48</v>
      </c>
      <c r="R1924" t="s">
        <v>25</v>
      </c>
      <c r="S1924" t="s">
        <v>26</v>
      </c>
      <c r="T1924" t="s">
        <v>27</v>
      </c>
      <c r="U1924">
        <f>IF(IFERROR(VLOOKUP(BBDD_Usiarios_Netflix[[#This Row],[Identificador Usuario]],A1925:$A$5870,1,FALSE),0)&lt;&gt;0,1,0)</f>
        <v>0</v>
      </c>
      <c r="V1924" s="6" t="str">
        <f>IF(BBDD_Usiarios_Netflix[[#This Row],[Duración Plan]]="12 Meses",LEFT(BBDD_Usiarios_Netflix[[#This Row],[Duración Plan]],2),LEFT(BBDD_Usiarios_Netflix[[#This Row],[Duración Plan]],1))</f>
        <v>1</v>
      </c>
      <c r="W19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25" spans="1:23" x14ac:dyDescent="0.25">
      <c r="A1925">
        <v>1924</v>
      </c>
      <c r="B1925" t="s">
        <v>28</v>
      </c>
      <c r="C1925">
        <v>14</v>
      </c>
      <c r="D1925" s="3">
        <v>17</v>
      </c>
      <c r="E1925" s="3">
        <v>7</v>
      </c>
      <c r="F1925">
        <v>23</v>
      </c>
      <c r="G1925" s="1">
        <f>DATEVALUE(_xlfn.CONCAT(BBDD_Usiarios_Netflix[[#This Row],[Día Suscripción]],"/",BBDD_Usiarios_Netflix[[#This Row],[Mes Suscripción]],"/",BBDD_Usiarios_Netflix[[#This Row],[Año Suscripción]]))</f>
        <v>45124</v>
      </c>
      <c r="H1925" s="1">
        <v>9</v>
      </c>
      <c r="I1925" s="1">
        <v>7</v>
      </c>
      <c r="J1925" s="1">
        <v>24</v>
      </c>
      <c r="K1925" s="1" t="str">
        <f>TEXT(BBDD_Usiarios_Netflix[[#This Row],[Fecha Suscripción]],"dddd")</f>
        <v>lunes</v>
      </c>
      <c r="L1925" s="1">
        <f>DATEVALUE(_xlfn.CONCAT(BBDD_Usiarios_Netflix[[#This Row],[Día Último Pago]],"/",BBDD_Usiarios_Netflix[[#This Row],[Mes Último Pago]],"/",BBDD_Usiarios_Netflix[[#This Row],[Año Último Pago]]))</f>
        <v>45482</v>
      </c>
      <c r="M1925" s="4">
        <f>DATEDIF(BBDD_Usiarios_Netflix[[#This Row],[Fecha Suscripción]],BBDD_Usiarios_Netflix[[#This Row],[Fecha Último Pago]],"M")+1</f>
        <v>12</v>
      </c>
      <c r="N1925" s="4">
        <f>BBDD_Usiarios_Netflix[[#This Row],[Ingresos Mensuales]]*BBDD_Usiarios_Netflix[[#This Row],[Meses contratados]]</f>
        <v>168</v>
      </c>
      <c r="O1925" t="s">
        <v>29</v>
      </c>
      <c r="P1925" t="str">
        <f>IF(BBDD_Usiarios_Netflix[[#This Row],[País]]="","Desconocido",BBDD_Usiarios_Netflix[[#This Row],[País]])</f>
        <v>EEUU</v>
      </c>
      <c r="Q1925">
        <v>42</v>
      </c>
      <c r="R1925" t="s">
        <v>30</v>
      </c>
      <c r="S1925" t="s">
        <v>36</v>
      </c>
      <c r="T1925" t="s">
        <v>41</v>
      </c>
      <c r="U1925">
        <f>IF(IFERROR(VLOOKUP(BBDD_Usiarios_Netflix[[#This Row],[Identificador Usuario]],A1926:$A$5870,1,FALSE),0)&lt;&gt;0,1,0)</f>
        <v>0</v>
      </c>
      <c r="V1925" s="6" t="str">
        <f>IF(BBDD_Usiarios_Netflix[[#This Row],[Duración Plan]]="12 Meses",LEFT(BBDD_Usiarios_Netflix[[#This Row],[Duración Plan]],2),LEFT(BBDD_Usiarios_Netflix[[#This Row],[Duración Plan]],1))</f>
        <v>12</v>
      </c>
      <c r="W19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26" spans="1:23" x14ac:dyDescent="0.25">
      <c r="A1926">
        <v>1925</v>
      </c>
      <c r="B1926" t="s">
        <v>23</v>
      </c>
      <c r="C1926">
        <v>10</v>
      </c>
      <c r="D1926" s="3">
        <v>14</v>
      </c>
      <c r="E1926" s="3">
        <v>7</v>
      </c>
      <c r="F1926">
        <v>23</v>
      </c>
      <c r="G1926" s="1">
        <f>DATEVALUE(_xlfn.CONCAT(BBDD_Usiarios_Netflix[[#This Row],[Día Suscripción]],"/",BBDD_Usiarios_Netflix[[#This Row],[Mes Suscripción]],"/",BBDD_Usiarios_Netflix[[#This Row],[Año Suscripción]]))</f>
        <v>45121</v>
      </c>
      <c r="H1926" s="1">
        <v>8</v>
      </c>
      <c r="I1926" s="1">
        <v>7</v>
      </c>
      <c r="J1926" s="1">
        <v>24</v>
      </c>
      <c r="K1926" s="1" t="str">
        <f>TEXT(BBDD_Usiarios_Netflix[[#This Row],[Fecha Suscripción]],"dddd")</f>
        <v>viernes</v>
      </c>
      <c r="L1926" s="1">
        <f>DATEVALUE(_xlfn.CONCAT(BBDD_Usiarios_Netflix[[#This Row],[Día Último Pago]],"/",BBDD_Usiarios_Netflix[[#This Row],[Mes Último Pago]],"/",BBDD_Usiarios_Netflix[[#This Row],[Año Último Pago]]))</f>
        <v>45481</v>
      </c>
      <c r="M1926" s="4">
        <f>DATEDIF(BBDD_Usiarios_Netflix[[#This Row],[Fecha Suscripción]],BBDD_Usiarios_Netflix[[#This Row],[Fecha Último Pago]],"M")+1</f>
        <v>12</v>
      </c>
      <c r="N1926" s="4">
        <f>BBDD_Usiarios_Netflix[[#This Row],[Ingresos Mensuales]]*BBDD_Usiarios_Netflix[[#This Row],[Meses contratados]]</f>
        <v>120</v>
      </c>
      <c r="O1926" t="s">
        <v>40</v>
      </c>
      <c r="P1926" t="str">
        <f>IF(BBDD_Usiarios_Netflix[[#This Row],[País]]="","Desconocido",BBDD_Usiarios_Netflix[[#This Row],[País]])</f>
        <v>Italia</v>
      </c>
      <c r="Q1926">
        <v>37</v>
      </c>
      <c r="R1926" t="s">
        <v>30</v>
      </c>
      <c r="S1926" t="s">
        <v>34</v>
      </c>
      <c r="T1926" t="s">
        <v>27</v>
      </c>
      <c r="U1926">
        <f>IF(IFERROR(VLOOKUP(BBDD_Usiarios_Netflix[[#This Row],[Identificador Usuario]],A1927:$A$5870,1,FALSE),0)&lt;&gt;0,1,0)</f>
        <v>0</v>
      </c>
      <c r="V1926" s="6" t="str">
        <f>IF(BBDD_Usiarios_Netflix[[#This Row],[Duración Plan]]="12 Meses",LEFT(BBDD_Usiarios_Netflix[[#This Row],[Duración Plan]],2),LEFT(BBDD_Usiarios_Netflix[[#This Row],[Duración Plan]],1))</f>
        <v>1</v>
      </c>
      <c r="W19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27" spans="1:23" x14ac:dyDescent="0.25">
      <c r="A1927">
        <v>1926</v>
      </c>
      <c r="B1927" t="s">
        <v>28</v>
      </c>
      <c r="C1927">
        <v>14</v>
      </c>
      <c r="D1927" s="3">
        <v>6</v>
      </c>
      <c r="E1927" s="3">
        <v>7</v>
      </c>
      <c r="F1927">
        <v>23</v>
      </c>
      <c r="G1927" s="1">
        <f>DATEVALUE(_xlfn.CONCAT(BBDD_Usiarios_Netflix[[#This Row],[Día Suscripción]],"/",BBDD_Usiarios_Netflix[[#This Row],[Mes Suscripción]],"/",BBDD_Usiarios_Netflix[[#This Row],[Año Suscripción]]))</f>
        <v>45113</v>
      </c>
      <c r="H1927" s="1">
        <v>10</v>
      </c>
      <c r="I1927" s="1">
        <v>7</v>
      </c>
      <c r="J1927" s="1">
        <v>24</v>
      </c>
      <c r="K1927" s="1" t="str">
        <f>TEXT(BBDD_Usiarios_Netflix[[#This Row],[Fecha Suscripción]],"dddd")</f>
        <v>jueves</v>
      </c>
      <c r="L1927" s="1">
        <f>DATEVALUE(_xlfn.CONCAT(BBDD_Usiarios_Netflix[[#This Row],[Día Último Pago]],"/",BBDD_Usiarios_Netflix[[#This Row],[Mes Último Pago]],"/",BBDD_Usiarios_Netflix[[#This Row],[Año Último Pago]]))</f>
        <v>45483</v>
      </c>
      <c r="M1927" s="4">
        <f>DATEDIF(BBDD_Usiarios_Netflix[[#This Row],[Fecha Suscripción]],BBDD_Usiarios_Netflix[[#This Row],[Fecha Último Pago]],"M")+1</f>
        <v>13</v>
      </c>
      <c r="N1927" s="4">
        <f>BBDD_Usiarios_Netflix[[#This Row],[Ingresos Mensuales]]*BBDD_Usiarios_Netflix[[#This Row],[Meses contratados]]</f>
        <v>182</v>
      </c>
      <c r="O1927" t="s">
        <v>43</v>
      </c>
      <c r="P1927" t="str">
        <f>IF(BBDD_Usiarios_Netflix[[#This Row],[País]]="","Desconocido",BBDD_Usiarios_Netflix[[#This Row],[País]])</f>
        <v>Alemania</v>
      </c>
      <c r="Q1927">
        <v>28</v>
      </c>
      <c r="R1927" t="s">
        <v>30</v>
      </c>
      <c r="S1927" t="s">
        <v>31</v>
      </c>
      <c r="T1927" t="s">
        <v>27</v>
      </c>
      <c r="U1927">
        <f>IF(IFERROR(VLOOKUP(BBDD_Usiarios_Netflix[[#This Row],[Identificador Usuario]],A1928:$A$5870,1,FALSE),0)&lt;&gt;0,1,0)</f>
        <v>0</v>
      </c>
      <c r="V1927" s="6" t="str">
        <f>IF(BBDD_Usiarios_Netflix[[#This Row],[Duración Plan]]="12 Meses",LEFT(BBDD_Usiarios_Netflix[[#This Row],[Duración Plan]],2),LEFT(BBDD_Usiarios_Netflix[[#This Row],[Duración Plan]],1))</f>
        <v>1</v>
      </c>
      <c r="W19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28" spans="1:23" x14ac:dyDescent="0.25">
      <c r="A1928">
        <v>1927</v>
      </c>
      <c r="B1928" t="s">
        <v>23</v>
      </c>
      <c r="C1928">
        <v>10</v>
      </c>
      <c r="D1928" s="3">
        <v>7</v>
      </c>
      <c r="E1928" s="3">
        <v>7</v>
      </c>
      <c r="F1928">
        <v>23</v>
      </c>
      <c r="G1928" s="1">
        <f>DATEVALUE(_xlfn.CONCAT(BBDD_Usiarios_Netflix[[#This Row],[Día Suscripción]],"/",BBDD_Usiarios_Netflix[[#This Row],[Mes Suscripción]],"/",BBDD_Usiarios_Netflix[[#This Row],[Año Suscripción]]))</f>
        <v>45114</v>
      </c>
      <c r="H1928" s="1">
        <v>8</v>
      </c>
      <c r="I1928" s="1">
        <v>7</v>
      </c>
      <c r="J1928" s="1">
        <v>24</v>
      </c>
      <c r="K1928" s="1" t="str">
        <f>TEXT(BBDD_Usiarios_Netflix[[#This Row],[Fecha Suscripción]],"dddd")</f>
        <v>viernes</v>
      </c>
      <c r="L1928" s="1">
        <f>DATEVALUE(_xlfn.CONCAT(BBDD_Usiarios_Netflix[[#This Row],[Día Último Pago]],"/",BBDD_Usiarios_Netflix[[#This Row],[Mes Último Pago]],"/",BBDD_Usiarios_Netflix[[#This Row],[Año Último Pago]]))</f>
        <v>45481</v>
      </c>
      <c r="M1928" s="4">
        <f>DATEDIF(BBDD_Usiarios_Netflix[[#This Row],[Fecha Suscripción]],BBDD_Usiarios_Netflix[[#This Row],[Fecha Último Pago]],"M")+1</f>
        <v>13</v>
      </c>
      <c r="N1928" s="4">
        <f>BBDD_Usiarios_Netflix[[#This Row],[Ingresos Mensuales]]*BBDD_Usiarios_Netflix[[#This Row],[Meses contratados]]</f>
        <v>130</v>
      </c>
      <c r="O1928" t="s">
        <v>42</v>
      </c>
      <c r="P1928" t="str">
        <f>IF(BBDD_Usiarios_Netflix[[#This Row],[País]]="","Desconocido",BBDD_Usiarios_Netflix[[#This Row],[País]])</f>
        <v>Reino Unido</v>
      </c>
      <c r="Q1928">
        <v>43</v>
      </c>
      <c r="R1928" t="s">
        <v>30</v>
      </c>
      <c r="S1928" t="s">
        <v>34</v>
      </c>
      <c r="T1928" t="s">
        <v>35</v>
      </c>
      <c r="U1928">
        <f>IF(IFERROR(VLOOKUP(BBDD_Usiarios_Netflix[[#This Row],[Identificador Usuario]],A1929:$A$5870,1,FALSE),0)&lt;&gt;0,1,0)</f>
        <v>0</v>
      </c>
      <c r="V1928" s="6" t="str">
        <f>IF(BBDD_Usiarios_Netflix[[#This Row],[Duración Plan]]="12 Meses",LEFT(BBDD_Usiarios_Netflix[[#This Row],[Duración Plan]],2),LEFT(BBDD_Usiarios_Netflix[[#This Row],[Duración Plan]],1))</f>
        <v>6</v>
      </c>
      <c r="W19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29" spans="1:23" x14ac:dyDescent="0.25">
      <c r="A1929">
        <v>1928</v>
      </c>
      <c r="B1929" t="s">
        <v>32</v>
      </c>
      <c r="C1929">
        <v>12</v>
      </c>
      <c r="D1929" s="3">
        <v>7</v>
      </c>
      <c r="E1929" s="3">
        <v>7</v>
      </c>
      <c r="F1929">
        <v>23</v>
      </c>
      <c r="G1929" s="1">
        <f>DATEVALUE(_xlfn.CONCAT(BBDD_Usiarios_Netflix[[#This Row],[Día Suscripción]],"/",BBDD_Usiarios_Netflix[[#This Row],[Mes Suscripción]],"/",BBDD_Usiarios_Netflix[[#This Row],[Año Suscripción]]))</f>
        <v>45114</v>
      </c>
      <c r="H1929" s="1">
        <v>11</v>
      </c>
      <c r="I1929" s="1">
        <v>7</v>
      </c>
      <c r="J1929" s="1">
        <v>24</v>
      </c>
      <c r="K1929" s="1" t="str">
        <f>TEXT(BBDD_Usiarios_Netflix[[#This Row],[Fecha Suscripción]],"dddd")</f>
        <v>viernes</v>
      </c>
      <c r="L1929" s="1">
        <f>DATEVALUE(_xlfn.CONCAT(BBDD_Usiarios_Netflix[[#This Row],[Día Último Pago]],"/",BBDD_Usiarios_Netflix[[#This Row],[Mes Último Pago]],"/",BBDD_Usiarios_Netflix[[#This Row],[Año Último Pago]]))</f>
        <v>45484</v>
      </c>
      <c r="M1929" s="4">
        <f>DATEDIF(BBDD_Usiarios_Netflix[[#This Row],[Fecha Suscripción]],BBDD_Usiarios_Netflix[[#This Row],[Fecha Último Pago]],"M")+1</f>
        <v>13</v>
      </c>
      <c r="N1929" s="4">
        <f>BBDD_Usiarios_Netflix[[#This Row],[Ingresos Mensuales]]*BBDD_Usiarios_Netflix[[#This Row],[Meses contratados]]</f>
        <v>156</v>
      </c>
      <c r="O1929" t="s">
        <v>42</v>
      </c>
      <c r="P1929" t="str">
        <f>IF(BBDD_Usiarios_Netflix[[#This Row],[País]]="","Desconocido",BBDD_Usiarios_Netflix[[#This Row],[País]])</f>
        <v>Reino Unido</v>
      </c>
      <c r="Q1929">
        <v>44</v>
      </c>
      <c r="R1929" t="s">
        <v>30</v>
      </c>
      <c r="S1929" t="s">
        <v>34</v>
      </c>
      <c r="T1929" t="s">
        <v>35</v>
      </c>
      <c r="U1929">
        <f>IF(IFERROR(VLOOKUP(BBDD_Usiarios_Netflix[[#This Row],[Identificador Usuario]],A1930:$A$5870,1,FALSE),0)&lt;&gt;0,1,0)</f>
        <v>0</v>
      </c>
      <c r="V1929" s="6" t="str">
        <f>IF(BBDD_Usiarios_Netflix[[#This Row],[Duración Plan]]="12 Meses",LEFT(BBDD_Usiarios_Netflix[[#This Row],[Duración Plan]],2),LEFT(BBDD_Usiarios_Netflix[[#This Row],[Duración Plan]],1))</f>
        <v>6</v>
      </c>
      <c r="W19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30" spans="1:23" x14ac:dyDescent="0.25">
      <c r="A1930">
        <v>1929</v>
      </c>
      <c r="B1930" t="s">
        <v>32</v>
      </c>
      <c r="C1930">
        <v>12</v>
      </c>
      <c r="D1930" s="3">
        <v>8</v>
      </c>
      <c r="E1930" s="3">
        <v>7</v>
      </c>
      <c r="F1930">
        <v>23</v>
      </c>
      <c r="G1930" s="1">
        <f>DATEVALUE(_xlfn.CONCAT(BBDD_Usiarios_Netflix[[#This Row],[Día Suscripción]],"/",BBDD_Usiarios_Netflix[[#This Row],[Mes Suscripción]],"/",BBDD_Usiarios_Netflix[[#This Row],[Año Suscripción]]))</f>
        <v>45115</v>
      </c>
      <c r="H1930" s="1">
        <v>7</v>
      </c>
      <c r="I1930" s="1">
        <v>7</v>
      </c>
      <c r="J1930" s="1">
        <v>24</v>
      </c>
      <c r="K1930" s="1" t="str">
        <f>TEXT(BBDD_Usiarios_Netflix[[#This Row],[Fecha Suscripción]],"dddd")</f>
        <v>sábado</v>
      </c>
      <c r="L1930" s="1">
        <f>DATEVALUE(_xlfn.CONCAT(BBDD_Usiarios_Netflix[[#This Row],[Día Último Pago]],"/",BBDD_Usiarios_Netflix[[#This Row],[Mes Último Pago]],"/",BBDD_Usiarios_Netflix[[#This Row],[Año Último Pago]]))</f>
        <v>45480</v>
      </c>
      <c r="M1930" s="4">
        <f>DATEDIF(BBDD_Usiarios_Netflix[[#This Row],[Fecha Suscripción]],BBDD_Usiarios_Netflix[[#This Row],[Fecha Último Pago]],"M")+1</f>
        <v>12</v>
      </c>
      <c r="N1930" s="4">
        <f>BBDD_Usiarios_Netflix[[#This Row],[Ingresos Mensuales]]*BBDD_Usiarios_Netflix[[#This Row],[Meses contratados]]</f>
        <v>144</v>
      </c>
      <c r="O1930" t="s">
        <v>43</v>
      </c>
      <c r="P1930" t="str">
        <f>IF(BBDD_Usiarios_Netflix[[#This Row],[País]]="","Desconocido",BBDD_Usiarios_Netflix[[#This Row],[País]])</f>
        <v>Alemania</v>
      </c>
      <c r="Q1930">
        <v>33</v>
      </c>
      <c r="R1930" t="s">
        <v>30</v>
      </c>
      <c r="S1930" t="s">
        <v>26</v>
      </c>
      <c r="T1930" t="s">
        <v>27</v>
      </c>
      <c r="U1930">
        <f>IF(IFERROR(VLOOKUP(BBDD_Usiarios_Netflix[[#This Row],[Identificador Usuario]],A1931:$A$5870,1,FALSE),0)&lt;&gt;0,1,0)</f>
        <v>0</v>
      </c>
      <c r="V1930" s="6" t="str">
        <f>IF(BBDD_Usiarios_Netflix[[#This Row],[Duración Plan]]="12 Meses",LEFT(BBDD_Usiarios_Netflix[[#This Row],[Duración Plan]],2),LEFT(BBDD_Usiarios_Netflix[[#This Row],[Duración Plan]],1))</f>
        <v>1</v>
      </c>
      <c r="W19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31" spans="1:23" x14ac:dyDescent="0.25">
      <c r="A1931">
        <v>1930</v>
      </c>
      <c r="B1931" t="s">
        <v>23</v>
      </c>
      <c r="C1931">
        <v>10</v>
      </c>
      <c r="D1931" s="3">
        <v>7</v>
      </c>
      <c r="E1931" s="3">
        <v>7</v>
      </c>
      <c r="F1931">
        <v>23</v>
      </c>
      <c r="G1931" s="1">
        <f>DATEVALUE(_xlfn.CONCAT(BBDD_Usiarios_Netflix[[#This Row],[Día Suscripción]],"/",BBDD_Usiarios_Netflix[[#This Row],[Mes Suscripción]],"/",BBDD_Usiarios_Netflix[[#This Row],[Año Suscripción]]))</f>
        <v>45114</v>
      </c>
      <c r="H1931" s="1">
        <v>9</v>
      </c>
      <c r="I1931" s="1">
        <v>7</v>
      </c>
      <c r="J1931" s="1">
        <v>24</v>
      </c>
      <c r="K1931" s="1" t="str">
        <f>TEXT(BBDD_Usiarios_Netflix[[#This Row],[Fecha Suscripción]],"dddd")</f>
        <v>viernes</v>
      </c>
      <c r="L1931" s="1">
        <f>DATEVALUE(_xlfn.CONCAT(BBDD_Usiarios_Netflix[[#This Row],[Día Último Pago]],"/",BBDD_Usiarios_Netflix[[#This Row],[Mes Último Pago]],"/",BBDD_Usiarios_Netflix[[#This Row],[Año Último Pago]]))</f>
        <v>45482</v>
      </c>
      <c r="M1931" s="4">
        <f>DATEDIF(BBDD_Usiarios_Netflix[[#This Row],[Fecha Suscripción]],BBDD_Usiarios_Netflix[[#This Row],[Fecha Último Pago]],"M")+1</f>
        <v>13</v>
      </c>
      <c r="N1931" s="4">
        <f>BBDD_Usiarios_Netflix[[#This Row],[Ingresos Mensuales]]*BBDD_Usiarios_Netflix[[#This Row],[Meses contratados]]</f>
        <v>130</v>
      </c>
      <c r="O1931" t="s">
        <v>33</v>
      </c>
      <c r="P1931" t="str">
        <f>IF(BBDD_Usiarios_Netflix[[#This Row],[País]]="","Desconocido",BBDD_Usiarios_Netflix[[#This Row],[País]])</f>
        <v>Francia</v>
      </c>
      <c r="Q1931">
        <v>36</v>
      </c>
      <c r="R1931" t="s">
        <v>25</v>
      </c>
      <c r="S1931" t="s">
        <v>34</v>
      </c>
      <c r="T1931" t="s">
        <v>35</v>
      </c>
      <c r="U1931">
        <f>IF(IFERROR(VLOOKUP(BBDD_Usiarios_Netflix[[#This Row],[Identificador Usuario]],A1932:$A$5870,1,FALSE),0)&lt;&gt;0,1,0)</f>
        <v>0</v>
      </c>
      <c r="V1931" s="6" t="str">
        <f>IF(BBDD_Usiarios_Netflix[[#This Row],[Duración Plan]]="12 Meses",LEFT(BBDD_Usiarios_Netflix[[#This Row],[Duración Plan]],2),LEFT(BBDD_Usiarios_Netflix[[#This Row],[Duración Plan]],1))</f>
        <v>6</v>
      </c>
      <c r="W19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32" spans="1:23" x14ac:dyDescent="0.25">
      <c r="A1932">
        <v>1931</v>
      </c>
      <c r="B1932" t="s">
        <v>28</v>
      </c>
      <c r="C1932">
        <v>14</v>
      </c>
      <c r="D1932" s="3">
        <v>8</v>
      </c>
      <c r="E1932" s="3">
        <v>7</v>
      </c>
      <c r="F1932">
        <v>23</v>
      </c>
      <c r="G1932" s="1">
        <f>DATEVALUE(_xlfn.CONCAT(BBDD_Usiarios_Netflix[[#This Row],[Día Suscripción]],"/",BBDD_Usiarios_Netflix[[#This Row],[Mes Suscripción]],"/",BBDD_Usiarios_Netflix[[#This Row],[Año Suscripción]]))</f>
        <v>45115</v>
      </c>
      <c r="H1932" s="1">
        <v>7</v>
      </c>
      <c r="I1932" s="1">
        <v>7</v>
      </c>
      <c r="J1932" s="1">
        <v>24</v>
      </c>
      <c r="K1932" s="1" t="str">
        <f>TEXT(BBDD_Usiarios_Netflix[[#This Row],[Fecha Suscripción]],"dddd")</f>
        <v>sábado</v>
      </c>
      <c r="L1932" s="1">
        <f>DATEVALUE(_xlfn.CONCAT(BBDD_Usiarios_Netflix[[#This Row],[Día Último Pago]],"/",BBDD_Usiarios_Netflix[[#This Row],[Mes Último Pago]],"/",BBDD_Usiarios_Netflix[[#This Row],[Año Último Pago]]))</f>
        <v>45480</v>
      </c>
      <c r="M1932" s="4">
        <f>DATEDIF(BBDD_Usiarios_Netflix[[#This Row],[Fecha Suscripción]],BBDD_Usiarios_Netflix[[#This Row],[Fecha Último Pago]],"M")+1</f>
        <v>12</v>
      </c>
      <c r="N1932" s="4">
        <f>BBDD_Usiarios_Netflix[[#This Row],[Ingresos Mensuales]]*BBDD_Usiarios_Netflix[[#This Row],[Meses contratados]]</f>
        <v>168</v>
      </c>
      <c r="O1932" t="s">
        <v>40</v>
      </c>
      <c r="P1932" t="str">
        <f>IF(BBDD_Usiarios_Netflix[[#This Row],[País]]="","Desconocido",BBDD_Usiarios_Netflix[[#This Row],[País]])</f>
        <v>Italia</v>
      </c>
      <c r="Q1932">
        <v>27</v>
      </c>
      <c r="R1932" t="s">
        <v>25</v>
      </c>
      <c r="S1932" t="s">
        <v>31</v>
      </c>
      <c r="T1932" t="s">
        <v>38</v>
      </c>
      <c r="U1932">
        <f>IF(IFERROR(VLOOKUP(BBDD_Usiarios_Netflix[[#This Row],[Identificador Usuario]],A1933:$A$5870,1,FALSE),0)&lt;&gt;0,1,0)</f>
        <v>0</v>
      </c>
      <c r="V1932" s="6" t="str">
        <f>IF(BBDD_Usiarios_Netflix[[#This Row],[Duración Plan]]="12 Meses",LEFT(BBDD_Usiarios_Netflix[[#This Row],[Duración Plan]],2),LEFT(BBDD_Usiarios_Netflix[[#This Row],[Duración Plan]],1))</f>
        <v>3</v>
      </c>
      <c r="W19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33" spans="1:23" x14ac:dyDescent="0.25">
      <c r="A1933">
        <v>1932</v>
      </c>
      <c r="B1933" t="s">
        <v>23</v>
      </c>
      <c r="C1933">
        <v>10</v>
      </c>
      <c r="D1933" s="3">
        <v>9</v>
      </c>
      <c r="E1933" s="3">
        <v>7</v>
      </c>
      <c r="F1933">
        <v>23</v>
      </c>
      <c r="G1933" s="1">
        <f>DATEVALUE(_xlfn.CONCAT(BBDD_Usiarios_Netflix[[#This Row],[Día Suscripción]],"/",BBDD_Usiarios_Netflix[[#This Row],[Mes Suscripción]],"/",BBDD_Usiarios_Netflix[[#This Row],[Año Suscripción]]))</f>
        <v>45116</v>
      </c>
      <c r="H1933" s="1">
        <v>11</v>
      </c>
      <c r="I1933" s="1">
        <v>7</v>
      </c>
      <c r="J1933" s="1">
        <v>24</v>
      </c>
      <c r="K1933" s="1" t="str">
        <f>TEXT(BBDD_Usiarios_Netflix[[#This Row],[Fecha Suscripción]],"dddd")</f>
        <v>domingo</v>
      </c>
      <c r="L1933" s="1">
        <f>DATEVALUE(_xlfn.CONCAT(BBDD_Usiarios_Netflix[[#This Row],[Día Último Pago]],"/",BBDD_Usiarios_Netflix[[#This Row],[Mes Último Pago]],"/",BBDD_Usiarios_Netflix[[#This Row],[Año Último Pago]]))</f>
        <v>45484</v>
      </c>
      <c r="M1933" s="4">
        <f>DATEDIF(BBDD_Usiarios_Netflix[[#This Row],[Fecha Suscripción]],BBDD_Usiarios_Netflix[[#This Row],[Fecha Último Pago]],"M")+1</f>
        <v>13</v>
      </c>
      <c r="N1933" s="4">
        <f>BBDD_Usiarios_Netflix[[#This Row],[Ingresos Mensuales]]*BBDD_Usiarios_Netflix[[#This Row],[Meses contratados]]</f>
        <v>130</v>
      </c>
      <c r="O1933" t="s">
        <v>29</v>
      </c>
      <c r="P1933" t="str">
        <f>IF(BBDD_Usiarios_Netflix[[#This Row],[País]]="","Desconocido",BBDD_Usiarios_Netflix[[#This Row],[País]])</f>
        <v>EEUU</v>
      </c>
      <c r="Q1933">
        <v>41</v>
      </c>
      <c r="R1933" t="s">
        <v>25</v>
      </c>
      <c r="S1933" t="s">
        <v>31</v>
      </c>
      <c r="T1933" t="s">
        <v>27</v>
      </c>
      <c r="U1933">
        <f>IF(IFERROR(VLOOKUP(BBDD_Usiarios_Netflix[[#This Row],[Identificador Usuario]],A1934:$A$5870,1,FALSE),0)&lt;&gt;0,1,0)</f>
        <v>0</v>
      </c>
      <c r="V1933" s="6" t="str">
        <f>IF(BBDD_Usiarios_Netflix[[#This Row],[Duración Plan]]="12 Meses",LEFT(BBDD_Usiarios_Netflix[[#This Row],[Duración Plan]],2),LEFT(BBDD_Usiarios_Netflix[[#This Row],[Duración Plan]],1))</f>
        <v>1</v>
      </c>
      <c r="W19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34" spans="1:23" x14ac:dyDescent="0.25">
      <c r="A1934">
        <v>1933</v>
      </c>
      <c r="B1934" t="s">
        <v>32</v>
      </c>
      <c r="C1934">
        <v>12</v>
      </c>
      <c r="D1934" s="3">
        <v>9</v>
      </c>
      <c r="E1934" s="3">
        <v>7</v>
      </c>
      <c r="F1934">
        <v>23</v>
      </c>
      <c r="G1934" s="1">
        <f>DATEVALUE(_xlfn.CONCAT(BBDD_Usiarios_Netflix[[#This Row],[Día Suscripción]],"/",BBDD_Usiarios_Netflix[[#This Row],[Mes Suscripción]],"/",BBDD_Usiarios_Netflix[[#This Row],[Año Suscripción]]))</f>
        <v>45116</v>
      </c>
      <c r="H1934" s="1">
        <v>7</v>
      </c>
      <c r="I1934" s="1">
        <v>7</v>
      </c>
      <c r="J1934" s="1">
        <v>24</v>
      </c>
      <c r="K1934" s="1" t="str">
        <f>TEXT(BBDD_Usiarios_Netflix[[#This Row],[Fecha Suscripción]],"dddd")</f>
        <v>domingo</v>
      </c>
      <c r="L1934" s="1">
        <f>DATEVALUE(_xlfn.CONCAT(BBDD_Usiarios_Netflix[[#This Row],[Día Último Pago]],"/",BBDD_Usiarios_Netflix[[#This Row],[Mes Último Pago]],"/",BBDD_Usiarios_Netflix[[#This Row],[Año Último Pago]]))</f>
        <v>45480</v>
      </c>
      <c r="M1934" s="4">
        <f>DATEDIF(BBDD_Usiarios_Netflix[[#This Row],[Fecha Suscripción]],BBDD_Usiarios_Netflix[[#This Row],[Fecha Último Pago]],"M")+1</f>
        <v>12</v>
      </c>
      <c r="N1934" s="4">
        <f>BBDD_Usiarios_Netflix[[#This Row],[Ingresos Mensuales]]*BBDD_Usiarios_Netflix[[#This Row],[Meses contratados]]</f>
        <v>144</v>
      </c>
      <c r="O1934" t="s">
        <v>43</v>
      </c>
      <c r="P1934" t="str">
        <f>IF(BBDD_Usiarios_Netflix[[#This Row],[País]]="","Desconocido",BBDD_Usiarios_Netflix[[#This Row],[País]])</f>
        <v>Alemania</v>
      </c>
      <c r="Q1934">
        <v>32</v>
      </c>
      <c r="R1934" t="s">
        <v>25</v>
      </c>
      <c r="S1934" t="s">
        <v>34</v>
      </c>
      <c r="T1934" t="s">
        <v>27</v>
      </c>
      <c r="U1934">
        <f>IF(IFERROR(VLOOKUP(BBDD_Usiarios_Netflix[[#This Row],[Identificador Usuario]],A1935:$A$5870,1,FALSE),0)&lt;&gt;0,1,0)</f>
        <v>0</v>
      </c>
      <c r="V1934" s="6" t="str">
        <f>IF(BBDD_Usiarios_Netflix[[#This Row],[Duración Plan]]="12 Meses",LEFT(BBDD_Usiarios_Netflix[[#This Row],[Duración Plan]],2),LEFT(BBDD_Usiarios_Netflix[[#This Row],[Duración Plan]],1))</f>
        <v>1</v>
      </c>
      <c r="W19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35" spans="1:23" x14ac:dyDescent="0.25">
      <c r="A1935">
        <v>1934</v>
      </c>
      <c r="B1935" t="s">
        <v>28</v>
      </c>
      <c r="C1935">
        <v>14</v>
      </c>
      <c r="D1935" s="3">
        <v>9</v>
      </c>
      <c r="E1935" s="3">
        <v>7</v>
      </c>
      <c r="F1935">
        <v>23</v>
      </c>
      <c r="G1935" s="1">
        <f>DATEVALUE(_xlfn.CONCAT(BBDD_Usiarios_Netflix[[#This Row],[Día Suscripción]],"/",BBDD_Usiarios_Netflix[[#This Row],[Mes Suscripción]],"/",BBDD_Usiarios_Netflix[[#This Row],[Año Suscripción]]))</f>
        <v>45116</v>
      </c>
      <c r="H1935" s="1">
        <v>8</v>
      </c>
      <c r="I1935" s="1">
        <v>7</v>
      </c>
      <c r="J1935" s="1">
        <v>24</v>
      </c>
      <c r="K1935" s="1" t="str">
        <f>TEXT(BBDD_Usiarios_Netflix[[#This Row],[Fecha Suscripción]],"dddd")</f>
        <v>domingo</v>
      </c>
      <c r="L1935" s="1">
        <f>DATEVALUE(_xlfn.CONCAT(BBDD_Usiarios_Netflix[[#This Row],[Día Último Pago]],"/",BBDD_Usiarios_Netflix[[#This Row],[Mes Último Pago]],"/",BBDD_Usiarios_Netflix[[#This Row],[Año Último Pago]]))</f>
        <v>45481</v>
      </c>
      <c r="M1935" s="4">
        <f>DATEDIF(BBDD_Usiarios_Netflix[[#This Row],[Fecha Suscripción]],BBDD_Usiarios_Netflix[[#This Row],[Fecha Último Pago]],"M")+1</f>
        <v>12</v>
      </c>
      <c r="N1935" s="4">
        <f>BBDD_Usiarios_Netflix[[#This Row],[Ingresos Mensuales]]*BBDD_Usiarios_Netflix[[#This Row],[Meses contratados]]</f>
        <v>168</v>
      </c>
      <c r="O1935" t="s">
        <v>33</v>
      </c>
      <c r="P1935" t="str">
        <f>IF(BBDD_Usiarios_Netflix[[#This Row],[País]]="","Desconocido",BBDD_Usiarios_Netflix[[#This Row],[País]])</f>
        <v>Francia</v>
      </c>
      <c r="Q1935">
        <v>36</v>
      </c>
      <c r="R1935" t="s">
        <v>30</v>
      </c>
      <c r="S1935" t="s">
        <v>36</v>
      </c>
      <c r="T1935" t="s">
        <v>38</v>
      </c>
      <c r="U1935">
        <f>IF(IFERROR(VLOOKUP(BBDD_Usiarios_Netflix[[#This Row],[Identificador Usuario]],A1936:$A$5870,1,FALSE),0)&lt;&gt;0,1,0)</f>
        <v>0</v>
      </c>
      <c r="V1935" s="6" t="str">
        <f>IF(BBDD_Usiarios_Netflix[[#This Row],[Duración Plan]]="12 Meses",LEFT(BBDD_Usiarios_Netflix[[#This Row],[Duración Plan]],2),LEFT(BBDD_Usiarios_Netflix[[#This Row],[Duración Plan]],1))</f>
        <v>3</v>
      </c>
      <c r="W19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36" spans="1:23" x14ac:dyDescent="0.25">
      <c r="A1936">
        <v>1935</v>
      </c>
      <c r="B1936" t="s">
        <v>23</v>
      </c>
      <c r="C1936">
        <v>10</v>
      </c>
      <c r="D1936" s="3">
        <v>12</v>
      </c>
      <c r="E1936" s="3">
        <v>7</v>
      </c>
      <c r="F1936">
        <v>23</v>
      </c>
      <c r="G1936" s="1">
        <f>DATEVALUE(_xlfn.CONCAT(BBDD_Usiarios_Netflix[[#This Row],[Día Suscripción]],"/",BBDD_Usiarios_Netflix[[#This Row],[Mes Suscripción]],"/",BBDD_Usiarios_Netflix[[#This Row],[Año Suscripción]]))</f>
        <v>45119</v>
      </c>
      <c r="H1936" s="1">
        <v>7</v>
      </c>
      <c r="I1936" s="1">
        <v>7</v>
      </c>
      <c r="J1936" s="1">
        <v>24</v>
      </c>
      <c r="K1936" s="1" t="str">
        <f>TEXT(BBDD_Usiarios_Netflix[[#This Row],[Fecha Suscripción]],"dddd")</f>
        <v>miércoles</v>
      </c>
      <c r="L1936" s="1">
        <f>DATEVALUE(_xlfn.CONCAT(BBDD_Usiarios_Netflix[[#This Row],[Día Último Pago]],"/",BBDD_Usiarios_Netflix[[#This Row],[Mes Último Pago]],"/",BBDD_Usiarios_Netflix[[#This Row],[Año Último Pago]]))</f>
        <v>45480</v>
      </c>
      <c r="M1936" s="4">
        <f>DATEDIF(BBDD_Usiarios_Netflix[[#This Row],[Fecha Suscripción]],BBDD_Usiarios_Netflix[[#This Row],[Fecha Último Pago]],"M")+1</f>
        <v>12</v>
      </c>
      <c r="N1936" s="4">
        <f>BBDD_Usiarios_Netflix[[#This Row],[Ingresos Mensuales]]*BBDD_Usiarios_Netflix[[#This Row],[Meses contratados]]</f>
        <v>120</v>
      </c>
      <c r="O1936" t="s">
        <v>42</v>
      </c>
      <c r="P1936" t="str">
        <f>IF(BBDD_Usiarios_Netflix[[#This Row],[País]]="","Desconocido",BBDD_Usiarios_Netflix[[#This Row],[País]])</f>
        <v>Reino Unido</v>
      </c>
      <c r="Q1936">
        <v>36</v>
      </c>
      <c r="R1936" t="s">
        <v>30</v>
      </c>
      <c r="S1936" t="s">
        <v>31</v>
      </c>
      <c r="T1936" t="s">
        <v>35</v>
      </c>
      <c r="U1936">
        <f>IF(IFERROR(VLOOKUP(BBDD_Usiarios_Netflix[[#This Row],[Identificador Usuario]],A1937:$A$5870,1,FALSE),0)&lt;&gt;0,1,0)</f>
        <v>0</v>
      </c>
      <c r="V1936" s="6" t="str">
        <f>IF(BBDD_Usiarios_Netflix[[#This Row],[Duración Plan]]="12 Meses",LEFT(BBDD_Usiarios_Netflix[[#This Row],[Duración Plan]],2),LEFT(BBDD_Usiarios_Netflix[[#This Row],[Duración Plan]],1))</f>
        <v>6</v>
      </c>
      <c r="W19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37" spans="1:23" x14ac:dyDescent="0.25">
      <c r="A1937">
        <v>1936</v>
      </c>
      <c r="B1937" t="s">
        <v>28</v>
      </c>
      <c r="C1937">
        <v>14</v>
      </c>
      <c r="D1937" s="3">
        <v>15</v>
      </c>
      <c r="E1937" s="3">
        <v>7</v>
      </c>
      <c r="F1937">
        <v>23</v>
      </c>
      <c r="G1937" s="1">
        <f>DATEVALUE(_xlfn.CONCAT(BBDD_Usiarios_Netflix[[#This Row],[Día Suscripción]],"/",BBDD_Usiarios_Netflix[[#This Row],[Mes Suscripción]],"/",BBDD_Usiarios_Netflix[[#This Row],[Año Suscripción]]))</f>
        <v>45122</v>
      </c>
      <c r="H1937" s="1">
        <v>10</v>
      </c>
      <c r="I1937" s="1">
        <v>7</v>
      </c>
      <c r="J1937" s="1">
        <v>24</v>
      </c>
      <c r="K1937" s="1" t="str">
        <f>TEXT(BBDD_Usiarios_Netflix[[#This Row],[Fecha Suscripción]],"dddd")</f>
        <v>sábado</v>
      </c>
      <c r="L1937" s="1">
        <f>DATEVALUE(_xlfn.CONCAT(BBDD_Usiarios_Netflix[[#This Row],[Día Último Pago]],"/",BBDD_Usiarios_Netflix[[#This Row],[Mes Último Pago]],"/",BBDD_Usiarios_Netflix[[#This Row],[Año Último Pago]]))</f>
        <v>45483</v>
      </c>
      <c r="M1937" s="4">
        <f>DATEDIF(BBDD_Usiarios_Netflix[[#This Row],[Fecha Suscripción]],BBDD_Usiarios_Netflix[[#This Row],[Fecha Último Pago]],"M")+1</f>
        <v>12</v>
      </c>
      <c r="N1937" s="4">
        <f>BBDD_Usiarios_Netflix[[#This Row],[Ingresos Mensuales]]*BBDD_Usiarios_Netflix[[#This Row],[Meses contratados]]</f>
        <v>168</v>
      </c>
      <c r="O1937" t="s">
        <v>40</v>
      </c>
      <c r="P1937" t="str">
        <f>IF(BBDD_Usiarios_Netflix[[#This Row],[País]]="","Desconocido",BBDD_Usiarios_Netflix[[#This Row],[País]])</f>
        <v>Italia</v>
      </c>
      <c r="Q1937">
        <v>36</v>
      </c>
      <c r="R1937" t="s">
        <v>25</v>
      </c>
      <c r="S1937" t="s">
        <v>36</v>
      </c>
      <c r="T1937" t="s">
        <v>38</v>
      </c>
      <c r="U1937">
        <f>IF(IFERROR(VLOOKUP(BBDD_Usiarios_Netflix[[#This Row],[Identificador Usuario]],A1938:$A$5870,1,FALSE),0)&lt;&gt;0,1,0)</f>
        <v>0</v>
      </c>
      <c r="V1937" s="6" t="str">
        <f>IF(BBDD_Usiarios_Netflix[[#This Row],[Duración Plan]]="12 Meses",LEFT(BBDD_Usiarios_Netflix[[#This Row],[Duración Plan]],2),LEFT(BBDD_Usiarios_Netflix[[#This Row],[Duración Plan]],1))</f>
        <v>3</v>
      </c>
      <c r="W19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38" spans="1:23" x14ac:dyDescent="0.25">
      <c r="A1938">
        <v>1937</v>
      </c>
      <c r="B1938" t="s">
        <v>23</v>
      </c>
      <c r="C1938">
        <v>10</v>
      </c>
      <c r="D1938" s="3">
        <v>16</v>
      </c>
      <c r="E1938" s="3">
        <v>7</v>
      </c>
      <c r="F1938">
        <v>23</v>
      </c>
      <c r="G1938" s="1">
        <f>DATEVALUE(_xlfn.CONCAT(BBDD_Usiarios_Netflix[[#This Row],[Día Suscripción]],"/",BBDD_Usiarios_Netflix[[#This Row],[Mes Suscripción]],"/",BBDD_Usiarios_Netflix[[#This Row],[Año Suscripción]]))</f>
        <v>45123</v>
      </c>
      <c r="H1938" s="1">
        <v>7</v>
      </c>
      <c r="I1938" s="1">
        <v>7</v>
      </c>
      <c r="J1938" s="1">
        <v>24</v>
      </c>
      <c r="K1938" s="1" t="str">
        <f>TEXT(BBDD_Usiarios_Netflix[[#This Row],[Fecha Suscripción]],"dddd")</f>
        <v>domingo</v>
      </c>
      <c r="L1938" s="1">
        <f>DATEVALUE(_xlfn.CONCAT(BBDD_Usiarios_Netflix[[#This Row],[Día Último Pago]],"/",BBDD_Usiarios_Netflix[[#This Row],[Mes Último Pago]],"/",BBDD_Usiarios_Netflix[[#This Row],[Año Último Pago]]))</f>
        <v>45480</v>
      </c>
      <c r="M1938" s="4">
        <f>DATEDIF(BBDD_Usiarios_Netflix[[#This Row],[Fecha Suscripción]],BBDD_Usiarios_Netflix[[#This Row],[Fecha Último Pago]],"M")+1</f>
        <v>12</v>
      </c>
      <c r="N1938" s="4">
        <f>BBDD_Usiarios_Netflix[[#This Row],[Ingresos Mensuales]]*BBDD_Usiarios_Netflix[[#This Row],[Meses contratados]]</f>
        <v>120</v>
      </c>
      <c r="O1938" t="s">
        <v>39</v>
      </c>
      <c r="P1938" t="str">
        <f>IF(BBDD_Usiarios_Netflix[[#This Row],[País]]="","Desconocido",BBDD_Usiarios_Netflix[[#This Row],[País]])</f>
        <v>Canadá</v>
      </c>
      <c r="Q1938">
        <v>32</v>
      </c>
      <c r="R1938" t="s">
        <v>25</v>
      </c>
      <c r="S1938" t="s">
        <v>34</v>
      </c>
      <c r="T1938" t="s">
        <v>27</v>
      </c>
      <c r="U1938">
        <f>IF(IFERROR(VLOOKUP(BBDD_Usiarios_Netflix[[#This Row],[Identificador Usuario]],A1939:$A$5870,1,FALSE),0)&lt;&gt;0,1,0)</f>
        <v>0</v>
      </c>
      <c r="V1938" s="6" t="str">
        <f>IF(BBDD_Usiarios_Netflix[[#This Row],[Duración Plan]]="12 Meses",LEFT(BBDD_Usiarios_Netflix[[#This Row],[Duración Plan]],2),LEFT(BBDD_Usiarios_Netflix[[#This Row],[Duración Plan]],1))</f>
        <v>1</v>
      </c>
      <c r="W19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39" spans="1:23" x14ac:dyDescent="0.25">
      <c r="A1939">
        <v>1938</v>
      </c>
      <c r="B1939" t="s">
        <v>32</v>
      </c>
      <c r="C1939">
        <v>12</v>
      </c>
      <c r="D1939" s="3">
        <v>18</v>
      </c>
      <c r="E1939" s="3">
        <v>7</v>
      </c>
      <c r="F1939">
        <v>23</v>
      </c>
      <c r="G1939" s="1">
        <f>DATEVALUE(_xlfn.CONCAT(BBDD_Usiarios_Netflix[[#This Row],[Día Suscripción]],"/",BBDD_Usiarios_Netflix[[#This Row],[Mes Suscripción]],"/",BBDD_Usiarios_Netflix[[#This Row],[Año Suscripción]]))</f>
        <v>45125</v>
      </c>
      <c r="H1939" s="1">
        <v>8</v>
      </c>
      <c r="I1939" s="1">
        <v>7</v>
      </c>
      <c r="J1939" s="1">
        <v>24</v>
      </c>
      <c r="K1939" s="1" t="str">
        <f>TEXT(BBDD_Usiarios_Netflix[[#This Row],[Fecha Suscripción]],"dddd")</f>
        <v>martes</v>
      </c>
      <c r="L1939" s="1">
        <f>DATEVALUE(_xlfn.CONCAT(BBDD_Usiarios_Netflix[[#This Row],[Día Último Pago]],"/",BBDD_Usiarios_Netflix[[#This Row],[Mes Último Pago]],"/",BBDD_Usiarios_Netflix[[#This Row],[Año Último Pago]]))</f>
        <v>45481</v>
      </c>
      <c r="M1939" s="4">
        <f>DATEDIF(BBDD_Usiarios_Netflix[[#This Row],[Fecha Suscripción]],BBDD_Usiarios_Netflix[[#This Row],[Fecha Último Pago]],"M")+1</f>
        <v>12</v>
      </c>
      <c r="N1939" s="4">
        <f>BBDD_Usiarios_Netflix[[#This Row],[Ingresos Mensuales]]*BBDD_Usiarios_Netflix[[#This Row],[Meses contratados]]</f>
        <v>144</v>
      </c>
      <c r="O1939" t="s">
        <v>33</v>
      </c>
      <c r="P1939" t="str">
        <f>IF(BBDD_Usiarios_Netflix[[#This Row],[País]]="","Desconocido",BBDD_Usiarios_Netflix[[#This Row],[País]])</f>
        <v>Francia</v>
      </c>
      <c r="Q1939">
        <v>45</v>
      </c>
      <c r="R1939" t="s">
        <v>30</v>
      </c>
      <c r="S1939" t="s">
        <v>26</v>
      </c>
      <c r="T1939" t="s">
        <v>27</v>
      </c>
      <c r="U1939">
        <f>IF(IFERROR(VLOOKUP(BBDD_Usiarios_Netflix[[#This Row],[Identificador Usuario]],A1940:$A$5870,1,FALSE),0)&lt;&gt;0,1,0)</f>
        <v>0</v>
      </c>
      <c r="V1939" s="6" t="str">
        <f>IF(BBDD_Usiarios_Netflix[[#This Row],[Duración Plan]]="12 Meses",LEFT(BBDD_Usiarios_Netflix[[#This Row],[Duración Plan]],2),LEFT(BBDD_Usiarios_Netflix[[#This Row],[Duración Plan]],1))</f>
        <v>1</v>
      </c>
      <c r="W19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40" spans="1:23" x14ac:dyDescent="0.25">
      <c r="A1940">
        <v>1939</v>
      </c>
      <c r="B1940" t="s">
        <v>32</v>
      </c>
      <c r="C1940">
        <v>12</v>
      </c>
      <c r="D1940" s="3">
        <v>13</v>
      </c>
      <c r="E1940" s="3">
        <v>8</v>
      </c>
      <c r="F1940">
        <v>23</v>
      </c>
      <c r="G1940" s="1">
        <f>DATEVALUE(_xlfn.CONCAT(BBDD_Usiarios_Netflix[[#This Row],[Día Suscripción]],"/",BBDD_Usiarios_Netflix[[#This Row],[Mes Suscripción]],"/",BBDD_Usiarios_Netflix[[#This Row],[Año Suscripción]]))</f>
        <v>45151</v>
      </c>
      <c r="H1940" s="1">
        <v>9</v>
      </c>
      <c r="I1940" s="1">
        <v>7</v>
      </c>
      <c r="J1940" s="1">
        <v>24</v>
      </c>
      <c r="K1940" s="1" t="str">
        <f>TEXT(BBDD_Usiarios_Netflix[[#This Row],[Fecha Suscripción]],"dddd")</f>
        <v>domingo</v>
      </c>
      <c r="L1940" s="1">
        <f>DATEVALUE(_xlfn.CONCAT(BBDD_Usiarios_Netflix[[#This Row],[Día Último Pago]],"/",BBDD_Usiarios_Netflix[[#This Row],[Mes Último Pago]],"/",BBDD_Usiarios_Netflix[[#This Row],[Año Último Pago]]))</f>
        <v>45482</v>
      </c>
      <c r="M1940" s="4">
        <f>DATEDIF(BBDD_Usiarios_Netflix[[#This Row],[Fecha Suscripción]],BBDD_Usiarios_Netflix[[#This Row],[Fecha Último Pago]],"M")+1</f>
        <v>11</v>
      </c>
      <c r="N1940" s="4">
        <f>BBDD_Usiarios_Netflix[[#This Row],[Ingresos Mensuales]]*BBDD_Usiarios_Netflix[[#This Row],[Meses contratados]]</f>
        <v>132</v>
      </c>
      <c r="O1940" t="s">
        <v>39</v>
      </c>
      <c r="P1940" t="str">
        <f>IF(BBDD_Usiarios_Netflix[[#This Row],[País]]="","Desconocido",BBDD_Usiarios_Netflix[[#This Row],[País]])</f>
        <v>Canadá</v>
      </c>
      <c r="Q1940">
        <v>43</v>
      </c>
      <c r="R1940" t="s">
        <v>30</v>
      </c>
      <c r="S1940" t="s">
        <v>31</v>
      </c>
      <c r="T1940" t="s">
        <v>41</v>
      </c>
      <c r="U1940">
        <f>IF(IFERROR(VLOOKUP(BBDD_Usiarios_Netflix[[#This Row],[Identificador Usuario]],A1941:$A$5870,1,FALSE),0)&lt;&gt;0,1,0)</f>
        <v>0</v>
      </c>
      <c r="V1940" s="6" t="str">
        <f>IF(BBDD_Usiarios_Netflix[[#This Row],[Duración Plan]]="12 Meses",LEFT(BBDD_Usiarios_Netflix[[#This Row],[Duración Plan]],2),LEFT(BBDD_Usiarios_Netflix[[#This Row],[Duración Plan]],1))</f>
        <v>12</v>
      </c>
      <c r="W19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41" spans="1:23" x14ac:dyDescent="0.25">
      <c r="A1941">
        <v>1940</v>
      </c>
      <c r="B1941" t="s">
        <v>23</v>
      </c>
      <c r="C1941">
        <v>10</v>
      </c>
      <c r="D1941" s="3">
        <v>14</v>
      </c>
      <c r="E1941" s="3">
        <v>8</v>
      </c>
      <c r="F1941">
        <v>23</v>
      </c>
      <c r="G1941" s="1">
        <f>DATEVALUE(_xlfn.CONCAT(BBDD_Usiarios_Netflix[[#This Row],[Día Suscripción]],"/",BBDD_Usiarios_Netflix[[#This Row],[Mes Suscripción]],"/",BBDD_Usiarios_Netflix[[#This Row],[Año Suscripción]]))</f>
        <v>45152</v>
      </c>
      <c r="H1941" s="1">
        <v>10</v>
      </c>
      <c r="I1941" s="1">
        <v>7</v>
      </c>
      <c r="J1941" s="1">
        <v>24</v>
      </c>
      <c r="K1941" s="1" t="str">
        <f>TEXT(BBDD_Usiarios_Netflix[[#This Row],[Fecha Suscripción]],"dddd")</f>
        <v>lunes</v>
      </c>
      <c r="L1941" s="1">
        <f>DATEVALUE(_xlfn.CONCAT(BBDD_Usiarios_Netflix[[#This Row],[Día Último Pago]],"/",BBDD_Usiarios_Netflix[[#This Row],[Mes Último Pago]],"/",BBDD_Usiarios_Netflix[[#This Row],[Año Último Pago]]))</f>
        <v>45483</v>
      </c>
      <c r="M1941" s="4">
        <f>DATEDIF(BBDD_Usiarios_Netflix[[#This Row],[Fecha Suscripción]],BBDD_Usiarios_Netflix[[#This Row],[Fecha Último Pago]],"M")+1</f>
        <v>11</v>
      </c>
      <c r="N1941" s="4">
        <f>BBDD_Usiarios_Netflix[[#This Row],[Ingresos Mensuales]]*BBDD_Usiarios_Netflix[[#This Row],[Meses contratados]]</f>
        <v>110</v>
      </c>
      <c r="O1941" t="s">
        <v>45</v>
      </c>
      <c r="P1941" t="str">
        <f>IF(BBDD_Usiarios_Netflix[[#This Row],[País]]="","Desconocido",BBDD_Usiarios_Netflix[[#This Row],[País]])</f>
        <v>España</v>
      </c>
      <c r="Q1941">
        <v>35</v>
      </c>
      <c r="R1941" t="s">
        <v>25</v>
      </c>
      <c r="S1941" t="s">
        <v>31</v>
      </c>
      <c r="T1941" t="s">
        <v>27</v>
      </c>
      <c r="U1941">
        <f>IF(IFERROR(VLOOKUP(BBDD_Usiarios_Netflix[[#This Row],[Identificador Usuario]],A1942:$A$5870,1,FALSE),0)&lt;&gt;0,1,0)</f>
        <v>0</v>
      </c>
      <c r="V1941" s="6" t="str">
        <f>IF(BBDD_Usiarios_Netflix[[#This Row],[Duración Plan]]="12 Meses",LEFT(BBDD_Usiarios_Netflix[[#This Row],[Duración Plan]],2),LEFT(BBDD_Usiarios_Netflix[[#This Row],[Duración Plan]],1))</f>
        <v>1</v>
      </c>
      <c r="W19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42" spans="1:23" x14ac:dyDescent="0.25">
      <c r="A1942">
        <v>1941</v>
      </c>
      <c r="B1942" t="s">
        <v>28</v>
      </c>
      <c r="C1942">
        <v>14</v>
      </c>
      <c r="D1942" s="3">
        <v>16</v>
      </c>
      <c r="E1942" s="3">
        <v>8</v>
      </c>
      <c r="F1942">
        <v>23</v>
      </c>
      <c r="G1942" s="1">
        <f>DATEVALUE(_xlfn.CONCAT(BBDD_Usiarios_Netflix[[#This Row],[Día Suscripción]],"/",BBDD_Usiarios_Netflix[[#This Row],[Mes Suscripción]],"/",BBDD_Usiarios_Netflix[[#This Row],[Año Suscripción]]))</f>
        <v>45154</v>
      </c>
      <c r="H1942" s="1">
        <v>7</v>
      </c>
      <c r="I1942" s="1">
        <v>7</v>
      </c>
      <c r="J1942" s="1">
        <v>24</v>
      </c>
      <c r="K1942" s="1" t="str">
        <f>TEXT(BBDD_Usiarios_Netflix[[#This Row],[Fecha Suscripción]],"dddd")</f>
        <v>miércoles</v>
      </c>
      <c r="L1942" s="1">
        <f>DATEVALUE(_xlfn.CONCAT(BBDD_Usiarios_Netflix[[#This Row],[Día Último Pago]],"/",BBDD_Usiarios_Netflix[[#This Row],[Mes Último Pago]],"/",BBDD_Usiarios_Netflix[[#This Row],[Año Último Pago]]))</f>
        <v>45480</v>
      </c>
      <c r="M1942" s="4">
        <f>DATEDIF(BBDD_Usiarios_Netflix[[#This Row],[Fecha Suscripción]],BBDD_Usiarios_Netflix[[#This Row],[Fecha Último Pago]],"M")+1</f>
        <v>11</v>
      </c>
      <c r="N1942" s="4">
        <f>BBDD_Usiarios_Netflix[[#This Row],[Ingresos Mensuales]]*BBDD_Usiarios_Netflix[[#This Row],[Meses contratados]]</f>
        <v>154</v>
      </c>
      <c r="O1942" t="s">
        <v>37</v>
      </c>
      <c r="P1942" t="str">
        <f>IF(BBDD_Usiarios_Netflix[[#This Row],[País]]="","Desconocido",BBDD_Usiarios_Netflix[[#This Row],[País]])</f>
        <v>Brasil</v>
      </c>
      <c r="Q1942">
        <v>29</v>
      </c>
      <c r="R1942" t="s">
        <v>30</v>
      </c>
      <c r="S1942" t="s">
        <v>34</v>
      </c>
      <c r="T1942" t="s">
        <v>27</v>
      </c>
      <c r="U1942">
        <f>IF(IFERROR(VLOOKUP(BBDD_Usiarios_Netflix[[#This Row],[Identificador Usuario]],A1943:$A$5870,1,FALSE),0)&lt;&gt;0,1,0)</f>
        <v>0</v>
      </c>
      <c r="V1942" s="6" t="str">
        <f>IF(BBDD_Usiarios_Netflix[[#This Row],[Duración Plan]]="12 Meses",LEFT(BBDD_Usiarios_Netflix[[#This Row],[Duración Plan]],2),LEFT(BBDD_Usiarios_Netflix[[#This Row],[Duración Plan]],1))</f>
        <v>1</v>
      </c>
      <c r="W19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43" spans="1:23" x14ac:dyDescent="0.25">
      <c r="A1943">
        <v>1942</v>
      </c>
      <c r="B1943" t="s">
        <v>23</v>
      </c>
      <c r="C1943">
        <v>10</v>
      </c>
      <c r="D1943" s="3">
        <v>17</v>
      </c>
      <c r="E1943" s="3">
        <v>8</v>
      </c>
      <c r="F1943">
        <v>23</v>
      </c>
      <c r="G1943" s="1">
        <f>DATEVALUE(_xlfn.CONCAT(BBDD_Usiarios_Netflix[[#This Row],[Día Suscripción]],"/",BBDD_Usiarios_Netflix[[#This Row],[Mes Suscripción]],"/",BBDD_Usiarios_Netflix[[#This Row],[Año Suscripción]]))</f>
        <v>45155</v>
      </c>
      <c r="H1943" s="1">
        <v>8</v>
      </c>
      <c r="I1943" s="1">
        <v>7</v>
      </c>
      <c r="J1943" s="1">
        <v>24</v>
      </c>
      <c r="K1943" s="1" t="str">
        <f>TEXT(BBDD_Usiarios_Netflix[[#This Row],[Fecha Suscripción]],"dddd")</f>
        <v>jueves</v>
      </c>
      <c r="L1943" s="1">
        <f>DATEVALUE(_xlfn.CONCAT(BBDD_Usiarios_Netflix[[#This Row],[Día Último Pago]],"/",BBDD_Usiarios_Netflix[[#This Row],[Mes Último Pago]],"/",BBDD_Usiarios_Netflix[[#This Row],[Año Último Pago]]))</f>
        <v>45481</v>
      </c>
      <c r="M1943" s="4">
        <f>DATEDIF(BBDD_Usiarios_Netflix[[#This Row],[Fecha Suscripción]],BBDD_Usiarios_Netflix[[#This Row],[Fecha Último Pago]],"M")+1</f>
        <v>11</v>
      </c>
      <c r="N1943" s="4">
        <f>BBDD_Usiarios_Netflix[[#This Row],[Ingresos Mensuales]]*BBDD_Usiarios_Netflix[[#This Row],[Meses contratados]]</f>
        <v>110</v>
      </c>
      <c r="O1943" t="s">
        <v>42</v>
      </c>
      <c r="P1943" t="str">
        <f>IF(BBDD_Usiarios_Netflix[[#This Row],[País]]="","Desconocido",BBDD_Usiarios_Netflix[[#This Row],[País]])</f>
        <v>Reino Unido</v>
      </c>
      <c r="Q1943">
        <v>33</v>
      </c>
      <c r="R1943" t="s">
        <v>30</v>
      </c>
      <c r="S1943" t="s">
        <v>34</v>
      </c>
      <c r="T1943" t="s">
        <v>35</v>
      </c>
      <c r="U1943">
        <f>IF(IFERROR(VLOOKUP(BBDD_Usiarios_Netflix[[#This Row],[Identificador Usuario]],A1944:$A$5870,1,FALSE),0)&lt;&gt;0,1,0)</f>
        <v>0</v>
      </c>
      <c r="V1943" s="6" t="str">
        <f>IF(BBDD_Usiarios_Netflix[[#This Row],[Duración Plan]]="12 Meses",LEFT(BBDD_Usiarios_Netflix[[#This Row],[Duración Plan]],2),LEFT(BBDD_Usiarios_Netflix[[#This Row],[Duración Plan]],1))</f>
        <v>6</v>
      </c>
      <c r="W19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44" spans="1:23" x14ac:dyDescent="0.25">
      <c r="A1944">
        <v>1943</v>
      </c>
      <c r="B1944" t="s">
        <v>32</v>
      </c>
      <c r="C1944">
        <v>12</v>
      </c>
      <c r="D1944" s="3">
        <v>25</v>
      </c>
      <c r="E1944" s="3">
        <v>8</v>
      </c>
      <c r="F1944">
        <v>23</v>
      </c>
      <c r="G1944" s="1">
        <f>DATEVALUE(_xlfn.CONCAT(BBDD_Usiarios_Netflix[[#This Row],[Día Suscripción]],"/",BBDD_Usiarios_Netflix[[#This Row],[Mes Suscripción]],"/",BBDD_Usiarios_Netflix[[#This Row],[Año Suscripción]]))</f>
        <v>45163</v>
      </c>
      <c r="H1944" s="1">
        <v>8</v>
      </c>
      <c r="I1944" s="1">
        <v>7</v>
      </c>
      <c r="J1944" s="1">
        <v>24</v>
      </c>
      <c r="K1944" s="1" t="str">
        <f>TEXT(BBDD_Usiarios_Netflix[[#This Row],[Fecha Suscripción]],"dddd")</f>
        <v>viernes</v>
      </c>
      <c r="L1944" s="1">
        <f>DATEVALUE(_xlfn.CONCAT(BBDD_Usiarios_Netflix[[#This Row],[Día Último Pago]],"/",BBDD_Usiarios_Netflix[[#This Row],[Mes Último Pago]],"/",BBDD_Usiarios_Netflix[[#This Row],[Año Último Pago]]))</f>
        <v>45481</v>
      </c>
      <c r="M1944" s="4">
        <f>DATEDIF(BBDD_Usiarios_Netflix[[#This Row],[Fecha Suscripción]],BBDD_Usiarios_Netflix[[#This Row],[Fecha Último Pago]],"M")+1</f>
        <v>11</v>
      </c>
      <c r="N1944" s="4">
        <f>BBDD_Usiarios_Netflix[[#This Row],[Ingresos Mensuales]]*BBDD_Usiarios_Netflix[[#This Row],[Meses contratados]]</f>
        <v>132</v>
      </c>
      <c r="O1944" t="s">
        <v>40</v>
      </c>
      <c r="P1944" t="str">
        <f>IF(BBDD_Usiarios_Netflix[[#This Row],[País]]="","Desconocido",BBDD_Usiarios_Netflix[[#This Row],[País]])</f>
        <v>Italia</v>
      </c>
      <c r="Q1944">
        <v>49</v>
      </c>
      <c r="R1944" t="s">
        <v>25</v>
      </c>
      <c r="S1944" t="s">
        <v>34</v>
      </c>
      <c r="T1944" t="s">
        <v>41</v>
      </c>
      <c r="U1944">
        <f>IF(IFERROR(VLOOKUP(BBDD_Usiarios_Netflix[[#This Row],[Identificador Usuario]],A1945:$A$5870,1,FALSE),0)&lt;&gt;0,1,0)</f>
        <v>0</v>
      </c>
      <c r="V1944" s="6" t="str">
        <f>IF(BBDD_Usiarios_Netflix[[#This Row],[Duración Plan]]="12 Meses",LEFT(BBDD_Usiarios_Netflix[[#This Row],[Duración Plan]],2),LEFT(BBDD_Usiarios_Netflix[[#This Row],[Duración Plan]],1))</f>
        <v>12</v>
      </c>
      <c r="W19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45" spans="1:23" x14ac:dyDescent="0.25">
      <c r="A1945">
        <v>1944</v>
      </c>
      <c r="B1945" t="s">
        <v>28</v>
      </c>
      <c r="C1945">
        <v>14</v>
      </c>
      <c r="D1945" s="3">
        <v>28</v>
      </c>
      <c r="E1945" s="3">
        <v>8</v>
      </c>
      <c r="F1945">
        <v>23</v>
      </c>
      <c r="G1945" s="1">
        <f>DATEVALUE(_xlfn.CONCAT(BBDD_Usiarios_Netflix[[#This Row],[Día Suscripción]],"/",BBDD_Usiarios_Netflix[[#This Row],[Mes Suscripción]],"/",BBDD_Usiarios_Netflix[[#This Row],[Año Suscripción]]))</f>
        <v>45166</v>
      </c>
      <c r="H1945" s="1">
        <v>9</v>
      </c>
      <c r="I1945" s="1">
        <v>7</v>
      </c>
      <c r="J1945" s="1">
        <v>24</v>
      </c>
      <c r="K1945" s="1" t="str">
        <f>TEXT(BBDD_Usiarios_Netflix[[#This Row],[Fecha Suscripción]],"dddd")</f>
        <v>lunes</v>
      </c>
      <c r="L1945" s="1">
        <f>DATEVALUE(_xlfn.CONCAT(BBDD_Usiarios_Netflix[[#This Row],[Día Último Pago]],"/",BBDD_Usiarios_Netflix[[#This Row],[Mes Último Pago]],"/",BBDD_Usiarios_Netflix[[#This Row],[Año Último Pago]]))</f>
        <v>45482</v>
      </c>
      <c r="M1945" s="4">
        <f>DATEDIF(BBDD_Usiarios_Netflix[[#This Row],[Fecha Suscripción]],BBDD_Usiarios_Netflix[[#This Row],[Fecha Último Pago]],"M")+1</f>
        <v>11</v>
      </c>
      <c r="N1945" s="4">
        <f>BBDD_Usiarios_Netflix[[#This Row],[Ingresos Mensuales]]*BBDD_Usiarios_Netflix[[#This Row],[Meses contratados]]</f>
        <v>154</v>
      </c>
      <c r="O1945" t="s">
        <v>45</v>
      </c>
      <c r="P1945" t="str">
        <f>IF(BBDD_Usiarios_Netflix[[#This Row],[País]]="","Desconocido",BBDD_Usiarios_Netflix[[#This Row],[País]])</f>
        <v>España</v>
      </c>
      <c r="Q1945">
        <v>27</v>
      </c>
      <c r="R1945" t="s">
        <v>25</v>
      </c>
      <c r="S1945" t="s">
        <v>31</v>
      </c>
      <c r="T1945" t="s">
        <v>35</v>
      </c>
      <c r="U1945">
        <f>IF(IFERROR(VLOOKUP(BBDD_Usiarios_Netflix[[#This Row],[Identificador Usuario]],A1946:$A$5870,1,FALSE),0)&lt;&gt;0,1,0)</f>
        <v>0</v>
      </c>
      <c r="V1945" s="6" t="str">
        <f>IF(BBDD_Usiarios_Netflix[[#This Row],[Duración Plan]]="12 Meses",LEFT(BBDD_Usiarios_Netflix[[#This Row],[Duración Plan]],2),LEFT(BBDD_Usiarios_Netflix[[#This Row],[Duración Plan]],1))</f>
        <v>6</v>
      </c>
      <c r="W19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46" spans="1:23" x14ac:dyDescent="0.25">
      <c r="A1946">
        <v>1945</v>
      </c>
      <c r="B1946" t="s">
        <v>23</v>
      </c>
      <c r="C1946">
        <v>10</v>
      </c>
      <c r="D1946" s="3">
        <v>29</v>
      </c>
      <c r="E1946" s="3">
        <v>8</v>
      </c>
      <c r="F1946">
        <v>23</v>
      </c>
      <c r="G1946" s="1">
        <f>DATEVALUE(_xlfn.CONCAT(BBDD_Usiarios_Netflix[[#This Row],[Día Suscripción]],"/",BBDD_Usiarios_Netflix[[#This Row],[Mes Suscripción]],"/",BBDD_Usiarios_Netflix[[#This Row],[Año Suscripción]]))</f>
        <v>45167</v>
      </c>
      <c r="H1946" s="1">
        <v>7</v>
      </c>
      <c r="I1946" s="1">
        <v>7</v>
      </c>
      <c r="J1946" s="1">
        <v>24</v>
      </c>
      <c r="K1946" s="1" t="str">
        <f>TEXT(BBDD_Usiarios_Netflix[[#This Row],[Fecha Suscripción]],"dddd")</f>
        <v>martes</v>
      </c>
      <c r="L1946" s="1">
        <f>DATEVALUE(_xlfn.CONCAT(BBDD_Usiarios_Netflix[[#This Row],[Día Último Pago]],"/",BBDD_Usiarios_Netflix[[#This Row],[Mes Último Pago]],"/",BBDD_Usiarios_Netflix[[#This Row],[Año Último Pago]]))</f>
        <v>45480</v>
      </c>
      <c r="M1946" s="4">
        <f>DATEDIF(BBDD_Usiarios_Netflix[[#This Row],[Fecha Suscripción]],BBDD_Usiarios_Netflix[[#This Row],[Fecha Último Pago]],"M")+1</f>
        <v>11</v>
      </c>
      <c r="N1946" s="4">
        <f>BBDD_Usiarios_Netflix[[#This Row],[Ingresos Mensuales]]*BBDD_Usiarios_Netflix[[#This Row],[Meses contratados]]</f>
        <v>110</v>
      </c>
      <c r="O1946" t="s">
        <v>45</v>
      </c>
      <c r="P1946" t="str">
        <f>IF(BBDD_Usiarios_Netflix[[#This Row],[País]]="","Desconocido",BBDD_Usiarios_Netflix[[#This Row],[País]])</f>
        <v>España</v>
      </c>
      <c r="Q1946">
        <v>39</v>
      </c>
      <c r="R1946" t="s">
        <v>30</v>
      </c>
      <c r="S1946" t="s">
        <v>34</v>
      </c>
      <c r="T1946" t="s">
        <v>27</v>
      </c>
      <c r="U1946">
        <f>IF(IFERROR(VLOOKUP(BBDD_Usiarios_Netflix[[#This Row],[Identificador Usuario]],A1947:$A$5870,1,FALSE),0)&lt;&gt;0,1,0)</f>
        <v>0</v>
      </c>
      <c r="V1946" s="6" t="str">
        <f>IF(BBDD_Usiarios_Netflix[[#This Row],[Duración Plan]]="12 Meses",LEFT(BBDD_Usiarios_Netflix[[#This Row],[Duración Plan]],2),LEFT(BBDD_Usiarios_Netflix[[#This Row],[Duración Plan]],1))</f>
        <v>1</v>
      </c>
      <c r="W19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47" spans="1:23" x14ac:dyDescent="0.25">
      <c r="A1947">
        <v>1946</v>
      </c>
      <c r="B1947" t="s">
        <v>23</v>
      </c>
      <c r="C1947">
        <v>10</v>
      </c>
      <c r="D1947" s="3">
        <v>11</v>
      </c>
      <c r="E1947" s="3">
        <v>9</v>
      </c>
      <c r="F1947">
        <v>23</v>
      </c>
      <c r="G1947" s="1">
        <f>DATEVALUE(_xlfn.CONCAT(BBDD_Usiarios_Netflix[[#This Row],[Día Suscripción]],"/",BBDD_Usiarios_Netflix[[#This Row],[Mes Suscripción]],"/",BBDD_Usiarios_Netflix[[#This Row],[Año Suscripción]]))</f>
        <v>45180</v>
      </c>
      <c r="H1947" s="1">
        <v>10</v>
      </c>
      <c r="I1947" s="1">
        <v>7</v>
      </c>
      <c r="J1947" s="1">
        <v>24</v>
      </c>
      <c r="K1947" s="1" t="str">
        <f>TEXT(BBDD_Usiarios_Netflix[[#This Row],[Fecha Suscripción]],"dddd")</f>
        <v>lunes</v>
      </c>
      <c r="L1947" s="1">
        <f>DATEVALUE(_xlfn.CONCAT(BBDD_Usiarios_Netflix[[#This Row],[Día Último Pago]],"/",BBDD_Usiarios_Netflix[[#This Row],[Mes Último Pago]],"/",BBDD_Usiarios_Netflix[[#This Row],[Año Último Pago]]))</f>
        <v>45483</v>
      </c>
      <c r="M1947" s="4">
        <f>DATEDIF(BBDD_Usiarios_Netflix[[#This Row],[Fecha Suscripción]],BBDD_Usiarios_Netflix[[#This Row],[Fecha Último Pago]],"M")+1</f>
        <v>10</v>
      </c>
      <c r="N1947" s="4">
        <f>BBDD_Usiarios_Netflix[[#This Row],[Ingresos Mensuales]]*BBDD_Usiarios_Netflix[[#This Row],[Meses contratados]]</f>
        <v>100</v>
      </c>
      <c r="O1947" t="s">
        <v>43</v>
      </c>
      <c r="P1947" t="str">
        <f>IF(BBDD_Usiarios_Netflix[[#This Row],[País]]="","Desconocido",BBDD_Usiarios_Netflix[[#This Row],[País]])</f>
        <v>Alemania</v>
      </c>
      <c r="Q1947">
        <v>34</v>
      </c>
      <c r="R1947" t="s">
        <v>30</v>
      </c>
      <c r="S1947" t="s">
        <v>34</v>
      </c>
      <c r="T1947" t="s">
        <v>38</v>
      </c>
      <c r="U1947">
        <f>IF(IFERROR(VLOOKUP(BBDD_Usiarios_Netflix[[#This Row],[Identificador Usuario]],A1948:$A$5870,1,FALSE),0)&lt;&gt;0,1,0)</f>
        <v>0</v>
      </c>
      <c r="V1947" s="6" t="str">
        <f>IF(BBDD_Usiarios_Netflix[[#This Row],[Duración Plan]]="12 Meses",LEFT(BBDD_Usiarios_Netflix[[#This Row],[Duración Plan]],2),LEFT(BBDD_Usiarios_Netflix[[#This Row],[Duración Plan]],1))</f>
        <v>3</v>
      </c>
      <c r="W19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48" spans="1:23" x14ac:dyDescent="0.25">
      <c r="A1948">
        <v>1947</v>
      </c>
      <c r="B1948" t="s">
        <v>23</v>
      </c>
      <c r="C1948">
        <v>10</v>
      </c>
      <c r="D1948" s="3">
        <v>12</v>
      </c>
      <c r="E1948" s="3">
        <v>9</v>
      </c>
      <c r="F1948">
        <v>23</v>
      </c>
      <c r="G1948" s="1">
        <f>DATEVALUE(_xlfn.CONCAT(BBDD_Usiarios_Netflix[[#This Row],[Día Suscripción]],"/",BBDD_Usiarios_Netflix[[#This Row],[Mes Suscripción]],"/",BBDD_Usiarios_Netflix[[#This Row],[Año Suscripción]]))</f>
        <v>45181</v>
      </c>
      <c r="H1948" s="1">
        <v>8</v>
      </c>
      <c r="I1948" s="1">
        <v>7</v>
      </c>
      <c r="J1948" s="1">
        <v>24</v>
      </c>
      <c r="K1948" s="1" t="str">
        <f>TEXT(BBDD_Usiarios_Netflix[[#This Row],[Fecha Suscripción]],"dddd")</f>
        <v>martes</v>
      </c>
      <c r="L1948" s="1">
        <f>DATEVALUE(_xlfn.CONCAT(BBDD_Usiarios_Netflix[[#This Row],[Día Último Pago]],"/",BBDD_Usiarios_Netflix[[#This Row],[Mes Último Pago]],"/",BBDD_Usiarios_Netflix[[#This Row],[Año Último Pago]]))</f>
        <v>45481</v>
      </c>
      <c r="M1948" s="4">
        <f>DATEDIF(BBDD_Usiarios_Netflix[[#This Row],[Fecha Suscripción]],BBDD_Usiarios_Netflix[[#This Row],[Fecha Último Pago]],"M")+1</f>
        <v>10</v>
      </c>
      <c r="N1948" s="4">
        <f>BBDD_Usiarios_Netflix[[#This Row],[Ingresos Mensuales]]*BBDD_Usiarios_Netflix[[#This Row],[Meses contratados]]</f>
        <v>100</v>
      </c>
      <c r="O1948" t="s">
        <v>39</v>
      </c>
      <c r="P1948" t="str">
        <f>IF(BBDD_Usiarios_Netflix[[#This Row],[País]]="","Desconocido",BBDD_Usiarios_Netflix[[#This Row],[País]])</f>
        <v>Canadá</v>
      </c>
      <c r="Q1948">
        <v>39</v>
      </c>
      <c r="R1948" t="s">
        <v>25</v>
      </c>
      <c r="S1948" t="s">
        <v>26</v>
      </c>
      <c r="T1948" t="s">
        <v>27</v>
      </c>
      <c r="U1948">
        <f>IF(IFERROR(VLOOKUP(BBDD_Usiarios_Netflix[[#This Row],[Identificador Usuario]],A1949:$A$5870,1,FALSE),0)&lt;&gt;0,1,0)</f>
        <v>0</v>
      </c>
      <c r="V1948" s="6" t="str">
        <f>IF(BBDD_Usiarios_Netflix[[#This Row],[Duración Plan]]="12 Meses",LEFT(BBDD_Usiarios_Netflix[[#This Row],[Duración Plan]],2),LEFT(BBDD_Usiarios_Netflix[[#This Row],[Duración Plan]],1))</f>
        <v>1</v>
      </c>
      <c r="W19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49" spans="1:23" x14ac:dyDescent="0.25">
      <c r="A1949">
        <v>1948</v>
      </c>
      <c r="B1949" t="s">
        <v>32</v>
      </c>
      <c r="C1949">
        <v>12</v>
      </c>
      <c r="D1949" s="3">
        <v>16</v>
      </c>
      <c r="E1949" s="3">
        <v>9</v>
      </c>
      <c r="F1949">
        <v>23</v>
      </c>
      <c r="G1949" s="1">
        <f>DATEVALUE(_xlfn.CONCAT(BBDD_Usiarios_Netflix[[#This Row],[Día Suscripción]],"/",BBDD_Usiarios_Netflix[[#This Row],[Mes Suscripción]],"/",BBDD_Usiarios_Netflix[[#This Row],[Año Suscripción]]))</f>
        <v>45185</v>
      </c>
      <c r="H1949" s="1">
        <v>9</v>
      </c>
      <c r="I1949" s="1">
        <v>7</v>
      </c>
      <c r="J1949" s="1">
        <v>24</v>
      </c>
      <c r="K1949" s="1" t="str">
        <f>TEXT(BBDD_Usiarios_Netflix[[#This Row],[Fecha Suscripción]],"dddd")</f>
        <v>sábado</v>
      </c>
      <c r="L1949" s="1">
        <f>DATEVALUE(_xlfn.CONCAT(BBDD_Usiarios_Netflix[[#This Row],[Día Último Pago]],"/",BBDD_Usiarios_Netflix[[#This Row],[Mes Último Pago]],"/",BBDD_Usiarios_Netflix[[#This Row],[Año Último Pago]]))</f>
        <v>45482</v>
      </c>
      <c r="M1949" s="4">
        <f>DATEDIF(BBDD_Usiarios_Netflix[[#This Row],[Fecha Suscripción]],BBDD_Usiarios_Netflix[[#This Row],[Fecha Último Pago]],"M")+1</f>
        <v>10</v>
      </c>
      <c r="N1949" s="4">
        <f>BBDD_Usiarios_Netflix[[#This Row],[Ingresos Mensuales]]*BBDD_Usiarios_Netflix[[#This Row],[Meses contratados]]</f>
        <v>120</v>
      </c>
      <c r="O1949" t="s">
        <v>33</v>
      </c>
      <c r="P1949" t="str">
        <f>IF(BBDD_Usiarios_Netflix[[#This Row],[País]]="","Desconocido",BBDD_Usiarios_Netflix[[#This Row],[País]])</f>
        <v>Francia</v>
      </c>
      <c r="Q1949">
        <v>39</v>
      </c>
      <c r="R1949" t="s">
        <v>30</v>
      </c>
      <c r="S1949" t="s">
        <v>36</v>
      </c>
      <c r="T1949" t="s">
        <v>27</v>
      </c>
      <c r="U1949">
        <f>IF(IFERROR(VLOOKUP(BBDD_Usiarios_Netflix[[#This Row],[Identificador Usuario]],A1950:$A$5870,1,FALSE),0)&lt;&gt;0,1,0)</f>
        <v>0</v>
      </c>
      <c r="V1949" s="6" t="str">
        <f>IF(BBDD_Usiarios_Netflix[[#This Row],[Duración Plan]]="12 Meses",LEFT(BBDD_Usiarios_Netflix[[#This Row],[Duración Plan]],2),LEFT(BBDD_Usiarios_Netflix[[#This Row],[Duración Plan]],1))</f>
        <v>1</v>
      </c>
      <c r="W19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50" spans="1:23" x14ac:dyDescent="0.25">
      <c r="A1950">
        <v>1949</v>
      </c>
      <c r="B1950" t="s">
        <v>28</v>
      </c>
      <c r="C1950">
        <v>14</v>
      </c>
      <c r="D1950" s="3">
        <v>17</v>
      </c>
      <c r="E1950" s="3">
        <v>9</v>
      </c>
      <c r="F1950">
        <v>23</v>
      </c>
      <c r="G1950" s="1">
        <f>DATEVALUE(_xlfn.CONCAT(BBDD_Usiarios_Netflix[[#This Row],[Día Suscripción]],"/",BBDD_Usiarios_Netflix[[#This Row],[Mes Suscripción]],"/",BBDD_Usiarios_Netflix[[#This Row],[Año Suscripción]]))</f>
        <v>45186</v>
      </c>
      <c r="H1950" s="1">
        <v>9</v>
      </c>
      <c r="I1950" s="1">
        <v>7</v>
      </c>
      <c r="J1950" s="1">
        <v>24</v>
      </c>
      <c r="K1950" s="1" t="str">
        <f>TEXT(BBDD_Usiarios_Netflix[[#This Row],[Fecha Suscripción]],"dddd")</f>
        <v>domingo</v>
      </c>
      <c r="L1950" s="1">
        <f>DATEVALUE(_xlfn.CONCAT(BBDD_Usiarios_Netflix[[#This Row],[Día Último Pago]],"/",BBDD_Usiarios_Netflix[[#This Row],[Mes Último Pago]],"/",BBDD_Usiarios_Netflix[[#This Row],[Año Último Pago]]))</f>
        <v>45482</v>
      </c>
      <c r="M1950" s="4">
        <f>DATEDIF(BBDD_Usiarios_Netflix[[#This Row],[Fecha Suscripción]],BBDD_Usiarios_Netflix[[#This Row],[Fecha Último Pago]],"M")+1</f>
        <v>10</v>
      </c>
      <c r="N1950" s="4">
        <f>BBDD_Usiarios_Netflix[[#This Row],[Ingresos Mensuales]]*BBDD_Usiarios_Netflix[[#This Row],[Meses contratados]]</f>
        <v>140</v>
      </c>
      <c r="O1950" t="s">
        <v>24</v>
      </c>
      <c r="P1950" t="str">
        <f>IF(BBDD_Usiarios_Netflix[[#This Row],[País]]="","Desconocido",BBDD_Usiarios_Netflix[[#This Row],[País]])</f>
        <v>Australia</v>
      </c>
      <c r="Q1950">
        <v>39</v>
      </c>
      <c r="R1950" t="s">
        <v>30</v>
      </c>
      <c r="S1950" t="s">
        <v>34</v>
      </c>
      <c r="T1950" t="s">
        <v>27</v>
      </c>
      <c r="U1950">
        <f>IF(IFERROR(VLOOKUP(BBDD_Usiarios_Netflix[[#This Row],[Identificador Usuario]],A1951:$A$5870,1,FALSE),0)&lt;&gt;0,1,0)</f>
        <v>0</v>
      </c>
      <c r="V1950" s="6" t="str">
        <f>IF(BBDD_Usiarios_Netflix[[#This Row],[Duración Plan]]="12 Meses",LEFT(BBDD_Usiarios_Netflix[[#This Row],[Duración Plan]],2),LEFT(BBDD_Usiarios_Netflix[[#This Row],[Duración Plan]],1))</f>
        <v>1</v>
      </c>
      <c r="W19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51" spans="1:23" x14ac:dyDescent="0.25">
      <c r="A1951">
        <v>1950</v>
      </c>
      <c r="B1951" t="s">
        <v>23</v>
      </c>
      <c r="C1951">
        <v>10</v>
      </c>
      <c r="D1951" s="3">
        <v>21</v>
      </c>
      <c r="E1951" s="3">
        <v>9</v>
      </c>
      <c r="F1951">
        <v>23</v>
      </c>
      <c r="G1951" s="1">
        <f>DATEVALUE(_xlfn.CONCAT(BBDD_Usiarios_Netflix[[#This Row],[Día Suscripción]],"/",BBDD_Usiarios_Netflix[[#This Row],[Mes Suscripción]],"/",BBDD_Usiarios_Netflix[[#This Row],[Año Suscripción]]))</f>
        <v>45190</v>
      </c>
      <c r="H1951" s="1">
        <v>10</v>
      </c>
      <c r="I1951" s="1">
        <v>7</v>
      </c>
      <c r="J1951" s="1">
        <v>24</v>
      </c>
      <c r="K1951" s="1" t="str">
        <f>TEXT(BBDD_Usiarios_Netflix[[#This Row],[Fecha Suscripción]],"dddd")</f>
        <v>jueves</v>
      </c>
      <c r="L1951" s="1">
        <f>DATEVALUE(_xlfn.CONCAT(BBDD_Usiarios_Netflix[[#This Row],[Día Último Pago]],"/",BBDD_Usiarios_Netflix[[#This Row],[Mes Último Pago]],"/",BBDD_Usiarios_Netflix[[#This Row],[Año Último Pago]]))</f>
        <v>45483</v>
      </c>
      <c r="M1951" s="4">
        <f>DATEDIF(BBDD_Usiarios_Netflix[[#This Row],[Fecha Suscripción]],BBDD_Usiarios_Netflix[[#This Row],[Fecha Último Pago]],"M")+1</f>
        <v>10</v>
      </c>
      <c r="N1951" s="4">
        <f>BBDD_Usiarios_Netflix[[#This Row],[Ingresos Mensuales]]*BBDD_Usiarios_Netflix[[#This Row],[Meses contratados]]</f>
        <v>100</v>
      </c>
      <c r="O1951" t="s">
        <v>39</v>
      </c>
      <c r="P1951" t="str">
        <f>IF(BBDD_Usiarios_Netflix[[#This Row],[País]]="","Desconocido",BBDD_Usiarios_Netflix[[#This Row],[País]])</f>
        <v>Canadá</v>
      </c>
      <c r="Q1951">
        <v>40</v>
      </c>
      <c r="R1951" t="s">
        <v>30</v>
      </c>
      <c r="S1951" t="s">
        <v>36</v>
      </c>
      <c r="T1951" t="s">
        <v>35</v>
      </c>
      <c r="U1951">
        <f>IF(IFERROR(VLOOKUP(BBDD_Usiarios_Netflix[[#This Row],[Identificador Usuario]],A1952:$A$5870,1,FALSE),0)&lt;&gt;0,1,0)</f>
        <v>0</v>
      </c>
      <c r="V1951" s="6" t="str">
        <f>IF(BBDD_Usiarios_Netflix[[#This Row],[Duración Plan]]="12 Meses",LEFT(BBDD_Usiarios_Netflix[[#This Row],[Duración Plan]],2),LEFT(BBDD_Usiarios_Netflix[[#This Row],[Duración Plan]],1))</f>
        <v>6</v>
      </c>
      <c r="W19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52" spans="1:23" x14ac:dyDescent="0.25">
      <c r="A1952">
        <v>1951</v>
      </c>
      <c r="B1952" t="s">
        <v>23</v>
      </c>
      <c r="C1952">
        <v>10</v>
      </c>
      <c r="D1952" s="3">
        <v>23</v>
      </c>
      <c r="E1952" s="3">
        <v>9</v>
      </c>
      <c r="F1952">
        <v>23</v>
      </c>
      <c r="G1952" s="1">
        <f>DATEVALUE(_xlfn.CONCAT(BBDD_Usiarios_Netflix[[#This Row],[Día Suscripción]],"/",BBDD_Usiarios_Netflix[[#This Row],[Mes Suscripción]],"/",BBDD_Usiarios_Netflix[[#This Row],[Año Suscripción]]))</f>
        <v>45192</v>
      </c>
      <c r="H1952" s="1">
        <v>8</v>
      </c>
      <c r="I1952" s="1">
        <v>7</v>
      </c>
      <c r="J1952" s="1">
        <v>24</v>
      </c>
      <c r="K1952" s="1" t="str">
        <f>TEXT(BBDD_Usiarios_Netflix[[#This Row],[Fecha Suscripción]],"dddd")</f>
        <v>sábado</v>
      </c>
      <c r="L1952" s="1">
        <f>DATEVALUE(_xlfn.CONCAT(BBDD_Usiarios_Netflix[[#This Row],[Día Último Pago]],"/",BBDD_Usiarios_Netflix[[#This Row],[Mes Último Pago]],"/",BBDD_Usiarios_Netflix[[#This Row],[Año Último Pago]]))</f>
        <v>45481</v>
      </c>
      <c r="M1952" s="4">
        <f>DATEDIF(BBDD_Usiarios_Netflix[[#This Row],[Fecha Suscripción]],BBDD_Usiarios_Netflix[[#This Row],[Fecha Último Pago]],"M")+1</f>
        <v>10</v>
      </c>
      <c r="N1952" s="4">
        <f>BBDD_Usiarios_Netflix[[#This Row],[Ingresos Mensuales]]*BBDD_Usiarios_Netflix[[#This Row],[Meses contratados]]</f>
        <v>100</v>
      </c>
      <c r="O1952" t="s">
        <v>33</v>
      </c>
      <c r="P1952" t="str">
        <f>IF(BBDD_Usiarios_Netflix[[#This Row],[País]]="","Desconocido",BBDD_Usiarios_Netflix[[#This Row],[País]])</f>
        <v>Francia</v>
      </c>
      <c r="Q1952">
        <v>40</v>
      </c>
      <c r="R1952" t="s">
        <v>25</v>
      </c>
      <c r="S1952" t="s">
        <v>31</v>
      </c>
      <c r="T1952" t="s">
        <v>27</v>
      </c>
      <c r="U1952">
        <f>IF(IFERROR(VLOOKUP(BBDD_Usiarios_Netflix[[#This Row],[Identificador Usuario]],A1953:$A$5870,1,FALSE),0)&lt;&gt;0,1,0)</f>
        <v>0</v>
      </c>
      <c r="V1952" s="6" t="str">
        <f>IF(BBDD_Usiarios_Netflix[[#This Row],[Duración Plan]]="12 Meses",LEFT(BBDD_Usiarios_Netflix[[#This Row],[Duración Plan]],2),LEFT(BBDD_Usiarios_Netflix[[#This Row],[Duración Plan]],1))</f>
        <v>1</v>
      </c>
      <c r="W19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53" spans="1:23" x14ac:dyDescent="0.25">
      <c r="A1953">
        <v>1952</v>
      </c>
      <c r="B1953" t="s">
        <v>28</v>
      </c>
      <c r="C1953">
        <v>14</v>
      </c>
      <c r="D1953" s="3">
        <v>27</v>
      </c>
      <c r="E1953" s="3">
        <v>9</v>
      </c>
      <c r="F1953">
        <v>23</v>
      </c>
      <c r="G1953" s="1">
        <f>DATEVALUE(_xlfn.CONCAT(BBDD_Usiarios_Netflix[[#This Row],[Día Suscripción]],"/",BBDD_Usiarios_Netflix[[#This Row],[Mes Suscripción]],"/",BBDD_Usiarios_Netflix[[#This Row],[Año Suscripción]]))</f>
        <v>45196</v>
      </c>
      <c r="H1953" s="1">
        <v>8</v>
      </c>
      <c r="I1953" s="1">
        <v>7</v>
      </c>
      <c r="J1953" s="1">
        <v>24</v>
      </c>
      <c r="K1953" s="1" t="str">
        <f>TEXT(BBDD_Usiarios_Netflix[[#This Row],[Fecha Suscripción]],"dddd")</f>
        <v>miércoles</v>
      </c>
      <c r="L1953" s="1">
        <f>DATEVALUE(_xlfn.CONCAT(BBDD_Usiarios_Netflix[[#This Row],[Día Último Pago]],"/",BBDD_Usiarios_Netflix[[#This Row],[Mes Último Pago]],"/",BBDD_Usiarios_Netflix[[#This Row],[Año Último Pago]]))</f>
        <v>45481</v>
      </c>
      <c r="M1953" s="4">
        <f>DATEDIF(BBDD_Usiarios_Netflix[[#This Row],[Fecha Suscripción]],BBDD_Usiarios_Netflix[[#This Row],[Fecha Último Pago]],"M")+1</f>
        <v>10</v>
      </c>
      <c r="N1953" s="4">
        <f>BBDD_Usiarios_Netflix[[#This Row],[Ingresos Mensuales]]*BBDD_Usiarios_Netflix[[#This Row],[Meses contratados]]</f>
        <v>140</v>
      </c>
      <c r="O1953" t="s">
        <v>43</v>
      </c>
      <c r="P1953" t="str">
        <f>IF(BBDD_Usiarios_Netflix[[#This Row],[País]]="","Desconocido",BBDD_Usiarios_Netflix[[#This Row],[País]])</f>
        <v>Alemania</v>
      </c>
      <c r="Q1953">
        <v>31</v>
      </c>
      <c r="R1953" t="s">
        <v>25</v>
      </c>
      <c r="S1953" t="s">
        <v>26</v>
      </c>
      <c r="T1953" t="s">
        <v>35</v>
      </c>
      <c r="U1953">
        <f>IF(IFERROR(VLOOKUP(BBDD_Usiarios_Netflix[[#This Row],[Identificador Usuario]],A1954:$A$5870,1,FALSE),0)&lt;&gt;0,1,0)</f>
        <v>0</v>
      </c>
      <c r="V1953" s="6" t="str">
        <f>IF(BBDD_Usiarios_Netflix[[#This Row],[Duración Plan]]="12 Meses",LEFT(BBDD_Usiarios_Netflix[[#This Row],[Duración Plan]],2),LEFT(BBDD_Usiarios_Netflix[[#This Row],[Duración Plan]],1))</f>
        <v>6</v>
      </c>
      <c r="W19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54" spans="1:23" x14ac:dyDescent="0.25">
      <c r="A1954">
        <v>1953</v>
      </c>
      <c r="B1954" t="s">
        <v>32</v>
      </c>
      <c r="C1954">
        <v>12</v>
      </c>
      <c r="D1954" s="3">
        <v>9</v>
      </c>
      <c r="E1954" s="3">
        <v>10</v>
      </c>
      <c r="F1954">
        <v>23</v>
      </c>
      <c r="G1954" s="1">
        <f>DATEVALUE(_xlfn.CONCAT(BBDD_Usiarios_Netflix[[#This Row],[Día Suscripción]],"/",BBDD_Usiarios_Netflix[[#This Row],[Mes Suscripción]],"/",BBDD_Usiarios_Netflix[[#This Row],[Año Suscripción]]))</f>
        <v>45208</v>
      </c>
      <c r="H1954" s="1">
        <v>9</v>
      </c>
      <c r="I1954" s="1">
        <v>7</v>
      </c>
      <c r="J1954" s="1">
        <v>24</v>
      </c>
      <c r="K1954" s="1" t="str">
        <f>TEXT(BBDD_Usiarios_Netflix[[#This Row],[Fecha Suscripción]],"dddd")</f>
        <v>lunes</v>
      </c>
      <c r="L1954" s="1">
        <f>DATEVALUE(_xlfn.CONCAT(BBDD_Usiarios_Netflix[[#This Row],[Día Último Pago]],"/",BBDD_Usiarios_Netflix[[#This Row],[Mes Último Pago]],"/",BBDD_Usiarios_Netflix[[#This Row],[Año Último Pago]]))</f>
        <v>45482</v>
      </c>
      <c r="M1954" s="4">
        <f>DATEDIF(BBDD_Usiarios_Netflix[[#This Row],[Fecha Suscripción]],BBDD_Usiarios_Netflix[[#This Row],[Fecha Último Pago]],"M")+1</f>
        <v>10</v>
      </c>
      <c r="N1954" s="4">
        <f>BBDD_Usiarios_Netflix[[#This Row],[Ingresos Mensuales]]*BBDD_Usiarios_Netflix[[#This Row],[Meses contratados]]</f>
        <v>120</v>
      </c>
      <c r="O1954" t="s">
        <v>40</v>
      </c>
      <c r="P1954" t="str">
        <f>IF(BBDD_Usiarios_Netflix[[#This Row],[País]]="","Desconocido",BBDD_Usiarios_Netflix[[#This Row],[País]])</f>
        <v>Italia</v>
      </c>
      <c r="Q1954">
        <v>47</v>
      </c>
      <c r="R1954" t="s">
        <v>25</v>
      </c>
      <c r="S1954" t="s">
        <v>26</v>
      </c>
      <c r="T1954" t="s">
        <v>38</v>
      </c>
      <c r="U1954">
        <f>IF(IFERROR(VLOOKUP(BBDD_Usiarios_Netflix[[#This Row],[Identificador Usuario]],A1955:$A$5870,1,FALSE),0)&lt;&gt;0,1,0)</f>
        <v>0</v>
      </c>
      <c r="V1954" s="6" t="str">
        <f>IF(BBDD_Usiarios_Netflix[[#This Row],[Duración Plan]]="12 Meses",LEFT(BBDD_Usiarios_Netflix[[#This Row],[Duración Plan]],2),LEFT(BBDD_Usiarios_Netflix[[#This Row],[Duración Plan]],1))</f>
        <v>3</v>
      </c>
      <c r="W19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55" spans="1:23" x14ac:dyDescent="0.25">
      <c r="A1955">
        <v>1954</v>
      </c>
      <c r="B1955" t="s">
        <v>32</v>
      </c>
      <c r="C1955">
        <v>12</v>
      </c>
      <c r="D1955" s="3">
        <v>10</v>
      </c>
      <c r="E1955" s="3">
        <v>10</v>
      </c>
      <c r="F1955">
        <v>23</v>
      </c>
      <c r="G1955" s="1">
        <f>DATEVALUE(_xlfn.CONCAT(BBDD_Usiarios_Netflix[[#This Row],[Día Suscripción]],"/",BBDD_Usiarios_Netflix[[#This Row],[Mes Suscripción]],"/",BBDD_Usiarios_Netflix[[#This Row],[Año Suscripción]]))</f>
        <v>45209</v>
      </c>
      <c r="H1955" s="1">
        <v>11</v>
      </c>
      <c r="I1955" s="1">
        <v>7</v>
      </c>
      <c r="J1955" s="1">
        <v>24</v>
      </c>
      <c r="K1955" s="1" t="str">
        <f>TEXT(BBDD_Usiarios_Netflix[[#This Row],[Fecha Suscripción]],"dddd")</f>
        <v>martes</v>
      </c>
      <c r="L1955" s="1">
        <f>DATEVALUE(_xlfn.CONCAT(BBDD_Usiarios_Netflix[[#This Row],[Día Último Pago]],"/",BBDD_Usiarios_Netflix[[#This Row],[Mes Último Pago]],"/",BBDD_Usiarios_Netflix[[#This Row],[Año Último Pago]]))</f>
        <v>45484</v>
      </c>
      <c r="M1955" s="4">
        <f>DATEDIF(BBDD_Usiarios_Netflix[[#This Row],[Fecha Suscripción]],BBDD_Usiarios_Netflix[[#This Row],[Fecha Último Pago]],"M")+1</f>
        <v>10</v>
      </c>
      <c r="N1955" s="4">
        <f>BBDD_Usiarios_Netflix[[#This Row],[Ingresos Mensuales]]*BBDD_Usiarios_Netflix[[#This Row],[Meses contratados]]</f>
        <v>120</v>
      </c>
      <c r="O1955" t="s">
        <v>45</v>
      </c>
      <c r="P1955" t="str">
        <f>IF(BBDD_Usiarios_Netflix[[#This Row],[País]]="","Desconocido",BBDD_Usiarios_Netflix[[#This Row],[País]])</f>
        <v>España</v>
      </c>
      <c r="Q1955">
        <v>43</v>
      </c>
      <c r="R1955" t="s">
        <v>25</v>
      </c>
      <c r="S1955" t="s">
        <v>36</v>
      </c>
      <c r="T1955" t="s">
        <v>35</v>
      </c>
      <c r="U1955">
        <f>IF(IFERROR(VLOOKUP(BBDD_Usiarios_Netflix[[#This Row],[Identificador Usuario]],A1956:$A$5870,1,FALSE),0)&lt;&gt;0,1,0)</f>
        <v>0</v>
      </c>
      <c r="V1955" s="6" t="str">
        <f>IF(BBDD_Usiarios_Netflix[[#This Row],[Duración Plan]]="12 Meses",LEFT(BBDD_Usiarios_Netflix[[#This Row],[Duración Plan]],2),LEFT(BBDD_Usiarios_Netflix[[#This Row],[Duración Plan]],1))</f>
        <v>6</v>
      </c>
      <c r="W19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56" spans="1:23" x14ac:dyDescent="0.25">
      <c r="A1956">
        <v>1955</v>
      </c>
      <c r="B1956" t="s">
        <v>23</v>
      </c>
      <c r="C1956">
        <v>10</v>
      </c>
      <c r="D1956" s="3">
        <v>11</v>
      </c>
      <c r="E1956" s="3">
        <v>10</v>
      </c>
      <c r="F1956">
        <v>23</v>
      </c>
      <c r="G1956" s="1">
        <f>DATEVALUE(_xlfn.CONCAT(BBDD_Usiarios_Netflix[[#This Row],[Día Suscripción]],"/",BBDD_Usiarios_Netflix[[#This Row],[Mes Suscripción]],"/",BBDD_Usiarios_Netflix[[#This Row],[Año Suscripción]]))</f>
        <v>45210</v>
      </c>
      <c r="H1956" s="1">
        <v>8</v>
      </c>
      <c r="I1956" s="1">
        <v>7</v>
      </c>
      <c r="J1956" s="1">
        <v>24</v>
      </c>
      <c r="K1956" s="1" t="str">
        <f>TEXT(BBDD_Usiarios_Netflix[[#This Row],[Fecha Suscripción]],"dddd")</f>
        <v>miércoles</v>
      </c>
      <c r="L1956" s="1">
        <f>DATEVALUE(_xlfn.CONCAT(BBDD_Usiarios_Netflix[[#This Row],[Día Último Pago]],"/",BBDD_Usiarios_Netflix[[#This Row],[Mes Último Pago]],"/",BBDD_Usiarios_Netflix[[#This Row],[Año Último Pago]]))</f>
        <v>45481</v>
      </c>
      <c r="M1956" s="4">
        <f>DATEDIF(BBDD_Usiarios_Netflix[[#This Row],[Fecha Suscripción]],BBDD_Usiarios_Netflix[[#This Row],[Fecha Último Pago]],"M")+1</f>
        <v>9</v>
      </c>
      <c r="N1956" s="4">
        <f>BBDD_Usiarios_Netflix[[#This Row],[Ingresos Mensuales]]*BBDD_Usiarios_Netflix[[#This Row],[Meses contratados]]</f>
        <v>90</v>
      </c>
      <c r="O1956" t="s">
        <v>39</v>
      </c>
      <c r="P1956" t="str">
        <f>IF(BBDD_Usiarios_Netflix[[#This Row],[País]]="","Desconocido",BBDD_Usiarios_Netflix[[#This Row],[País]])</f>
        <v>Canadá</v>
      </c>
      <c r="Q1956">
        <v>34</v>
      </c>
      <c r="R1956" t="s">
        <v>25</v>
      </c>
      <c r="S1956" t="s">
        <v>26</v>
      </c>
      <c r="T1956" t="s">
        <v>27</v>
      </c>
      <c r="U1956">
        <f>IF(IFERROR(VLOOKUP(BBDD_Usiarios_Netflix[[#This Row],[Identificador Usuario]],A1957:$A$5870,1,FALSE),0)&lt;&gt;0,1,0)</f>
        <v>0</v>
      </c>
      <c r="V1956" s="6" t="str">
        <f>IF(BBDD_Usiarios_Netflix[[#This Row],[Duración Plan]]="12 Meses",LEFT(BBDD_Usiarios_Netflix[[#This Row],[Duración Plan]],2),LEFT(BBDD_Usiarios_Netflix[[#This Row],[Duración Plan]],1))</f>
        <v>1</v>
      </c>
      <c r="W19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57" spans="1:23" x14ac:dyDescent="0.25">
      <c r="A1957">
        <v>1956</v>
      </c>
      <c r="B1957" t="s">
        <v>28</v>
      </c>
      <c r="C1957">
        <v>14</v>
      </c>
      <c r="D1957" s="3">
        <v>12</v>
      </c>
      <c r="E1957" s="3">
        <v>10</v>
      </c>
      <c r="F1957">
        <v>23</v>
      </c>
      <c r="G1957" s="1">
        <f>DATEVALUE(_xlfn.CONCAT(BBDD_Usiarios_Netflix[[#This Row],[Día Suscripción]],"/",BBDD_Usiarios_Netflix[[#This Row],[Mes Suscripción]],"/",BBDD_Usiarios_Netflix[[#This Row],[Año Suscripción]]))</f>
        <v>45211</v>
      </c>
      <c r="H1957" s="1">
        <v>8</v>
      </c>
      <c r="I1957" s="1">
        <v>7</v>
      </c>
      <c r="J1957" s="1">
        <v>24</v>
      </c>
      <c r="K1957" s="1" t="str">
        <f>TEXT(BBDD_Usiarios_Netflix[[#This Row],[Fecha Suscripción]],"dddd")</f>
        <v>jueves</v>
      </c>
      <c r="L1957" s="1">
        <f>DATEVALUE(_xlfn.CONCAT(BBDD_Usiarios_Netflix[[#This Row],[Día Último Pago]],"/",BBDD_Usiarios_Netflix[[#This Row],[Mes Último Pago]],"/",BBDD_Usiarios_Netflix[[#This Row],[Año Último Pago]]))</f>
        <v>45481</v>
      </c>
      <c r="M1957" s="4">
        <f>DATEDIF(BBDD_Usiarios_Netflix[[#This Row],[Fecha Suscripción]],BBDD_Usiarios_Netflix[[#This Row],[Fecha Último Pago]],"M")+1</f>
        <v>9</v>
      </c>
      <c r="N1957" s="4">
        <f>BBDD_Usiarios_Netflix[[#This Row],[Ingresos Mensuales]]*BBDD_Usiarios_Netflix[[#This Row],[Meses contratados]]</f>
        <v>126</v>
      </c>
      <c r="O1957" t="s">
        <v>24</v>
      </c>
      <c r="P1957" t="str">
        <f>IF(BBDD_Usiarios_Netflix[[#This Row],[País]]="","Desconocido",BBDD_Usiarios_Netflix[[#This Row],[País]])</f>
        <v>Australia</v>
      </c>
      <c r="Q1957">
        <v>30</v>
      </c>
      <c r="R1957" t="s">
        <v>30</v>
      </c>
      <c r="S1957" t="s">
        <v>31</v>
      </c>
      <c r="T1957" t="s">
        <v>27</v>
      </c>
      <c r="U1957">
        <f>IF(IFERROR(VLOOKUP(BBDD_Usiarios_Netflix[[#This Row],[Identificador Usuario]],A1958:$A$5870,1,FALSE),0)&lt;&gt;0,1,0)</f>
        <v>0</v>
      </c>
      <c r="V1957" s="6" t="str">
        <f>IF(BBDD_Usiarios_Netflix[[#This Row],[Duración Plan]]="12 Meses",LEFT(BBDD_Usiarios_Netflix[[#This Row],[Duración Plan]],2),LEFT(BBDD_Usiarios_Netflix[[#This Row],[Duración Plan]],1))</f>
        <v>1</v>
      </c>
      <c r="W19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58" spans="1:23" x14ac:dyDescent="0.25">
      <c r="A1958">
        <v>1957</v>
      </c>
      <c r="B1958" t="s">
        <v>32</v>
      </c>
      <c r="C1958">
        <v>12</v>
      </c>
      <c r="D1958" s="3">
        <v>13</v>
      </c>
      <c r="E1958" s="3">
        <v>10</v>
      </c>
      <c r="F1958">
        <v>23</v>
      </c>
      <c r="G1958" s="1">
        <f>DATEVALUE(_xlfn.CONCAT(BBDD_Usiarios_Netflix[[#This Row],[Día Suscripción]],"/",BBDD_Usiarios_Netflix[[#This Row],[Mes Suscripción]],"/",BBDD_Usiarios_Netflix[[#This Row],[Año Suscripción]]))</f>
        <v>45212</v>
      </c>
      <c r="H1958" s="1">
        <v>9</v>
      </c>
      <c r="I1958" s="1">
        <v>7</v>
      </c>
      <c r="J1958" s="1">
        <v>24</v>
      </c>
      <c r="K1958" s="1" t="str">
        <f>TEXT(BBDD_Usiarios_Netflix[[#This Row],[Fecha Suscripción]],"dddd")</f>
        <v>viernes</v>
      </c>
      <c r="L1958" s="1">
        <f>DATEVALUE(_xlfn.CONCAT(BBDD_Usiarios_Netflix[[#This Row],[Día Último Pago]],"/",BBDD_Usiarios_Netflix[[#This Row],[Mes Último Pago]],"/",BBDD_Usiarios_Netflix[[#This Row],[Año Último Pago]]))</f>
        <v>45482</v>
      </c>
      <c r="M1958" s="4">
        <f>DATEDIF(BBDD_Usiarios_Netflix[[#This Row],[Fecha Suscripción]],BBDD_Usiarios_Netflix[[#This Row],[Fecha Último Pago]],"M")+1</f>
        <v>9</v>
      </c>
      <c r="N1958" s="4">
        <f>BBDD_Usiarios_Netflix[[#This Row],[Ingresos Mensuales]]*BBDD_Usiarios_Netflix[[#This Row],[Meses contratados]]</f>
        <v>108</v>
      </c>
      <c r="O1958" t="s">
        <v>42</v>
      </c>
      <c r="P1958" t="str">
        <f>IF(BBDD_Usiarios_Netflix[[#This Row],[País]]="","Desconocido",BBDD_Usiarios_Netflix[[#This Row],[País]])</f>
        <v>Reino Unido</v>
      </c>
      <c r="Q1958">
        <v>33</v>
      </c>
      <c r="R1958" t="s">
        <v>30</v>
      </c>
      <c r="S1958" t="s">
        <v>26</v>
      </c>
      <c r="T1958" t="s">
        <v>41</v>
      </c>
      <c r="U1958">
        <f>IF(IFERROR(VLOOKUP(BBDD_Usiarios_Netflix[[#This Row],[Identificador Usuario]],A1959:$A$5870,1,FALSE),0)&lt;&gt;0,1,0)</f>
        <v>0</v>
      </c>
      <c r="V1958" s="6" t="str">
        <f>IF(BBDD_Usiarios_Netflix[[#This Row],[Duración Plan]]="12 Meses",LEFT(BBDD_Usiarios_Netflix[[#This Row],[Duración Plan]],2),LEFT(BBDD_Usiarios_Netflix[[#This Row],[Duración Plan]],1))</f>
        <v>12</v>
      </c>
      <c r="W19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59" spans="1:23" x14ac:dyDescent="0.25">
      <c r="A1959">
        <v>1958</v>
      </c>
      <c r="B1959" t="s">
        <v>23</v>
      </c>
      <c r="C1959">
        <v>10</v>
      </c>
      <c r="D1959" s="3">
        <v>19</v>
      </c>
      <c r="E1959" s="3">
        <v>10</v>
      </c>
      <c r="F1959">
        <v>23</v>
      </c>
      <c r="G1959" s="1">
        <f>DATEVALUE(_xlfn.CONCAT(BBDD_Usiarios_Netflix[[#This Row],[Día Suscripción]],"/",BBDD_Usiarios_Netflix[[#This Row],[Mes Suscripción]],"/",BBDD_Usiarios_Netflix[[#This Row],[Año Suscripción]]))</f>
        <v>45218</v>
      </c>
      <c r="H1959" s="1">
        <v>10</v>
      </c>
      <c r="I1959" s="1">
        <v>7</v>
      </c>
      <c r="J1959" s="1">
        <v>24</v>
      </c>
      <c r="K1959" s="1" t="str">
        <f>TEXT(BBDD_Usiarios_Netflix[[#This Row],[Fecha Suscripción]],"dddd")</f>
        <v>jueves</v>
      </c>
      <c r="L1959" s="1">
        <f>DATEVALUE(_xlfn.CONCAT(BBDD_Usiarios_Netflix[[#This Row],[Día Último Pago]],"/",BBDD_Usiarios_Netflix[[#This Row],[Mes Último Pago]],"/",BBDD_Usiarios_Netflix[[#This Row],[Año Último Pago]]))</f>
        <v>45483</v>
      </c>
      <c r="M1959" s="4">
        <f>DATEDIF(BBDD_Usiarios_Netflix[[#This Row],[Fecha Suscripción]],BBDD_Usiarios_Netflix[[#This Row],[Fecha Último Pago]],"M")+1</f>
        <v>9</v>
      </c>
      <c r="N1959" s="4">
        <f>BBDD_Usiarios_Netflix[[#This Row],[Ingresos Mensuales]]*BBDD_Usiarios_Netflix[[#This Row],[Meses contratados]]</f>
        <v>90</v>
      </c>
      <c r="O1959" t="s">
        <v>29</v>
      </c>
      <c r="P1959" t="str">
        <f>IF(BBDD_Usiarios_Netflix[[#This Row],[País]]="","Desconocido",BBDD_Usiarios_Netflix[[#This Row],[País]])</f>
        <v>EEUU</v>
      </c>
      <c r="Q1959">
        <v>29</v>
      </c>
      <c r="R1959" t="s">
        <v>25</v>
      </c>
      <c r="S1959" t="s">
        <v>31</v>
      </c>
      <c r="T1959" t="s">
        <v>35</v>
      </c>
      <c r="U1959">
        <f>IF(IFERROR(VLOOKUP(BBDD_Usiarios_Netflix[[#This Row],[Identificador Usuario]],A1960:$A$5870,1,FALSE),0)&lt;&gt;0,1,0)</f>
        <v>0</v>
      </c>
      <c r="V1959" s="6" t="str">
        <f>IF(BBDD_Usiarios_Netflix[[#This Row],[Duración Plan]]="12 Meses",LEFT(BBDD_Usiarios_Netflix[[#This Row],[Duración Plan]],2),LEFT(BBDD_Usiarios_Netflix[[#This Row],[Duración Plan]],1))</f>
        <v>6</v>
      </c>
      <c r="W19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60" spans="1:23" x14ac:dyDescent="0.25">
      <c r="A1960">
        <v>1959</v>
      </c>
      <c r="B1960" t="s">
        <v>32</v>
      </c>
      <c r="C1960">
        <v>12</v>
      </c>
      <c r="D1960" s="3">
        <v>21</v>
      </c>
      <c r="E1960" s="3">
        <v>10</v>
      </c>
      <c r="F1960">
        <v>23</v>
      </c>
      <c r="G1960" s="1">
        <f>DATEVALUE(_xlfn.CONCAT(BBDD_Usiarios_Netflix[[#This Row],[Día Suscripción]],"/",BBDD_Usiarios_Netflix[[#This Row],[Mes Suscripción]],"/",BBDD_Usiarios_Netflix[[#This Row],[Año Suscripción]]))</f>
        <v>45220</v>
      </c>
      <c r="H1960" s="1">
        <v>7</v>
      </c>
      <c r="I1960" s="1">
        <v>7</v>
      </c>
      <c r="J1960" s="1">
        <v>24</v>
      </c>
      <c r="K1960" s="1" t="str">
        <f>TEXT(BBDD_Usiarios_Netflix[[#This Row],[Fecha Suscripción]],"dddd")</f>
        <v>sábado</v>
      </c>
      <c r="L1960" s="1">
        <f>DATEVALUE(_xlfn.CONCAT(BBDD_Usiarios_Netflix[[#This Row],[Día Último Pago]],"/",BBDD_Usiarios_Netflix[[#This Row],[Mes Último Pago]],"/",BBDD_Usiarios_Netflix[[#This Row],[Año Último Pago]]))</f>
        <v>45480</v>
      </c>
      <c r="M1960" s="4">
        <f>DATEDIF(BBDD_Usiarios_Netflix[[#This Row],[Fecha Suscripción]],BBDD_Usiarios_Netflix[[#This Row],[Fecha Último Pago]],"M")+1</f>
        <v>9</v>
      </c>
      <c r="N1960" s="4">
        <f>BBDD_Usiarios_Netflix[[#This Row],[Ingresos Mensuales]]*BBDD_Usiarios_Netflix[[#This Row],[Meses contratados]]</f>
        <v>108</v>
      </c>
      <c r="O1960" t="s">
        <v>29</v>
      </c>
      <c r="P1960" t="str">
        <f>IF(BBDD_Usiarios_Netflix[[#This Row],[País]]="","Desconocido",BBDD_Usiarios_Netflix[[#This Row],[País]])</f>
        <v>EEUU</v>
      </c>
      <c r="Q1960">
        <v>35</v>
      </c>
      <c r="R1960" t="s">
        <v>30</v>
      </c>
      <c r="S1960" t="s">
        <v>26</v>
      </c>
      <c r="T1960" t="s">
        <v>41</v>
      </c>
      <c r="U1960">
        <f>IF(IFERROR(VLOOKUP(BBDD_Usiarios_Netflix[[#This Row],[Identificador Usuario]],A1961:$A$5870,1,FALSE),0)&lt;&gt;0,1,0)</f>
        <v>0</v>
      </c>
      <c r="V1960" s="6" t="str">
        <f>IF(BBDD_Usiarios_Netflix[[#This Row],[Duración Plan]]="12 Meses",LEFT(BBDD_Usiarios_Netflix[[#This Row],[Duración Plan]],2),LEFT(BBDD_Usiarios_Netflix[[#This Row],[Duración Plan]],1))</f>
        <v>12</v>
      </c>
      <c r="W19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61" spans="1:23" x14ac:dyDescent="0.25">
      <c r="A1961">
        <v>1960</v>
      </c>
      <c r="B1961" t="s">
        <v>28</v>
      </c>
      <c r="C1961">
        <v>14</v>
      </c>
      <c r="D1961" s="3">
        <v>23</v>
      </c>
      <c r="E1961" s="3">
        <v>10</v>
      </c>
      <c r="F1961">
        <v>23</v>
      </c>
      <c r="G1961" s="1">
        <f>DATEVALUE(_xlfn.CONCAT(BBDD_Usiarios_Netflix[[#This Row],[Día Suscripción]],"/",BBDD_Usiarios_Netflix[[#This Row],[Mes Suscripción]],"/",BBDD_Usiarios_Netflix[[#This Row],[Año Suscripción]]))</f>
        <v>45222</v>
      </c>
      <c r="H1961" s="1">
        <v>8</v>
      </c>
      <c r="I1961" s="1">
        <v>7</v>
      </c>
      <c r="J1961" s="1">
        <v>24</v>
      </c>
      <c r="K1961" s="1" t="str">
        <f>TEXT(BBDD_Usiarios_Netflix[[#This Row],[Fecha Suscripción]],"dddd")</f>
        <v>lunes</v>
      </c>
      <c r="L1961" s="1">
        <f>DATEVALUE(_xlfn.CONCAT(BBDD_Usiarios_Netflix[[#This Row],[Día Último Pago]],"/",BBDD_Usiarios_Netflix[[#This Row],[Mes Último Pago]],"/",BBDD_Usiarios_Netflix[[#This Row],[Año Último Pago]]))</f>
        <v>45481</v>
      </c>
      <c r="M1961" s="4">
        <f>DATEDIF(BBDD_Usiarios_Netflix[[#This Row],[Fecha Suscripción]],BBDD_Usiarios_Netflix[[#This Row],[Fecha Último Pago]],"M")+1</f>
        <v>9</v>
      </c>
      <c r="N1961" s="4">
        <f>BBDD_Usiarios_Netflix[[#This Row],[Ingresos Mensuales]]*BBDD_Usiarios_Netflix[[#This Row],[Meses contratados]]</f>
        <v>126</v>
      </c>
      <c r="O1961" t="s">
        <v>29</v>
      </c>
      <c r="P1961" t="str">
        <f>IF(BBDD_Usiarios_Netflix[[#This Row],[País]]="","Desconocido",BBDD_Usiarios_Netflix[[#This Row],[País]])</f>
        <v>EEUU</v>
      </c>
      <c r="Q1961">
        <v>41</v>
      </c>
      <c r="R1961" t="s">
        <v>30</v>
      </c>
      <c r="S1961" t="s">
        <v>36</v>
      </c>
      <c r="T1961" t="s">
        <v>38</v>
      </c>
      <c r="U1961">
        <f>IF(IFERROR(VLOOKUP(BBDD_Usiarios_Netflix[[#This Row],[Identificador Usuario]],A1962:$A$5870,1,FALSE),0)&lt;&gt;0,1,0)</f>
        <v>0</v>
      </c>
      <c r="V1961" s="6" t="str">
        <f>IF(BBDD_Usiarios_Netflix[[#This Row],[Duración Plan]]="12 Meses",LEFT(BBDD_Usiarios_Netflix[[#This Row],[Duración Plan]],2),LEFT(BBDD_Usiarios_Netflix[[#This Row],[Duración Plan]],1))</f>
        <v>3</v>
      </c>
      <c r="W19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62" spans="1:23" x14ac:dyDescent="0.25">
      <c r="A1962">
        <v>1961</v>
      </c>
      <c r="B1962" t="s">
        <v>23</v>
      </c>
      <c r="C1962">
        <v>10</v>
      </c>
      <c r="D1962" s="3">
        <v>24</v>
      </c>
      <c r="E1962" s="3">
        <v>10</v>
      </c>
      <c r="F1962">
        <v>23</v>
      </c>
      <c r="G1962" s="1">
        <f>DATEVALUE(_xlfn.CONCAT(BBDD_Usiarios_Netflix[[#This Row],[Día Suscripción]],"/",BBDD_Usiarios_Netflix[[#This Row],[Mes Suscripción]],"/",BBDD_Usiarios_Netflix[[#This Row],[Año Suscripción]]))</f>
        <v>45223</v>
      </c>
      <c r="H1962" s="1">
        <v>10</v>
      </c>
      <c r="I1962" s="1">
        <v>7</v>
      </c>
      <c r="J1962" s="1">
        <v>24</v>
      </c>
      <c r="K1962" s="1" t="str">
        <f>TEXT(BBDD_Usiarios_Netflix[[#This Row],[Fecha Suscripción]],"dddd")</f>
        <v>martes</v>
      </c>
      <c r="L1962" s="1">
        <f>DATEVALUE(_xlfn.CONCAT(BBDD_Usiarios_Netflix[[#This Row],[Día Último Pago]],"/",BBDD_Usiarios_Netflix[[#This Row],[Mes Último Pago]],"/",BBDD_Usiarios_Netflix[[#This Row],[Año Último Pago]]))</f>
        <v>45483</v>
      </c>
      <c r="M1962" s="4">
        <f>DATEDIF(BBDD_Usiarios_Netflix[[#This Row],[Fecha Suscripción]],BBDD_Usiarios_Netflix[[#This Row],[Fecha Último Pago]],"M")+1</f>
        <v>9</v>
      </c>
      <c r="N1962" s="4">
        <f>BBDD_Usiarios_Netflix[[#This Row],[Ingresos Mensuales]]*BBDD_Usiarios_Netflix[[#This Row],[Meses contratados]]</f>
        <v>90</v>
      </c>
      <c r="O1962" t="s">
        <v>42</v>
      </c>
      <c r="P1962" t="str">
        <f>IF(BBDD_Usiarios_Netflix[[#This Row],[País]]="","Desconocido",BBDD_Usiarios_Netflix[[#This Row],[País]])</f>
        <v>Reino Unido</v>
      </c>
      <c r="Q1962">
        <v>34</v>
      </c>
      <c r="R1962" t="s">
        <v>30</v>
      </c>
      <c r="S1962" t="s">
        <v>26</v>
      </c>
      <c r="T1962" t="s">
        <v>35</v>
      </c>
      <c r="U1962">
        <f>IF(IFERROR(VLOOKUP(BBDD_Usiarios_Netflix[[#This Row],[Identificador Usuario]],A1963:$A$5870,1,FALSE),0)&lt;&gt;0,1,0)</f>
        <v>0</v>
      </c>
      <c r="V1962" s="6" t="str">
        <f>IF(BBDD_Usiarios_Netflix[[#This Row],[Duración Plan]]="12 Meses",LEFT(BBDD_Usiarios_Netflix[[#This Row],[Duración Plan]],2),LEFT(BBDD_Usiarios_Netflix[[#This Row],[Duración Plan]],1))</f>
        <v>6</v>
      </c>
      <c r="W19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63" spans="1:23" x14ac:dyDescent="0.25">
      <c r="A1963">
        <v>1962</v>
      </c>
      <c r="B1963" t="s">
        <v>28</v>
      </c>
      <c r="C1963">
        <v>14</v>
      </c>
      <c r="D1963" s="3">
        <v>26</v>
      </c>
      <c r="E1963" s="3">
        <v>10</v>
      </c>
      <c r="F1963">
        <v>23</v>
      </c>
      <c r="G1963" s="1">
        <f>DATEVALUE(_xlfn.CONCAT(BBDD_Usiarios_Netflix[[#This Row],[Día Suscripción]],"/",BBDD_Usiarios_Netflix[[#This Row],[Mes Suscripción]],"/",BBDD_Usiarios_Netflix[[#This Row],[Año Suscripción]]))</f>
        <v>45225</v>
      </c>
      <c r="H1963" s="1">
        <v>9</v>
      </c>
      <c r="I1963" s="1">
        <v>7</v>
      </c>
      <c r="J1963" s="1">
        <v>24</v>
      </c>
      <c r="K1963" s="1" t="str">
        <f>TEXT(BBDD_Usiarios_Netflix[[#This Row],[Fecha Suscripción]],"dddd")</f>
        <v>jueves</v>
      </c>
      <c r="L1963" s="1">
        <f>DATEVALUE(_xlfn.CONCAT(BBDD_Usiarios_Netflix[[#This Row],[Día Último Pago]],"/",BBDD_Usiarios_Netflix[[#This Row],[Mes Último Pago]],"/",BBDD_Usiarios_Netflix[[#This Row],[Año Último Pago]]))</f>
        <v>45482</v>
      </c>
      <c r="M1963" s="4">
        <f>DATEDIF(BBDD_Usiarios_Netflix[[#This Row],[Fecha Suscripción]],BBDD_Usiarios_Netflix[[#This Row],[Fecha Último Pago]],"M")+1</f>
        <v>9</v>
      </c>
      <c r="N1963" s="4">
        <f>BBDD_Usiarios_Netflix[[#This Row],[Ingresos Mensuales]]*BBDD_Usiarios_Netflix[[#This Row],[Meses contratados]]</f>
        <v>126</v>
      </c>
      <c r="O1963" t="s">
        <v>43</v>
      </c>
      <c r="P1963" t="str">
        <f>IF(BBDD_Usiarios_Netflix[[#This Row],[País]]="","Desconocido",BBDD_Usiarios_Netflix[[#This Row],[País]])</f>
        <v>Alemania</v>
      </c>
      <c r="Q1963">
        <v>28</v>
      </c>
      <c r="R1963" t="s">
        <v>30</v>
      </c>
      <c r="S1963" t="s">
        <v>31</v>
      </c>
      <c r="T1963" t="s">
        <v>38</v>
      </c>
      <c r="U1963">
        <f>IF(IFERROR(VLOOKUP(BBDD_Usiarios_Netflix[[#This Row],[Identificador Usuario]],A1964:$A$5870,1,FALSE),0)&lt;&gt;0,1,0)</f>
        <v>0</v>
      </c>
      <c r="V1963" s="6" t="str">
        <f>IF(BBDD_Usiarios_Netflix[[#This Row],[Duración Plan]]="12 Meses",LEFT(BBDD_Usiarios_Netflix[[#This Row],[Duración Plan]],2),LEFT(BBDD_Usiarios_Netflix[[#This Row],[Duración Plan]],1))</f>
        <v>3</v>
      </c>
      <c r="W19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64" spans="1:23" x14ac:dyDescent="0.25">
      <c r="A1964">
        <v>1963</v>
      </c>
      <c r="B1964" t="s">
        <v>32</v>
      </c>
      <c r="C1964">
        <v>12</v>
      </c>
      <c r="D1964" s="3">
        <v>27</v>
      </c>
      <c r="E1964" s="3">
        <v>10</v>
      </c>
      <c r="F1964">
        <v>23</v>
      </c>
      <c r="G1964" s="1">
        <f>DATEVALUE(_xlfn.CONCAT(BBDD_Usiarios_Netflix[[#This Row],[Día Suscripción]],"/",BBDD_Usiarios_Netflix[[#This Row],[Mes Suscripción]],"/",BBDD_Usiarios_Netflix[[#This Row],[Año Suscripción]]))</f>
        <v>45226</v>
      </c>
      <c r="H1964" s="1">
        <v>7</v>
      </c>
      <c r="I1964" s="1">
        <v>7</v>
      </c>
      <c r="J1964" s="1">
        <v>24</v>
      </c>
      <c r="K1964" s="1" t="str">
        <f>TEXT(BBDD_Usiarios_Netflix[[#This Row],[Fecha Suscripción]],"dddd")</f>
        <v>viernes</v>
      </c>
      <c r="L1964" s="1">
        <f>DATEVALUE(_xlfn.CONCAT(BBDD_Usiarios_Netflix[[#This Row],[Día Último Pago]],"/",BBDD_Usiarios_Netflix[[#This Row],[Mes Último Pago]],"/",BBDD_Usiarios_Netflix[[#This Row],[Año Último Pago]]))</f>
        <v>45480</v>
      </c>
      <c r="M1964" s="4">
        <f>DATEDIF(BBDD_Usiarios_Netflix[[#This Row],[Fecha Suscripción]],BBDD_Usiarios_Netflix[[#This Row],[Fecha Último Pago]],"M")+1</f>
        <v>9</v>
      </c>
      <c r="N1964" s="4">
        <f>BBDD_Usiarios_Netflix[[#This Row],[Ingresos Mensuales]]*BBDD_Usiarios_Netflix[[#This Row],[Meses contratados]]</f>
        <v>108</v>
      </c>
      <c r="O1964" t="s">
        <v>42</v>
      </c>
      <c r="P1964" t="str">
        <f>IF(BBDD_Usiarios_Netflix[[#This Row],[País]]="","Desconocido",BBDD_Usiarios_Netflix[[#This Row],[País]])</f>
        <v>Reino Unido</v>
      </c>
      <c r="Q1964">
        <v>31</v>
      </c>
      <c r="R1964" t="s">
        <v>25</v>
      </c>
      <c r="S1964" t="s">
        <v>34</v>
      </c>
      <c r="T1964" t="s">
        <v>35</v>
      </c>
      <c r="U1964">
        <f>IF(IFERROR(VLOOKUP(BBDD_Usiarios_Netflix[[#This Row],[Identificador Usuario]],A1965:$A$5870,1,FALSE),0)&lt;&gt;0,1,0)</f>
        <v>0</v>
      </c>
      <c r="V1964" s="6" t="str">
        <f>IF(BBDD_Usiarios_Netflix[[#This Row],[Duración Plan]]="12 Meses",LEFT(BBDD_Usiarios_Netflix[[#This Row],[Duración Plan]],2),LEFT(BBDD_Usiarios_Netflix[[#This Row],[Duración Plan]],1))</f>
        <v>6</v>
      </c>
      <c r="W19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65" spans="1:23" x14ac:dyDescent="0.25">
      <c r="A1965">
        <v>1964</v>
      </c>
      <c r="B1965" t="s">
        <v>23</v>
      </c>
      <c r="C1965">
        <v>10</v>
      </c>
      <c r="D1965" s="3">
        <v>1</v>
      </c>
      <c r="E1965" s="3">
        <v>11</v>
      </c>
      <c r="F1965">
        <v>23</v>
      </c>
      <c r="G1965" s="1">
        <f>DATEVALUE(_xlfn.CONCAT(BBDD_Usiarios_Netflix[[#This Row],[Día Suscripción]],"/",BBDD_Usiarios_Netflix[[#This Row],[Mes Suscripción]],"/",BBDD_Usiarios_Netflix[[#This Row],[Año Suscripción]]))</f>
        <v>45231</v>
      </c>
      <c r="H1965" s="1">
        <v>8</v>
      </c>
      <c r="I1965" s="1">
        <v>7</v>
      </c>
      <c r="J1965" s="1">
        <v>24</v>
      </c>
      <c r="K1965" s="1" t="str">
        <f>TEXT(BBDD_Usiarios_Netflix[[#This Row],[Fecha Suscripción]],"dddd")</f>
        <v>miércoles</v>
      </c>
      <c r="L1965" s="1">
        <f>DATEVALUE(_xlfn.CONCAT(BBDD_Usiarios_Netflix[[#This Row],[Día Último Pago]],"/",BBDD_Usiarios_Netflix[[#This Row],[Mes Último Pago]],"/",BBDD_Usiarios_Netflix[[#This Row],[Año Último Pago]]))</f>
        <v>45481</v>
      </c>
      <c r="M1965" s="4">
        <f>DATEDIF(BBDD_Usiarios_Netflix[[#This Row],[Fecha Suscripción]],BBDD_Usiarios_Netflix[[#This Row],[Fecha Último Pago]],"M")+1</f>
        <v>9</v>
      </c>
      <c r="N1965" s="4">
        <f>BBDD_Usiarios_Netflix[[#This Row],[Ingresos Mensuales]]*BBDD_Usiarios_Netflix[[#This Row],[Meses contratados]]</f>
        <v>90</v>
      </c>
      <c r="O1965" t="s">
        <v>24</v>
      </c>
      <c r="P1965" t="str">
        <f>IF(BBDD_Usiarios_Netflix[[#This Row],[País]]="","Desconocido",BBDD_Usiarios_Netflix[[#This Row],[País]])</f>
        <v>Australia</v>
      </c>
      <c r="Q1965">
        <v>29</v>
      </c>
      <c r="R1965" t="s">
        <v>25</v>
      </c>
      <c r="S1965" t="s">
        <v>34</v>
      </c>
      <c r="T1965" t="s">
        <v>38</v>
      </c>
      <c r="U1965">
        <f>IF(IFERROR(VLOOKUP(BBDD_Usiarios_Netflix[[#This Row],[Identificador Usuario]],A1966:$A$5870,1,FALSE),0)&lt;&gt;0,1,0)</f>
        <v>0</v>
      </c>
      <c r="V1965" s="6" t="str">
        <f>IF(BBDD_Usiarios_Netflix[[#This Row],[Duración Plan]]="12 Meses",LEFT(BBDD_Usiarios_Netflix[[#This Row],[Duración Plan]],2),LEFT(BBDD_Usiarios_Netflix[[#This Row],[Duración Plan]],1))</f>
        <v>3</v>
      </c>
      <c r="W19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66" spans="1:23" x14ac:dyDescent="0.25">
      <c r="A1966">
        <v>1965</v>
      </c>
      <c r="B1966" t="s">
        <v>32</v>
      </c>
      <c r="C1966">
        <v>12</v>
      </c>
      <c r="D1966" s="3">
        <v>2</v>
      </c>
      <c r="E1966" s="3">
        <v>11</v>
      </c>
      <c r="F1966">
        <v>23</v>
      </c>
      <c r="G1966" s="1">
        <f>DATEVALUE(_xlfn.CONCAT(BBDD_Usiarios_Netflix[[#This Row],[Día Suscripción]],"/",BBDD_Usiarios_Netflix[[#This Row],[Mes Suscripción]],"/",BBDD_Usiarios_Netflix[[#This Row],[Año Suscripción]]))</f>
        <v>45232</v>
      </c>
      <c r="H1966" s="1">
        <v>9</v>
      </c>
      <c r="I1966" s="1">
        <v>7</v>
      </c>
      <c r="J1966" s="1">
        <v>24</v>
      </c>
      <c r="K1966" s="1" t="str">
        <f>TEXT(BBDD_Usiarios_Netflix[[#This Row],[Fecha Suscripción]],"dddd")</f>
        <v>jueves</v>
      </c>
      <c r="L1966" s="1">
        <f>DATEVALUE(_xlfn.CONCAT(BBDD_Usiarios_Netflix[[#This Row],[Día Último Pago]],"/",BBDD_Usiarios_Netflix[[#This Row],[Mes Último Pago]],"/",BBDD_Usiarios_Netflix[[#This Row],[Año Último Pago]]))</f>
        <v>45482</v>
      </c>
      <c r="M1966" s="4">
        <f>DATEDIF(BBDD_Usiarios_Netflix[[#This Row],[Fecha Suscripción]],BBDD_Usiarios_Netflix[[#This Row],[Fecha Último Pago]],"M")+1</f>
        <v>9</v>
      </c>
      <c r="N1966" s="4">
        <f>BBDD_Usiarios_Netflix[[#This Row],[Ingresos Mensuales]]*BBDD_Usiarios_Netflix[[#This Row],[Meses contratados]]</f>
        <v>108</v>
      </c>
      <c r="O1966" t="s">
        <v>42</v>
      </c>
      <c r="P1966" t="str">
        <f>IF(BBDD_Usiarios_Netflix[[#This Row],[País]]="","Desconocido",BBDD_Usiarios_Netflix[[#This Row],[País]])</f>
        <v>Reino Unido</v>
      </c>
      <c r="Q1966">
        <v>44</v>
      </c>
      <c r="R1966" t="s">
        <v>30</v>
      </c>
      <c r="S1966" t="s">
        <v>31</v>
      </c>
      <c r="T1966" t="s">
        <v>35</v>
      </c>
      <c r="U1966">
        <f>IF(IFERROR(VLOOKUP(BBDD_Usiarios_Netflix[[#This Row],[Identificador Usuario]],A1967:$A$5870,1,FALSE),0)&lt;&gt;0,1,0)</f>
        <v>0</v>
      </c>
      <c r="V1966" s="6" t="str">
        <f>IF(BBDD_Usiarios_Netflix[[#This Row],[Duración Plan]]="12 Meses",LEFT(BBDD_Usiarios_Netflix[[#This Row],[Duración Plan]],2),LEFT(BBDD_Usiarios_Netflix[[#This Row],[Duración Plan]],1))</f>
        <v>6</v>
      </c>
      <c r="W19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67" spans="1:23" x14ac:dyDescent="0.25">
      <c r="A1967">
        <v>1966</v>
      </c>
      <c r="B1967" t="s">
        <v>28</v>
      </c>
      <c r="C1967">
        <v>14</v>
      </c>
      <c r="D1967" s="3">
        <v>4</v>
      </c>
      <c r="E1967" s="3">
        <v>11</v>
      </c>
      <c r="F1967">
        <v>23</v>
      </c>
      <c r="G1967" s="1">
        <f>DATEVALUE(_xlfn.CONCAT(BBDD_Usiarios_Netflix[[#This Row],[Día Suscripción]],"/",BBDD_Usiarios_Netflix[[#This Row],[Mes Suscripción]],"/",BBDD_Usiarios_Netflix[[#This Row],[Año Suscripción]]))</f>
        <v>45234</v>
      </c>
      <c r="H1967" s="1">
        <v>9</v>
      </c>
      <c r="I1967" s="1">
        <v>7</v>
      </c>
      <c r="J1967" s="1">
        <v>24</v>
      </c>
      <c r="K1967" s="1" t="str">
        <f>TEXT(BBDD_Usiarios_Netflix[[#This Row],[Fecha Suscripción]],"dddd")</f>
        <v>sábado</v>
      </c>
      <c r="L1967" s="1">
        <f>DATEVALUE(_xlfn.CONCAT(BBDD_Usiarios_Netflix[[#This Row],[Día Último Pago]],"/",BBDD_Usiarios_Netflix[[#This Row],[Mes Último Pago]],"/",BBDD_Usiarios_Netflix[[#This Row],[Año Último Pago]]))</f>
        <v>45482</v>
      </c>
      <c r="M1967" s="4">
        <f>DATEDIF(BBDD_Usiarios_Netflix[[#This Row],[Fecha Suscripción]],BBDD_Usiarios_Netflix[[#This Row],[Fecha Último Pago]],"M")+1</f>
        <v>9</v>
      </c>
      <c r="N1967" s="4">
        <f>BBDD_Usiarios_Netflix[[#This Row],[Ingresos Mensuales]]*BBDD_Usiarios_Netflix[[#This Row],[Meses contratados]]</f>
        <v>126</v>
      </c>
      <c r="O1967" t="s">
        <v>40</v>
      </c>
      <c r="P1967" t="str">
        <f>IF(BBDD_Usiarios_Netflix[[#This Row],[País]]="","Desconocido",BBDD_Usiarios_Netflix[[#This Row],[País]])</f>
        <v>Italia</v>
      </c>
      <c r="Q1967">
        <v>44</v>
      </c>
      <c r="R1967" t="s">
        <v>30</v>
      </c>
      <c r="S1967" t="s">
        <v>31</v>
      </c>
      <c r="T1967" t="s">
        <v>27</v>
      </c>
      <c r="U1967">
        <f>IF(IFERROR(VLOOKUP(BBDD_Usiarios_Netflix[[#This Row],[Identificador Usuario]],A1968:$A$5870,1,FALSE),0)&lt;&gt;0,1,0)</f>
        <v>0</v>
      </c>
      <c r="V1967" s="6" t="str">
        <f>IF(BBDD_Usiarios_Netflix[[#This Row],[Duración Plan]]="12 Meses",LEFT(BBDD_Usiarios_Netflix[[#This Row],[Duración Plan]],2),LEFT(BBDD_Usiarios_Netflix[[#This Row],[Duración Plan]],1))</f>
        <v>1</v>
      </c>
      <c r="W19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68" spans="1:23" x14ac:dyDescent="0.25">
      <c r="A1968">
        <v>1967</v>
      </c>
      <c r="B1968" t="s">
        <v>23</v>
      </c>
      <c r="C1968">
        <v>10</v>
      </c>
      <c r="D1968" s="3">
        <v>5</v>
      </c>
      <c r="E1968" s="3">
        <v>11</v>
      </c>
      <c r="F1968">
        <v>23</v>
      </c>
      <c r="G1968" s="1">
        <f>DATEVALUE(_xlfn.CONCAT(BBDD_Usiarios_Netflix[[#This Row],[Día Suscripción]],"/",BBDD_Usiarios_Netflix[[#This Row],[Mes Suscripción]],"/",BBDD_Usiarios_Netflix[[#This Row],[Año Suscripción]]))</f>
        <v>45235</v>
      </c>
      <c r="H1968" s="1">
        <v>6</v>
      </c>
      <c r="I1968" s="1">
        <v>7</v>
      </c>
      <c r="J1968" s="1">
        <v>24</v>
      </c>
      <c r="K1968" s="1" t="str">
        <f>TEXT(BBDD_Usiarios_Netflix[[#This Row],[Fecha Suscripción]],"dddd")</f>
        <v>domingo</v>
      </c>
      <c r="L1968" s="1">
        <f>DATEVALUE(_xlfn.CONCAT(BBDD_Usiarios_Netflix[[#This Row],[Día Último Pago]],"/",BBDD_Usiarios_Netflix[[#This Row],[Mes Último Pago]],"/",BBDD_Usiarios_Netflix[[#This Row],[Año Último Pago]]))</f>
        <v>45479</v>
      </c>
      <c r="M1968" s="4">
        <f>DATEDIF(BBDD_Usiarios_Netflix[[#This Row],[Fecha Suscripción]],BBDD_Usiarios_Netflix[[#This Row],[Fecha Último Pago]],"M")+1</f>
        <v>9</v>
      </c>
      <c r="N1968" s="4">
        <f>BBDD_Usiarios_Netflix[[#This Row],[Ingresos Mensuales]]*BBDD_Usiarios_Netflix[[#This Row],[Meses contratados]]</f>
        <v>90</v>
      </c>
      <c r="O1968" t="s">
        <v>29</v>
      </c>
      <c r="P1968" t="str">
        <f>IF(BBDD_Usiarios_Netflix[[#This Row],[País]]="","Desconocido",BBDD_Usiarios_Netflix[[#This Row],[País]])</f>
        <v>EEUU</v>
      </c>
      <c r="Q1968">
        <v>29</v>
      </c>
      <c r="R1968" t="s">
        <v>25</v>
      </c>
      <c r="S1968" t="s">
        <v>36</v>
      </c>
      <c r="T1968" t="s">
        <v>38</v>
      </c>
      <c r="U1968">
        <f>IF(IFERROR(VLOOKUP(BBDD_Usiarios_Netflix[[#This Row],[Identificador Usuario]],A1969:$A$5870,1,FALSE),0)&lt;&gt;0,1,0)</f>
        <v>0</v>
      </c>
      <c r="V1968" s="6" t="str">
        <f>IF(BBDD_Usiarios_Netflix[[#This Row],[Duración Plan]]="12 Meses",LEFT(BBDD_Usiarios_Netflix[[#This Row],[Duración Plan]],2),LEFT(BBDD_Usiarios_Netflix[[#This Row],[Duración Plan]],1))</f>
        <v>3</v>
      </c>
      <c r="W19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69" spans="1:23" x14ac:dyDescent="0.25">
      <c r="A1969">
        <v>1968</v>
      </c>
      <c r="B1969" t="s">
        <v>32</v>
      </c>
      <c r="C1969">
        <v>12</v>
      </c>
      <c r="D1969" s="3">
        <v>6</v>
      </c>
      <c r="E1969" s="3">
        <v>11</v>
      </c>
      <c r="F1969">
        <v>23</v>
      </c>
      <c r="G1969" s="1">
        <f>DATEVALUE(_xlfn.CONCAT(BBDD_Usiarios_Netflix[[#This Row],[Día Suscripción]],"/",BBDD_Usiarios_Netflix[[#This Row],[Mes Suscripción]],"/",BBDD_Usiarios_Netflix[[#This Row],[Año Suscripción]]))</f>
        <v>45236</v>
      </c>
      <c r="H1969" s="1">
        <v>9</v>
      </c>
      <c r="I1969" s="1">
        <v>7</v>
      </c>
      <c r="J1969" s="1">
        <v>24</v>
      </c>
      <c r="K1969" s="1" t="str">
        <f>TEXT(BBDD_Usiarios_Netflix[[#This Row],[Fecha Suscripción]],"dddd")</f>
        <v>lunes</v>
      </c>
      <c r="L1969" s="1">
        <f>DATEVALUE(_xlfn.CONCAT(BBDD_Usiarios_Netflix[[#This Row],[Día Último Pago]],"/",BBDD_Usiarios_Netflix[[#This Row],[Mes Último Pago]],"/",BBDD_Usiarios_Netflix[[#This Row],[Año Último Pago]]))</f>
        <v>45482</v>
      </c>
      <c r="M1969" s="4">
        <f>DATEDIF(BBDD_Usiarios_Netflix[[#This Row],[Fecha Suscripción]],BBDD_Usiarios_Netflix[[#This Row],[Fecha Último Pago]],"M")+1</f>
        <v>9</v>
      </c>
      <c r="N1969" s="4">
        <f>BBDD_Usiarios_Netflix[[#This Row],[Ingresos Mensuales]]*BBDD_Usiarios_Netflix[[#This Row],[Meses contratados]]</f>
        <v>108</v>
      </c>
      <c r="O1969" t="s">
        <v>33</v>
      </c>
      <c r="P1969" t="str">
        <f>IF(BBDD_Usiarios_Netflix[[#This Row],[País]]="","Desconocido",BBDD_Usiarios_Netflix[[#This Row],[País]])</f>
        <v>Francia</v>
      </c>
      <c r="Q1969">
        <v>32</v>
      </c>
      <c r="R1969" t="s">
        <v>30</v>
      </c>
      <c r="S1969" t="s">
        <v>31</v>
      </c>
      <c r="T1969" t="s">
        <v>35</v>
      </c>
      <c r="U1969">
        <f>IF(IFERROR(VLOOKUP(BBDD_Usiarios_Netflix[[#This Row],[Identificador Usuario]],A1970:$A$5870,1,FALSE),0)&lt;&gt;0,1,0)</f>
        <v>0</v>
      </c>
      <c r="V1969" s="6" t="str">
        <f>IF(BBDD_Usiarios_Netflix[[#This Row],[Duración Plan]]="12 Meses",LEFT(BBDD_Usiarios_Netflix[[#This Row],[Duración Plan]],2),LEFT(BBDD_Usiarios_Netflix[[#This Row],[Duración Plan]],1))</f>
        <v>6</v>
      </c>
      <c r="W19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70" spans="1:23" x14ac:dyDescent="0.25">
      <c r="A1970">
        <v>1969</v>
      </c>
      <c r="B1970" t="s">
        <v>28</v>
      </c>
      <c r="C1970">
        <v>14</v>
      </c>
      <c r="D1970" s="3">
        <v>7</v>
      </c>
      <c r="E1970" s="3">
        <v>11</v>
      </c>
      <c r="F1970">
        <v>23</v>
      </c>
      <c r="G1970" s="1">
        <f>DATEVALUE(_xlfn.CONCAT(BBDD_Usiarios_Netflix[[#This Row],[Día Suscripción]],"/",BBDD_Usiarios_Netflix[[#This Row],[Mes Suscripción]],"/",BBDD_Usiarios_Netflix[[#This Row],[Año Suscripción]]))</f>
        <v>45237</v>
      </c>
      <c r="H1970" s="1">
        <v>9</v>
      </c>
      <c r="I1970" s="1">
        <v>7</v>
      </c>
      <c r="J1970" s="1">
        <v>24</v>
      </c>
      <c r="K1970" s="1" t="str">
        <f>TEXT(BBDD_Usiarios_Netflix[[#This Row],[Fecha Suscripción]],"dddd")</f>
        <v>martes</v>
      </c>
      <c r="L1970" s="1">
        <f>DATEVALUE(_xlfn.CONCAT(BBDD_Usiarios_Netflix[[#This Row],[Día Último Pago]],"/",BBDD_Usiarios_Netflix[[#This Row],[Mes Último Pago]],"/",BBDD_Usiarios_Netflix[[#This Row],[Año Último Pago]]))</f>
        <v>45482</v>
      </c>
      <c r="M1970" s="4">
        <f>DATEDIF(BBDD_Usiarios_Netflix[[#This Row],[Fecha Suscripción]],BBDD_Usiarios_Netflix[[#This Row],[Fecha Último Pago]],"M")+1</f>
        <v>9</v>
      </c>
      <c r="N1970" s="4">
        <f>BBDD_Usiarios_Netflix[[#This Row],[Ingresos Mensuales]]*BBDD_Usiarios_Netflix[[#This Row],[Meses contratados]]</f>
        <v>126</v>
      </c>
      <c r="O1970" t="s">
        <v>24</v>
      </c>
      <c r="P1970" t="str">
        <f>IF(BBDD_Usiarios_Netflix[[#This Row],[País]]="","Desconocido",BBDD_Usiarios_Netflix[[#This Row],[País]])</f>
        <v>Australia</v>
      </c>
      <c r="Q1970">
        <v>31</v>
      </c>
      <c r="R1970" t="s">
        <v>25</v>
      </c>
      <c r="S1970" t="s">
        <v>26</v>
      </c>
      <c r="T1970" t="s">
        <v>27</v>
      </c>
      <c r="U1970">
        <f>IF(IFERROR(VLOOKUP(BBDD_Usiarios_Netflix[[#This Row],[Identificador Usuario]],A1971:$A$5870,1,FALSE),0)&lt;&gt;0,1,0)</f>
        <v>0</v>
      </c>
      <c r="V1970" s="6" t="str">
        <f>IF(BBDD_Usiarios_Netflix[[#This Row],[Duración Plan]]="12 Meses",LEFT(BBDD_Usiarios_Netflix[[#This Row],[Duración Plan]],2),LEFT(BBDD_Usiarios_Netflix[[#This Row],[Duración Plan]],1))</f>
        <v>1</v>
      </c>
      <c r="W19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1" spans="1:23" x14ac:dyDescent="0.25">
      <c r="A1971">
        <v>1970</v>
      </c>
      <c r="B1971" t="s">
        <v>23</v>
      </c>
      <c r="C1971">
        <v>10</v>
      </c>
      <c r="D1971" s="3">
        <v>8</v>
      </c>
      <c r="E1971" s="3">
        <v>11</v>
      </c>
      <c r="F1971">
        <v>23</v>
      </c>
      <c r="G1971" s="1">
        <f>DATEVALUE(_xlfn.CONCAT(BBDD_Usiarios_Netflix[[#This Row],[Día Suscripción]],"/",BBDD_Usiarios_Netflix[[#This Row],[Mes Suscripción]],"/",BBDD_Usiarios_Netflix[[#This Row],[Año Suscripción]]))</f>
        <v>45238</v>
      </c>
      <c r="H1971" s="1">
        <v>8</v>
      </c>
      <c r="I1971" s="1">
        <v>7</v>
      </c>
      <c r="J1971" s="1">
        <v>24</v>
      </c>
      <c r="K1971" s="1" t="str">
        <f>TEXT(BBDD_Usiarios_Netflix[[#This Row],[Fecha Suscripción]],"dddd")</f>
        <v>miércoles</v>
      </c>
      <c r="L1971" s="1">
        <f>DATEVALUE(_xlfn.CONCAT(BBDD_Usiarios_Netflix[[#This Row],[Día Último Pago]],"/",BBDD_Usiarios_Netflix[[#This Row],[Mes Último Pago]],"/",BBDD_Usiarios_Netflix[[#This Row],[Año Último Pago]]))</f>
        <v>45481</v>
      </c>
      <c r="M1971" s="4">
        <f>DATEDIF(BBDD_Usiarios_Netflix[[#This Row],[Fecha Suscripción]],BBDD_Usiarios_Netflix[[#This Row],[Fecha Último Pago]],"M")+1</f>
        <v>9</v>
      </c>
      <c r="N1971" s="4">
        <f>BBDD_Usiarios_Netflix[[#This Row],[Ingresos Mensuales]]*BBDD_Usiarios_Netflix[[#This Row],[Meses contratados]]</f>
        <v>90</v>
      </c>
      <c r="O1971" t="s">
        <v>29</v>
      </c>
      <c r="P1971" t="str">
        <f>IF(BBDD_Usiarios_Netflix[[#This Row],[País]]="","Desconocido",BBDD_Usiarios_Netflix[[#This Row],[País]])</f>
        <v>EEUU</v>
      </c>
      <c r="Q1971">
        <v>27</v>
      </c>
      <c r="R1971" t="s">
        <v>25</v>
      </c>
      <c r="S1971" t="s">
        <v>36</v>
      </c>
      <c r="T1971" t="s">
        <v>27</v>
      </c>
      <c r="U1971">
        <f>IF(IFERROR(VLOOKUP(BBDD_Usiarios_Netflix[[#This Row],[Identificador Usuario]],A1972:$A$5870,1,FALSE),0)&lt;&gt;0,1,0)</f>
        <v>0</v>
      </c>
      <c r="V1971" s="6" t="str">
        <f>IF(BBDD_Usiarios_Netflix[[#This Row],[Duración Plan]]="12 Meses",LEFT(BBDD_Usiarios_Netflix[[#This Row],[Duración Plan]],2),LEFT(BBDD_Usiarios_Netflix[[#This Row],[Duración Plan]],1))</f>
        <v>1</v>
      </c>
      <c r="W19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2" spans="1:23" x14ac:dyDescent="0.25">
      <c r="A1972">
        <v>1971</v>
      </c>
      <c r="B1972" t="s">
        <v>28</v>
      </c>
      <c r="C1972">
        <v>14</v>
      </c>
      <c r="D1972" s="3">
        <v>8</v>
      </c>
      <c r="E1972" s="3">
        <v>11</v>
      </c>
      <c r="F1972">
        <v>23</v>
      </c>
      <c r="G1972" s="1">
        <f>DATEVALUE(_xlfn.CONCAT(BBDD_Usiarios_Netflix[[#This Row],[Día Suscripción]],"/",BBDD_Usiarios_Netflix[[#This Row],[Mes Suscripción]],"/",BBDD_Usiarios_Netflix[[#This Row],[Año Suscripción]]))</f>
        <v>45238</v>
      </c>
      <c r="H1972" s="1">
        <v>6</v>
      </c>
      <c r="I1972" s="1">
        <v>7</v>
      </c>
      <c r="J1972" s="1">
        <v>24</v>
      </c>
      <c r="K1972" s="1" t="str">
        <f>TEXT(BBDD_Usiarios_Netflix[[#This Row],[Fecha Suscripción]],"dddd")</f>
        <v>miércoles</v>
      </c>
      <c r="L1972" s="1">
        <f>DATEVALUE(_xlfn.CONCAT(BBDD_Usiarios_Netflix[[#This Row],[Día Último Pago]],"/",BBDD_Usiarios_Netflix[[#This Row],[Mes Último Pago]],"/",BBDD_Usiarios_Netflix[[#This Row],[Año Último Pago]]))</f>
        <v>45479</v>
      </c>
      <c r="M1972" s="4">
        <f>DATEDIF(BBDD_Usiarios_Netflix[[#This Row],[Fecha Suscripción]],BBDD_Usiarios_Netflix[[#This Row],[Fecha Último Pago]],"M")+1</f>
        <v>8</v>
      </c>
      <c r="N1972" s="4">
        <f>BBDD_Usiarios_Netflix[[#This Row],[Ingresos Mensuales]]*BBDD_Usiarios_Netflix[[#This Row],[Meses contratados]]</f>
        <v>112</v>
      </c>
      <c r="O1972" t="s">
        <v>42</v>
      </c>
      <c r="P1972" t="str">
        <f>IF(BBDD_Usiarios_Netflix[[#This Row],[País]]="","Desconocido",BBDD_Usiarios_Netflix[[#This Row],[País]])</f>
        <v>Reino Unido</v>
      </c>
      <c r="Q1972">
        <v>43</v>
      </c>
      <c r="R1972" t="s">
        <v>30</v>
      </c>
      <c r="S1972" t="s">
        <v>36</v>
      </c>
      <c r="T1972" t="s">
        <v>35</v>
      </c>
      <c r="U1972">
        <f>IF(IFERROR(VLOOKUP(BBDD_Usiarios_Netflix[[#This Row],[Identificador Usuario]],A1973:$A$5870,1,FALSE),0)&lt;&gt;0,1,0)</f>
        <v>0</v>
      </c>
      <c r="V1972" s="6" t="str">
        <f>IF(BBDD_Usiarios_Netflix[[#This Row],[Duración Plan]]="12 Meses",LEFT(BBDD_Usiarios_Netflix[[#This Row],[Duración Plan]],2),LEFT(BBDD_Usiarios_Netflix[[#This Row],[Duración Plan]],1))</f>
        <v>6</v>
      </c>
      <c r="W19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73" spans="1:23" x14ac:dyDescent="0.25">
      <c r="A1973">
        <v>1972</v>
      </c>
      <c r="B1973" t="s">
        <v>23</v>
      </c>
      <c r="C1973">
        <v>10</v>
      </c>
      <c r="D1973" s="3">
        <v>9</v>
      </c>
      <c r="E1973" s="3">
        <v>11</v>
      </c>
      <c r="F1973">
        <v>23</v>
      </c>
      <c r="G1973" s="1">
        <f>DATEVALUE(_xlfn.CONCAT(BBDD_Usiarios_Netflix[[#This Row],[Día Suscripción]],"/",BBDD_Usiarios_Netflix[[#This Row],[Mes Suscripción]],"/",BBDD_Usiarios_Netflix[[#This Row],[Año Suscripción]]))</f>
        <v>45239</v>
      </c>
      <c r="H1973" s="1">
        <v>10</v>
      </c>
      <c r="I1973" s="1">
        <v>7</v>
      </c>
      <c r="J1973" s="1">
        <v>24</v>
      </c>
      <c r="K1973" s="1" t="str">
        <f>TEXT(BBDD_Usiarios_Netflix[[#This Row],[Fecha Suscripción]],"dddd")</f>
        <v>jueves</v>
      </c>
      <c r="L1973" s="1">
        <f>DATEVALUE(_xlfn.CONCAT(BBDD_Usiarios_Netflix[[#This Row],[Día Último Pago]],"/",BBDD_Usiarios_Netflix[[#This Row],[Mes Último Pago]],"/",BBDD_Usiarios_Netflix[[#This Row],[Año Último Pago]]))</f>
        <v>45483</v>
      </c>
      <c r="M1973" s="4">
        <f>DATEDIF(BBDD_Usiarios_Netflix[[#This Row],[Fecha Suscripción]],BBDD_Usiarios_Netflix[[#This Row],[Fecha Último Pago]],"M")+1</f>
        <v>9</v>
      </c>
      <c r="N1973" s="4">
        <f>BBDD_Usiarios_Netflix[[#This Row],[Ingresos Mensuales]]*BBDD_Usiarios_Netflix[[#This Row],[Meses contratados]]</f>
        <v>90</v>
      </c>
      <c r="O1973" t="s">
        <v>33</v>
      </c>
      <c r="P1973" t="str">
        <f>IF(BBDD_Usiarios_Netflix[[#This Row],[País]]="","Desconocido",BBDD_Usiarios_Netflix[[#This Row],[País]])</f>
        <v>Francia</v>
      </c>
      <c r="Q1973">
        <v>48</v>
      </c>
      <c r="R1973" t="s">
        <v>25</v>
      </c>
      <c r="S1973" t="s">
        <v>31</v>
      </c>
      <c r="T1973" t="s">
        <v>27</v>
      </c>
      <c r="U1973">
        <f>IF(IFERROR(VLOOKUP(BBDD_Usiarios_Netflix[[#This Row],[Identificador Usuario]],A1974:$A$5870,1,FALSE),0)&lt;&gt;0,1,0)</f>
        <v>0</v>
      </c>
      <c r="V1973" s="6" t="str">
        <f>IF(BBDD_Usiarios_Netflix[[#This Row],[Duración Plan]]="12 Meses",LEFT(BBDD_Usiarios_Netflix[[#This Row],[Duración Plan]],2),LEFT(BBDD_Usiarios_Netflix[[#This Row],[Duración Plan]],1))</f>
        <v>1</v>
      </c>
      <c r="W19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4" spans="1:23" x14ac:dyDescent="0.25">
      <c r="A1974">
        <v>1973</v>
      </c>
      <c r="B1974" t="s">
        <v>32</v>
      </c>
      <c r="C1974">
        <v>12</v>
      </c>
      <c r="D1974" s="3">
        <v>9</v>
      </c>
      <c r="E1974" s="3">
        <v>11</v>
      </c>
      <c r="F1974">
        <v>23</v>
      </c>
      <c r="G1974" s="1">
        <f>DATEVALUE(_xlfn.CONCAT(BBDD_Usiarios_Netflix[[#This Row],[Día Suscripción]],"/",BBDD_Usiarios_Netflix[[#This Row],[Mes Suscripción]],"/",BBDD_Usiarios_Netflix[[#This Row],[Año Suscripción]]))</f>
        <v>45239</v>
      </c>
      <c r="H1974" s="1">
        <v>9</v>
      </c>
      <c r="I1974" s="1">
        <v>7</v>
      </c>
      <c r="J1974" s="1">
        <v>24</v>
      </c>
      <c r="K1974" s="1" t="str">
        <f>TEXT(BBDD_Usiarios_Netflix[[#This Row],[Fecha Suscripción]],"dddd")</f>
        <v>jueves</v>
      </c>
      <c r="L1974" s="1">
        <f>DATEVALUE(_xlfn.CONCAT(BBDD_Usiarios_Netflix[[#This Row],[Día Último Pago]],"/",BBDD_Usiarios_Netflix[[#This Row],[Mes Último Pago]],"/",BBDD_Usiarios_Netflix[[#This Row],[Año Último Pago]]))</f>
        <v>45482</v>
      </c>
      <c r="M1974" s="4">
        <f>DATEDIF(BBDD_Usiarios_Netflix[[#This Row],[Fecha Suscripción]],BBDD_Usiarios_Netflix[[#This Row],[Fecha Último Pago]],"M")+1</f>
        <v>9</v>
      </c>
      <c r="N1974" s="4">
        <f>BBDD_Usiarios_Netflix[[#This Row],[Ingresos Mensuales]]*BBDD_Usiarios_Netflix[[#This Row],[Meses contratados]]</f>
        <v>108</v>
      </c>
      <c r="O1974" t="s">
        <v>24</v>
      </c>
      <c r="P1974" t="str">
        <f>IF(BBDD_Usiarios_Netflix[[#This Row],[País]]="","Desconocido",BBDD_Usiarios_Netflix[[#This Row],[País]])</f>
        <v>Australia</v>
      </c>
      <c r="Q1974">
        <v>37</v>
      </c>
      <c r="R1974" t="s">
        <v>30</v>
      </c>
      <c r="S1974" t="s">
        <v>31</v>
      </c>
      <c r="T1974" t="s">
        <v>27</v>
      </c>
      <c r="U1974">
        <f>IF(IFERROR(VLOOKUP(BBDD_Usiarios_Netflix[[#This Row],[Identificador Usuario]],A1975:$A$5870,1,FALSE),0)&lt;&gt;0,1,0)</f>
        <v>0</v>
      </c>
      <c r="V1974" s="6" t="str">
        <f>IF(BBDD_Usiarios_Netflix[[#This Row],[Duración Plan]]="12 Meses",LEFT(BBDD_Usiarios_Netflix[[#This Row],[Duración Plan]],2),LEFT(BBDD_Usiarios_Netflix[[#This Row],[Duración Plan]],1))</f>
        <v>1</v>
      </c>
      <c r="W19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5" spans="1:23" x14ac:dyDescent="0.25">
      <c r="A1975">
        <v>1974</v>
      </c>
      <c r="B1975" t="s">
        <v>32</v>
      </c>
      <c r="C1975">
        <v>12</v>
      </c>
      <c r="D1975" s="3">
        <v>5</v>
      </c>
      <c r="E1975" s="3">
        <v>11</v>
      </c>
      <c r="F1975">
        <v>23</v>
      </c>
      <c r="G1975" s="1">
        <f>DATEVALUE(_xlfn.CONCAT(BBDD_Usiarios_Netflix[[#This Row],[Día Suscripción]],"/",BBDD_Usiarios_Netflix[[#This Row],[Mes Suscripción]],"/",BBDD_Usiarios_Netflix[[#This Row],[Año Suscripción]]))</f>
        <v>45235</v>
      </c>
      <c r="H1975" s="1">
        <v>8</v>
      </c>
      <c r="I1975" s="1">
        <v>7</v>
      </c>
      <c r="J1975" s="1">
        <v>24</v>
      </c>
      <c r="K1975" s="1" t="str">
        <f>TEXT(BBDD_Usiarios_Netflix[[#This Row],[Fecha Suscripción]],"dddd")</f>
        <v>domingo</v>
      </c>
      <c r="L1975" s="1">
        <f>DATEVALUE(_xlfn.CONCAT(BBDD_Usiarios_Netflix[[#This Row],[Día Último Pago]],"/",BBDD_Usiarios_Netflix[[#This Row],[Mes Último Pago]],"/",BBDD_Usiarios_Netflix[[#This Row],[Año Último Pago]]))</f>
        <v>45481</v>
      </c>
      <c r="M1975" s="4">
        <f>DATEDIF(BBDD_Usiarios_Netflix[[#This Row],[Fecha Suscripción]],BBDD_Usiarios_Netflix[[#This Row],[Fecha Último Pago]],"M")+1</f>
        <v>9</v>
      </c>
      <c r="N1975" s="4">
        <f>BBDD_Usiarios_Netflix[[#This Row],[Ingresos Mensuales]]*BBDD_Usiarios_Netflix[[#This Row],[Meses contratados]]</f>
        <v>108</v>
      </c>
      <c r="O1975" t="s">
        <v>33</v>
      </c>
      <c r="P1975" t="str">
        <f>IF(BBDD_Usiarios_Netflix[[#This Row],[País]]="","Desconocido",BBDD_Usiarios_Netflix[[#This Row],[País]])</f>
        <v>Francia</v>
      </c>
      <c r="Q1975">
        <v>42</v>
      </c>
      <c r="R1975" t="s">
        <v>25</v>
      </c>
      <c r="S1975" t="s">
        <v>26</v>
      </c>
      <c r="T1975" t="s">
        <v>27</v>
      </c>
      <c r="U1975">
        <f>IF(IFERROR(VLOOKUP(BBDD_Usiarios_Netflix[[#This Row],[Identificador Usuario]],A1976:$A$5870,1,FALSE),0)&lt;&gt;0,1,0)</f>
        <v>0</v>
      </c>
      <c r="V1975" s="6" t="str">
        <f>IF(BBDD_Usiarios_Netflix[[#This Row],[Duración Plan]]="12 Meses",LEFT(BBDD_Usiarios_Netflix[[#This Row],[Duración Plan]],2),LEFT(BBDD_Usiarios_Netflix[[#This Row],[Duración Plan]],1))</f>
        <v>1</v>
      </c>
      <c r="W19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6" spans="1:23" x14ac:dyDescent="0.25">
      <c r="A1976">
        <v>1975</v>
      </c>
      <c r="B1976" t="s">
        <v>23</v>
      </c>
      <c r="C1976">
        <v>10</v>
      </c>
      <c r="D1976" s="3">
        <v>4</v>
      </c>
      <c r="E1976" s="3">
        <v>11</v>
      </c>
      <c r="F1976">
        <v>23</v>
      </c>
      <c r="G1976" s="1">
        <f>DATEVALUE(_xlfn.CONCAT(BBDD_Usiarios_Netflix[[#This Row],[Día Suscripción]],"/",BBDD_Usiarios_Netflix[[#This Row],[Mes Suscripción]],"/",BBDD_Usiarios_Netflix[[#This Row],[Año Suscripción]]))</f>
        <v>45234</v>
      </c>
      <c r="H1976" s="1">
        <v>7</v>
      </c>
      <c r="I1976" s="1">
        <v>7</v>
      </c>
      <c r="J1976" s="1">
        <v>24</v>
      </c>
      <c r="K1976" s="1" t="str">
        <f>TEXT(BBDD_Usiarios_Netflix[[#This Row],[Fecha Suscripción]],"dddd")</f>
        <v>sábado</v>
      </c>
      <c r="L1976" s="1">
        <f>DATEVALUE(_xlfn.CONCAT(BBDD_Usiarios_Netflix[[#This Row],[Día Último Pago]],"/",BBDD_Usiarios_Netflix[[#This Row],[Mes Último Pago]],"/",BBDD_Usiarios_Netflix[[#This Row],[Año Último Pago]]))</f>
        <v>45480</v>
      </c>
      <c r="M1976" s="4">
        <f>DATEDIF(BBDD_Usiarios_Netflix[[#This Row],[Fecha Suscripción]],BBDD_Usiarios_Netflix[[#This Row],[Fecha Último Pago]],"M")+1</f>
        <v>9</v>
      </c>
      <c r="N1976" s="4">
        <f>BBDD_Usiarios_Netflix[[#This Row],[Ingresos Mensuales]]*BBDD_Usiarios_Netflix[[#This Row],[Meses contratados]]</f>
        <v>90</v>
      </c>
      <c r="O1976" t="s">
        <v>24</v>
      </c>
      <c r="P1976" t="str">
        <f>IF(BBDD_Usiarios_Netflix[[#This Row],[País]]="","Desconocido",BBDD_Usiarios_Netflix[[#This Row],[País]])</f>
        <v>Australia</v>
      </c>
      <c r="Q1976">
        <v>40</v>
      </c>
      <c r="R1976" t="s">
        <v>25</v>
      </c>
      <c r="S1976" t="s">
        <v>31</v>
      </c>
      <c r="T1976" t="s">
        <v>35</v>
      </c>
      <c r="U1976">
        <f>IF(IFERROR(VLOOKUP(BBDD_Usiarios_Netflix[[#This Row],[Identificador Usuario]],A1977:$A$5870,1,FALSE),0)&lt;&gt;0,1,0)</f>
        <v>0</v>
      </c>
      <c r="V1976" s="6" t="str">
        <f>IF(BBDD_Usiarios_Netflix[[#This Row],[Duración Plan]]="12 Meses",LEFT(BBDD_Usiarios_Netflix[[#This Row],[Duración Plan]],2),LEFT(BBDD_Usiarios_Netflix[[#This Row],[Duración Plan]],1))</f>
        <v>6</v>
      </c>
      <c r="W19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77" spans="1:23" x14ac:dyDescent="0.25">
      <c r="A1977">
        <v>1976</v>
      </c>
      <c r="B1977" t="s">
        <v>28</v>
      </c>
      <c r="C1977">
        <v>14</v>
      </c>
      <c r="D1977" s="3">
        <v>19</v>
      </c>
      <c r="E1977" s="3">
        <v>10</v>
      </c>
      <c r="F1977">
        <v>23</v>
      </c>
      <c r="G1977" s="1">
        <f>DATEVALUE(_xlfn.CONCAT(BBDD_Usiarios_Netflix[[#This Row],[Día Suscripción]],"/",BBDD_Usiarios_Netflix[[#This Row],[Mes Suscripción]],"/",BBDD_Usiarios_Netflix[[#This Row],[Año Suscripción]]))</f>
        <v>45218</v>
      </c>
      <c r="H1977" s="1">
        <v>9</v>
      </c>
      <c r="I1977" s="1">
        <v>7</v>
      </c>
      <c r="J1977" s="1">
        <v>24</v>
      </c>
      <c r="K1977" s="1" t="str">
        <f>TEXT(BBDD_Usiarios_Netflix[[#This Row],[Fecha Suscripción]],"dddd")</f>
        <v>jueves</v>
      </c>
      <c r="L1977" s="1">
        <f>DATEVALUE(_xlfn.CONCAT(BBDD_Usiarios_Netflix[[#This Row],[Día Último Pago]],"/",BBDD_Usiarios_Netflix[[#This Row],[Mes Último Pago]],"/",BBDD_Usiarios_Netflix[[#This Row],[Año Último Pago]]))</f>
        <v>45482</v>
      </c>
      <c r="M1977" s="4">
        <f>DATEDIF(BBDD_Usiarios_Netflix[[#This Row],[Fecha Suscripción]],BBDD_Usiarios_Netflix[[#This Row],[Fecha Último Pago]],"M")+1</f>
        <v>9</v>
      </c>
      <c r="N1977" s="4">
        <f>BBDD_Usiarios_Netflix[[#This Row],[Ingresos Mensuales]]*BBDD_Usiarios_Netflix[[#This Row],[Meses contratados]]</f>
        <v>126</v>
      </c>
      <c r="O1977" t="s">
        <v>43</v>
      </c>
      <c r="P1977" t="str">
        <f>IF(BBDD_Usiarios_Netflix[[#This Row],[País]]="","Desconocido",BBDD_Usiarios_Netflix[[#This Row],[País]])</f>
        <v>Alemania</v>
      </c>
      <c r="Q1977">
        <v>37</v>
      </c>
      <c r="R1977" t="s">
        <v>30</v>
      </c>
      <c r="S1977" t="s">
        <v>31</v>
      </c>
      <c r="T1977" t="s">
        <v>35</v>
      </c>
      <c r="U1977">
        <f>IF(IFERROR(VLOOKUP(BBDD_Usiarios_Netflix[[#This Row],[Identificador Usuario]],A1978:$A$5870,1,FALSE),0)&lt;&gt;0,1,0)</f>
        <v>0</v>
      </c>
      <c r="V1977" s="6" t="str">
        <f>IF(BBDD_Usiarios_Netflix[[#This Row],[Duración Plan]]="12 Meses",LEFT(BBDD_Usiarios_Netflix[[#This Row],[Duración Plan]],2),LEFT(BBDD_Usiarios_Netflix[[#This Row],[Duración Plan]],1))</f>
        <v>6</v>
      </c>
      <c r="W19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78" spans="1:23" x14ac:dyDescent="0.25">
      <c r="A1978">
        <v>1977</v>
      </c>
      <c r="B1978" t="s">
        <v>23</v>
      </c>
      <c r="C1978">
        <v>10</v>
      </c>
      <c r="D1978" s="3">
        <v>12</v>
      </c>
      <c r="E1978" s="3">
        <v>10</v>
      </c>
      <c r="F1978">
        <v>23</v>
      </c>
      <c r="G1978" s="1">
        <f>DATEVALUE(_xlfn.CONCAT(BBDD_Usiarios_Netflix[[#This Row],[Día Suscripción]],"/",BBDD_Usiarios_Netflix[[#This Row],[Mes Suscripción]],"/",BBDD_Usiarios_Netflix[[#This Row],[Año Suscripción]]))</f>
        <v>45211</v>
      </c>
      <c r="H1978" s="1">
        <v>9</v>
      </c>
      <c r="I1978" s="1">
        <v>7</v>
      </c>
      <c r="J1978" s="1">
        <v>24</v>
      </c>
      <c r="K1978" s="1" t="str">
        <f>TEXT(BBDD_Usiarios_Netflix[[#This Row],[Fecha Suscripción]],"dddd")</f>
        <v>jueves</v>
      </c>
      <c r="L1978" s="1">
        <f>DATEVALUE(_xlfn.CONCAT(BBDD_Usiarios_Netflix[[#This Row],[Día Último Pago]],"/",BBDD_Usiarios_Netflix[[#This Row],[Mes Último Pago]],"/",BBDD_Usiarios_Netflix[[#This Row],[Año Último Pago]]))</f>
        <v>45482</v>
      </c>
      <c r="M1978" s="4">
        <f>DATEDIF(BBDD_Usiarios_Netflix[[#This Row],[Fecha Suscripción]],BBDD_Usiarios_Netflix[[#This Row],[Fecha Último Pago]],"M")+1</f>
        <v>9</v>
      </c>
      <c r="N1978" s="4">
        <f>BBDD_Usiarios_Netflix[[#This Row],[Ingresos Mensuales]]*BBDD_Usiarios_Netflix[[#This Row],[Meses contratados]]</f>
        <v>90</v>
      </c>
      <c r="O1978" t="s">
        <v>42</v>
      </c>
      <c r="P1978" t="str">
        <f>IF(BBDD_Usiarios_Netflix[[#This Row],[País]]="","Desconocido",BBDD_Usiarios_Netflix[[#This Row],[País]])</f>
        <v>Reino Unido</v>
      </c>
      <c r="Q1978">
        <v>31</v>
      </c>
      <c r="R1978" t="s">
        <v>25</v>
      </c>
      <c r="S1978" t="s">
        <v>26</v>
      </c>
      <c r="T1978" t="s">
        <v>27</v>
      </c>
      <c r="U1978">
        <f>IF(IFERROR(VLOOKUP(BBDD_Usiarios_Netflix[[#This Row],[Identificador Usuario]],A1979:$A$5870,1,FALSE),0)&lt;&gt;0,1,0)</f>
        <v>0</v>
      </c>
      <c r="V1978" s="6" t="str">
        <f>IF(BBDD_Usiarios_Netflix[[#This Row],[Duración Plan]]="12 Meses",LEFT(BBDD_Usiarios_Netflix[[#This Row],[Duración Plan]],2),LEFT(BBDD_Usiarios_Netflix[[#This Row],[Duración Plan]],1))</f>
        <v>1</v>
      </c>
      <c r="W19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79" spans="1:23" x14ac:dyDescent="0.25">
      <c r="A1979">
        <v>1978</v>
      </c>
      <c r="B1979" t="s">
        <v>32</v>
      </c>
      <c r="C1979">
        <v>12</v>
      </c>
      <c r="D1979" s="3">
        <v>3</v>
      </c>
      <c r="E1979" s="3">
        <v>10</v>
      </c>
      <c r="F1979">
        <v>23</v>
      </c>
      <c r="G1979" s="1">
        <f>DATEVALUE(_xlfn.CONCAT(BBDD_Usiarios_Netflix[[#This Row],[Día Suscripción]],"/",BBDD_Usiarios_Netflix[[#This Row],[Mes Suscripción]],"/",BBDD_Usiarios_Netflix[[#This Row],[Año Suscripción]]))</f>
        <v>45202</v>
      </c>
      <c r="H1979" s="1">
        <v>9</v>
      </c>
      <c r="I1979" s="1">
        <v>7</v>
      </c>
      <c r="J1979" s="1">
        <v>24</v>
      </c>
      <c r="K1979" s="1" t="str">
        <f>TEXT(BBDD_Usiarios_Netflix[[#This Row],[Fecha Suscripción]],"dddd")</f>
        <v>martes</v>
      </c>
      <c r="L1979" s="1">
        <f>DATEVALUE(_xlfn.CONCAT(BBDD_Usiarios_Netflix[[#This Row],[Día Último Pago]],"/",BBDD_Usiarios_Netflix[[#This Row],[Mes Último Pago]],"/",BBDD_Usiarios_Netflix[[#This Row],[Año Último Pago]]))</f>
        <v>45482</v>
      </c>
      <c r="M1979" s="4">
        <f>DATEDIF(BBDD_Usiarios_Netflix[[#This Row],[Fecha Suscripción]],BBDD_Usiarios_Netflix[[#This Row],[Fecha Último Pago]],"M")+1</f>
        <v>10</v>
      </c>
      <c r="N1979" s="4">
        <f>BBDD_Usiarios_Netflix[[#This Row],[Ingresos Mensuales]]*BBDD_Usiarios_Netflix[[#This Row],[Meses contratados]]</f>
        <v>120</v>
      </c>
      <c r="O1979" t="s">
        <v>29</v>
      </c>
      <c r="P1979" t="str">
        <f>IF(BBDD_Usiarios_Netflix[[#This Row],[País]]="","Desconocido",BBDD_Usiarios_Netflix[[#This Row],[País]])</f>
        <v>EEUU</v>
      </c>
      <c r="Q1979">
        <v>30</v>
      </c>
      <c r="R1979" t="s">
        <v>25</v>
      </c>
      <c r="S1979" t="s">
        <v>34</v>
      </c>
      <c r="T1979" t="s">
        <v>38</v>
      </c>
      <c r="U1979">
        <f>IF(IFERROR(VLOOKUP(BBDD_Usiarios_Netflix[[#This Row],[Identificador Usuario]],A1980:$A$5870,1,FALSE),0)&lt;&gt;0,1,0)</f>
        <v>0</v>
      </c>
      <c r="V1979" s="6" t="str">
        <f>IF(BBDD_Usiarios_Netflix[[#This Row],[Duración Plan]]="12 Meses",LEFT(BBDD_Usiarios_Netflix[[#This Row],[Duración Plan]],2),LEFT(BBDD_Usiarios_Netflix[[#This Row],[Duración Plan]],1))</f>
        <v>3</v>
      </c>
      <c r="W19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80" spans="1:23" x14ac:dyDescent="0.25">
      <c r="A1980">
        <v>1979</v>
      </c>
      <c r="B1980" t="s">
        <v>28</v>
      </c>
      <c r="C1980">
        <v>14</v>
      </c>
      <c r="D1980" s="3">
        <v>28</v>
      </c>
      <c r="E1980" s="3">
        <v>9</v>
      </c>
      <c r="F1980">
        <v>23</v>
      </c>
      <c r="G1980" s="1">
        <f>DATEVALUE(_xlfn.CONCAT(BBDD_Usiarios_Netflix[[#This Row],[Día Suscripción]],"/",BBDD_Usiarios_Netflix[[#This Row],[Mes Suscripción]],"/",BBDD_Usiarios_Netflix[[#This Row],[Año Suscripción]]))</f>
        <v>45197</v>
      </c>
      <c r="H1980" s="1">
        <v>8</v>
      </c>
      <c r="I1980" s="1">
        <v>7</v>
      </c>
      <c r="J1980" s="1">
        <v>24</v>
      </c>
      <c r="K1980" s="1" t="str">
        <f>TEXT(BBDD_Usiarios_Netflix[[#This Row],[Fecha Suscripción]],"dddd")</f>
        <v>jueves</v>
      </c>
      <c r="L1980" s="1">
        <f>DATEVALUE(_xlfn.CONCAT(BBDD_Usiarios_Netflix[[#This Row],[Día Último Pago]],"/",BBDD_Usiarios_Netflix[[#This Row],[Mes Último Pago]],"/",BBDD_Usiarios_Netflix[[#This Row],[Año Último Pago]]))</f>
        <v>45481</v>
      </c>
      <c r="M1980" s="4">
        <f>DATEDIF(BBDD_Usiarios_Netflix[[#This Row],[Fecha Suscripción]],BBDD_Usiarios_Netflix[[#This Row],[Fecha Último Pago]],"M")+1</f>
        <v>10</v>
      </c>
      <c r="N1980" s="4">
        <f>BBDD_Usiarios_Netflix[[#This Row],[Ingresos Mensuales]]*BBDD_Usiarios_Netflix[[#This Row],[Meses contratados]]</f>
        <v>140</v>
      </c>
      <c r="O1980" t="s">
        <v>24</v>
      </c>
      <c r="P1980" t="str">
        <f>IF(BBDD_Usiarios_Netflix[[#This Row],[País]]="","Desconocido",BBDD_Usiarios_Netflix[[#This Row],[País]])</f>
        <v>Australia</v>
      </c>
      <c r="Q1980">
        <v>51</v>
      </c>
      <c r="R1980" t="s">
        <v>30</v>
      </c>
      <c r="S1980" t="s">
        <v>26</v>
      </c>
      <c r="T1980" t="s">
        <v>41</v>
      </c>
      <c r="U1980">
        <f>IF(IFERROR(VLOOKUP(BBDD_Usiarios_Netflix[[#This Row],[Identificador Usuario]],A1981:$A$5870,1,FALSE),0)&lt;&gt;0,1,0)</f>
        <v>0</v>
      </c>
      <c r="V1980" s="6" t="str">
        <f>IF(BBDD_Usiarios_Netflix[[#This Row],[Duración Plan]]="12 Meses",LEFT(BBDD_Usiarios_Netflix[[#This Row],[Duración Plan]],2),LEFT(BBDD_Usiarios_Netflix[[#This Row],[Duración Plan]],1))</f>
        <v>12</v>
      </c>
      <c r="W19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81" spans="1:23" x14ac:dyDescent="0.25">
      <c r="A1981">
        <v>1980</v>
      </c>
      <c r="B1981" t="s">
        <v>23</v>
      </c>
      <c r="C1981">
        <v>10</v>
      </c>
      <c r="D1981" s="3">
        <v>17</v>
      </c>
      <c r="E1981" s="3">
        <v>9</v>
      </c>
      <c r="F1981">
        <v>23</v>
      </c>
      <c r="G1981" s="1">
        <f>DATEVALUE(_xlfn.CONCAT(BBDD_Usiarios_Netflix[[#This Row],[Día Suscripción]],"/",BBDD_Usiarios_Netflix[[#This Row],[Mes Suscripción]],"/",BBDD_Usiarios_Netflix[[#This Row],[Año Suscripción]]))</f>
        <v>45186</v>
      </c>
      <c r="H1981" s="1">
        <v>9</v>
      </c>
      <c r="I1981" s="1">
        <v>7</v>
      </c>
      <c r="J1981" s="1">
        <v>24</v>
      </c>
      <c r="K1981" s="1" t="str">
        <f>TEXT(BBDD_Usiarios_Netflix[[#This Row],[Fecha Suscripción]],"dddd")</f>
        <v>domingo</v>
      </c>
      <c r="L1981" s="1">
        <f>DATEVALUE(_xlfn.CONCAT(BBDD_Usiarios_Netflix[[#This Row],[Día Último Pago]],"/",BBDD_Usiarios_Netflix[[#This Row],[Mes Último Pago]],"/",BBDD_Usiarios_Netflix[[#This Row],[Año Último Pago]]))</f>
        <v>45482</v>
      </c>
      <c r="M1981" s="4">
        <f>DATEDIF(BBDD_Usiarios_Netflix[[#This Row],[Fecha Suscripción]],BBDD_Usiarios_Netflix[[#This Row],[Fecha Último Pago]],"M")+1</f>
        <v>10</v>
      </c>
      <c r="N1981" s="4">
        <f>BBDD_Usiarios_Netflix[[#This Row],[Ingresos Mensuales]]*BBDD_Usiarios_Netflix[[#This Row],[Meses contratados]]</f>
        <v>100</v>
      </c>
      <c r="O1981" t="s">
        <v>37</v>
      </c>
      <c r="P1981" t="str">
        <f>IF(BBDD_Usiarios_Netflix[[#This Row],[País]]="","Desconocido",BBDD_Usiarios_Netflix[[#This Row],[País]])</f>
        <v>Brasil</v>
      </c>
      <c r="Q1981">
        <v>42</v>
      </c>
      <c r="R1981" t="s">
        <v>30</v>
      </c>
      <c r="S1981" t="s">
        <v>36</v>
      </c>
      <c r="T1981" t="s">
        <v>35</v>
      </c>
      <c r="U1981">
        <f>IF(IFERROR(VLOOKUP(BBDD_Usiarios_Netflix[[#This Row],[Identificador Usuario]],A1982:$A$5870,1,FALSE),0)&lt;&gt;0,1,0)</f>
        <v>0</v>
      </c>
      <c r="V1981" s="6" t="str">
        <f>IF(BBDD_Usiarios_Netflix[[#This Row],[Duración Plan]]="12 Meses",LEFT(BBDD_Usiarios_Netflix[[#This Row],[Duración Plan]],2),LEFT(BBDD_Usiarios_Netflix[[#This Row],[Duración Plan]],1))</f>
        <v>6</v>
      </c>
      <c r="W19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82" spans="1:23" x14ac:dyDescent="0.25">
      <c r="A1982">
        <v>1981</v>
      </c>
      <c r="B1982" t="s">
        <v>28</v>
      </c>
      <c r="C1982">
        <v>14</v>
      </c>
      <c r="D1982" s="3">
        <v>16</v>
      </c>
      <c r="E1982" s="3">
        <v>9</v>
      </c>
      <c r="F1982">
        <v>23</v>
      </c>
      <c r="G1982" s="1">
        <f>DATEVALUE(_xlfn.CONCAT(BBDD_Usiarios_Netflix[[#This Row],[Día Suscripción]],"/",BBDD_Usiarios_Netflix[[#This Row],[Mes Suscripción]],"/",BBDD_Usiarios_Netflix[[#This Row],[Año Suscripción]]))</f>
        <v>45185</v>
      </c>
      <c r="H1982" s="1">
        <v>8</v>
      </c>
      <c r="I1982" s="1">
        <v>7</v>
      </c>
      <c r="J1982" s="1">
        <v>24</v>
      </c>
      <c r="K1982" s="1" t="str">
        <f>TEXT(BBDD_Usiarios_Netflix[[#This Row],[Fecha Suscripción]],"dddd")</f>
        <v>sábado</v>
      </c>
      <c r="L1982" s="1">
        <f>DATEVALUE(_xlfn.CONCAT(BBDD_Usiarios_Netflix[[#This Row],[Día Último Pago]],"/",BBDD_Usiarios_Netflix[[#This Row],[Mes Último Pago]],"/",BBDD_Usiarios_Netflix[[#This Row],[Año Último Pago]]))</f>
        <v>45481</v>
      </c>
      <c r="M1982" s="4">
        <f>DATEDIF(BBDD_Usiarios_Netflix[[#This Row],[Fecha Suscripción]],BBDD_Usiarios_Netflix[[#This Row],[Fecha Último Pago]],"M")+1</f>
        <v>10</v>
      </c>
      <c r="N1982" s="4">
        <f>BBDD_Usiarios_Netflix[[#This Row],[Ingresos Mensuales]]*BBDD_Usiarios_Netflix[[#This Row],[Meses contratados]]</f>
        <v>140</v>
      </c>
      <c r="O1982" t="s">
        <v>29</v>
      </c>
      <c r="P1982" t="str">
        <f>IF(BBDD_Usiarios_Netflix[[#This Row],[País]]="","Desconocido",BBDD_Usiarios_Netflix[[#This Row],[País]])</f>
        <v>EEUU</v>
      </c>
      <c r="Q1982">
        <v>37</v>
      </c>
      <c r="R1982" t="s">
        <v>30</v>
      </c>
      <c r="S1982" t="s">
        <v>26</v>
      </c>
      <c r="T1982" t="s">
        <v>38</v>
      </c>
      <c r="U1982">
        <f>IF(IFERROR(VLOOKUP(BBDD_Usiarios_Netflix[[#This Row],[Identificador Usuario]],A1983:$A$5870,1,FALSE),0)&lt;&gt;0,1,0)</f>
        <v>0</v>
      </c>
      <c r="V1982" s="6" t="str">
        <f>IF(BBDD_Usiarios_Netflix[[#This Row],[Duración Plan]]="12 Meses",LEFT(BBDD_Usiarios_Netflix[[#This Row],[Duración Plan]],2),LEFT(BBDD_Usiarios_Netflix[[#This Row],[Duración Plan]],1))</f>
        <v>3</v>
      </c>
      <c r="W19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83" spans="1:23" x14ac:dyDescent="0.25">
      <c r="A1983">
        <v>1982</v>
      </c>
      <c r="B1983" t="s">
        <v>23</v>
      </c>
      <c r="C1983">
        <v>10</v>
      </c>
      <c r="D1983" s="3">
        <v>15</v>
      </c>
      <c r="E1983" s="3">
        <v>9</v>
      </c>
      <c r="F1983">
        <v>23</v>
      </c>
      <c r="G1983" s="1">
        <f>DATEVALUE(_xlfn.CONCAT(BBDD_Usiarios_Netflix[[#This Row],[Día Suscripción]],"/",BBDD_Usiarios_Netflix[[#This Row],[Mes Suscripción]],"/",BBDD_Usiarios_Netflix[[#This Row],[Año Suscripción]]))</f>
        <v>45184</v>
      </c>
      <c r="H1983" s="1">
        <v>9</v>
      </c>
      <c r="I1983" s="1">
        <v>7</v>
      </c>
      <c r="J1983" s="1">
        <v>24</v>
      </c>
      <c r="K1983" s="1" t="str">
        <f>TEXT(BBDD_Usiarios_Netflix[[#This Row],[Fecha Suscripción]],"dddd")</f>
        <v>viernes</v>
      </c>
      <c r="L1983" s="1">
        <f>DATEVALUE(_xlfn.CONCAT(BBDD_Usiarios_Netflix[[#This Row],[Día Último Pago]],"/",BBDD_Usiarios_Netflix[[#This Row],[Mes Último Pago]],"/",BBDD_Usiarios_Netflix[[#This Row],[Año Último Pago]]))</f>
        <v>45482</v>
      </c>
      <c r="M1983" s="4">
        <f>DATEDIF(BBDD_Usiarios_Netflix[[#This Row],[Fecha Suscripción]],BBDD_Usiarios_Netflix[[#This Row],[Fecha Último Pago]],"M")+1</f>
        <v>10</v>
      </c>
      <c r="N1983" s="4">
        <f>BBDD_Usiarios_Netflix[[#This Row],[Ingresos Mensuales]]*BBDD_Usiarios_Netflix[[#This Row],[Meses contratados]]</f>
        <v>100</v>
      </c>
      <c r="O1983" t="s">
        <v>37</v>
      </c>
      <c r="P1983" t="str">
        <f>IF(BBDD_Usiarios_Netflix[[#This Row],[País]]="","Desconocido",BBDD_Usiarios_Netflix[[#This Row],[País]])</f>
        <v>Brasil</v>
      </c>
      <c r="Q1983">
        <v>44</v>
      </c>
      <c r="R1983" t="s">
        <v>30</v>
      </c>
      <c r="S1983" t="s">
        <v>26</v>
      </c>
      <c r="T1983" t="s">
        <v>41</v>
      </c>
      <c r="U1983">
        <f>IF(IFERROR(VLOOKUP(BBDD_Usiarios_Netflix[[#This Row],[Identificador Usuario]],A1984:$A$5870,1,FALSE),0)&lt;&gt;0,1,0)</f>
        <v>0</v>
      </c>
      <c r="V1983" s="6" t="str">
        <f>IF(BBDD_Usiarios_Netflix[[#This Row],[Duración Plan]]="12 Meses",LEFT(BBDD_Usiarios_Netflix[[#This Row],[Duración Plan]],2),LEFT(BBDD_Usiarios_Netflix[[#This Row],[Duración Plan]],1))</f>
        <v>12</v>
      </c>
      <c r="W19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1984" spans="1:23" x14ac:dyDescent="0.25">
      <c r="A1984">
        <v>1983</v>
      </c>
      <c r="B1984" t="s">
        <v>32</v>
      </c>
      <c r="C1984">
        <v>12</v>
      </c>
      <c r="D1984" s="3">
        <v>14</v>
      </c>
      <c r="E1984" s="3">
        <v>9</v>
      </c>
      <c r="F1984">
        <v>23</v>
      </c>
      <c r="G1984" s="1">
        <f>DATEVALUE(_xlfn.CONCAT(BBDD_Usiarios_Netflix[[#This Row],[Día Suscripción]],"/",BBDD_Usiarios_Netflix[[#This Row],[Mes Suscripción]],"/",BBDD_Usiarios_Netflix[[#This Row],[Año Suscripción]]))</f>
        <v>45183</v>
      </c>
      <c r="H1984" s="1">
        <v>8</v>
      </c>
      <c r="I1984" s="1">
        <v>7</v>
      </c>
      <c r="J1984" s="1">
        <v>24</v>
      </c>
      <c r="K1984" s="1" t="str">
        <f>TEXT(BBDD_Usiarios_Netflix[[#This Row],[Fecha Suscripción]],"dddd")</f>
        <v>jueves</v>
      </c>
      <c r="L1984" s="1">
        <f>DATEVALUE(_xlfn.CONCAT(BBDD_Usiarios_Netflix[[#This Row],[Día Último Pago]],"/",BBDD_Usiarios_Netflix[[#This Row],[Mes Último Pago]],"/",BBDD_Usiarios_Netflix[[#This Row],[Año Último Pago]]))</f>
        <v>45481</v>
      </c>
      <c r="M1984" s="4">
        <f>DATEDIF(BBDD_Usiarios_Netflix[[#This Row],[Fecha Suscripción]],BBDD_Usiarios_Netflix[[#This Row],[Fecha Último Pago]],"M")+1</f>
        <v>10</v>
      </c>
      <c r="N1984" s="4">
        <f>BBDD_Usiarios_Netflix[[#This Row],[Ingresos Mensuales]]*BBDD_Usiarios_Netflix[[#This Row],[Meses contratados]]</f>
        <v>120</v>
      </c>
      <c r="O1984" t="s">
        <v>43</v>
      </c>
      <c r="P1984" t="str">
        <f>IF(BBDD_Usiarios_Netflix[[#This Row],[País]]="","Desconocido",BBDD_Usiarios_Netflix[[#This Row],[País]])</f>
        <v>Alemania</v>
      </c>
      <c r="Q1984">
        <v>37</v>
      </c>
      <c r="R1984" t="s">
        <v>25</v>
      </c>
      <c r="S1984" t="s">
        <v>31</v>
      </c>
      <c r="T1984" t="s">
        <v>38</v>
      </c>
      <c r="U1984">
        <f>IF(IFERROR(VLOOKUP(BBDD_Usiarios_Netflix[[#This Row],[Identificador Usuario]],A1985:$A$5870,1,FALSE),0)&lt;&gt;0,1,0)</f>
        <v>0</v>
      </c>
      <c r="V1984" s="6" t="str">
        <f>IF(BBDD_Usiarios_Netflix[[#This Row],[Duración Plan]]="12 Meses",LEFT(BBDD_Usiarios_Netflix[[#This Row],[Duración Plan]],2),LEFT(BBDD_Usiarios_Netflix[[#This Row],[Duración Plan]],1))</f>
        <v>3</v>
      </c>
      <c r="W19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85" spans="1:23" x14ac:dyDescent="0.25">
      <c r="A1985">
        <v>1984</v>
      </c>
      <c r="B1985" t="s">
        <v>32</v>
      </c>
      <c r="C1985">
        <v>12</v>
      </c>
      <c r="D1985" s="3">
        <v>15</v>
      </c>
      <c r="E1985" s="3">
        <v>9</v>
      </c>
      <c r="F1985">
        <v>23</v>
      </c>
      <c r="G1985" s="1">
        <f>DATEVALUE(_xlfn.CONCAT(BBDD_Usiarios_Netflix[[#This Row],[Día Suscripción]],"/",BBDD_Usiarios_Netflix[[#This Row],[Mes Suscripción]],"/",BBDD_Usiarios_Netflix[[#This Row],[Año Suscripción]]))</f>
        <v>45184</v>
      </c>
      <c r="H1985" s="1">
        <v>9</v>
      </c>
      <c r="I1985" s="1">
        <v>7</v>
      </c>
      <c r="J1985" s="1">
        <v>24</v>
      </c>
      <c r="K1985" s="1" t="str">
        <f>TEXT(BBDD_Usiarios_Netflix[[#This Row],[Fecha Suscripción]],"dddd")</f>
        <v>viernes</v>
      </c>
      <c r="L1985" s="1">
        <f>DATEVALUE(_xlfn.CONCAT(BBDD_Usiarios_Netflix[[#This Row],[Día Último Pago]],"/",BBDD_Usiarios_Netflix[[#This Row],[Mes Último Pago]],"/",BBDD_Usiarios_Netflix[[#This Row],[Año Último Pago]]))</f>
        <v>45482</v>
      </c>
      <c r="M1985" s="4">
        <f>DATEDIF(BBDD_Usiarios_Netflix[[#This Row],[Fecha Suscripción]],BBDD_Usiarios_Netflix[[#This Row],[Fecha Último Pago]],"M")+1</f>
        <v>10</v>
      </c>
      <c r="N1985" s="4">
        <f>BBDD_Usiarios_Netflix[[#This Row],[Ingresos Mensuales]]*BBDD_Usiarios_Netflix[[#This Row],[Meses contratados]]</f>
        <v>120</v>
      </c>
      <c r="O1985" t="s">
        <v>39</v>
      </c>
      <c r="P1985" t="str">
        <f>IF(BBDD_Usiarios_Netflix[[#This Row],[País]]="","Desconocido",BBDD_Usiarios_Netflix[[#This Row],[País]])</f>
        <v>Canadá</v>
      </c>
      <c r="Q1985">
        <v>44</v>
      </c>
      <c r="R1985" t="s">
        <v>25</v>
      </c>
      <c r="S1985" t="s">
        <v>26</v>
      </c>
      <c r="T1985" t="s">
        <v>38</v>
      </c>
      <c r="U1985">
        <f>IF(IFERROR(VLOOKUP(BBDD_Usiarios_Netflix[[#This Row],[Identificador Usuario]],A1986:$A$5870,1,FALSE),0)&lt;&gt;0,1,0)</f>
        <v>0</v>
      </c>
      <c r="V1985" s="6" t="str">
        <f>IF(BBDD_Usiarios_Netflix[[#This Row],[Duración Plan]]="12 Meses",LEFT(BBDD_Usiarios_Netflix[[#This Row],[Duración Plan]],2),LEFT(BBDD_Usiarios_Netflix[[#This Row],[Duración Plan]],1))</f>
        <v>3</v>
      </c>
      <c r="W19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86" spans="1:23" x14ac:dyDescent="0.25">
      <c r="A1986">
        <v>1985</v>
      </c>
      <c r="B1986" t="s">
        <v>23</v>
      </c>
      <c r="C1986">
        <v>10</v>
      </c>
      <c r="D1986" s="3">
        <v>6</v>
      </c>
      <c r="E1986" s="3">
        <v>9</v>
      </c>
      <c r="F1986">
        <v>23</v>
      </c>
      <c r="G1986" s="1">
        <f>DATEVALUE(_xlfn.CONCAT(BBDD_Usiarios_Netflix[[#This Row],[Día Suscripción]],"/",BBDD_Usiarios_Netflix[[#This Row],[Mes Suscripción]],"/",BBDD_Usiarios_Netflix[[#This Row],[Año Suscripción]]))</f>
        <v>45175</v>
      </c>
      <c r="H1986" s="1">
        <v>9</v>
      </c>
      <c r="I1986" s="1">
        <v>7</v>
      </c>
      <c r="J1986" s="1">
        <v>24</v>
      </c>
      <c r="K1986" s="1" t="str">
        <f>TEXT(BBDD_Usiarios_Netflix[[#This Row],[Fecha Suscripción]],"dddd")</f>
        <v>miércoles</v>
      </c>
      <c r="L1986" s="1">
        <f>DATEVALUE(_xlfn.CONCAT(BBDD_Usiarios_Netflix[[#This Row],[Día Último Pago]],"/",BBDD_Usiarios_Netflix[[#This Row],[Mes Último Pago]],"/",BBDD_Usiarios_Netflix[[#This Row],[Año Último Pago]]))</f>
        <v>45482</v>
      </c>
      <c r="M1986" s="4">
        <f>DATEDIF(BBDD_Usiarios_Netflix[[#This Row],[Fecha Suscripción]],BBDD_Usiarios_Netflix[[#This Row],[Fecha Último Pago]],"M")+1</f>
        <v>11</v>
      </c>
      <c r="N1986" s="4">
        <f>BBDD_Usiarios_Netflix[[#This Row],[Ingresos Mensuales]]*BBDD_Usiarios_Netflix[[#This Row],[Meses contratados]]</f>
        <v>110</v>
      </c>
      <c r="O1986" t="s">
        <v>24</v>
      </c>
      <c r="P1986" t="str">
        <f>IF(BBDD_Usiarios_Netflix[[#This Row],[País]]="","Desconocido",BBDD_Usiarios_Netflix[[#This Row],[País]])</f>
        <v>Australia</v>
      </c>
      <c r="Q1986">
        <v>40</v>
      </c>
      <c r="R1986" t="s">
        <v>25</v>
      </c>
      <c r="S1986" t="s">
        <v>31</v>
      </c>
      <c r="T1986" t="s">
        <v>27</v>
      </c>
      <c r="U1986">
        <f>IF(IFERROR(VLOOKUP(BBDD_Usiarios_Netflix[[#This Row],[Identificador Usuario]],A1987:$A$5870,1,FALSE),0)&lt;&gt;0,1,0)</f>
        <v>0</v>
      </c>
      <c r="V1986" s="6" t="str">
        <f>IF(BBDD_Usiarios_Netflix[[#This Row],[Duración Plan]]="12 Meses",LEFT(BBDD_Usiarios_Netflix[[#This Row],[Duración Plan]],2),LEFT(BBDD_Usiarios_Netflix[[#This Row],[Duración Plan]],1))</f>
        <v>1</v>
      </c>
      <c r="W19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87" spans="1:23" x14ac:dyDescent="0.25">
      <c r="A1987">
        <v>1986</v>
      </c>
      <c r="B1987" t="s">
        <v>28</v>
      </c>
      <c r="C1987">
        <v>14</v>
      </c>
      <c r="D1987" s="3">
        <v>28</v>
      </c>
      <c r="E1987" s="3">
        <v>8</v>
      </c>
      <c r="F1987">
        <v>23</v>
      </c>
      <c r="G1987" s="1">
        <f>DATEVALUE(_xlfn.CONCAT(BBDD_Usiarios_Netflix[[#This Row],[Día Suscripción]],"/",BBDD_Usiarios_Netflix[[#This Row],[Mes Suscripción]],"/",BBDD_Usiarios_Netflix[[#This Row],[Año Suscripción]]))</f>
        <v>45166</v>
      </c>
      <c r="H1987" s="1">
        <v>9</v>
      </c>
      <c r="I1987" s="1">
        <v>7</v>
      </c>
      <c r="J1987" s="1">
        <v>24</v>
      </c>
      <c r="K1987" s="1" t="str">
        <f>TEXT(BBDD_Usiarios_Netflix[[#This Row],[Fecha Suscripción]],"dddd")</f>
        <v>lunes</v>
      </c>
      <c r="L1987" s="1">
        <f>DATEVALUE(_xlfn.CONCAT(BBDD_Usiarios_Netflix[[#This Row],[Día Último Pago]],"/",BBDD_Usiarios_Netflix[[#This Row],[Mes Último Pago]],"/",BBDD_Usiarios_Netflix[[#This Row],[Año Último Pago]]))</f>
        <v>45482</v>
      </c>
      <c r="M1987" s="4">
        <f>DATEDIF(BBDD_Usiarios_Netflix[[#This Row],[Fecha Suscripción]],BBDD_Usiarios_Netflix[[#This Row],[Fecha Último Pago]],"M")+1</f>
        <v>11</v>
      </c>
      <c r="N1987" s="4">
        <f>BBDD_Usiarios_Netflix[[#This Row],[Ingresos Mensuales]]*BBDD_Usiarios_Netflix[[#This Row],[Meses contratados]]</f>
        <v>154</v>
      </c>
      <c r="O1987" t="s">
        <v>29</v>
      </c>
      <c r="P1987" t="str">
        <f>IF(BBDD_Usiarios_Netflix[[#This Row],[País]]="","Desconocido",BBDD_Usiarios_Netflix[[#This Row],[País]])</f>
        <v>EEUU</v>
      </c>
      <c r="Q1987">
        <v>27</v>
      </c>
      <c r="R1987" t="s">
        <v>25</v>
      </c>
      <c r="S1987" t="s">
        <v>34</v>
      </c>
      <c r="T1987" t="s">
        <v>35</v>
      </c>
      <c r="U1987">
        <f>IF(IFERROR(VLOOKUP(BBDD_Usiarios_Netflix[[#This Row],[Identificador Usuario]],A1988:$A$5870,1,FALSE),0)&lt;&gt;0,1,0)</f>
        <v>0</v>
      </c>
      <c r="V1987" s="6" t="str">
        <f>IF(BBDD_Usiarios_Netflix[[#This Row],[Duración Plan]]="12 Meses",LEFT(BBDD_Usiarios_Netflix[[#This Row],[Duración Plan]],2),LEFT(BBDD_Usiarios_Netflix[[#This Row],[Duración Plan]],1))</f>
        <v>6</v>
      </c>
      <c r="W19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88" spans="1:23" x14ac:dyDescent="0.25">
      <c r="A1988">
        <v>1987</v>
      </c>
      <c r="B1988" t="s">
        <v>23</v>
      </c>
      <c r="C1988">
        <v>10</v>
      </c>
      <c r="D1988" s="3">
        <v>7</v>
      </c>
      <c r="E1988" s="3">
        <v>8</v>
      </c>
      <c r="F1988">
        <v>23</v>
      </c>
      <c r="G1988" s="1">
        <f>DATEVALUE(_xlfn.CONCAT(BBDD_Usiarios_Netflix[[#This Row],[Día Suscripción]],"/",BBDD_Usiarios_Netflix[[#This Row],[Mes Suscripción]],"/",BBDD_Usiarios_Netflix[[#This Row],[Año Suscripción]]))</f>
        <v>45145</v>
      </c>
      <c r="H1988" s="1">
        <v>8</v>
      </c>
      <c r="I1988" s="1">
        <v>7</v>
      </c>
      <c r="J1988" s="1">
        <v>24</v>
      </c>
      <c r="K1988" s="1" t="str">
        <f>TEXT(BBDD_Usiarios_Netflix[[#This Row],[Fecha Suscripción]],"dddd")</f>
        <v>lunes</v>
      </c>
      <c r="L1988" s="1">
        <f>DATEVALUE(_xlfn.CONCAT(BBDD_Usiarios_Netflix[[#This Row],[Día Último Pago]],"/",BBDD_Usiarios_Netflix[[#This Row],[Mes Último Pago]],"/",BBDD_Usiarios_Netflix[[#This Row],[Año Último Pago]]))</f>
        <v>45481</v>
      </c>
      <c r="M1988" s="4">
        <f>DATEDIF(BBDD_Usiarios_Netflix[[#This Row],[Fecha Suscripción]],BBDD_Usiarios_Netflix[[#This Row],[Fecha Último Pago]],"M")+1</f>
        <v>12</v>
      </c>
      <c r="N1988" s="4">
        <f>BBDD_Usiarios_Netflix[[#This Row],[Ingresos Mensuales]]*BBDD_Usiarios_Netflix[[#This Row],[Meses contratados]]</f>
        <v>120</v>
      </c>
      <c r="O1988" t="s">
        <v>33</v>
      </c>
      <c r="P1988" t="str">
        <f>IF(BBDD_Usiarios_Netflix[[#This Row],[País]]="","Desconocido",BBDD_Usiarios_Netflix[[#This Row],[País]])</f>
        <v>Francia</v>
      </c>
      <c r="Q1988">
        <v>31</v>
      </c>
      <c r="R1988" t="s">
        <v>25</v>
      </c>
      <c r="S1988" t="s">
        <v>34</v>
      </c>
      <c r="T1988" t="s">
        <v>27</v>
      </c>
      <c r="U1988">
        <f>IF(IFERROR(VLOOKUP(BBDD_Usiarios_Netflix[[#This Row],[Identificador Usuario]],A1989:$A$5870,1,FALSE),0)&lt;&gt;0,1,0)</f>
        <v>0</v>
      </c>
      <c r="V1988" s="6" t="str">
        <f>IF(BBDD_Usiarios_Netflix[[#This Row],[Duración Plan]]="12 Meses",LEFT(BBDD_Usiarios_Netflix[[#This Row],[Duración Plan]],2),LEFT(BBDD_Usiarios_Netflix[[#This Row],[Duración Plan]],1))</f>
        <v>1</v>
      </c>
      <c r="W19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89" spans="1:23" x14ac:dyDescent="0.25">
      <c r="A1989">
        <v>1988</v>
      </c>
      <c r="B1989" t="s">
        <v>32</v>
      </c>
      <c r="C1989">
        <v>12</v>
      </c>
      <c r="D1989" s="3">
        <v>7</v>
      </c>
      <c r="E1989" s="3">
        <v>8</v>
      </c>
      <c r="F1989">
        <v>23</v>
      </c>
      <c r="G1989" s="1">
        <f>DATEVALUE(_xlfn.CONCAT(BBDD_Usiarios_Netflix[[#This Row],[Día Suscripción]],"/",BBDD_Usiarios_Netflix[[#This Row],[Mes Suscripción]],"/",BBDD_Usiarios_Netflix[[#This Row],[Año Suscripción]]))</f>
        <v>45145</v>
      </c>
      <c r="H1989" s="1">
        <v>10</v>
      </c>
      <c r="I1989" s="1">
        <v>7</v>
      </c>
      <c r="J1989" s="1">
        <v>24</v>
      </c>
      <c r="K1989" s="1" t="str">
        <f>TEXT(BBDD_Usiarios_Netflix[[#This Row],[Fecha Suscripción]],"dddd")</f>
        <v>lunes</v>
      </c>
      <c r="L1989" s="1">
        <f>DATEVALUE(_xlfn.CONCAT(BBDD_Usiarios_Netflix[[#This Row],[Día Último Pago]],"/",BBDD_Usiarios_Netflix[[#This Row],[Mes Último Pago]],"/",BBDD_Usiarios_Netflix[[#This Row],[Año Último Pago]]))</f>
        <v>45483</v>
      </c>
      <c r="M1989" s="4">
        <f>DATEDIF(BBDD_Usiarios_Netflix[[#This Row],[Fecha Suscripción]],BBDD_Usiarios_Netflix[[#This Row],[Fecha Último Pago]],"M")+1</f>
        <v>12</v>
      </c>
      <c r="N1989" s="4">
        <f>BBDD_Usiarios_Netflix[[#This Row],[Ingresos Mensuales]]*BBDD_Usiarios_Netflix[[#This Row],[Meses contratados]]</f>
        <v>144</v>
      </c>
      <c r="O1989" t="s">
        <v>24</v>
      </c>
      <c r="P1989" t="str">
        <f>IF(BBDD_Usiarios_Netflix[[#This Row],[País]]="","Desconocido",BBDD_Usiarios_Netflix[[#This Row],[País]])</f>
        <v>Australia</v>
      </c>
      <c r="Q1989">
        <v>39</v>
      </c>
      <c r="R1989" t="s">
        <v>30</v>
      </c>
      <c r="S1989" t="s">
        <v>26</v>
      </c>
      <c r="T1989" t="s">
        <v>35</v>
      </c>
      <c r="U1989">
        <f>IF(IFERROR(VLOOKUP(BBDD_Usiarios_Netflix[[#This Row],[Identificador Usuario]],A1990:$A$5870,1,FALSE),0)&lt;&gt;0,1,0)</f>
        <v>0</v>
      </c>
      <c r="V1989" s="6" t="str">
        <f>IF(BBDD_Usiarios_Netflix[[#This Row],[Duración Plan]]="12 Meses",LEFT(BBDD_Usiarios_Netflix[[#This Row],[Duración Plan]],2),LEFT(BBDD_Usiarios_Netflix[[#This Row],[Duración Plan]],1))</f>
        <v>6</v>
      </c>
      <c r="W19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90" spans="1:23" x14ac:dyDescent="0.25">
      <c r="A1990">
        <v>1989</v>
      </c>
      <c r="B1990" t="s">
        <v>28</v>
      </c>
      <c r="C1990">
        <v>14</v>
      </c>
      <c r="D1990" s="3">
        <v>6</v>
      </c>
      <c r="E1990" s="3">
        <v>8</v>
      </c>
      <c r="F1990">
        <v>23</v>
      </c>
      <c r="G1990" s="1">
        <f>DATEVALUE(_xlfn.CONCAT(BBDD_Usiarios_Netflix[[#This Row],[Día Suscripción]],"/",BBDD_Usiarios_Netflix[[#This Row],[Mes Suscripción]],"/",BBDD_Usiarios_Netflix[[#This Row],[Año Suscripción]]))</f>
        <v>45144</v>
      </c>
      <c r="H1990" s="1">
        <v>9</v>
      </c>
      <c r="I1990" s="1">
        <v>7</v>
      </c>
      <c r="J1990" s="1">
        <v>24</v>
      </c>
      <c r="K1990" s="1" t="str">
        <f>TEXT(BBDD_Usiarios_Netflix[[#This Row],[Fecha Suscripción]],"dddd")</f>
        <v>domingo</v>
      </c>
      <c r="L1990" s="1">
        <f>DATEVALUE(_xlfn.CONCAT(BBDD_Usiarios_Netflix[[#This Row],[Día Último Pago]],"/",BBDD_Usiarios_Netflix[[#This Row],[Mes Último Pago]],"/",BBDD_Usiarios_Netflix[[#This Row],[Año Último Pago]]))</f>
        <v>45482</v>
      </c>
      <c r="M1990" s="4">
        <f>DATEDIF(BBDD_Usiarios_Netflix[[#This Row],[Fecha Suscripción]],BBDD_Usiarios_Netflix[[#This Row],[Fecha Último Pago]],"M")+1</f>
        <v>12</v>
      </c>
      <c r="N1990" s="4">
        <f>BBDD_Usiarios_Netflix[[#This Row],[Ingresos Mensuales]]*BBDD_Usiarios_Netflix[[#This Row],[Meses contratados]]</f>
        <v>168</v>
      </c>
      <c r="O1990" t="s">
        <v>29</v>
      </c>
      <c r="P1990" t="str">
        <f>IF(BBDD_Usiarios_Netflix[[#This Row],[País]]="","Desconocido",BBDD_Usiarios_Netflix[[#This Row],[País]])</f>
        <v>EEUU</v>
      </c>
      <c r="Q1990">
        <v>47</v>
      </c>
      <c r="R1990" t="s">
        <v>30</v>
      </c>
      <c r="S1990" t="s">
        <v>31</v>
      </c>
      <c r="T1990" t="s">
        <v>35</v>
      </c>
      <c r="U1990">
        <f>IF(IFERROR(VLOOKUP(BBDD_Usiarios_Netflix[[#This Row],[Identificador Usuario]],A1991:$A$5870,1,FALSE),0)&lt;&gt;0,1,0)</f>
        <v>0</v>
      </c>
      <c r="V1990" s="6" t="str">
        <f>IF(BBDD_Usiarios_Netflix[[#This Row],[Duración Plan]]="12 Meses",LEFT(BBDD_Usiarios_Netflix[[#This Row],[Duración Plan]],2),LEFT(BBDD_Usiarios_Netflix[[#This Row],[Duración Plan]],1))</f>
        <v>6</v>
      </c>
      <c r="W19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1991" spans="1:23" x14ac:dyDescent="0.25">
      <c r="A1991">
        <v>1990</v>
      </c>
      <c r="B1991" t="s">
        <v>23</v>
      </c>
      <c r="C1991">
        <v>10</v>
      </c>
      <c r="D1991" s="3">
        <v>30</v>
      </c>
      <c r="E1991" s="3">
        <v>7</v>
      </c>
      <c r="F1991">
        <v>23</v>
      </c>
      <c r="G1991" s="1">
        <f>DATEVALUE(_xlfn.CONCAT(BBDD_Usiarios_Netflix[[#This Row],[Día Suscripción]],"/",BBDD_Usiarios_Netflix[[#This Row],[Mes Suscripción]],"/",BBDD_Usiarios_Netflix[[#This Row],[Año Suscripción]]))</f>
        <v>45137</v>
      </c>
      <c r="H1991" s="1">
        <v>9</v>
      </c>
      <c r="I1991" s="1">
        <v>7</v>
      </c>
      <c r="J1991" s="1">
        <v>24</v>
      </c>
      <c r="K1991" s="1" t="str">
        <f>TEXT(BBDD_Usiarios_Netflix[[#This Row],[Fecha Suscripción]],"dddd")</f>
        <v>domingo</v>
      </c>
      <c r="L1991" s="1">
        <f>DATEVALUE(_xlfn.CONCAT(BBDD_Usiarios_Netflix[[#This Row],[Día Último Pago]],"/",BBDD_Usiarios_Netflix[[#This Row],[Mes Último Pago]],"/",BBDD_Usiarios_Netflix[[#This Row],[Año Último Pago]]))</f>
        <v>45482</v>
      </c>
      <c r="M1991" s="4">
        <f>DATEDIF(BBDD_Usiarios_Netflix[[#This Row],[Fecha Suscripción]],BBDD_Usiarios_Netflix[[#This Row],[Fecha Último Pago]],"M")+1</f>
        <v>12</v>
      </c>
      <c r="N1991" s="4">
        <f>BBDD_Usiarios_Netflix[[#This Row],[Ingresos Mensuales]]*BBDD_Usiarios_Netflix[[#This Row],[Meses contratados]]</f>
        <v>120</v>
      </c>
      <c r="O1991" t="s">
        <v>24</v>
      </c>
      <c r="P1991" t="str">
        <f>IF(BBDD_Usiarios_Netflix[[#This Row],[País]]="","Desconocido",BBDD_Usiarios_Netflix[[#This Row],[País]])</f>
        <v>Australia</v>
      </c>
      <c r="Q1991">
        <v>30</v>
      </c>
      <c r="R1991" t="s">
        <v>25</v>
      </c>
      <c r="S1991" t="s">
        <v>34</v>
      </c>
      <c r="T1991" t="s">
        <v>27</v>
      </c>
      <c r="U1991">
        <f>IF(IFERROR(VLOOKUP(BBDD_Usiarios_Netflix[[#This Row],[Identificador Usuario]],A1992:$A$5870,1,FALSE),0)&lt;&gt;0,1,0)</f>
        <v>0</v>
      </c>
      <c r="V1991" s="6" t="str">
        <f>IF(BBDD_Usiarios_Netflix[[#This Row],[Duración Plan]]="12 Meses",LEFT(BBDD_Usiarios_Netflix[[#This Row],[Duración Plan]],2),LEFT(BBDD_Usiarios_Netflix[[#This Row],[Duración Plan]],1))</f>
        <v>1</v>
      </c>
      <c r="W19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92" spans="1:23" x14ac:dyDescent="0.25">
      <c r="A1992">
        <v>1991</v>
      </c>
      <c r="B1992" t="s">
        <v>28</v>
      </c>
      <c r="C1992">
        <v>14</v>
      </c>
      <c r="D1992" s="3">
        <v>30</v>
      </c>
      <c r="E1992" s="3">
        <v>7</v>
      </c>
      <c r="F1992">
        <v>23</v>
      </c>
      <c r="G1992" s="1">
        <f>DATEVALUE(_xlfn.CONCAT(BBDD_Usiarios_Netflix[[#This Row],[Día Suscripción]],"/",BBDD_Usiarios_Netflix[[#This Row],[Mes Suscripción]],"/",BBDD_Usiarios_Netflix[[#This Row],[Año Suscripción]]))</f>
        <v>45137</v>
      </c>
      <c r="H1992" s="1">
        <v>8</v>
      </c>
      <c r="I1992" s="1">
        <v>7</v>
      </c>
      <c r="J1992" s="1">
        <v>24</v>
      </c>
      <c r="K1992" s="1" t="str">
        <f>TEXT(BBDD_Usiarios_Netflix[[#This Row],[Fecha Suscripción]],"dddd")</f>
        <v>domingo</v>
      </c>
      <c r="L1992" s="1">
        <f>DATEVALUE(_xlfn.CONCAT(BBDD_Usiarios_Netflix[[#This Row],[Día Último Pago]],"/",BBDD_Usiarios_Netflix[[#This Row],[Mes Último Pago]],"/",BBDD_Usiarios_Netflix[[#This Row],[Año Último Pago]]))</f>
        <v>45481</v>
      </c>
      <c r="M1992" s="4">
        <f>DATEDIF(BBDD_Usiarios_Netflix[[#This Row],[Fecha Suscripción]],BBDD_Usiarios_Netflix[[#This Row],[Fecha Último Pago]],"M")+1</f>
        <v>12</v>
      </c>
      <c r="N1992" s="4">
        <f>BBDD_Usiarios_Netflix[[#This Row],[Ingresos Mensuales]]*BBDD_Usiarios_Netflix[[#This Row],[Meses contratados]]</f>
        <v>168</v>
      </c>
      <c r="O1992" t="s">
        <v>43</v>
      </c>
      <c r="P1992" t="str">
        <f>IF(BBDD_Usiarios_Netflix[[#This Row],[País]]="","Desconocido",BBDD_Usiarios_Netflix[[#This Row],[País]])</f>
        <v>Alemania</v>
      </c>
      <c r="Q1992">
        <v>35</v>
      </c>
      <c r="R1992" t="s">
        <v>25</v>
      </c>
      <c r="S1992" t="s">
        <v>36</v>
      </c>
      <c r="T1992" t="s">
        <v>27</v>
      </c>
      <c r="U1992">
        <f>IF(IFERROR(VLOOKUP(BBDD_Usiarios_Netflix[[#This Row],[Identificador Usuario]],A1993:$A$5870,1,FALSE),0)&lt;&gt;0,1,0)</f>
        <v>0</v>
      </c>
      <c r="V1992" s="6" t="str">
        <f>IF(BBDD_Usiarios_Netflix[[#This Row],[Duración Plan]]="12 Meses",LEFT(BBDD_Usiarios_Netflix[[#This Row],[Duración Plan]],2),LEFT(BBDD_Usiarios_Netflix[[#This Row],[Duración Plan]],1))</f>
        <v>1</v>
      </c>
      <c r="W19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93" spans="1:23" x14ac:dyDescent="0.25">
      <c r="A1993">
        <v>1992</v>
      </c>
      <c r="B1993" t="s">
        <v>23</v>
      </c>
      <c r="C1993">
        <v>10</v>
      </c>
      <c r="D1993" s="3">
        <v>30</v>
      </c>
      <c r="E1993" s="3">
        <v>7</v>
      </c>
      <c r="F1993">
        <v>23</v>
      </c>
      <c r="G1993" s="1">
        <f>DATEVALUE(_xlfn.CONCAT(BBDD_Usiarios_Netflix[[#This Row],[Día Suscripción]],"/",BBDD_Usiarios_Netflix[[#This Row],[Mes Suscripción]],"/",BBDD_Usiarios_Netflix[[#This Row],[Año Suscripción]]))</f>
        <v>45137</v>
      </c>
      <c r="H1993" s="1">
        <v>10</v>
      </c>
      <c r="I1993" s="1">
        <v>7</v>
      </c>
      <c r="J1993" s="1">
        <v>24</v>
      </c>
      <c r="K1993" s="1" t="str">
        <f>TEXT(BBDD_Usiarios_Netflix[[#This Row],[Fecha Suscripción]],"dddd")</f>
        <v>domingo</v>
      </c>
      <c r="L1993" s="1">
        <f>DATEVALUE(_xlfn.CONCAT(BBDD_Usiarios_Netflix[[#This Row],[Día Último Pago]],"/",BBDD_Usiarios_Netflix[[#This Row],[Mes Último Pago]],"/",BBDD_Usiarios_Netflix[[#This Row],[Año Último Pago]]))</f>
        <v>45483</v>
      </c>
      <c r="M1993" s="4">
        <f>DATEDIF(BBDD_Usiarios_Netflix[[#This Row],[Fecha Suscripción]],BBDD_Usiarios_Netflix[[#This Row],[Fecha Último Pago]],"M")+1</f>
        <v>12</v>
      </c>
      <c r="N1993" s="4">
        <f>BBDD_Usiarios_Netflix[[#This Row],[Ingresos Mensuales]]*BBDD_Usiarios_Netflix[[#This Row],[Meses contratados]]</f>
        <v>120</v>
      </c>
      <c r="O1993" t="s">
        <v>40</v>
      </c>
      <c r="P1993" t="str">
        <f>IF(BBDD_Usiarios_Netflix[[#This Row],[País]]="","Desconocido",BBDD_Usiarios_Netflix[[#This Row],[País]])</f>
        <v>Italia</v>
      </c>
      <c r="Q1993">
        <v>39</v>
      </c>
      <c r="R1993" t="s">
        <v>25</v>
      </c>
      <c r="S1993" t="s">
        <v>26</v>
      </c>
      <c r="T1993" t="s">
        <v>38</v>
      </c>
      <c r="U1993">
        <f>IF(IFERROR(VLOOKUP(BBDD_Usiarios_Netflix[[#This Row],[Identificador Usuario]],A1994:$A$5870,1,FALSE),0)&lt;&gt;0,1,0)</f>
        <v>0</v>
      </c>
      <c r="V1993" s="6" t="str">
        <f>IF(BBDD_Usiarios_Netflix[[#This Row],[Duración Plan]]="12 Meses",LEFT(BBDD_Usiarios_Netflix[[#This Row],[Duración Plan]],2),LEFT(BBDD_Usiarios_Netflix[[#This Row],[Duración Plan]],1))</f>
        <v>3</v>
      </c>
      <c r="W19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94" spans="1:23" x14ac:dyDescent="0.25">
      <c r="A1994">
        <v>1993</v>
      </c>
      <c r="B1994" t="s">
        <v>32</v>
      </c>
      <c r="C1994">
        <v>12</v>
      </c>
      <c r="D1994" s="3">
        <v>19</v>
      </c>
      <c r="E1994" s="3">
        <v>7</v>
      </c>
      <c r="F1994">
        <v>23</v>
      </c>
      <c r="G1994" s="1">
        <f>DATEVALUE(_xlfn.CONCAT(BBDD_Usiarios_Netflix[[#This Row],[Día Suscripción]],"/",BBDD_Usiarios_Netflix[[#This Row],[Mes Suscripción]],"/",BBDD_Usiarios_Netflix[[#This Row],[Año Suscripción]]))</f>
        <v>45126</v>
      </c>
      <c r="H1994" s="1">
        <v>8</v>
      </c>
      <c r="I1994" s="1">
        <v>7</v>
      </c>
      <c r="J1994" s="1">
        <v>24</v>
      </c>
      <c r="K1994" s="1" t="str">
        <f>TEXT(BBDD_Usiarios_Netflix[[#This Row],[Fecha Suscripción]],"dddd")</f>
        <v>miércoles</v>
      </c>
      <c r="L1994" s="1">
        <f>DATEVALUE(_xlfn.CONCAT(BBDD_Usiarios_Netflix[[#This Row],[Día Último Pago]],"/",BBDD_Usiarios_Netflix[[#This Row],[Mes Último Pago]],"/",BBDD_Usiarios_Netflix[[#This Row],[Año Último Pago]]))</f>
        <v>45481</v>
      </c>
      <c r="M1994" s="4">
        <f>DATEDIF(BBDD_Usiarios_Netflix[[#This Row],[Fecha Suscripción]],BBDD_Usiarios_Netflix[[#This Row],[Fecha Último Pago]],"M")+1</f>
        <v>12</v>
      </c>
      <c r="N1994" s="4">
        <f>BBDD_Usiarios_Netflix[[#This Row],[Ingresos Mensuales]]*BBDD_Usiarios_Netflix[[#This Row],[Meses contratados]]</f>
        <v>144</v>
      </c>
      <c r="O1994" t="s">
        <v>40</v>
      </c>
      <c r="P1994" t="str">
        <f>IF(BBDD_Usiarios_Netflix[[#This Row],[País]]="","Desconocido",BBDD_Usiarios_Netflix[[#This Row],[País]])</f>
        <v>Italia</v>
      </c>
      <c r="Q1994">
        <v>29</v>
      </c>
      <c r="R1994" t="s">
        <v>30</v>
      </c>
      <c r="S1994" t="s">
        <v>31</v>
      </c>
      <c r="T1994" t="s">
        <v>38</v>
      </c>
      <c r="U1994">
        <f>IF(IFERROR(VLOOKUP(BBDD_Usiarios_Netflix[[#This Row],[Identificador Usuario]],A1995:$A$5870,1,FALSE),0)&lt;&gt;0,1,0)</f>
        <v>0</v>
      </c>
      <c r="V1994" s="6" t="str">
        <f>IF(BBDD_Usiarios_Netflix[[#This Row],[Duración Plan]]="12 Meses",LEFT(BBDD_Usiarios_Netflix[[#This Row],[Duración Plan]],2),LEFT(BBDD_Usiarios_Netflix[[#This Row],[Duración Plan]],1))</f>
        <v>3</v>
      </c>
      <c r="W19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1995" spans="1:23" x14ac:dyDescent="0.25">
      <c r="A1995">
        <v>1994</v>
      </c>
      <c r="B1995" t="s">
        <v>32</v>
      </c>
      <c r="C1995">
        <v>12</v>
      </c>
      <c r="D1995" s="3">
        <v>17</v>
      </c>
      <c r="E1995" s="3">
        <v>7</v>
      </c>
      <c r="F1995">
        <v>23</v>
      </c>
      <c r="G1995" s="1">
        <f>DATEVALUE(_xlfn.CONCAT(BBDD_Usiarios_Netflix[[#This Row],[Día Suscripción]],"/",BBDD_Usiarios_Netflix[[#This Row],[Mes Suscripción]],"/",BBDD_Usiarios_Netflix[[#This Row],[Año Suscripción]]))</f>
        <v>45124</v>
      </c>
      <c r="H1995" s="1">
        <v>10</v>
      </c>
      <c r="I1995" s="1">
        <v>7</v>
      </c>
      <c r="J1995" s="1">
        <v>24</v>
      </c>
      <c r="K1995" s="1" t="str">
        <f>TEXT(BBDD_Usiarios_Netflix[[#This Row],[Fecha Suscripción]],"dddd")</f>
        <v>lunes</v>
      </c>
      <c r="L1995" s="1">
        <f>DATEVALUE(_xlfn.CONCAT(BBDD_Usiarios_Netflix[[#This Row],[Día Último Pago]],"/",BBDD_Usiarios_Netflix[[#This Row],[Mes Último Pago]],"/",BBDD_Usiarios_Netflix[[#This Row],[Año Último Pago]]))</f>
        <v>45483</v>
      </c>
      <c r="M1995" s="4">
        <f>DATEDIF(BBDD_Usiarios_Netflix[[#This Row],[Fecha Suscripción]],BBDD_Usiarios_Netflix[[#This Row],[Fecha Último Pago]],"M")+1</f>
        <v>12</v>
      </c>
      <c r="N1995" s="4">
        <f>BBDD_Usiarios_Netflix[[#This Row],[Ingresos Mensuales]]*BBDD_Usiarios_Netflix[[#This Row],[Meses contratados]]</f>
        <v>144</v>
      </c>
      <c r="O1995" t="s">
        <v>24</v>
      </c>
      <c r="P1995" t="str">
        <f>IF(BBDD_Usiarios_Netflix[[#This Row],[País]]="","Desconocido",BBDD_Usiarios_Netflix[[#This Row],[País]])</f>
        <v>Australia</v>
      </c>
      <c r="Q1995">
        <v>28</v>
      </c>
      <c r="R1995" t="s">
        <v>25</v>
      </c>
      <c r="S1995" t="s">
        <v>36</v>
      </c>
      <c r="T1995" t="s">
        <v>27</v>
      </c>
      <c r="U1995">
        <f>IF(IFERROR(VLOOKUP(BBDD_Usiarios_Netflix[[#This Row],[Identificador Usuario]],A1996:$A$5870,1,FALSE),0)&lt;&gt;0,1,0)</f>
        <v>0</v>
      </c>
      <c r="V1995" s="6" t="str">
        <f>IF(BBDD_Usiarios_Netflix[[#This Row],[Duración Plan]]="12 Meses",LEFT(BBDD_Usiarios_Netflix[[#This Row],[Duración Plan]],2),LEFT(BBDD_Usiarios_Netflix[[#This Row],[Duración Plan]],1))</f>
        <v>1</v>
      </c>
      <c r="W19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96" spans="1:23" x14ac:dyDescent="0.25">
      <c r="A1996">
        <v>1995</v>
      </c>
      <c r="B1996" t="s">
        <v>23</v>
      </c>
      <c r="C1996">
        <v>10</v>
      </c>
      <c r="D1996" s="3">
        <v>12</v>
      </c>
      <c r="E1996" s="3">
        <v>7</v>
      </c>
      <c r="F1996">
        <v>23</v>
      </c>
      <c r="G1996" s="1">
        <f>DATEVALUE(_xlfn.CONCAT(BBDD_Usiarios_Netflix[[#This Row],[Día Suscripción]],"/",BBDD_Usiarios_Netflix[[#This Row],[Mes Suscripción]],"/",BBDD_Usiarios_Netflix[[#This Row],[Año Suscripción]]))</f>
        <v>45119</v>
      </c>
      <c r="H1996" s="1">
        <v>8</v>
      </c>
      <c r="I1996" s="1">
        <v>7</v>
      </c>
      <c r="J1996" s="1">
        <v>24</v>
      </c>
      <c r="K1996" s="1" t="str">
        <f>TEXT(BBDD_Usiarios_Netflix[[#This Row],[Fecha Suscripción]],"dddd")</f>
        <v>miércoles</v>
      </c>
      <c r="L1996" s="1">
        <f>DATEVALUE(_xlfn.CONCAT(BBDD_Usiarios_Netflix[[#This Row],[Día Último Pago]],"/",BBDD_Usiarios_Netflix[[#This Row],[Mes Último Pago]],"/",BBDD_Usiarios_Netflix[[#This Row],[Año Último Pago]]))</f>
        <v>45481</v>
      </c>
      <c r="M1996" s="4">
        <f>DATEDIF(BBDD_Usiarios_Netflix[[#This Row],[Fecha Suscripción]],BBDD_Usiarios_Netflix[[#This Row],[Fecha Último Pago]],"M")+1</f>
        <v>12</v>
      </c>
      <c r="N1996" s="4">
        <f>BBDD_Usiarios_Netflix[[#This Row],[Ingresos Mensuales]]*BBDD_Usiarios_Netflix[[#This Row],[Meses contratados]]</f>
        <v>120</v>
      </c>
      <c r="O1996" t="s">
        <v>29</v>
      </c>
      <c r="P1996" t="str">
        <f>IF(BBDD_Usiarios_Netflix[[#This Row],[País]]="","Desconocido",BBDD_Usiarios_Netflix[[#This Row],[País]])</f>
        <v>EEUU</v>
      </c>
      <c r="Q1996">
        <v>39</v>
      </c>
      <c r="R1996" t="s">
        <v>25</v>
      </c>
      <c r="S1996" t="s">
        <v>31</v>
      </c>
      <c r="T1996" t="s">
        <v>27</v>
      </c>
      <c r="U1996">
        <f>IF(IFERROR(VLOOKUP(BBDD_Usiarios_Netflix[[#This Row],[Identificador Usuario]],A1997:$A$5870,1,FALSE),0)&lt;&gt;0,1,0)</f>
        <v>0</v>
      </c>
      <c r="V1996" s="6" t="str">
        <f>IF(BBDD_Usiarios_Netflix[[#This Row],[Duración Plan]]="12 Meses",LEFT(BBDD_Usiarios_Netflix[[#This Row],[Duración Plan]],2),LEFT(BBDD_Usiarios_Netflix[[#This Row],[Duración Plan]],1))</f>
        <v>1</v>
      </c>
      <c r="W19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97" spans="1:23" x14ac:dyDescent="0.25">
      <c r="A1997">
        <v>1996</v>
      </c>
      <c r="B1997" t="s">
        <v>28</v>
      </c>
      <c r="C1997">
        <v>14</v>
      </c>
      <c r="D1997" s="3">
        <v>11</v>
      </c>
      <c r="E1997" s="3">
        <v>7</v>
      </c>
      <c r="F1997">
        <v>23</v>
      </c>
      <c r="G1997" s="1">
        <f>DATEVALUE(_xlfn.CONCAT(BBDD_Usiarios_Netflix[[#This Row],[Día Suscripción]],"/",BBDD_Usiarios_Netflix[[#This Row],[Mes Suscripción]],"/",BBDD_Usiarios_Netflix[[#This Row],[Año Suscripción]]))</f>
        <v>45118</v>
      </c>
      <c r="H1997" s="1">
        <v>10</v>
      </c>
      <c r="I1997" s="1">
        <v>7</v>
      </c>
      <c r="J1997" s="1">
        <v>24</v>
      </c>
      <c r="K1997" s="1" t="str">
        <f>TEXT(BBDD_Usiarios_Netflix[[#This Row],[Fecha Suscripción]],"dddd")</f>
        <v>martes</v>
      </c>
      <c r="L1997" s="1">
        <f>DATEVALUE(_xlfn.CONCAT(BBDD_Usiarios_Netflix[[#This Row],[Día Último Pago]],"/",BBDD_Usiarios_Netflix[[#This Row],[Mes Último Pago]],"/",BBDD_Usiarios_Netflix[[#This Row],[Año Último Pago]]))</f>
        <v>45483</v>
      </c>
      <c r="M1997" s="4">
        <f>DATEDIF(BBDD_Usiarios_Netflix[[#This Row],[Fecha Suscripción]],BBDD_Usiarios_Netflix[[#This Row],[Fecha Último Pago]],"M")+1</f>
        <v>12</v>
      </c>
      <c r="N1997" s="4">
        <f>BBDD_Usiarios_Netflix[[#This Row],[Ingresos Mensuales]]*BBDD_Usiarios_Netflix[[#This Row],[Meses contratados]]</f>
        <v>168</v>
      </c>
      <c r="O1997" t="s">
        <v>24</v>
      </c>
      <c r="P1997" t="str">
        <f>IF(BBDD_Usiarios_Netflix[[#This Row],[País]]="","Desconocido",BBDD_Usiarios_Netflix[[#This Row],[País]])</f>
        <v>Australia</v>
      </c>
      <c r="Q1997">
        <v>34</v>
      </c>
      <c r="R1997" t="s">
        <v>25</v>
      </c>
      <c r="S1997" t="s">
        <v>34</v>
      </c>
      <c r="T1997" t="s">
        <v>27</v>
      </c>
      <c r="U1997">
        <f>IF(IFERROR(VLOOKUP(BBDD_Usiarios_Netflix[[#This Row],[Identificador Usuario]],A1998:$A$5870,1,FALSE),0)&lt;&gt;0,1,0)</f>
        <v>0</v>
      </c>
      <c r="V1997" s="6" t="str">
        <f>IF(BBDD_Usiarios_Netflix[[#This Row],[Duración Plan]]="12 Meses",LEFT(BBDD_Usiarios_Netflix[[#This Row],[Duración Plan]],2),LEFT(BBDD_Usiarios_Netflix[[#This Row],[Duración Plan]],1))</f>
        <v>1</v>
      </c>
      <c r="W19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98" spans="1:23" x14ac:dyDescent="0.25">
      <c r="A1998">
        <v>1997</v>
      </c>
      <c r="B1998" t="s">
        <v>23</v>
      </c>
      <c r="C1998">
        <v>10</v>
      </c>
      <c r="D1998" s="3">
        <v>10</v>
      </c>
      <c r="E1998" s="3">
        <v>7</v>
      </c>
      <c r="F1998">
        <v>23</v>
      </c>
      <c r="G1998" s="1">
        <f>DATEVALUE(_xlfn.CONCAT(BBDD_Usiarios_Netflix[[#This Row],[Día Suscripción]],"/",BBDD_Usiarios_Netflix[[#This Row],[Mes Suscripción]],"/",BBDD_Usiarios_Netflix[[#This Row],[Año Suscripción]]))</f>
        <v>45117</v>
      </c>
      <c r="H1998" s="1">
        <v>8</v>
      </c>
      <c r="I1998" s="1">
        <v>7</v>
      </c>
      <c r="J1998" s="1">
        <v>24</v>
      </c>
      <c r="K1998" s="1" t="str">
        <f>TEXT(BBDD_Usiarios_Netflix[[#This Row],[Fecha Suscripción]],"dddd")</f>
        <v>lunes</v>
      </c>
      <c r="L1998" s="1">
        <f>DATEVALUE(_xlfn.CONCAT(BBDD_Usiarios_Netflix[[#This Row],[Día Último Pago]],"/",BBDD_Usiarios_Netflix[[#This Row],[Mes Último Pago]],"/",BBDD_Usiarios_Netflix[[#This Row],[Año Último Pago]]))</f>
        <v>45481</v>
      </c>
      <c r="M1998" s="4">
        <f>DATEDIF(BBDD_Usiarios_Netflix[[#This Row],[Fecha Suscripción]],BBDD_Usiarios_Netflix[[#This Row],[Fecha Último Pago]],"M")+1</f>
        <v>12</v>
      </c>
      <c r="N1998" s="4">
        <f>BBDD_Usiarios_Netflix[[#This Row],[Ingresos Mensuales]]*BBDD_Usiarios_Netflix[[#This Row],[Meses contratados]]</f>
        <v>120</v>
      </c>
      <c r="O1998" t="s">
        <v>37</v>
      </c>
      <c r="P1998" t="str">
        <f>IF(BBDD_Usiarios_Netflix[[#This Row],[País]]="","Desconocido",BBDD_Usiarios_Netflix[[#This Row],[País]])</f>
        <v>Brasil</v>
      </c>
      <c r="Q1998">
        <v>47</v>
      </c>
      <c r="R1998" t="s">
        <v>25</v>
      </c>
      <c r="S1998" t="s">
        <v>34</v>
      </c>
      <c r="T1998" t="s">
        <v>27</v>
      </c>
      <c r="U1998">
        <f>IF(IFERROR(VLOOKUP(BBDD_Usiarios_Netflix[[#This Row],[Identificador Usuario]],A1999:$A$5870,1,FALSE),0)&lt;&gt;0,1,0)</f>
        <v>0</v>
      </c>
      <c r="V1998" s="6" t="str">
        <f>IF(BBDD_Usiarios_Netflix[[#This Row],[Duración Plan]]="12 Meses",LEFT(BBDD_Usiarios_Netflix[[#This Row],[Duración Plan]],2),LEFT(BBDD_Usiarios_Netflix[[#This Row],[Duración Plan]],1))</f>
        <v>1</v>
      </c>
      <c r="W19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1999" spans="1:23" x14ac:dyDescent="0.25">
      <c r="A1999">
        <v>1998</v>
      </c>
      <c r="B1999" t="s">
        <v>32</v>
      </c>
      <c r="C1999">
        <v>12</v>
      </c>
      <c r="D1999" s="3">
        <v>10</v>
      </c>
      <c r="E1999" s="3">
        <v>7</v>
      </c>
      <c r="F1999">
        <v>23</v>
      </c>
      <c r="G1999" s="1">
        <f>DATEVALUE(_xlfn.CONCAT(BBDD_Usiarios_Netflix[[#This Row],[Día Suscripción]],"/",BBDD_Usiarios_Netflix[[#This Row],[Mes Suscripción]],"/",BBDD_Usiarios_Netflix[[#This Row],[Año Suscripción]]))</f>
        <v>45117</v>
      </c>
      <c r="H1999" s="1">
        <v>11</v>
      </c>
      <c r="I1999" s="1">
        <v>7</v>
      </c>
      <c r="J1999" s="1">
        <v>24</v>
      </c>
      <c r="K1999" s="1" t="str">
        <f>TEXT(BBDD_Usiarios_Netflix[[#This Row],[Fecha Suscripción]],"dddd")</f>
        <v>lunes</v>
      </c>
      <c r="L1999" s="1">
        <f>DATEVALUE(_xlfn.CONCAT(BBDD_Usiarios_Netflix[[#This Row],[Día Último Pago]],"/",BBDD_Usiarios_Netflix[[#This Row],[Mes Último Pago]],"/",BBDD_Usiarios_Netflix[[#This Row],[Año Último Pago]]))</f>
        <v>45484</v>
      </c>
      <c r="M1999" s="4">
        <f>DATEDIF(BBDD_Usiarios_Netflix[[#This Row],[Fecha Suscripción]],BBDD_Usiarios_Netflix[[#This Row],[Fecha Último Pago]],"M")+1</f>
        <v>13</v>
      </c>
      <c r="N1999" s="4">
        <f>BBDD_Usiarios_Netflix[[#This Row],[Ingresos Mensuales]]*BBDD_Usiarios_Netflix[[#This Row],[Meses contratados]]</f>
        <v>156</v>
      </c>
      <c r="O1999" t="s">
        <v>45</v>
      </c>
      <c r="P1999" t="str">
        <f>IF(BBDD_Usiarios_Netflix[[#This Row],[País]]="","Desconocido",BBDD_Usiarios_Netflix[[#This Row],[País]])</f>
        <v>España</v>
      </c>
      <c r="Q1999">
        <v>47</v>
      </c>
      <c r="R1999" t="s">
        <v>30</v>
      </c>
      <c r="S1999" t="s">
        <v>34</v>
      </c>
      <c r="T1999" t="s">
        <v>35</v>
      </c>
      <c r="U1999">
        <f>IF(IFERROR(VLOOKUP(BBDD_Usiarios_Netflix[[#This Row],[Identificador Usuario]],A2000:$A$5870,1,FALSE),0)&lt;&gt;0,1,0)</f>
        <v>0</v>
      </c>
      <c r="V1999" s="6" t="str">
        <f>IF(BBDD_Usiarios_Netflix[[#This Row],[Duración Plan]]="12 Meses",LEFT(BBDD_Usiarios_Netflix[[#This Row],[Duración Plan]],2),LEFT(BBDD_Usiarios_Netflix[[#This Row],[Duración Plan]],1))</f>
        <v>6</v>
      </c>
      <c r="W19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00" spans="1:23" x14ac:dyDescent="0.25">
      <c r="A2000">
        <v>1999</v>
      </c>
      <c r="B2000" t="s">
        <v>28</v>
      </c>
      <c r="C2000">
        <v>14</v>
      </c>
      <c r="D2000" s="3">
        <v>8</v>
      </c>
      <c r="E2000" s="3">
        <v>7</v>
      </c>
      <c r="F2000">
        <v>23</v>
      </c>
      <c r="G2000" s="1">
        <f>DATEVALUE(_xlfn.CONCAT(BBDD_Usiarios_Netflix[[#This Row],[Día Suscripción]],"/",BBDD_Usiarios_Netflix[[#This Row],[Mes Suscripción]],"/",BBDD_Usiarios_Netflix[[#This Row],[Año Suscripción]]))</f>
        <v>45115</v>
      </c>
      <c r="H2000" s="1">
        <v>8</v>
      </c>
      <c r="I2000" s="1">
        <v>7</v>
      </c>
      <c r="J2000" s="1">
        <v>24</v>
      </c>
      <c r="K2000" s="1" t="str">
        <f>TEXT(BBDD_Usiarios_Netflix[[#This Row],[Fecha Suscripción]],"dddd")</f>
        <v>sábado</v>
      </c>
      <c r="L2000" s="1">
        <f>DATEVALUE(_xlfn.CONCAT(BBDD_Usiarios_Netflix[[#This Row],[Día Último Pago]],"/",BBDD_Usiarios_Netflix[[#This Row],[Mes Último Pago]],"/",BBDD_Usiarios_Netflix[[#This Row],[Año Último Pago]]))</f>
        <v>45481</v>
      </c>
      <c r="M2000" s="4">
        <f>DATEDIF(BBDD_Usiarios_Netflix[[#This Row],[Fecha Suscripción]],BBDD_Usiarios_Netflix[[#This Row],[Fecha Último Pago]],"M")+1</f>
        <v>13</v>
      </c>
      <c r="N2000" s="4">
        <f>BBDD_Usiarios_Netflix[[#This Row],[Ingresos Mensuales]]*BBDD_Usiarios_Netflix[[#This Row],[Meses contratados]]</f>
        <v>182</v>
      </c>
      <c r="O2000" t="s">
        <v>46</v>
      </c>
      <c r="P2000" t="str">
        <f>IF(BBDD_Usiarios_Netflix[[#This Row],[País]]="","Desconocido",BBDD_Usiarios_Netflix[[#This Row],[País]])</f>
        <v>Méjico</v>
      </c>
      <c r="Q2000">
        <v>46</v>
      </c>
      <c r="R2000" t="s">
        <v>25</v>
      </c>
      <c r="S2000" t="s">
        <v>34</v>
      </c>
      <c r="T2000" t="s">
        <v>27</v>
      </c>
      <c r="U2000">
        <f>IF(IFERROR(VLOOKUP(BBDD_Usiarios_Netflix[[#This Row],[Identificador Usuario]],A2001:$A$5870,1,FALSE),0)&lt;&gt;0,1,0)</f>
        <v>0</v>
      </c>
      <c r="V2000" s="6" t="str">
        <f>IF(BBDD_Usiarios_Netflix[[#This Row],[Duración Plan]]="12 Meses",LEFT(BBDD_Usiarios_Netflix[[#This Row],[Duración Plan]],2),LEFT(BBDD_Usiarios_Netflix[[#This Row],[Duración Plan]],1))</f>
        <v>1</v>
      </c>
      <c r="W20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01" spans="1:23" x14ac:dyDescent="0.25">
      <c r="A2001">
        <v>2000</v>
      </c>
      <c r="B2001" t="s">
        <v>23</v>
      </c>
      <c r="C2001">
        <v>10</v>
      </c>
      <c r="D2001" s="3">
        <v>9</v>
      </c>
      <c r="E2001" s="3">
        <v>7</v>
      </c>
      <c r="F2001">
        <v>23</v>
      </c>
      <c r="G2001" s="1">
        <f>DATEVALUE(_xlfn.CONCAT(BBDD_Usiarios_Netflix[[#This Row],[Día Suscripción]],"/",BBDD_Usiarios_Netflix[[#This Row],[Mes Suscripción]],"/",BBDD_Usiarios_Netflix[[#This Row],[Año Suscripción]]))</f>
        <v>45116</v>
      </c>
      <c r="H2001" s="1">
        <v>9</v>
      </c>
      <c r="I2001" s="1">
        <v>7</v>
      </c>
      <c r="J2001" s="1">
        <v>24</v>
      </c>
      <c r="K2001" s="1" t="str">
        <f>TEXT(BBDD_Usiarios_Netflix[[#This Row],[Fecha Suscripción]],"dddd")</f>
        <v>domingo</v>
      </c>
      <c r="L2001" s="1">
        <f>DATEVALUE(_xlfn.CONCAT(BBDD_Usiarios_Netflix[[#This Row],[Día Último Pago]],"/",BBDD_Usiarios_Netflix[[#This Row],[Mes Último Pago]],"/",BBDD_Usiarios_Netflix[[#This Row],[Año Último Pago]]))</f>
        <v>45482</v>
      </c>
      <c r="M2001" s="4">
        <f>DATEDIF(BBDD_Usiarios_Netflix[[#This Row],[Fecha Suscripción]],BBDD_Usiarios_Netflix[[#This Row],[Fecha Último Pago]],"M")+1</f>
        <v>13</v>
      </c>
      <c r="N2001" s="4">
        <f>BBDD_Usiarios_Netflix[[#This Row],[Ingresos Mensuales]]*BBDD_Usiarios_Netflix[[#This Row],[Meses contratados]]</f>
        <v>130</v>
      </c>
      <c r="O2001" t="s">
        <v>39</v>
      </c>
      <c r="P2001" t="str">
        <f>IF(BBDD_Usiarios_Netflix[[#This Row],[País]]="","Desconocido",BBDD_Usiarios_Netflix[[#This Row],[País]])</f>
        <v>Canadá</v>
      </c>
      <c r="Q2001">
        <v>31</v>
      </c>
      <c r="R2001" t="s">
        <v>25</v>
      </c>
      <c r="S2001" t="s">
        <v>34</v>
      </c>
      <c r="T2001" t="s">
        <v>27</v>
      </c>
      <c r="U2001">
        <f>IF(IFERROR(VLOOKUP(BBDD_Usiarios_Netflix[[#This Row],[Identificador Usuario]],A2002:$A$5870,1,FALSE),0)&lt;&gt;0,1,0)</f>
        <v>0</v>
      </c>
      <c r="V2001" s="6" t="str">
        <f>IF(BBDD_Usiarios_Netflix[[#This Row],[Duración Plan]]="12 Meses",LEFT(BBDD_Usiarios_Netflix[[#This Row],[Duración Plan]],2),LEFT(BBDD_Usiarios_Netflix[[#This Row],[Duración Plan]],1))</f>
        <v>1</v>
      </c>
      <c r="W20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02" spans="1:23" x14ac:dyDescent="0.25">
      <c r="A2002">
        <v>2001</v>
      </c>
      <c r="B2002" t="s">
        <v>28</v>
      </c>
      <c r="C2002">
        <v>14</v>
      </c>
      <c r="D2002" s="3">
        <v>9</v>
      </c>
      <c r="E2002" s="3">
        <v>7</v>
      </c>
      <c r="F2002">
        <v>23</v>
      </c>
      <c r="G2002" s="1">
        <f>DATEVALUE(_xlfn.CONCAT(BBDD_Usiarios_Netflix[[#This Row],[Día Suscripción]],"/",BBDD_Usiarios_Netflix[[#This Row],[Mes Suscripción]],"/",BBDD_Usiarios_Netflix[[#This Row],[Año Suscripción]]))</f>
        <v>45116</v>
      </c>
      <c r="H2002" s="1">
        <v>8</v>
      </c>
      <c r="I2002" s="1">
        <v>7</v>
      </c>
      <c r="J2002" s="1">
        <v>24</v>
      </c>
      <c r="K2002" s="1" t="str">
        <f>TEXT(BBDD_Usiarios_Netflix[[#This Row],[Fecha Suscripción]],"dddd")</f>
        <v>domingo</v>
      </c>
      <c r="L2002" s="1">
        <f>DATEVALUE(_xlfn.CONCAT(BBDD_Usiarios_Netflix[[#This Row],[Día Último Pago]],"/",BBDD_Usiarios_Netflix[[#This Row],[Mes Último Pago]],"/",BBDD_Usiarios_Netflix[[#This Row],[Año Último Pago]]))</f>
        <v>45481</v>
      </c>
      <c r="M2002" s="4">
        <f>DATEDIF(BBDD_Usiarios_Netflix[[#This Row],[Fecha Suscripción]],BBDD_Usiarios_Netflix[[#This Row],[Fecha Último Pago]],"M")+1</f>
        <v>12</v>
      </c>
      <c r="N2002" s="4">
        <f>BBDD_Usiarios_Netflix[[#This Row],[Ingresos Mensuales]]*BBDD_Usiarios_Netflix[[#This Row],[Meses contratados]]</f>
        <v>168</v>
      </c>
      <c r="O2002" t="s">
        <v>43</v>
      </c>
      <c r="P2002" t="str">
        <f>IF(BBDD_Usiarios_Netflix[[#This Row],[País]]="","Desconocido",BBDD_Usiarios_Netflix[[#This Row],[País]])</f>
        <v>Alemania</v>
      </c>
      <c r="Q2002">
        <v>41</v>
      </c>
      <c r="R2002" t="s">
        <v>30</v>
      </c>
      <c r="S2002" t="s">
        <v>34</v>
      </c>
      <c r="T2002" t="s">
        <v>38</v>
      </c>
      <c r="U2002">
        <f>IF(IFERROR(VLOOKUP(BBDD_Usiarios_Netflix[[#This Row],[Identificador Usuario]],A2003:$A$5870,1,FALSE),0)&lt;&gt;0,1,0)</f>
        <v>0</v>
      </c>
      <c r="V2002" s="6" t="str">
        <f>IF(BBDD_Usiarios_Netflix[[#This Row],[Duración Plan]]="12 Meses",LEFT(BBDD_Usiarios_Netflix[[#This Row],[Duración Plan]],2),LEFT(BBDD_Usiarios_Netflix[[#This Row],[Duración Plan]],1))</f>
        <v>3</v>
      </c>
      <c r="W20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03" spans="1:23" x14ac:dyDescent="0.25">
      <c r="A2003">
        <v>2002</v>
      </c>
      <c r="B2003" t="s">
        <v>23</v>
      </c>
      <c r="C2003">
        <v>10</v>
      </c>
      <c r="D2003" s="3">
        <v>9</v>
      </c>
      <c r="E2003" s="3">
        <v>7</v>
      </c>
      <c r="F2003">
        <v>23</v>
      </c>
      <c r="G2003" s="1">
        <f>DATEVALUE(_xlfn.CONCAT(BBDD_Usiarios_Netflix[[#This Row],[Día Suscripción]],"/",BBDD_Usiarios_Netflix[[#This Row],[Mes Suscripción]],"/",BBDD_Usiarios_Netflix[[#This Row],[Año Suscripción]]))</f>
        <v>45116</v>
      </c>
      <c r="H2003" s="1">
        <v>11</v>
      </c>
      <c r="I2003" s="1">
        <v>7</v>
      </c>
      <c r="J2003" s="1">
        <v>24</v>
      </c>
      <c r="K2003" s="1" t="str">
        <f>TEXT(BBDD_Usiarios_Netflix[[#This Row],[Fecha Suscripción]],"dddd")</f>
        <v>domingo</v>
      </c>
      <c r="L2003" s="1">
        <f>DATEVALUE(_xlfn.CONCAT(BBDD_Usiarios_Netflix[[#This Row],[Día Último Pago]],"/",BBDD_Usiarios_Netflix[[#This Row],[Mes Último Pago]],"/",BBDD_Usiarios_Netflix[[#This Row],[Año Último Pago]]))</f>
        <v>45484</v>
      </c>
      <c r="M2003" s="4">
        <f>DATEDIF(BBDD_Usiarios_Netflix[[#This Row],[Fecha Suscripción]],BBDD_Usiarios_Netflix[[#This Row],[Fecha Último Pago]],"M")+1</f>
        <v>13</v>
      </c>
      <c r="N2003" s="4">
        <f>BBDD_Usiarios_Netflix[[#This Row],[Ingresos Mensuales]]*BBDD_Usiarios_Netflix[[#This Row],[Meses contratados]]</f>
        <v>130</v>
      </c>
      <c r="O2003" t="s">
        <v>46</v>
      </c>
      <c r="P2003" t="str">
        <f>IF(BBDD_Usiarios_Netflix[[#This Row],[País]]="","Desconocido",BBDD_Usiarios_Netflix[[#This Row],[País]])</f>
        <v>Méjico</v>
      </c>
      <c r="Q2003">
        <v>30</v>
      </c>
      <c r="R2003" t="s">
        <v>30</v>
      </c>
      <c r="S2003" t="s">
        <v>26</v>
      </c>
      <c r="T2003" t="s">
        <v>41</v>
      </c>
      <c r="U2003">
        <f>IF(IFERROR(VLOOKUP(BBDD_Usiarios_Netflix[[#This Row],[Identificador Usuario]],A2004:$A$5870,1,FALSE),0)&lt;&gt;0,1,0)</f>
        <v>0</v>
      </c>
      <c r="V2003" s="6" t="str">
        <f>IF(BBDD_Usiarios_Netflix[[#This Row],[Duración Plan]]="12 Meses",LEFT(BBDD_Usiarios_Netflix[[#This Row],[Duración Plan]],2),LEFT(BBDD_Usiarios_Netflix[[#This Row],[Duración Plan]],1))</f>
        <v>12</v>
      </c>
      <c r="W20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04" spans="1:23" x14ac:dyDescent="0.25">
      <c r="A2004">
        <v>2003</v>
      </c>
      <c r="B2004" t="s">
        <v>32</v>
      </c>
      <c r="C2004">
        <v>12</v>
      </c>
      <c r="D2004" s="3">
        <v>10</v>
      </c>
      <c r="E2004" s="3">
        <v>7</v>
      </c>
      <c r="F2004">
        <v>23</v>
      </c>
      <c r="G2004" s="1">
        <f>DATEVALUE(_xlfn.CONCAT(BBDD_Usiarios_Netflix[[#This Row],[Día Suscripción]],"/",BBDD_Usiarios_Netflix[[#This Row],[Mes Suscripción]],"/",BBDD_Usiarios_Netflix[[#This Row],[Año Suscripción]]))</f>
        <v>45117</v>
      </c>
      <c r="H2004" s="1">
        <v>8</v>
      </c>
      <c r="I2004" s="1">
        <v>7</v>
      </c>
      <c r="J2004" s="1">
        <v>24</v>
      </c>
      <c r="K2004" s="1" t="str">
        <f>TEXT(BBDD_Usiarios_Netflix[[#This Row],[Fecha Suscripción]],"dddd")</f>
        <v>lunes</v>
      </c>
      <c r="L2004" s="1">
        <f>DATEVALUE(_xlfn.CONCAT(BBDD_Usiarios_Netflix[[#This Row],[Día Último Pago]],"/",BBDD_Usiarios_Netflix[[#This Row],[Mes Último Pago]],"/",BBDD_Usiarios_Netflix[[#This Row],[Año Último Pago]]))</f>
        <v>45481</v>
      </c>
      <c r="M2004" s="4">
        <f>DATEDIF(BBDD_Usiarios_Netflix[[#This Row],[Fecha Suscripción]],BBDD_Usiarios_Netflix[[#This Row],[Fecha Último Pago]],"M")+1</f>
        <v>12</v>
      </c>
      <c r="N2004" s="4">
        <f>BBDD_Usiarios_Netflix[[#This Row],[Ingresos Mensuales]]*BBDD_Usiarios_Netflix[[#This Row],[Meses contratados]]</f>
        <v>144</v>
      </c>
      <c r="O2004" t="s">
        <v>24</v>
      </c>
      <c r="P2004" t="str">
        <f>IF(BBDD_Usiarios_Netflix[[#This Row],[País]]="","Desconocido",BBDD_Usiarios_Netflix[[#This Row],[País]])</f>
        <v>Australia</v>
      </c>
      <c r="Q2004">
        <v>41</v>
      </c>
      <c r="R2004" t="s">
        <v>25</v>
      </c>
      <c r="S2004" t="s">
        <v>31</v>
      </c>
      <c r="T2004" t="s">
        <v>41</v>
      </c>
      <c r="U2004">
        <f>IF(IFERROR(VLOOKUP(BBDD_Usiarios_Netflix[[#This Row],[Identificador Usuario]],A2005:$A$5870,1,FALSE),0)&lt;&gt;0,1,0)</f>
        <v>0</v>
      </c>
      <c r="V2004" s="6" t="str">
        <f>IF(BBDD_Usiarios_Netflix[[#This Row],[Duración Plan]]="12 Meses",LEFT(BBDD_Usiarios_Netflix[[#This Row],[Duración Plan]],2),LEFT(BBDD_Usiarios_Netflix[[#This Row],[Duración Plan]],1))</f>
        <v>12</v>
      </c>
      <c r="W20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05" spans="1:23" x14ac:dyDescent="0.25">
      <c r="A2005">
        <v>2004</v>
      </c>
      <c r="B2005" t="s">
        <v>32</v>
      </c>
      <c r="C2005">
        <v>12</v>
      </c>
      <c r="D2005" s="3">
        <v>12</v>
      </c>
      <c r="E2005" s="3">
        <v>7</v>
      </c>
      <c r="F2005">
        <v>23</v>
      </c>
      <c r="G2005" s="1">
        <f>DATEVALUE(_xlfn.CONCAT(BBDD_Usiarios_Netflix[[#This Row],[Día Suscripción]],"/",BBDD_Usiarios_Netflix[[#This Row],[Mes Suscripción]],"/",BBDD_Usiarios_Netflix[[#This Row],[Año Suscripción]]))</f>
        <v>45119</v>
      </c>
      <c r="H2005" s="1">
        <v>8</v>
      </c>
      <c r="I2005" s="1">
        <v>7</v>
      </c>
      <c r="J2005" s="1">
        <v>24</v>
      </c>
      <c r="K2005" s="1" t="str">
        <f>TEXT(BBDD_Usiarios_Netflix[[#This Row],[Fecha Suscripción]],"dddd")</f>
        <v>miércoles</v>
      </c>
      <c r="L2005" s="1">
        <f>DATEVALUE(_xlfn.CONCAT(BBDD_Usiarios_Netflix[[#This Row],[Día Último Pago]],"/",BBDD_Usiarios_Netflix[[#This Row],[Mes Último Pago]],"/",BBDD_Usiarios_Netflix[[#This Row],[Año Último Pago]]))</f>
        <v>45481</v>
      </c>
      <c r="M2005" s="4">
        <f>DATEDIF(BBDD_Usiarios_Netflix[[#This Row],[Fecha Suscripción]],BBDD_Usiarios_Netflix[[#This Row],[Fecha Último Pago]],"M")+1</f>
        <v>12</v>
      </c>
      <c r="N2005" s="4">
        <f>BBDD_Usiarios_Netflix[[#This Row],[Ingresos Mensuales]]*BBDD_Usiarios_Netflix[[#This Row],[Meses contratados]]</f>
        <v>144</v>
      </c>
      <c r="O2005" t="s">
        <v>33</v>
      </c>
      <c r="P2005" t="str">
        <f>IF(BBDD_Usiarios_Netflix[[#This Row],[País]]="","Desconocido",BBDD_Usiarios_Netflix[[#This Row],[País]])</f>
        <v>Francia</v>
      </c>
      <c r="Q2005">
        <v>48</v>
      </c>
      <c r="R2005" t="s">
        <v>30</v>
      </c>
      <c r="S2005" t="s">
        <v>36</v>
      </c>
      <c r="T2005" t="s">
        <v>38</v>
      </c>
      <c r="U2005">
        <f>IF(IFERROR(VLOOKUP(BBDD_Usiarios_Netflix[[#This Row],[Identificador Usuario]],A2006:$A$5870,1,FALSE),0)&lt;&gt;0,1,0)</f>
        <v>0</v>
      </c>
      <c r="V2005" s="6" t="str">
        <f>IF(BBDD_Usiarios_Netflix[[#This Row],[Duración Plan]]="12 Meses",LEFT(BBDD_Usiarios_Netflix[[#This Row],[Duración Plan]],2),LEFT(BBDD_Usiarios_Netflix[[#This Row],[Duración Plan]],1))</f>
        <v>3</v>
      </c>
      <c r="W20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06" spans="1:23" x14ac:dyDescent="0.25">
      <c r="A2006">
        <v>2005</v>
      </c>
      <c r="B2006" t="s">
        <v>23</v>
      </c>
      <c r="C2006">
        <v>10</v>
      </c>
      <c r="D2006" s="3">
        <v>13</v>
      </c>
      <c r="E2006" s="3">
        <v>7</v>
      </c>
      <c r="F2006">
        <v>23</v>
      </c>
      <c r="G2006" s="1">
        <f>DATEVALUE(_xlfn.CONCAT(BBDD_Usiarios_Netflix[[#This Row],[Día Suscripción]],"/",BBDD_Usiarios_Netflix[[#This Row],[Mes Suscripción]],"/",BBDD_Usiarios_Netflix[[#This Row],[Año Suscripción]]))</f>
        <v>45120</v>
      </c>
      <c r="H2006" s="1">
        <v>9</v>
      </c>
      <c r="I2006" s="1">
        <v>7</v>
      </c>
      <c r="J2006" s="1">
        <v>24</v>
      </c>
      <c r="K2006" s="1" t="str">
        <f>TEXT(BBDD_Usiarios_Netflix[[#This Row],[Fecha Suscripción]],"dddd")</f>
        <v>jueves</v>
      </c>
      <c r="L2006" s="1">
        <f>DATEVALUE(_xlfn.CONCAT(BBDD_Usiarios_Netflix[[#This Row],[Día Último Pago]],"/",BBDD_Usiarios_Netflix[[#This Row],[Mes Último Pago]],"/",BBDD_Usiarios_Netflix[[#This Row],[Año Último Pago]]))</f>
        <v>45482</v>
      </c>
      <c r="M2006" s="4">
        <f>DATEDIF(BBDD_Usiarios_Netflix[[#This Row],[Fecha Suscripción]],BBDD_Usiarios_Netflix[[#This Row],[Fecha Último Pago]],"M")+1</f>
        <v>12</v>
      </c>
      <c r="N2006" s="4">
        <f>BBDD_Usiarios_Netflix[[#This Row],[Ingresos Mensuales]]*BBDD_Usiarios_Netflix[[#This Row],[Meses contratados]]</f>
        <v>120</v>
      </c>
      <c r="O2006" t="s">
        <v>33</v>
      </c>
      <c r="P2006" t="str">
        <f>IF(BBDD_Usiarios_Netflix[[#This Row],[País]]="","Desconocido",BBDD_Usiarios_Netflix[[#This Row],[País]])</f>
        <v>Francia</v>
      </c>
      <c r="Q2006">
        <v>35</v>
      </c>
      <c r="R2006" t="s">
        <v>30</v>
      </c>
      <c r="S2006" t="s">
        <v>36</v>
      </c>
      <c r="T2006" t="s">
        <v>41</v>
      </c>
      <c r="U2006">
        <f>IF(IFERROR(VLOOKUP(BBDD_Usiarios_Netflix[[#This Row],[Identificador Usuario]],A2007:$A$5870,1,FALSE),0)&lt;&gt;0,1,0)</f>
        <v>0</v>
      </c>
      <c r="V2006" s="6" t="str">
        <f>IF(BBDD_Usiarios_Netflix[[#This Row],[Duración Plan]]="12 Meses",LEFT(BBDD_Usiarios_Netflix[[#This Row],[Duración Plan]],2),LEFT(BBDD_Usiarios_Netflix[[#This Row],[Duración Plan]],1))</f>
        <v>12</v>
      </c>
      <c r="W20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07" spans="1:23" x14ac:dyDescent="0.25">
      <c r="A2007">
        <v>2006</v>
      </c>
      <c r="B2007" t="s">
        <v>28</v>
      </c>
      <c r="C2007">
        <v>14</v>
      </c>
      <c r="D2007" s="3">
        <v>16</v>
      </c>
      <c r="E2007" s="3">
        <v>7</v>
      </c>
      <c r="F2007">
        <v>23</v>
      </c>
      <c r="G2007" s="1">
        <f>DATEVALUE(_xlfn.CONCAT(BBDD_Usiarios_Netflix[[#This Row],[Día Suscripción]],"/",BBDD_Usiarios_Netflix[[#This Row],[Mes Suscripción]],"/",BBDD_Usiarios_Netflix[[#This Row],[Año Suscripción]]))</f>
        <v>45123</v>
      </c>
      <c r="H2007" s="1">
        <v>10</v>
      </c>
      <c r="I2007" s="1">
        <v>7</v>
      </c>
      <c r="J2007" s="1">
        <v>24</v>
      </c>
      <c r="K2007" s="1" t="str">
        <f>TEXT(BBDD_Usiarios_Netflix[[#This Row],[Fecha Suscripción]],"dddd")</f>
        <v>domingo</v>
      </c>
      <c r="L2007" s="1">
        <f>DATEVALUE(_xlfn.CONCAT(BBDD_Usiarios_Netflix[[#This Row],[Día Último Pago]],"/",BBDD_Usiarios_Netflix[[#This Row],[Mes Último Pago]],"/",BBDD_Usiarios_Netflix[[#This Row],[Año Último Pago]]))</f>
        <v>45483</v>
      </c>
      <c r="M2007" s="4">
        <f>DATEDIF(BBDD_Usiarios_Netflix[[#This Row],[Fecha Suscripción]],BBDD_Usiarios_Netflix[[#This Row],[Fecha Último Pago]],"M")+1</f>
        <v>12</v>
      </c>
      <c r="N2007" s="4">
        <f>BBDD_Usiarios_Netflix[[#This Row],[Ingresos Mensuales]]*BBDD_Usiarios_Netflix[[#This Row],[Meses contratados]]</f>
        <v>168</v>
      </c>
      <c r="O2007" t="s">
        <v>29</v>
      </c>
      <c r="P2007" t="str">
        <f>IF(BBDD_Usiarios_Netflix[[#This Row],[País]]="","Desconocido",BBDD_Usiarios_Netflix[[#This Row],[País]])</f>
        <v>EEUU</v>
      </c>
      <c r="Q2007">
        <v>41</v>
      </c>
      <c r="R2007" t="s">
        <v>30</v>
      </c>
      <c r="S2007" t="s">
        <v>36</v>
      </c>
      <c r="T2007" t="s">
        <v>41</v>
      </c>
      <c r="U2007">
        <f>IF(IFERROR(VLOOKUP(BBDD_Usiarios_Netflix[[#This Row],[Identificador Usuario]],A2008:$A$5870,1,FALSE),0)&lt;&gt;0,1,0)</f>
        <v>0</v>
      </c>
      <c r="V2007" s="6" t="str">
        <f>IF(BBDD_Usiarios_Netflix[[#This Row],[Duración Plan]]="12 Meses",LEFT(BBDD_Usiarios_Netflix[[#This Row],[Duración Plan]],2),LEFT(BBDD_Usiarios_Netflix[[#This Row],[Duración Plan]],1))</f>
        <v>12</v>
      </c>
      <c r="W20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08" spans="1:23" x14ac:dyDescent="0.25">
      <c r="A2008">
        <v>2007</v>
      </c>
      <c r="B2008" t="s">
        <v>23</v>
      </c>
      <c r="C2008">
        <v>10</v>
      </c>
      <c r="D2008" s="3">
        <v>17</v>
      </c>
      <c r="E2008" s="3">
        <v>7</v>
      </c>
      <c r="F2008">
        <v>23</v>
      </c>
      <c r="G2008" s="1">
        <f>DATEVALUE(_xlfn.CONCAT(BBDD_Usiarios_Netflix[[#This Row],[Día Suscripción]],"/",BBDD_Usiarios_Netflix[[#This Row],[Mes Suscripción]],"/",BBDD_Usiarios_Netflix[[#This Row],[Año Suscripción]]))</f>
        <v>45124</v>
      </c>
      <c r="H2008" s="1">
        <v>7</v>
      </c>
      <c r="I2008" s="1">
        <v>7</v>
      </c>
      <c r="J2008" s="1">
        <v>24</v>
      </c>
      <c r="K2008" s="1" t="str">
        <f>TEXT(BBDD_Usiarios_Netflix[[#This Row],[Fecha Suscripción]],"dddd")</f>
        <v>lunes</v>
      </c>
      <c r="L2008" s="1">
        <f>DATEVALUE(_xlfn.CONCAT(BBDD_Usiarios_Netflix[[#This Row],[Día Último Pago]],"/",BBDD_Usiarios_Netflix[[#This Row],[Mes Último Pago]],"/",BBDD_Usiarios_Netflix[[#This Row],[Año Último Pago]]))</f>
        <v>45480</v>
      </c>
      <c r="M2008" s="4">
        <f>DATEDIF(BBDD_Usiarios_Netflix[[#This Row],[Fecha Suscripción]],BBDD_Usiarios_Netflix[[#This Row],[Fecha Último Pago]],"M")+1</f>
        <v>12</v>
      </c>
      <c r="N2008" s="4">
        <f>BBDD_Usiarios_Netflix[[#This Row],[Ingresos Mensuales]]*BBDD_Usiarios_Netflix[[#This Row],[Meses contratados]]</f>
        <v>120</v>
      </c>
      <c r="O2008" t="s">
        <v>37</v>
      </c>
      <c r="P2008" t="str">
        <f>IF(BBDD_Usiarios_Netflix[[#This Row],[País]]="","Desconocido",BBDD_Usiarios_Netflix[[#This Row],[País]])</f>
        <v>Brasil</v>
      </c>
      <c r="Q2008">
        <v>39</v>
      </c>
      <c r="R2008" t="s">
        <v>30</v>
      </c>
      <c r="S2008" t="s">
        <v>34</v>
      </c>
      <c r="T2008" t="s">
        <v>27</v>
      </c>
      <c r="U2008">
        <f>IF(IFERROR(VLOOKUP(BBDD_Usiarios_Netflix[[#This Row],[Identificador Usuario]],A2009:$A$5870,1,FALSE),0)&lt;&gt;0,1,0)</f>
        <v>0</v>
      </c>
      <c r="V2008" s="6" t="str">
        <f>IF(BBDD_Usiarios_Netflix[[#This Row],[Duración Plan]]="12 Meses",LEFT(BBDD_Usiarios_Netflix[[#This Row],[Duración Plan]],2),LEFT(BBDD_Usiarios_Netflix[[#This Row],[Duración Plan]],1))</f>
        <v>1</v>
      </c>
      <c r="W20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09" spans="1:23" x14ac:dyDescent="0.25">
      <c r="A2009">
        <v>2008</v>
      </c>
      <c r="B2009" t="s">
        <v>32</v>
      </c>
      <c r="C2009">
        <v>12</v>
      </c>
      <c r="D2009" s="3">
        <v>26</v>
      </c>
      <c r="E2009" s="3">
        <v>7</v>
      </c>
      <c r="F2009">
        <v>23</v>
      </c>
      <c r="G2009" s="1">
        <f>DATEVALUE(_xlfn.CONCAT(BBDD_Usiarios_Netflix[[#This Row],[Día Suscripción]],"/",BBDD_Usiarios_Netflix[[#This Row],[Mes Suscripción]],"/",BBDD_Usiarios_Netflix[[#This Row],[Año Suscripción]]))</f>
        <v>45133</v>
      </c>
      <c r="H2009" s="1">
        <v>9</v>
      </c>
      <c r="I2009" s="1">
        <v>7</v>
      </c>
      <c r="J2009" s="1">
        <v>24</v>
      </c>
      <c r="K2009" s="1" t="str">
        <f>TEXT(BBDD_Usiarios_Netflix[[#This Row],[Fecha Suscripción]],"dddd")</f>
        <v>miércoles</v>
      </c>
      <c r="L2009" s="1">
        <f>DATEVALUE(_xlfn.CONCAT(BBDD_Usiarios_Netflix[[#This Row],[Día Último Pago]],"/",BBDD_Usiarios_Netflix[[#This Row],[Mes Último Pago]],"/",BBDD_Usiarios_Netflix[[#This Row],[Año Último Pago]]))</f>
        <v>45482</v>
      </c>
      <c r="M2009" s="4">
        <f>DATEDIF(BBDD_Usiarios_Netflix[[#This Row],[Fecha Suscripción]],BBDD_Usiarios_Netflix[[#This Row],[Fecha Último Pago]],"M")+1</f>
        <v>12</v>
      </c>
      <c r="N2009" s="4">
        <f>BBDD_Usiarios_Netflix[[#This Row],[Ingresos Mensuales]]*BBDD_Usiarios_Netflix[[#This Row],[Meses contratados]]</f>
        <v>144</v>
      </c>
      <c r="O2009" t="s">
        <v>33</v>
      </c>
      <c r="P2009" t="str">
        <f>IF(BBDD_Usiarios_Netflix[[#This Row],[País]]="","Desconocido",BBDD_Usiarios_Netflix[[#This Row],[País]])</f>
        <v>Francia</v>
      </c>
      <c r="Q2009">
        <v>45</v>
      </c>
      <c r="R2009" t="s">
        <v>25</v>
      </c>
      <c r="S2009" t="s">
        <v>36</v>
      </c>
      <c r="T2009" t="s">
        <v>35</v>
      </c>
      <c r="U2009">
        <f>IF(IFERROR(VLOOKUP(BBDD_Usiarios_Netflix[[#This Row],[Identificador Usuario]],A2010:$A$5870,1,FALSE),0)&lt;&gt;0,1,0)</f>
        <v>0</v>
      </c>
      <c r="V2009" s="6" t="str">
        <f>IF(BBDD_Usiarios_Netflix[[#This Row],[Duración Plan]]="12 Meses",LEFT(BBDD_Usiarios_Netflix[[#This Row],[Duración Plan]],2),LEFT(BBDD_Usiarios_Netflix[[#This Row],[Duración Plan]],1))</f>
        <v>6</v>
      </c>
      <c r="W20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10" spans="1:23" x14ac:dyDescent="0.25">
      <c r="A2010">
        <v>2009</v>
      </c>
      <c r="B2010" t="s">
        <v>28</v>
      </c>
      <c r="C2010">
        <v>14</v>
      </c>
      <c r="D2010" s="3">
        <v>31</v>
      </c>
      <c r="E2010" s="3">
        <v>7</v>
      </c>
      <c r="F2010">
        <v>23</v>
      </c>
      <c r="G2010" s="1">
        <f>DATEVALUE(_xlfn.CONCAT(BBDD_Usiarios_Netflix[[#This Row],[Día Suscripción]],"/",BBDD_Usiarios_Netflix[[#This Row],[Mes Suscripción]],"/",BBDD_Usiarios_Netflix[[#This Row],[Año Suscripción]]))</f>
        <v>45138</v>
      </c>
      <c r="H2010" s="1">
        <v>9</v>
      </c>
      <c r="I2010" s="1">
        <v>7</v>
      </c>
      <c r="J2010" s="1">
        <v>24</v>
      </c>
      <c r="K2010" s="1" t="str">
        <f>TEXT(BBDD_Usiarios_Netflix[[#This Row],[Fecha Suscripción]],"dddd")</f>
        <v>lunes</v>
      </c>
      <c r="L2010" s="1">
        <f>DATEVALUE(_xlfn.CONCAT(BBDD_Usiarios_Netflix[[#This Row],[Día Último Pago]],"/",BBDD_Usiarios_Netflix[[#This Row],[Mes Último Pago]],"/",BBDD_Usiarios_Netflix[[#This Row],[Año Último Pago]]))</f>
        <v>45482</v>
      </c>
      <c r="M2010" s="4">
        <f>DATEDIF(BBDD_Usiarios_Netflix[[#This Row],[Fecha Suscripción]],BBDD_Usiarios_Netflix[[#This Row],[Fecha Último Pago]],"M")+1</f>
        <v>12</v>
      </c>
      <c r="N2010" s="4">
        <f>BBDD_Usiarios_Netflix[[#This Row],[Ingresos Mensuales]]*BBDD_Usiarios_Netflix[[#This Row],[Meses contratados]]</f>
        <v>168</v>
      </c>
      <c r="O2010" t="s">
        <v>24</v>
      </c>
      <c r="P2010" t="str">
        <f>IF(BBDD_Usiarios_Netflix[[#This Row],[País]]="","Desconocido",BBDD_Usiarios_Netflix[[#This Row],[País]])</f>
        <v>Australia</v>
      </c>
      <c r="Q2010">
        <v>41</v>
      </c>
      <c r="R2010" t="s">
        <v>25</v>
      </c>
      <c r="S2010" t="s">
        <v>36</v>
      </c>
      <c r="T2010" t="s">
        <v>27</v>
      </c>
      <c r="U2010">
        <f>IF(IFERROR(VLOOKUP(BBDD_Usiarios_Netflix[[#This Row],[Identificador Usuario]],A2011:$A$5870,1,FALSE),0)&lt;&gt;0,1,0)</f>
        <v>0</v>
      </c>
      <c r="V2010" s="6" t="str">
        <f>IF(BBDD_Usiarios_Netflix[[#This Row],[Duración Plan]]="12 Meses",LEFT(BBDD_Usiarios_Netflix[[#This Row],[Duración Plan]],2),LEFT(BBDD_Usiarios_Netflix[[#This Row],[Duración Plan]],1))</f>
        <v>1</v>
      </c>
      <c r="W20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11" spans="1:23" x14ac:dyDescent="0.25">
      <c r="A2011">
        <v>2010</v>
      </c>
      <c r="B2011" t="s">
        <v>23</v>
      </c>
      <c r="C2011">
        <v>10</v>
      </c>
      <c r="D2011" s="3">
        <v>3</v>
      </c>
      <c r="E2011" s="3">
        <v>8</v>
      </c>
      <c r="F2011">
        <v>23</v>
      </c>
      <c r="G2011" s="1">
        <f>DATEVALUE(_xlfn.CONCAT(BBDD_Usiarios_Netflix[[#This Row],[Día Suscripción]],"/",BBDD_Usiarios_Netflix[[#This Row],[Mes Suscripción]],"/",BBDD_Usiarios_Netflix[[#This Row],[Año Suscripción]]))</f>
        <v>45141</v>
      </c>
      <c r="H2011" s="1">
        <v>10</v>
      </c>
      <c r="I2011" s="1">
        <v>7</v>
      </c>
      <c r="J2011" s="1">
        <v>24</v>
      </c>
      <c r="K2011" s="1" t="str">
        <f>TEXT(BBDD_Usiarios_Netflix[[#This Row],[Fecha Suscripción]],"dddd")</f>
        <v>jueves</v>
      </c>
      <c r="L2011" s="1">
        <f>DATEVALUE(_xlfn.CONCAT(BBDD_Usiarios_Netflix[[#This Row],[Día Último Pago]],"/",BBDD_Usiarios_Netflix[[#This Row],[Mes Último Pago]],"/",BBDD_Usiarios_Netflix[[#This Row],[Año Último Pago]]))</f>
        <v>45483</v>
      </c>
      <c r="M2011" s="4">
        <f>DATEDIF(BBDD_Usiarios_Netflix[[#This Row],[Fecha Suscripción]],BBDD_Usiarios_Netflix[[#This Row],[Fecha Último Pago]],"M")+1</f>
        <v>12</v>
      </c>
      <c r="N2011" s="4">
        <f>BBDD_Usiarios_Netflix[[#This Row],[Ingresos Mensuales]]*BBDD_Usiarios_Netflix[[#This Row],[Meses contratados]]</f>
        <v>120</v>
      </c>
      <c r="O2011" t="s">
        <v>29</v>
      </c>
      <c r="P2011" t="str">
        <f>IF(BBDD_Usiarios_Netflix[[#This Row],[País]]="","Desconocido",BBDD_Usiarios_Netflix[[#This Row],[País]])</f>
        <v>EEUU</v>
      </c>
      <c r="Q2011">
        <v>28</v>
      </c>
      <c r="R2011" t="s">
        <v>25</v>
      </c>
      <c r="S2011" t="s">
        <v>36</v>
      </c>
      <c r="T2011" t="s">
        <v>38</v>
      </c>
      <c r="U2011">
        <f>IF(IFERROR(VLOOKUP(BBDD_Usiarios_Netflix[[#This Row],[Identificador Usuario]],A2012:$A$5870,1,FALSE),0)&lt;&gt;0,1,0)</f>
        <v>0</v>
      </c>
      <c r="V2011" s="6" t="str">
        <f>IF(BBDD_Usiarios_Netflix[[#This Row],[Duración Plan]]="12 Meses",LEFT(BBDD_Usiarios_Netflix[[#This Row],[Duración Plan]],2),LEFT(BBDD_Usiarios_Netflix[[#This Row],[Duración Plan]],1))</f>
        <v>3</v>
      </c>
      <c r="W20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12" spans="1:23" x14ac:dyDescent="0.25">
      <c r="A2012">
        <v>2011</v>
      </c>
      <c r="B2012" t="s">
        <v>28</v>
      </c>
      <c r="C2012">
        <v>14</v>
      </c>
      <c r="D2012" s="3">
        <v>15</v>
      </c>
      <c r="E2012" s="3">
        <v>8</v>
      </c>
      <c r="F2012">
        <v>23</v>
      </c>
      <c r="G2012" s="1">
        <f>DATEVALUE(_xlfn.CONCAT(BBDD_Usiarios_Netflix[[#This Row],[Día Suscripción]],"/",BBDD_Usiarios_Netflix[[#This Row],[Mes Suscripción]],"/",BBDD_Usiarios_Netflix[[#This Row],[Año Suscripción]]))</f>
        <v>45153</v>
      </c>
      <c r="H2012" s="1">
        <v>7</v>
      </c>
      <c r="I2012" s="1">
        <v>7</v>
      </c>
      <c r="J2012" s="1">
        <v>24</v>
      </c>
      <c r="K2012" s="1" t="str">
        <f>TEXT(BBDD_Usiarios_Netflix[[#This Row],[Fecha Suscripción]],"dddd")</f>
        <v>martes</v>
      </c>
      <c r="L2012" s="1">
        <f>DATEVALUE(_xlfn.CONCAT(BBDD_Usiarios_Netflix[[#This Row],[Día Último Pago]],"/",BBDD_Usiarios_Netflix[[#This Row],[Mes Último Pago]],"/",BBDD_Usiarios_Netflix[[#This Row],[Año Último Pago]]))</f>
        <v>45480</v>
      </c>
      <c r="M2012" s="4">
        <f>DATEDIF(BBDD_Usiarios_Netflix[[#This Row],[Fecha Suscripción]],BBDD_Usiarios_Netflix[[#This Row],[Fecha Último Pago]],"M")+1</f>
        <v>11</v>
      </c>
      <c r="N2012" s="4">
        <f>BBDD_Usiarios_Netflix[[#This Row],[Ingresos Mensuales]]*BBDD_Usiarios_Netflix[[#This Row],[Meses contratados]]</f>
        <v>154</v>
      </c>
      <c r="O2012" t="s">
        <v>45</v>
      </c>
      <c r="P2012" t="str">
        <f>IF(BBDD_Usiarios_Netflix[[#This Row],[País]]="","Desconocido",BBDD_Usiarios_Netflix[[#This Row],[País]])</f>
        <v>España</v>
      </c>
      <c r="Q2012">
        <v>28</v>
      </c>
      <c r="R2012" t="s">
        <v>30</v>
      </c>
      <c r="S2012" t="s">
        <v>31</v>
      </c>
      <c r="T2012" t="s">
        <v>27</v>
      </c>
      <c r="U2012">
        <f>IF(IFERROR(VLOOKUP(BBDD_Usiarios_Netflix[[#This Row],[Identificador Usuario]],A2013:$A$5870,1,FALSE),0)&lt;&gt;0,1,0)</f>
        <v>0</v>
      </c>
      <c r="V2012" s="6" t="str">
        <f>IF(BBDD_Usiarios_Netflix[[#This Row],[Duración Plan]]="12 Meses",LEFT(BBDD_Usiarios_Netflix[[#This Row],[Duración Plan]],2),LEFT(BBDD_Usiarios_Netflix[[#This Row],[Duración Plan]],1))</f>
        <v>1</v>
      </c>
      <c r="W20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13" spans="1:23" x14ac:dyDescent="0.25">
      <c r="A2013">
        <v>2012</v>
      </c>
      <c r="B2013" t="s">
        <v>23</v>
      </c>
      <c r="C2013">
        <v>10</v>
      </c>
      <c r="D2013" s="3">
        <v>18</v>
      </c>
      <c r="E2013" s="3">
        <v>8</v>
      </c>
      <c r="F2013">
        <v>23</v>
      </c>
      <c r="G2013" s="1">
        <f>DATEVALUE(_xlfn.CONCAT(BBDD_Usiarios_Netflix[[#This Row],[Día Suscripción]],"/",BBDD_Usiarios_Netflix[[#This Row],[Mes Suscripción]],"/",BBDD_Usiarios_Netflix[[#This Row],[Año Suscripción]]))</f>
        <v>45156</v>
      </c>
      <c r="H2013" s="1">
        <v>10</v>
      </c>
      <c r="I2013" s="1">
        <v>7</v>
      </c>
      <c r="J2013" s="1">
        <v>24</v>
      </c>
      <c r="K2013" s="1" t="str">
        <f>TEXT(BBDD_Usiarios_Netflix[[#This Row],[Fecha Suscripción]],"dddd")</f>
        <v>viernes</v>
      </c>
      <c r="L2013" s="1">
        <f>DATEVALUE(_xlfn.CONCAT(BBDD_Usiarios_Netflix[[#This Row],[Día Último Pago]],"/",BBDD_Usiarios_Netflix[[#This Row],[Mes Último Pago]],"/",BBDD_Usiarios_Netflix[[#This Row],[Año Último Pago]]))</f>
        <v>45483</v>
      </c>
      <c r="M2013" s="4">
        <f>DATEDIF(BBDD_Usiarios_Netflix[[#This Row],[Fecha Suscripción]],BBDD_Usiarios_Netflix[[#This Row],[Fecha Último Pago]],"M")+1</f>
        <v>11</v>
      </c>
      <c r="N2013" s="4">
        <f>BBDD_Usiarios_Netflix[[#This Row],[Ingresos Mensuales]]*BBDD_Usiarios_Netflix[[#This Row],[Meses contratados]]</f>
        <v>110</v>
      </c>
      <c r="O2013" t="s">
        <v>24</v>
      </c>
      <c r="P2013" t="str">
        <f>IF(BBDD_Usiarios_Netflix[[#This Row],[País]]="","Desconocido",BBDD_Usiarios_Netflix[[#This Row],[País]])</f>
        <v>Australia</v>
      </c>
      <c r="Q2013">
        <v>48</v>
      </c>
      <c r="R2013" t="s">
        <v>25</v>
      </c>
      <c r="S2013" t="s">
        <v>34</v>
      </c>
      <c r="T2013" t="s">
        <v>27</v>
      </c>
      <c r="U2013">
        <f>IF(IFERROR(VLOOKUP(BBDD_Usiarios_Netflix[[#This Row],[Identificador Usuario]],A2014:$A$5870,1,FALSE),0)&lt;&gt;0,1,0)</f>
        <v>0</v>
      </c>
      <c r="V2013" s="6" t="str">
        <f>IF(BBDD_Usiarios_Netflix[[#This Row],[Duración Plan]]="12 Meses",LEFT(BBDD_Usiarios_Netflix[[#This Row],[Duración Plan]],2),LEFT(BBDD_Usiarios_Netflix[[#This Row],[Duración Plan]],1))</f>
        <v>1</v>
      </c>
      <c r="W20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14" spans="1:23" x14ac:dyDescent="0.25">
      <c r="A2014">
        <v>2013</v>
      </c>
      <c r="B2014" t="s">
        <v>32</v>
      </c>
      <c r="C2014">
        <v>12</v>
      </c>
      <c r="D2014" s="3">
        <v>27</v>
      </c>
      <c r="E2014" s="3">
        <v>8</v>
      </c>
      <c r="F2014">
        <v>23</v>
      </c>
      <c r="G2014" s="1">
        <f>DATEVALUE(_xlfn.CONCAT(BBDD_Usiarios_Netflix[[#This Row],[Día Suscripción]],"/",BBDD_Usiarios_Netflix[[#This Row],[Mes Suscripción]],"/",BBDD_Usiarios_Netflix[[#This Row],[Año Suscripción]]))</f>
        <v>45165</v>
      </c>
      <c r="H2014" s="1">
        <v>8</v>
      </c>
      <c r="I2014" s="1">
        <v>7</v>
      </c>
      <c r="J2014" s="1">
        <v>24</v>
      </c>
      <c r="K2014" s="1" t="str">
        <f>TEXT(BBDD_Usiarios_Netflix[[#This Row],[Fecha Suscripción]],"dddd")</f>
        <v>domingo</v>
      </c>
      <c r="L2014" s="1">
        <f>DATEVALUE(_xlfn.CONCAT(BBDD_Usiarios_Netflix[[#This Row],[Día Último Pago]],"/",BBDD_Usiarios_Netflix[[#This Row],[Mes Último Pago]],"/",BBDD_Usiarios_Netflix[[#This Row],[Año Último Pago]]))</f>
        <v>45481</v>
      </c>
      <c r="M2014" s="4">
        <f>DATEDIF(BBDD_Usiarios_Netflix[[#This Row],[Fecha Suscripción]],BBDD_Usiarios_Netflix[[#This Row],[Fecha Último Pago]],"M")+1</f>
        <v>11</v>
      </c>
      <c r="N2014" s="4">
        <f>BBDD_Usiarios_Netflix[[#This Row],[Ingresos Mensuales]]*BBDD_Usiarios_Netflix[[#This Row],[Meses contratados]]</f>
        <v>132</v>
      </c>
      <c r="O2014" t="s">
        <v>42</v>
      </c>
      <c r="P2014" t="str">
        <f>IF(BBDD_Usiarios_Netflix[[#This Row],[País]]="","Desconocido",BBDD_Usiarios_Netflix[[#This Row],[País]])</f>
        <v>Reino Unido</v>
      </c>
      <c r="Q2014">
        <v>40</v>
      </c>
      <c r="R2014" t="s">
        <v>30</v>
      </c>
      <c r="S2014" t="s">
        <v>34</v>
      </c>
      <c r="T2014" t="s">
        <v>41</v>
      </c>
      <c r="U2014">
        <f>IF(IFERROR(VLOOKUP(BBDD_Usiarios_Netflix[[#This Row],[Identificador Usuario]],A2015:$A$5870,1,FALSE),0)&lt;&gt;0,1,0)</f>
        <v>0</v>
      </c>
      <c r="V2014" s="6" t="str">
        <f>IF(BBDD_Usiarios_Netflix[[#This Row],[Duración Plan]]="12 Meses",LEFT(BBDD_Usiarios_Netflix[[#This Row],[Duración Plan]],2),LEFT(BBDD_Usiarios_Netflix[[#This Row],[Duración Plan]],1))</f>
        <v>12</v>
      </c>
      <c r="W20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15" spans="1:23" x14ac:dyDescent="0.25">
      <c r="A2015">
        <v>2014</v>
      </c>
      <c r="B2015" t="s">
        <v>32</v>
      </c>
      <c r="C2015">
        <v>12</v>
      </c>
      <c r="D2015" s="3">
        <v>29</v>
      </c>
      <c r="E2015" s="3">
        <v>8</v>
      </c>
      <c r="F2015">
        <v>23</v>
      </c>
      <c r="G2015" s="1">
        <f>DATEVALUE(_xlfn.CONCAT(BBDD_Usiarios_Netflix[[#This Row],[Día Suscripción]],"/",BBDD_Usiarios_Netflix[[#This Row],[Mes Suscripción]],"/",BBDD_Usiarios_Netflix[[#This Row],[Año Suscripción]]))</f>
        <v>45167</v>
      </c>
      <c r="H2015" s="1">
        <v>10</v>
      </c>
      <c r="I2015" s="1">
        <v>7</v>
      </c>
      <c r="J2015" s="1">
        <v>24</v>
      </c>
      <c r="K2015" s="1" t="str">
        <f>TEXT(BBDD_Usiarios_Netflix[[#This Row],[Fecha Suscripción]],"dddd")</f>
        <v>martes</v>
      </c>
      <c r="L2015" s="1">
        <f>DATEVALUE(_xlfn.CONCAT(BBDD_Usiarios_Netflix[[#This Row],[Día Último Pago]],"/",BBDD_Usiarios_Netflix[[#This Row],[Mes Último Pago]],"/",BBDD_Usiarios_Netflix[[#This Row],[Año Último Pago]]))</f>
        <v>45483</v>
      </c>
      <c r="M2015" s="4">
        <f>DATEDIF(BBDD_Usiarios_Netflix[[#This Row],[Fecha Suscripción]],BBDD_Usiarios_Netflix[[#This Row],[Fecha Último Pago]],"M")+1</f>
        <v>11</v>
      </c>
      <c r="N2015" s="4">
        <f>BBDD_Usiarios_Netflix[[#This Row],[Ingresos Mensuales]]*BBDD_Usiarios_Netflix[[#This Row],[Meses contratados]]</f>
        <v>132</v>
      </c>
      <c r="O2015" t="s">
        <v>46</v>
      </c>
      <c r="P2015" t="str">
        <f>IF(BBDD_Usiarios_Netflix[[#This Row],[País]]="","Desconocido",BBDD_Usiarios_Netflix[[#This Row],[País]])</f>
        <v>Méjico</v>
      </c>
      <c r="Q2015">
        <v>39</v>
      </c>
      <c r="R2015" t="s">
        <v>25</v>
      </c>
      <c r="S2015" t="s">
        <v>34</v>
      </c>
      <c r="T2015" t="s">
        <v>38</v>
      </c>
      <c r="U2015">
        <f>IF(IFERROR(VLOOKUP(BBDD_Usiarios_Netflix[[#This Row],[Identificador Usuario]],A2016:$A$5870,1,FALSE),0)&lt;&gt;0,1,0)</f>
        <v>0</v>
      </c>
      <c r="V2015" s="6" t="str">
        <f>IF(BBDD_Usiarios_Netflix[[#This Row],[Duración Plan]]="12 Meses",LEFT(BBDD_Usiarios_Netflix[[#This Row],[Duración Plan]],2),LEFT(BBDD_Usiarios_Netflix[[#This Row],[Duración Plan]],1))</f>
        <v>3</v>
      </c>
      <c r="W20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16" spans="1:23" x14ac:dyDescent="0.25">
      <c r="A2016">
        <v>2015</v>
      </c>
      <c r="B2016" t="s">
        <v>23</v>
      </c>
      <c r="C2016">
        <v>10</v>
      </c>
      <c r="D2016" s="3">
        <v>5</v>
      </c>
      <c r="E2016" s="3">
        <v>9</v>
      </c>
      <c r="F2016">
        <v>23</v>
      </c>
      <c r="G2016" s="1">
        <f>DATEVALUE(_xlfn.CONCAT(BBDD_Usiarios_Netflix[[#This Row],[Día Suscripción]],"/",BBDD_Usiarios_Netflix[[#This Row],[Mes Suscripción]],"/",BBDD_Usiarios_Netflix[[#This Row],[Año Suscripción]]))</f>
        <v>45174</v>
      </c>
      <c r="H2016" s="1">
        <v>7</v>
      </c>
      <c r="I2016" s="1">
        <v>7</v>
      </c>
      <c r="J2016" s="1">
        <v>24</v>
      </c>
      <c r="K2016" s="1" t="str">
        <f>TEXT(BBDD_Usiarios_Netflix[[#This Row],[Fecha Suscripción]],"dddd")</f>
        <v>martes</v>
      </c>
      <c r="L2016" s="1">
        <f>DATEVALUE(_xlfn.CONCAT(BBDD_Usiarios_Netflix[[#This Row],[Día Último Pago]],"/",BBDD_Usiarios_Netflix[[#This Row],[Mes Último Pago]],"/",BBDD_Usiarios_Netflix[[#This Row],[Año Último Pago]]))</f>
        <v>45480</v>
      </c>
      <c r="M2016" s="4">
        <f>DATEDIF(BBDD_Usiarios_Netflix[[#This Row],[Fecha Suscripción]],BBDD_Usiarios_Netflix[[#This Row],[Fecha Último Pago]],"M")+1</f>
        <v>11</v>
      </c>
      <c r="N2016" s="4">
        <f>BBDD_Usiarios_Netflix[[#This Row],[Ingresos Mensuales]]*BBDD_Usiarios_Netflix[[#This Row],[Meses contratados]]</f>
        <v>110</v>
      </c>
      <c r="O2016" t="s">
        <v>24</v>
      </c>
      <c r="P2016" t="str">
        <f>IF(BBDD_Usiarios_Netflix[[#This Row],[País]]="","Desconocido",BBDD_Usiarios_Netflix[[#This Row],[País]])</f>
        <v>Australia</v>
      </c>
      <c r="Q2016">
        <v>27</v>
      </c>
      <c r="R2016" t="s">
        <v>25</v>
      </c>
      <c r="S2016" t="s">
        <v>26</v>
      </c>
      <c r="T2016" t="s">
        <v>27</v>
      </c>
      <c r="U2016">
        <f>IF(IFERROR(VLOOKUP(BBDD_Usiarios_Netflix[[#This Row],[Identificador Usuario]],A2017:$A$5870,1,FALSE),0)&lt;&gt;0,1,0)</f>
        <v>0</v>
      </c>
      <c r="V2016" s="6" t="str">
        <f>IF(BBDD_Usiarios_Netflix[[#This Row],[Duración Plan]]="12 Meses",LEFT(BBDD_Usiarios_Netflix[[#This Row],[Duración Plan]],2),LEFT(BBDD_Usiarios_Netflix[[#This Row],[Duración Plan]],1))</f>
        <v>1</v>
      </c>
      <c r="W20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17" spans="1:23" x14ac:dyDescent="0.25">
      <c r="A2017">
        <v>2016</v>
      </c>
      <c r="B2017" t="s">
        <v>28</v>
      </c>
      <c r="C2017">
        <v>14</v>
      </c>
      <c r="D2017" s="3">
        <v>6</v>
      </c>
      <c r="E2017" s="3">
        <v>9</v>
      </c>
      <c r="F2017">
        <v>23</v>
      </c>
      <c r="G2017" s="1">
        <f>DATEVALUE(_xlfn.CONCAT(BBDD_Usiarios_Netflix[[#This Row],[Día Suscripción]],"/",BBDD_Usiarios_Netflix[[#This Row],[Mes Suscripción]],"/",BBDD_Usiarios_Netflix[[#This Row],[Año Suscripción]]))</f>
        <v>45175</v>
      </c>
      <c r="H2017" s="1">
        <v>11</v>
      </c>
      <c r="I2017" s="1">
        <v>7</v>
      </c>
      <c r="J2017" s="1">
        <v>24</v>
      </c>
      <c r="K2017" s="1" t="str">
        <f>TEXT(BBDD_Usiarios_Netflix[[#This Row],[Fecha Suscripción]],"dddd")</f>
        <v>miércoles</v>
      </c>
      <c r="L2017" s="1">
        <f>DATEVALUE(_xlfn.CONCAT(BBDD_Usiarios_Netflix[[#This Row],[Día Último Pago]],"/",BBDD_Usiarios_Netflix[[#This Row],[Mes Último Pago]],"/",BBDD_Usiarios_Netflix[[#This Row],[Año Último Pago]]))</f>
        <v>45484</v>
      </c>
      <c r="M2017" s="4">
        <f>DATEDIF(BBDD_Usiarios_Netflix[[#This Row],[Fecha Suscripción]],BBDD_Usiarios_Netflix[[#This Row],[Fecha Último Pago]],"M")+1</f>
        <v>11</v>
      </c>
      <c r="N2017" s="4">
        <f>BBDD_Usiarios_Netflix[[#This Row],[Ingresos Mensuales]]*BBDD_Usiarios_Netflix[[#This Row],[Meses contratados]]</f>
        <v>154</v>
      </c>
      <c r="O2017" t="s">
        <v>39</v>
      </c>
      <c r="P2017" t="str">
        <f>IF(BBDD_Usiarios_Netflix[[#This Row],[País]]="","Desconocido",BBDD_Usiarios_Netflix[[#This Row],[País]])</f>
        <v>Canadá</v>
      </c>
      <c r="Q2017">
        <v>32</v>
      </c>
      <c r="R2017" t="s">
        <v>30</v>
      </c>
      <c r="S2017" t="s">
        <v>34</v>
      </c>
      <c r="T2017" t="s">
        <v>38</v>
      </c>
      <c r="U2017">
        <f>IF(IFERROR(VLOOKUP(BBDD_Usiarios_Netflix[[#This Row],[Identificador Usuario]],A2018:$A$5870,1,FALSE),0)&lt;&gt;0,1,0)</f>
        <v>0</v>
      </c>
      <c r="V2017" s="6" t="str">
        <f>IF(BBDD_Usiarios_Netflix[[#This Row],[Duración Plan]]="12 Meses",LEFT(BBDD_Usiarios_Netflix[[#This Row],[Duración Plan]],2),LEFT(BBDD_Usiarios_Netflix[[#This Row],[Duración Plan]],1))</f>
        <v>3</v>
      </c>
      <c r="W20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18" spans="1:23" x14ac:dyDescent="0.25">
      <c r="A2018">
        <v>2017</v>
      </c>
      <c r="B2018" t="s">
        <v>23</v>
      </c>
      <c r="C2018">
        <v>10</v>
      </c>
      <c r="D2018" s="3">
        <v>14</v>
      </c>
      <c r="E2018" s="3">
        <v>9</v>
      </c>
      <c r="F2018">
        <v>23</v>
      </c>
      <c r="G2018" s="1">
        <f>DATEVALUE(_xlfn.CONCAT(BBDD_Usiarios_Netflix[[#This Row],[Día Suscripción]],"/",BBDD_Usiarios_Netflix[[#This Row],[Mes Suscripción]],"/",BBDD_Usiarios_Netflix[[#This Row],[Año Suscripción]]))</f>
        <v>45183</v>
      </c>
      <c r="H2018" s="1">
        <v>8</v>
      </c>
      <c r="I2018" s="1">
        <v>7</v>
      </c>
      <c r="J2018" s="1">
        <v>24</v>
      </c>
      <c r="K2018" s="1" t="str">
        <f>TEXT(BBDD_Usiarios_Netflix[[#This Row],[Fecha Suscripción]],"dddd")</f>
        <v>jueves</v>
      </c>
      <c r="L2018" s="1">
        <f>DATEVALUE(_xlfn.CONCAT(BBDD_Usiarios_Netflix[[#This Row],[Día Último Pago]],"/",BBDD_Usiarios_Netflix[[#This Row],[Mes Último Pago]],"/",BBDD_Usiarios_Netflix[[#This Row],[Año Último Pago]]))</f>
        <v>45481</v>
      </c>
      <c r="M2018" s="4">
        <f>DATEDIF(BBDD_Usiarios_Netflix[[#This Row],[Fecha Suscripción]],BBDD_Usiarios_Netflix[[#This Row],[Fecha Último Pago]],"M")+1</f>
        <v>10</v>
      </c>
      <c r="N2018" s="4">
        <f>BBDD_Usiarios_Netflix[[#This Row],[Ingresos Mensuales]]*BBDD_Usiarios_Netflix[[#This Row],[Meses contratados]]</f>
        <v>100</v>
      </c>
      <c r="O2018" t="s">
        <v>45</v>
      </c>
      <c r="P2018" t="str">
        <f>IF(BBDD_Usiarios_Netflix[[#This Row],[País]]="","Desconocido",BBDD_Usiarios_Netflix[[#This Row],[País]])</f>
        <v>España</v>
      </c>
      <c r="Q2018">
        <v>38</v>
      </c>
      <c r="R2018" t="s">
        <v>25</v>
      </c>
      <c r="S2018" t="s">
        <v>36</v>
      </c>
      <c r="T2018" t="s">
        <v>27</v>
      </c>
      <c r="U2018">
        <f>IF(IFERROR(VLOOKUP(BBDD_Usiarios_Netflix[[#This Row],[Identificador Usuario]],A2019:$A$5870,1,FALSE),0)&lt;&gt;0,1,0)</f>
        <v>0</v>
      </c>
      <c r="V2018" s="6" t="str">
        <f>IF(BBDD_Usiarios_Netflix[[#This Row],[Duración Plan]]="12 Meses",LEFT(BBDD_Usiarios_Netflix[[#This Row],[Duración Plan]],2),LEFT(BBDD_Usiarios_Netflix[[#This Row],[Duración Plan]],1))</f>
        <v>1</v>
      </c>
      <c r="W20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19" spans="1:23" x14ac:dyDescent="0.25">
      <c r="A2019">
        <v>2018</v>
      </c>
      <c r="B2019" t="s">
        <v>32</v>
      </c>
      <c r="C2019">
        <v>12</v>
      </c>
      <c r="D2019" s="3">
        <v>16</v>
      </c>
      <c r="E2019" s="3">
        <v>9</v>
      </c>
      <c r="F2019">
        <v>23</v>
      </c>
      <c r="G2019" s="1">
        <f>DATEVALUE(_xlfn.CONCAT(BBDD_Usiarios_Netflix[[#This Row],[Día Suscripción]],"/",BBDD_Usiarios_Netflix[[#This Row],[Mes Suscripción]],"/",BBDD_Usiarios_Netflix[[#This Row],[Año Suscripción]]))</f>
        <v>45185</v>
      </c>
      <c r="H2019" s="1">
        <v>9</v>
      </c>
      <c r="I2019" s="1">
        <v>7</v>
      </c>
      <c r="J2019" s="1">
        <v>24</v>
      </c>
      <c r="K2019" s="1" t="str">
        <f>TEXT(BBDD_Usiarios_Netflix[[#This Row],[Fecha Suscripción]],"dddd")</f>
        <v>sábado</v>
      </c>
      <c r="L2019" s="1">
        <f>DATEVALUE(_xlfn.CONCAT(BBDD_Usiarios_Netflix[[#This Row],[Día Último Pago]],"/",BBDD_Usiarios_Netflix[[#This Row],[Mes Último Pago]],"/",BBDD_Usiarios_Netflix[[#This Row],[Año Último Pago]]))</f>
        <v>45482</v>
      </c>
      <c r="M2019" s="4">
        <f>DATEDIF(BBDD_Usiarios_Netflix[[#This Row],[Fecha Suscripción]],BBDD_Usiarios_Netflix[[#This Row],[Fecha Último Pago]],"M")+1</f>
        <v>10</v>
      </c>
      <c r="N2019" s="4">
        <f>BBDD_Usiarios_Netflix[[#This Row],[Ingresos Mensuales]]*BBDD_Usiarios_Netflix[[#This Row],[Meses contratados]]</f>
        <v>120</v>
      </c>
      <c r="O2019" t="s">
        <v>39</v>
      </c>
      <c r="P2019" t="str">
        <f>IF(BBDD_Usiarios_Netflix[[#This Row],[País]]="","Desconocido",BBDD_Usiarios_Netflix[[#This Row],[País]])</f>
        <v>Canadá</v>
      </c>
      <c r="Q2019">
        <v>41</v>
      </c>
      <c r="R2019" t="s">
        <v>30</v>
      </c>
      <c r="S2019" t="s">
        <v>36</v>
      </c>
      <c r="T2019" t="s">
        <v>41</v>
      </c>
      <c r="U2019">
        <f>IF(IFERROR(VLOOKUP(BBDD_Usiarios_Netflix[[#This Row],[Identificador Usuario]],A2020:$A$5870,1,FALSE),0)&lt;&gt;0,1,0)</f>
        <v>0</v>
      </c>
      <c r="V2019" s="6" t="str">
        <f>IF(BBDD_Usiarios_Netflix[[#This Row],[Duración Plan]]="12 Meses",LEFT(BBDD_Usiarios_Netflix[[#This Row],[Duración Plan]],2),LEFT(BBDD_Usiarios_Netflix[[#This Row],[Duración Plan]],1))</f>
        <v>12</v>
      </c>
      <c r="W20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20" spans="1:23" x14ac:dyDescent="0.25">
      <c r="A2020">
        <v>2019</v>
      </c>
      <c r="B2020" t="s">
        <v>28</v>
      </c>
      <c r="C2020">
        <v>14</v>
      </c>
      <c r="D2020" s="3">
        <v>18</v>
      </c>
      <c r="E2020" s="3">
        <v>9</v>
      </c>
      <c r="F2020">
        <v>23</v>
      </c>
      <c r="G2020" s="1">
        <f>DATEVALUE(_xlfn.CONCAT(BBDD_Usiarios_Netflix[[#This Row],[Día Suscripción]],"/",BBDD_Usiarios_Netflix[[#This Row],[Mes Suscripción]],"/",BBDD_Usiarios_Netflix[[#This Row],[Año Suscripción]]))</f>
        <v>45187</v>
      </c>
      <c r="H2020" s="1">
        <v>10</v>
      </c>
      <c r="I2020" s="1">
        <v>7</v>
      </c>
      <c r="J2020" s="1">
        <v>24</v>
      </c>
      <c r="K2020" s="1" t="str">
        <f>TEXT(BBDD_Usiarios_Netflix[[#This Row],[Fecha Suscripción]],"dddd")</f>
        <v>lunes</v>
      </c>
      <c r="L2020" s="1">
        <f>DATEVALUE(_xlfn.CONCAT(BBDD_Usiarios_Netflix[[#This Row],[Día Último Pago]],"/",BBDD_Usiarios_Netflix[[#This Row],[Mes Último Pago]],"/",BBDD_Usiarios_Netflix[[#This Row],[Año Último Pago]]))</f>
        <v>45483</v>
      </c>
      <c r="M2020" s="4">
        <f>DATEDIF(BBDD_Usiarios_Netflix[[#This Row],[Fecha Suscripción]],BBDD_Usiarios_Netflix[[#This Row],[Fecha Último Pago]],"M")+1</f>
        <v>10</v>
      </c>
      <c r="N2020" s="4">
        <f>BBDD_Usiarios_Netflix[[#This Row],[Ingresos Mensuales]]*BBDD_Usiarios_Netflix[[#This Row],[Meses contratados]]</f>
        <v>140</v>
      </c>
      <c r="O2020" t="s">
        <v>33</v>
      </c>
      <c r="P2020" t="str">
        <f>IF(BBDD_Usiarios_Netflix[[#This Row],[País]]="","Desconocido",BBDD_Usiarios_Netflix[[#This Row],[País]])</f>
        <v>Francia</v>
      </c>
      <c r="Q2020">
        <v>32</v>
      </c>
      <c r="R2020" t="s">
        <v>30</v>
      </c>
      <c r="S2020" t="s">
        <v>36</v>
      </c>
      <c r="T2020" t="s">
        <v>27</v>
      </c>
      <c r="U2020">
        <f>IF(IFERROR(VLOOKUP(BBDD_Usiarios_Netflix[[#This Row],[Identificador Usuario]],A2021:$A$5870,1,FALSE),0)&lt;&gt;0,1,0)</f>
        <v>0</v>
      </c>
      <c r="V2020" s="6" t="str">
        <f>IF(BBDD_Usiarios_Netflix[[#This Row],[Duración Plan]]="12 Meses",LEFT(BBDD_Usiarios_Netflix[[#This Row],[Duración Plan]],2),LEFT(BBDD_Usiarios_Netflix[[#This Row],[Duración Plan]],1))</f>
        <v>1</v>
      </c>
      <c r="W20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1" spans="1:23" x14ac:dyDescent="0.25">
      <c r="A2021">
        <v>2020</v>
      </c>
      <c r="B2021" t="s">
        <v>23</v>
      </c>
      <c r="C2021">
        <v>10</v>
      </c>
      <c r="D2021" s="3">
        <v>23</v>
      </c>
      <c r="E2021" s="3">
        <v>9</v>
      </c>
      <c r="F2021">
        <v>23</v>
      </c>
      <c r="G2021" s="1">
        <f>DATEVALUE(_xlfn.CONCAT(BBDD_Usiarios_Netflix[[#This Row],[Día Suscripción]],"/",BBDD_Usiarios_Netflix[[#This Row],[Mes Suscripción]],"/",BBDD_Usiarios_Netflix[[#This Row],[Año Suscripción]]))</f>
        <v>45192</v>
      </c>
      <c r="H2021" s="1">
        <v>11</v>
      </c>
      <c r="I2021" s="1">
        <v>7</v>
      </c>
      <c r="J2021" s="1">
        <v>24</v>
      </c>
      <c r="K2021" s="1" t="str">
        <f>TEXT(BBDD_Usiarios_Netflix[[#This Row],[Fecha Suscripción]],"dddd")</f>
        <v>sábado</v>
      </c>
      <c r="L2021" s="1">
        <f>DATEVALUE(_xlfn.CONCAT(BBDD_Usiarios_Netflix[[#This Row],[Día Último Pago]],"/",BBDD_Usiarios_Netflix[[#This Row],[Mes Último Pago]],"/",BBDD_Usiarios_Netflix[[#This Row],[Año Último Pago]]))</f>
        <v>45484</v>
      </c>
      <c r="M2021" s="4">
        <f>DATEDIF(BBDD_Usiarios_Netflix[[#This Row],[Fecha Suscripción]],BBDD_Usiarios_Netflix[[#This Row],[Fecha Último Pago]],"M")+1</f>
        <v>10</v>
      </c>
      <c r="N2021" s="4">
        <f>BBDD_Usiarios_Netflix[[#This Row],[Ingresos Mensuales]]*BBDD_Usiarios_Netflix[[#This Row],[Meses contratados]]</f>
        <v>100</v>
      </c>
      <c r="O2021" t="s">
        <v>39</v>
      </c>
      <c r="P2021" t="str">
        <f>IF(BBDD_Usiarios_Netflix[[#This Row],[País]]="","Desconocido",BBDD_Usiarios_Netflix[[#This Row],[País]])</f>
        <v>Canadá</v>
      </c>
      <c r="Q2021">
        <v>37</v>
      </c>
      <c r="R2021" t="s">
        <v>25</v>
      </c>
      <c r="S2021" t="s">
        <v>31</v>
      </c>
      <c r="T2021" t="s">
        <v>27</v>
      </c>
      <c r="U2021">
        <f>IF(IFERROR(VLOOKUP(BBDD_Usiarios_Netflix[[#This Row],[Identificador Usuario]],A2022:$A$5870,1,FALSE),0)&lt;&gt;0,1,0)</f>
        <v>0</v>
      </c>
      <c r="V2021" s="6" t="str">
        <f>IF(BBDD_Usiarios_Netflix[[#This Row],[Duración Plan]]="12 Meses",LEFT(BBDD_Usiarios_Netflix[[#This Row],[Duración Plan]],2),LEFT(BBDD_Usiarios_Netflix[[#This Row],[Duración Plan]],1))</f>
        <v>1</v>
      </c>
      <c r="W20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2" spans="1:23" x14ac:dyDescent="0.25">
      <c r="A2022">
        <v>2021</v>
      </c>
      <c r="B2022" t="s">
        <v>23</v>
      </c>
      <c r="C2022">
        <v>10</v>
      </c>
      <c r="D2022" s="3">
        <v>25</v>
      </c>
      <c r="E2022" s="3">
        <v>9</v>
      </c>
      <c r="F2022">
        <v>23</v>
      </c>
      <c r="G2022" s="1">
        <f>DATEVALUE(_xlfn.CONCAT(BBDD_Usiarios_Netflix[[#This Row],[Día Suscripción]],"/",BBDD_Usiarios_Netflix[[#This Row],[Mes Suscripción]],"/",BBDD_Usiarios_Netflix[[#This Row],[Año Suscripción]]))</f>
        <v>45194</v>
      </c>
      <c r="H2022" s="1">
        <v>8</v>
      </c>
      <c r="I2022" s="1">
        <v>7</v>
      </c>
      <c r="J2022" s="1">
        <v>24</v>
      </c>
      <c r="K2022" s="1" t="str">
        <f>TEXT(BBDD_Usiarios_Netflix[[#This Row],[Fecha Suscripción]],"dddd")</f>
        <v>lunes</v>
      </c>
      <c r="L2022" s="1">
        <f>DATEVALUE(_xlfn.CONCAT(BBDD_Usiarios_Netflix[[#This Row],[Día Último Pago]],"/",BBDD_Usiarios_Netflix[[#This Row],[Mes Último Pago]],"/",BBDD_Usiarios_Netflix[[#This Row],[Año Último Pago]]))</f>
        <v>45481</v>
      </c>
      <c r="M2022" s="4">
        <f>DATEDIF(BBDD_Usiarios_Netflix[[#This Row],[Fecha Suscripción]],BBDD_Usiarios_Netflix[[#This Row],[Fecha Último Pago]],"M")+1</f>
        <v>10</v>
      </c>
      <c r="N2022" s="4">
        <f>BBDD_Usiarios_Netflix[[#This Row],[Ingresos Mensuales]]*BBDD_Usiarios_Netflix[[#This Row],[Meses contratados]]</f>
        <v>100</v>
      </c>
      <c r="O2022" t="s">
        <v>40</v>
      </c>
      <c r="P2022" t="str">
        <f>IF(BBDD_Usiarios_Netflix[[#This Row],[País]]="","Desconocido",BBDD_Usiarios_Netflix[[#This Row],[País]])</f>
        <v>Italia</v>
      </c>
      <c r="Q2022">
        <v>50</v>
      </c>
      <c r="R2022" t="s">
        <v>30</v>
      </c>
      <c r="S2022" t="s">
        <v>36</v>
      </c>
      <c r="T2022" t="s">
        <v>27</v>
      </c>
      <c r="U2022">
        <f>IF(IFERROR(VLOOKUP(BBDD_Usiarios_Netflix[[#This Row],[Identificador Usuario]],A2023:$A$5870,1,FALSE),0)&lt;&gt;0,1,0)</f>
        <v>0</v>
      </c>
      <c r="V2022" s="6" t="str">
        <f>IF(BBDD_Usiarios_Netflix[[#This Row],[Duración Plan]]="12 Meses",LEFT(BBDD_Usiarios_Netflix[[#This Row],[Duración Plan]],2),LEFT(BBDD_Usiarios_Netflix[[#This Row],[Duración Plan]],1))</f>
        <v>1</v>
      </c>
      <c r="W20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3" spans="1:23" x14ac:dyDescent="0.25">
      <c r="A2023">
        <v>2022</v>
      </c>
      <c r="B2023" t="s">
        <v>23</v>
      </c>
      <c r="C2023">
        <v>10</v>
      </c>
      <c r="D2023" s="3">
        <v>6</v>
      </c>
      <c r="E2023" s="3">
        <v>10</v>
      </c>
      <c r="F2023">
        <v>23</v>
      </c>
      <c r="G2023" s="1">
        <f>DATEVALUE(_xlfn.CONCAT(BBDD_Usiarios_Netflix[[#This Row],[Día Suscripción]],"/",BBDD_Usiarios_Netflix[[#This Row],[Mes Suscripción]],"/",BBDD_Usiarios_Netflix[[#This Row],[Año Suscripción]]))</f>
        <v>45205</v>
      </c>
      <c r="H2023" s="1">
        <v>9</v>
      </c>
      <c r="I2023" s="1">
        <v>7</v>
      </c>
      <c r="J2023" s="1">
        <v>24</v>
      </c>
      <c r="K2023" s="1" t="str">
        <f>TEXT(BBDD_Usiarios_Netflix[[#This Row],[Fecha Suscripción]],"dddd")</f>
        <v>viernes</v>
      </c>
      <c r="L2023" s="1">
        <f>DATEVALUE(_xlfn.CONCAT(BBDD_Usiarios_Netflix[[#This Row],[Día Último Pago]],"/",BBDD_Usiarios_Netflix[[#This Row],[Mes Último Pago]],"/",BBDD_Usiarios_Netflix[[#This Row],[Año Último Pago]]))</f>
        <v>45482</v>
      </c>
      <c r="M2023" s="4">
        <f>DATEDIF(BBDD_Usiarios_Netflix[[#This Row],[Fecha Suscripción]],BBDD_Usiarios_Netflix[[#This Row],[Fecha Último Pago]],"M")+1</f>
        <v>10</v>
      </c>
      <c r="N2023" s="4">
        <f>BBDD_Usiarios_Netflix[[#This Row],[Ingresos Mensuales]]*BBDD_Usiarios_Netflix[[#This Row],[Meses contratados]]</f>
        <v>100</v>
      </c>
      <c r="O2023" t="s">
        <v>29</v>
      </c>
      <c r="P2023" t="str">
        <f>IF(BBDD_Usiarios_Netflix[[#This Row],[País]]="","Desconocido",BBDD_Usiarios_Netflix[[#This Row],[País]])</f>
        <v>EEUU</v>
      </c>
      <c r="Q2023">
        <v>48</v>
      </c>
      <c r="R2023" t="s">
        <v>30</v>
      </c>
      <c r="S2023" t="s">
        <v>36</v>
      </c>
      <c r="T2023" t="s">
        <v>38</v>
      </c>
      <c r="U2023">
        <f>IF(IFERROR(VLOOKUP(BBDD_Usiarios_Netflix[[#This Row],[Identificador Usuario]],A2024:$A$5870,1,FALSE),0)&lt;&gt;0,1,0)</f>
        <v>0</v>
      </c>
      <c r="V2023" s="6" t="str">
        <f>IF(BBDD_Usiarios_Netflix[[#This Row],[Duración Plan]]="12 Meses",LEFT(BBDD_Usiarios_Netflix[[#This Row],[Duración Plan]],2),LEFT(BBDD_Usiarios_Netflix[[#This Row],[Duración Plan]],1))</f>
        <v>3</v>
      </c>
      <c r="W20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24" spans="1:23" x14ac:dyDescent="0.25">
      <c r="A2024">
        <v>2023</v>
      </c>
      <c r="B2024" t="s">
        <v>32</v>
      </c>
      <c r="C2024">
        <v>12</v>
      </c>
      <c r="D2024" s="3">
        <v>9</v>
      </c>
      <c r="E2024" s="3">
        <v>10</v>
      </c>
      <c r="F2024">
        <v>23</v>
      </c>
      <c r="G2024" s="1">
        <f>DATEVALUE(_xlfn.CONCAT(BBDD_Usiarios_Netflix[[#This Row],[Día Suscripción]],"/",BBDD_Usiarios_Netflix[[#This Row],[Mes Suscripción]],"/",BBDD_Usiarios_Netflix[[#This Row],[Año Suscripción]]))</f>
        <v>45208</v>
      </c>
      <c r="H2024" s="1">
        <v>10</v>
      </c>
      <c r="I2024" s="1">
        <v>7</v>
      </c>
      <c r="J2024" s="1">
        <v>24</v>
      </c>
      <c r="K2024" s="1" t="str">
        <f>TEXT(BBDD_Usiarios_Netflix[[#This Row],[Fecha Suscripción]],"dddd")</f>
        <v>lunes</v>
      </c>
      <c r="L2024" s="1">
        <f>DATEVALUE(_xlfn.CONCAT(BBDD_Usiarios_Netflix[[#This Row],[Día Último Pago]],"/",BBDD_Usiarios_Netflix[[#This Row],[Mes Último Pago]],"/",BBDD_Usiarios_Netflix[[#This Row],[Año Último Pago]]))</f>
        <v>45483</v>
      </c>
      <c r="M2024" s="4">
        <f>DATEDIF(BBDD_Usiarios_Netflix[[#This Row],[Fecha Suscripción]],BBDD_Usiarios_Netflix[[#This Row],[Fecha Último Pago]],"M")+1</f>
        <v>10</v>
      </c>
      <c r="N2024" s="4">
        <f>BBDD_Usiarios_Netflix[[#This Row],[Ingresos Mensuales]]*BBDD_Usiarios_Netflix[[#This Row],[Meses contratados]]</f>
        <v>120</v>
      </c>
      <c r="O2024" t="s">
        <v>40</v>
      </c>
      <c r="P2024" t="str">
        <f>IF(BBDD_Usiarios_Netflix[[#This Row],[País]]="","Desconocido",BBDD_Usiarios_Netflix[[#This Row],[País]])</f>
        <v>Italia</v>
      </c>
      <c r="Q2024">
        <v>37</v>
      </c>
      <c r="R2024" t="s">
        <v>25</v>
      </c>
      <c r="S2024" t="s">
        <v>31</v>
      </c>
      <c r="T2024" t="s">
        <v>27</v>
      </c>
      <c r="U2024">
        <f>IF(IFERROR(VLOOKUP(BBDD_Usiarios_Netflix[[#This Row],[Identificador Usuario]],A2025:$A$5870,1,FALSE),0)&lt;&gt;0,1,0)</f>
        <v>0</v>
      </c>
      <c r="V2024" s="6" t="str">
        <f>IF(BBDD_Usiarios_Netflix[[#This Row],[Duración Plan]]="12 Meses",LEFT(BBDD_Usiarios_Netflix[[#This Row],[Duración Plan]],2),LEFT(BBDD_Usiarios_Netflix[[#This Row],[Duración Plan]],1))</f>
        <v>1</v>
      </c>
      <c r="W20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5" spans="1:23" x14ac:dyDescent="0.25">
      <c r="A2025">
        <v>2024</v>
      </c>
      <c r="B2025" t="s">
        <v>28</v>
      </c>
      <c r="C2025">
        <v>14</v>
      </c>
      <c r="D2025" s="3">
        <v>11</v>
      </c>
      <c r="E2025" s="3">
        <v>10</v>
      </c>
      <c r="F2025">
        <v>23</v>
      </c>
      <c r="G2025" s="1">
        <f>DATEVALUE(_xlfn.CONCAT(BBDD_Usiarios_Netflix[[#This Row],[Día Suscripción]],"/",BBDD_Usiarios_Netflix[[#This Row],[Mes Suscripción]],"/",BBDD_Usiarios_Netflix[[#This Row],[Año Suscripción]]))</f>
        <v>45210</v>
      </c>
      <c r="H2025" s="1">
        <v>11</v>
      </c>
      <c r="I2025" s="1">
        <v>7</v>
      </c>
      <c r="J2025" s="1">
        <v>24</v>
      </c>
      <c r="K2025" s="1" t="str">
        <f>TEXT(BBDD_Usiarios_Netflix[[#This Row],[Fecha Suscripción]],"dddd")</f>
        <v>miércoles</v>
      </c>
      <c r="L2025" s="1">
        <f>DATEVALUE(_xlfn.CONCAT(BBDD_Usiarios_Netflix[[#This Row],[Día Último Pago]],"/",BBDD_Usiarios_Netflix[[#This Row],[Mes Último Pago]],"/",BBDD_Usiarios_Netflix[[#This Row],[Año Último Pago]]))</f>
        <v>45484</v>
      </c>
      <c r="M2025" s="4">
        <f>DATEDIF(BBDD_Usiarios_Netflix[[#This Row],[Fecha Suscripción]],BBDD_Usiarios_Netflix[[#This Row],[Fecha Último Pago]],"M")+1</f>
        <v>10</v>
      </c>
      <c r="N2025" s="4">
        <f>BBDD_Usiarios_Netflix[[#This Row],[Ingresos Mensuales]]*BBDD_Usiarios_Netflix[[#This Row],[Meses contratados]]</f>
        <v>140</v>
      </c>
      <c r="O2025" t="s">
        <v>29</v>
      </c>
      <c r="P2025" t="str">
        <f>IF(BBDD_Usiarios_Netflix[[#This Row],[País]]="","Desconocido",BBDD_Usiarios_Netflix[[#This Row],[País]])</f>
        <v>EEUU</v>
      </c>
      <c r="Q2025">
        <v>46</v>
      </c>
      <c r="R2025" t="s">
        <v>30</v>
      </c>
      <c r="S2025" t="s">
        <v>36</v>
      </c>
      <c r="T2025" t="s">
        <v>27</v>
      </c>
      <c r="U2025">
        <f>IF(IFERROR(VLOOKUP(BBDD_Usiarios_Netflix[[#This Row],[Identificador Usuario]],A2026:$A$5870,1,FALSE),0)&lt;&gt;0,1,0)</f>
        <v>0</v>
      </c>
      <c r="V2025" s="6" t="str">
        <f>IF(BBDD_Usiarios_Netflix[[#This Row],[Duración Plan]]="12 Meses",LEFT(BBDD_Usiarios_Netflix[[#This Row],[Duración Plan]],2),LEFT(BBDD_Usiarios_Netflix[[#This Row],[Duración Plan]],1))</f>
        <v>1</v>
      </c>
      <c r="W20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6" spans="1:23" x14ac:dyDescent="0.25">
      <c r="A2026">
        <v>2025</v>
      </c>
      <c r="B2026" t="s">
        <v>23</v>
      </c>
      <c r="C2026">
        <v>10</v>
      </c>
      <c r="D2026" s="3">
        <v>12</v>
      </c>
      <c r="E2026" s="3">
        <v>10</v>
      </c>
      <c r="F2026">
        <v>23</v>
      </c>
      <c r="G2026" s="1">
        <f>DATEVALUE(_xlfn.CONCAT(BBDD_Usiarios_Netflix[[#This Row],[Día Suscripción]],"/",BBDD_Usiarios_Netflix[[#This Row],[Mes Suscripción]],"/",BBDD_Usiarios_Netflix[[#This Row],[Año Suscripción]]))</f>
        <v>45211</v>
      </c>
      <c r="H2026" s="1">
        <v>8</v>
      </c>
      <c r="I2026" s="1">
        <v>7</v>
      </c>
      <c r="J2026" s="1">
        <v>24</v>
      </c>
      <c r="K2026" s="1" t="str">
        <f>TEXT(BBDD_Usiarios_Netflix[[#This Row],[Fecha Suscripción]],"dddd")</f>
        <v>jueves</v>
      </c>
      <c r="L2026" s="1">
        <f>DATEVALUE(_xlfn.CONCAT(BBDD_Usiarios_Netflix[[#This Row],[Día Último Pago]],"/",BBDD_Usiarios_Netflix[[#This Row],[Mes Último Pago]],"/",BBDD_Usiarios_Netflix[[#This Row],[Año Último Pago]]))</f>
        <v>45481</v>
      </c>
      <c r="M2026" s="4">
        <f>DATEDIF(BBDD_Usiarios_Netflix[[#This Row],[Fecha Suscripción]],BBDD_Usiarios_Netflix[[#This Row],[Fecha Último Pago]],"M")+1</f>
        <v>9</v>
      </c>
      <c r="N2026" s="4">
        <f>BBDD_Usiarios_Netflix[[#This Row],[Ingresos Mensuales]]*BBDD_Usiarios_Netflix[[#This Row],[Meses contratados]]</f>
        <v>90</v>
      </c>
      <c r="O2026" t="s">
        <v>44</v>
      </c>
      <c r="P2026" t="str">
        <f>IF(BBDD_Usiarios_Netflix[[#This Row],[País]]="","Desconocido",BBDD_Usiarios_Netflix[[#This Row],[País]])</f>
        <v>Desconocido</v>
      </c>
      <c r="Q2026">
        <v>46</v>
      </c>
      <c r="R2026" t="s">
        <v>25</v>
      </c>
      <c r="S2026" t="s">
        <v>36</v>
      </c>
      <c r="T2026" t="s">
        <v>27</v>
      </c>
      <c r="U2026">
        <f>IF(IFERROR(VLOOKUP(BBDD_Usiarios_Netflix[[#This Row],[Identificador Usuario]],A2027:$A$5870,1,FALSE),0)&lt;&gt;0,1,0)</f>
        <v>0</v>
      </c>
      <c r="V2026" s="6" t="str">
        <f>IF(BBDD_Usiarios_Netflix[[#This Row],[Duración Plan]]="12 Meses",LEFT(BBDD_Usiarios_Netflix[[#This Row],[Duración Plan]],2),LEFT(BBDD_Usiarios_Netflix[[#This Row],[Duración Plan]],1))</f>
        <v>1</v>
      </c>
      <c r="W20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7" spans="1:23" x14ac:dyDescent="0.25">
      <c r="A2027">
        <v>2026</v>
      </c>
      <c r="B2027" t="s">
        <v>23</v>
      </c>
      <c r="C2027">
        <v>10</v>
      </c>
      <c r="D2027" s="3">
        <v>13</v>
      </c>
      <c r="E2027" s="3">
        <v>10</v>
      </c>
      <c r="F2027">
        <v>23</v>
      </c>
      <c r="G2027" s="1">
        <f>DATEVALUE(_xlfn.CONCAT(BBDD_Usiarios_Netflix[[#This Row],[Día Suscripción]],"/",BBDD_Usiarios_Netflix[[#This Row],[Mes Suscripción]],"/",BBDD_Usiarios_Netflix[[#This Row],[Año Suscripción]]))</f>
        <v>45212</v>
      </c>
      <c r="H2027" s="1">
        <v>9</v>
      </c>
      <c r="I2027" s="1">
        <v>7</v>
      </c>
      <c r="J2027" s="1">
        <v>24</v>
      </c>
      <c r="K2027" s="1" t="str">
        <f>TEXT(BBDD_Usiarios_Netflix[[#This Row],[Fecha Suscripción]],"dddd")</f>
        <v>viernes</v>
      </c>
      <c r="L2027" s="1">
        <f>DATEVALUE(_xlfn.CONCAT(BBDD_Usiarios_Netflix[[#This Row],[Día Último Pago]],"/",BBDD_Usiarios_Netflix[[#This Row],[Mes Último Pago]],"/",BBDD_Usiarios_Netflix[[#This Row],[Año Último Pago]]))</f>
        <v>45482</v>
      </c>
      <c r="M2027" s="4">
        <f>DATEDIF(BBDD_Usiarios_Netflix[[#This Row],[Fecha Suscripción]],BBDD_Usiarios_Netflix[[#This Row],[Fecha Último Pago]],"M")+1</f>
        <v>9</v>
      </c>
      <c r="N2027" s="4">
        <f>BBDD_Usiarios_Netflix[[#This Row],[Ingresos Mensuales]]*BBDD_Usiarios_Netflix[[#This Row],[Meses contratados]]</f>
        <v>90</v>
      </c>
      <c r="O2027" t="s">
        <v>43</v>
      </c>
      <c r="P2027" t="str">
        <f>IF(BBDD_Usiarios_Netflix[[#This Row],[País]]="","Desconocido",BBDD_Usiarios_Netflix[[#This Row],[País]])</f>
        <v>Alemania</v>
      </c>
      <c r="Q2027">
        <v>39</v>
      </c>
      <c r="R2027" t="s">
        <v>25</v>
      </c>
      <c r="S2027" t="s">
        <v>34</v>
      </c>
      <c r="T2027" t="s">
        <v>27</v>
      </c>
      <c r="U2027">
        <f>IF(IFERROR(VLOOKUP(BBDD_Usiarios_Netflix[[#This Row],[Identificador Usuario]],A2028:$A$5870,1,FALSE),0)&lt;&gt;0,1,0)</f>
        <v>0</v>
      </c>
      <c r="V2027" s="6" t="str">
        <f>IF(BBDD_Usiarios_Netflix[[#This Row],[Duración Plan]]="12 Meses",LEFT(BBDD_Usiarios_Netflix[[#This Row],[Duración Plan]],2),LEFT(BBDD_Usiarios_Netflix[[#This Row],[Duración Plan]],1))</f>
        <v>1</v>
      </c>
      <c r="W20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28" spans="1:23" x14ac:dyDescent="0.25">
      <c r="A2028">
        <v>2027</v>
      </c>
      <c r="B2028" t="s">
        <v>28</v>
      </c>
      <c r="C2028">
        <v>14</v>
      </c>
      <c r="D2028" s="3">
        <v>17</v>
      </c>
      <c r="E2028" s="3">
        <v>10</v>
      </c>
      <c r="F2028">
        <v>23</v>
      </c>
      <c r="G2028" s="1">
        <f>DATEVALUE(_xlfn.CONCAT(BBDD_Usiarios_Netflix[[#This Row],[Día Suscripción]],"/",BBDD_Usiarios_Netflix[[#This Row],[Mes Suscripción]],"/",BBDD_Usiarios_Netflix[[#This Row],[Año Suscripción]]))</f>
        <v>45216</v>
      </c>
      <c r="H2028" s="1">
        <v>10</v>
      </c>
      <c r="I2028" s="1">
        <v>7</v>
      </c>
      <c r="J2028" s="1">
        <v>24</v>
      </c>
      <c r="K2028" s="1" t="str">
        <f>TEXT(BBDD_Usiarios_Netflix[[#This Row],[Fecha Suscripción]],"dddd")</f>
        <v>martes</v>
      </c>
      <c r="L2028" s="1">
        <f>DATEVALUE(_xlfn.CONCAT(BBDD_Usiarios_Netflix[[#This Row],[Día Último Pago]],"/",BBDD_Usiarios_Netflix[[#This Row],[Mes Último Pago]],"/",BBDD_Usiarios_Netflix[[#This Row],[Año Último Pago]]))</f>
        <v>45483</v>
      </c>
      <c r="M2028" s="4">
        <f>DATEDIF(BBDD_Usiarios_Netflix[[#This Row],[Fecha Suscripción]],BBDD_Usiarios_Netflix[[#This Row],[Fecha Último Pago]],"M")+1</f>
        <v>9</v>
      </c>
      <c r="N2028" s="4">
        <f>BBDD_Usiarios_Netflix[[#This Row],[Ingresos Mensuales]]*BBDD_Usiarios_Netflix[[#This Row],[Meses contratados]]</f>
        <v>126</v>
      </c>
      <c r="O2028" t="s">
        <v>33</v>
      </c>
      <c r="P2028" t="str">
        <f>IF(BBDD_Usiarios_Netflix[[#This Row],[País]]="","Desconocido",BBDD_Usiarios_Netflix[[#This Row],[País]])</f>
        <v>Francia</v>
      </c>
      <c r="Q2028">
        <v>42</v>
      </c>
      <c r="R2028" t="s">
        <v>30</v>
      </c>
      <c r="S2028" t="s">
        <v>34</v>
      </c>
      <c r="T2028" t="s">
        <v>38</v>
      </c>
      <c r="U2028">
        <f>IF(IFERROR(VLOOKUP(BBDD_Usiarios_Netflix[[#This Row],[Identificador Usuario]],A2029:$A$5870,1,FALSE),0)&lt;&gt;0,1,0)</f>
        <v>0</v>
      </c>
      <c r="V2028" s="6" t="str">
        <f>IF(BBDD_Usiarios_Netflix[[#This Row],[Duración Plan]]="12 Meses",LEFT(BBDD_Usiarios_Netflix[[#This Row],[Duración Plan]],2),LEFT(BBDD_Usiarios_Netflix[[#This Row],[Duración Plan]],1))</f>
        <v>3</v>
      </c>
      <c r="W20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29" spans="1:23" x14ac:dyDescent="0.25">
      <c r="A2029">
        <v>2028</v>
      </c>
      <c r="B2029" t="s">
        <v>32</v>
      </c>
      <c r="C2029">
        <v>12</v>
      </c>
      <c r="D2029" s="3">
        <v>19</v>
      </c>
      <c r="E2029" s="3">
        <v>10</v>
      </c>
      <c r="F2029">
        <v>23</v>
      </c>
      <c r="G2029" s="1">
        <f>DATEVALUE(_xlfn.CONCAT(BBDD_Usiarios_Netflix[[#This Row],[Día Suscripción]],"/",BBDD_Usiarios_Netflix[[#This Row],[Mes Suscripción]],"/",BBDD_Usiarios_Netflix[[#This Row],[Año Suscripción]]))</f>
        <v>45218</v>
      </c>
      <c r="H2029" s="1">
        <v>10</v>
      </c>
      <c r="I2029" s="1">
        <v>7</v>
      </c>
      <c r="J2029" s="1">
        <v>24</v>
      </c>
      <c r="K2029" s="1" t="str">
        <f>TEXT(BBDD_Usiarios_Netflix[[#This Row],[Fecha Suscripción]],"dddd")</f>
        <v>jueves</v>
      </c>
      <c r="L2029" s="1">
        <f>DATEVALUE(_xlfn.CONCAT(BBDD_Usiarios_Netflix[[#This Row],[Día Último Pago]],"/",BBDD_Usiarios_Netflix[[#This Row],[Mes Último Pago]],"/",BBDD_Usiarios_Netflix[[#This Row],[Año Último Pago]]))</f>
        <v>45483</v>
      </c>
      <c r="M2029" s="4">
        <f>DATEDIF(BBDD_Usiarios_Netflix[[#This Row],[Fecha Suscripción]],BBDD_Usiarios_Netflix[[#This Row],[Fecha Último Pago]],"M")+1</f>
        <v>9</v>
      </c>
      <c r="N2029" s="4">
        <f>BBDD_Usiarios_Netflix[[#This Row],[Ingresos Mensuales]]*BBDD_Usiarios_Netflix[[#This Row],[Meses contratados]]</f>
        <v>108</v>
      </c>
      <c r="O2029" t="s">
        <v>43</v>
      </c>
      <c r="P2029" t="str">
        <f>IF(BBDD_Usiarios_Netflix[[#This Row],[País]]="","Desconocido",BBDD_Usiarios_Netflix[[#This Row],[País]])</f>
        <v>Alemania</v>
      </c>
      <c r="Q2029">
        <v>41</v>
      </c>
      <c r="R2029" t="s">
        <v>30</v>
      </c>
      <c r="S2029" t="s">
        <v>26</v>
      </c>
      <c r="T2029" t="s">
        <v>27</v>
      </c>
      <c r="U2029">
        <f>IF(IFERROR(VLOOKUP(BBDD_Usiarios_Netflix[[#This Row],[Identificador Usuario]],A2030:$A$5870,1,FALSE),0)&lt;&gt;0,1,0)</f>
        <v>0</v>
      </c>
      <c r="V2029" s="6" t="str">
        <f>IF(BBDD_Usiarios_Netflix[[#This Row],[Duración Plan]]="12 Meses",LEFT(BBDD_Usiarios_Netflix[[#This Row],[Duración Plan]],2),LEFT(BBDD_Usiarios_Netflix[[#This Row],[Duración Plan]],1))</f>
        <v>1</v>
      </c>
      <c r="W20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30" spans="1:23" x14ac:dyDescent="0.25">
      <c r="A2030">
        <v>2029</v>
      </c>
      <c r="B2030" t="s">
        <v>32</v>
      </c>
      <c r="C2030">
        <v>12</v>
      </c>
      <c r="D2030" s="3">
        <v>21</v>
      </c>
      <c r="E2030" s="3">
        <v>10</v>
      </c>
      <c r="F2030">
        <v>23</v>
      </c>
      <c r="G2030" s="1">
        <f>DATEVALUE(_xlfn.CONCAT(BBDD_Usiarios_Netflix[[#This Row],[Día Suscripción]],"/",BBDD_Usiarios_Netflix[[#This Row],[Mes Suscripción]],"/",BBDD_Usiarios_Netflix[[#This Row],[Año Suscripción]]))</f>
        <v>45220</v>
      </c>
      <c r="H2030" s="1">
        <v>7</v>
      </c>
      <c r="I2030" s="1">
        <v>7</v>
      </c>
      <c r="J2030" s="1">
        <v>24</v>
      </c>
      <c r="K2030" s="1" t="str">
        <f>TEXT(BBDD_Usiarios_Netflix[[#This Row],[Fecha Suscripción]],"dddd")</f>
        <v>sábado</v>
      </c>
      <c r="L2030" s="1">
        <f>DATEVALUE(_xlfn.CONCAT(BBDD_Usiarios_Netflix[[#This Row],[Día Último Pago]],"/",BBDD_Usiarios_Netflix[[#This Row],[Mes Último Pago]],"/",BBDD_Usiarios_Netflix[[#This Row],[Año Último Pago]]))</f>
        <v>45480</v>
      </c>
      <c r="M2030" s="4">
        <f>DATEDIF(BBDD_Usiarios_Netflix[[#This Row],[Fecha Suscripción]],BBDD_Usiarios_Netflix[[#This Row],[Fecha Último Pago]],"M")+1</f>
        <v>9</v>
      </c>
      <c r="N2030" s="4">
        <f>BBDD_Usiarios_Netflix[[#This Row],[Ingresos Mensuales]]*BBDD_Usiarios_Netflix[[#This Row],[Meses contratados]]</f>
        <v>108</v>
      </c>
      <c r="O2030" t="s">
        <v>33</v>
      </c>
      <c r="P2030" t="str">
        <f>IF(BBDD_Usiarios_Netflix[[#This Row],[País]]="","Desconocido",BBDD_Usiarios_Netflix[[#This Row],[País]])</f>
        <v>Francia</v>
      </c>
      <c r="Q2030">
        <v>28</v>
      </c>
      <c r="R2030" t="s">
        <v>25</v>
      </c>
      <c r="S2030" t="s">
        <v>34</v>
      </c>
      <c r="T2030" t="s">
        <v>38</v>
      </c>
      <c r="U2030">
        <f>IF(IFERROR(VLOOKUP(BBDD_Usiarios_Netflix[[#This Row],[Identificador Usuario]],A2031:$A$5870,1,FALSE),0)&lt;&gt;0,1,0)</f>
        <v>0</v>
      </c>
      <c r="V2030" s="6" t="str">
        <f>IF(BBDD_Usiarios_Netflix[[#This Row],[Duración Plan]]="12 Meses",LEFT(BBDD_Usiarios_Netflix[[#This Row],[Duración Plan]],2),LEFT(BBDD_Usiarios_Netflix[[#This Row],[Duración Plan]],1))</f>
        <v>3</v>
      </c>
      <c r="W20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31" spans="1:23" x14ac:dyDescent="0.25">
      <c r="A2031">
        <v>2030</v>
      </c>
      <c r="B2031" t="s">
        <v>23</v>
      </c>
      <c r="C2031">
        <v>10</v>
      </c>
      <c r="D2031" s="3">
        <v>23</v>
      </c>
      <c r="E2031" s="3">
        <v>10</v>
      </c>
      <c r="F2031">
        <v>23</v>
      </c>
      <c r="G2031" s="1">
        <f>DATEVALUE(_xlfn.CONCAT(BBDD_Usiarios_Netflix[[#This Row],[Día Suscripción]],"/",BBDD_Usiarios_Netflix[[#This Row],[Mes Suscripción]],"/",BBDD_Usiarios_Netflix[[#This Row],[Año Suscripción]]))</f>
        <v>45222</v>
      </c>
      <c r="H2031" s="1">
        <v>9</v>
      </c>
      <c r="I2031" s="1">
        <v>7</v>
      </c>
      <c r="J2031" s="1">
        <v>24</v>
      </c>
      <c r="K2031" s="1" t="str">
        <f>TEXT(BBDD_Usiarios_Netflix[[#This Row],[Fecha Suscripción]],"dddd")</f>
        <v>lunes</v>
      </c>
      <c r="L2031" s="1">
        <f>DATEVALUE(_xlfn.CONCAT(BBDD_Usiarios_Netflix[[#This Row],[Día Último Pago]],"/",BBDD_Usiarios_Netflix[[#This Row],[Mes Último Pago]],"/",BBDD_Usiarios_Netflix[[#This Row],[Año Último Pago]]))</f>
        <v>45482</v>
      </c>
      <c r="M2031" s="4">
        <f>DATEDIF(BBDD_Usiarios_Netflix[[#This Row],[Fecha Suscripción]],BBDD_Usiarios_Netflix[[#This Row],[Fecha Último Pago]],"M")+1</f>
        <v>9</v>
      </c>
      <c r="N2031" s="4">
        <f>BBDD_Usiarios_Netflix[[#This Row],[Ingresos Mensuales]]*BBDD_Usiarios_Netflix[[#This Row],[Meses contratados]]</f>
        <v>90</v>
      </c>
      <c r="O2031" t="s">
        <v>42</v>
      </c>
      <c r="P2031" t="str">
        <f>IF(BBDD_Usiarios_Netflix[[#This Row],[País]]="","Desconocido",BBDD_Usiarios_Netflix[[#This Row],[País]])</f>
        <v>Reino Unido</v>
      </c>
      <c r="Q2031">
        <v>43</v>
      </c>
      <c r="R2031" t="s">
        <v>25</v>
      </c>
      <c r="S2031" t="s">
        <v>31</v>
      </c>
      <c r="T2031" t="s">
        <v>27</v>
      </c>
      <c r="U2031">
        <f>IF(IFERROR(VLOOKUP(BBDD_Usiarios_Netflix[[#This Row],[Identificador Usuario]],A2032:$A$5870,1,FALSE),0)&lt;&gt;0,1,0)</f>
        <v>0</v>
      </c>
      <c r="V2031" s="6" t="str">
        <f>IF(BBDD_Usiarios_Netflix[[#This Row],[Duración Plan]]="12 Meses",LEFT(BBDD_Usiarios_Netflix[[#This Row],[Duración Plan]],2),LEFT(BBDD_Usiarios_Netflix[[#This Row],[Duración Plan]],1))</f>
        <v>1</v>
      </c>
      <c r="W20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32" spans="1:23" x14ac:dyDescent="0.25">
      <c r="A2032">
        <v>2031</v>
      </c>
      <c r="B2032" t="s">
        <v>28</v>
      </c>
      <c r="C2032">
        <v>14</v>
      </c>
      <c r="D2032" s="3">
        <v>25</v>
      </c>
      <c r="E2032" s="3">
        <v>10</v>
      </c>
      <c r="F2032">
        <v>23</v>
      </c>
      <c r="G2032" s="1">
        <f>DATEVALUE(_xlfn.CONCAT(BBDD_Usiarios_Netflix[[#This Row],[Día Suscripción]],"/",BBDD_Usiarios_Netflix[[#This Row],[Mes Suscripción]],"/",BBDD_Usiarios_Netflix[[#This Row],[Año Suscripción]]))</f>
        <v>45224</v>
      </c>
      <c r="H2032" s="1">
        <v>10</v>
      </c>
      <c r="I2032" s="1">
        <v>7</v>
      </c>
      <c r="J2032" s="1">
        <v>24</v>
      </c>
      <c r="K2032" s="1" t="str">
        <f>TEXT(BBDD_Usiarios_Netflix[[#This Row],[Fecha Suscripción]],"dddd")</f>
        <v>miércoles</v>
      </c>
      <c r="L2032" s="1">
        <f>DATEVALUE(_xlfn.CONCAT(BBDD_Usiarios_Netflix[[#This Row],[Día Último Pago]],"/",BBDD_Usiarios_Netflix[[#This Row],[Mes Último Pago]],"/",BBDD_Usiarios_Netflix[[#This Row],[Año Último Pago]]))</f>
        <v>45483</v>
      </c>
      <c r="M2032" s="4">
        <f>DATEDIF(BBDD_Usiarios_Netflix[[#This Row],[Fecha Suscripción]],BBDD_Usiarios_Netflix[[#This Row],[Fecha Último Pago]],"M")+1</f>
        <v>9</v>
      </c>
      <c r="N2032" s="4">
        <f>BBDD_Usiarios_Netflix[[#This Row],[Ingresos Mensuales]]*BBDD_Usiarios_Netflix[[#This Row],[Meses contratados]]</f>
        <v>126</v>
      </c>
      <c r="O2032" t="s">
        <v>29</v>
      </c>
      <c r="P2032" t="str">
        <f>IF(BBDD_Usiarios_Netflix[[#This Row],[País]]="","Desconocido",BBDD_Usiarios_Netflix[[#This Row],[País]])</f>
        <v>EEUU</v>
      </c>
      <c r="Q2032">
        <v>45</v>
      </c>
      <c r="R2032" t="s">
        <v>30</v>
      </c>
      <c r="S2032" t="s">
        <v>34</v>
      </c>
      <c r="T2032" t="s">
        <v>27</v>
      </c>
      <c r="U2032">
        <f>IF(IFERROR(VLOOKUP(BBDD_Usiarios_Netflix[[#This Row],[Identificador Usuario]],A2033:$A$5870,1,FALSE),0)&lt;&gt;0,1,0)</f>
        <v>0</v>
      </c>
      <c r="V2032" s="6" t="str">
        <f>IF(BBDD_Usiarios_Netflix[[#This Row],[Duración Plan]]="12 Meses",LEFT(BBDD_Usiarios_Netflix[[#This Row],[Duración Plan]],2),LEFT(BBDD_Usiarios_Netflix[[#This Row],[Duración Plan]],1))</f>
        <v>1</v>
      </c>
      <c r="W20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33" spans="1:23" x14ac:dyDescent="0.25">
      <c r="A2033">
        <v>2032</v>
      </c>
      <c r="B2033" t="s">
        <v>32</v>
      </c>
      <c r="C2033">
        <v>12</v>
      </c>
      <c r="D2033" s="3">
        <v>27</v>
      </c>
      <c r="E2033" s="3">
        <v>10</v>
      </c>
      <c r="F2033">
        <v>23</v>
      </c>
      <c r="G2033" s="1">
        <f>DATEVALUE(_xlfn.CONCAT(BBDD_Usiarios_Netflix[[#This Row],[Día Suscripción]],"/",BBDD_Usiarios_Netflix[[#This Row],[Mes Suscripción]],"/",BBDD_Usiarios_Netflix[[#This Row],[Año Suscripción]]))</f>
        <v>45226</v>
      </c>
      <c r="H2033" s="1">
        <v>9</v>
      </c>
      <c r="I2033" s="1">
        <v>7</v>
      </c>
      <c r="J2033" s="1">
        <v>24</v>
      </c>
      <c r="K2033" s="1" t="str">
        <f>TEXT(BBDD_Usiarios_Netflix[[#This Row],[Fecha Suscripción]],"dddd")</f>
        <v>viernes</v>
      </c>
      <c r="L2033" s="1">
        <f>DATEVALUE(_xlfn.CONCAT(BBDD_Usiarios_Netflix[[#This Row],[Día Último Pago]],"/",BBDD_Usiarios_Netflix[[#This Row],[Mes Último Pago]],"/",BBDD_Usiarios_Netflix[[#This Row],[Año Último Pago]]))</f>
        <v>45482</v>
      </c>
      <c r="M2033" s="4">
        <f>DATEDIF(BBDD_Usiarios_Netflix[[#This Row],[Fecha Suscripción]],BBDD_Usiarios_Netflix[[#This Row],[Fecha Último Pago]],"M")+1</f>
        <v>9</v>
      </c>
      <c r="N2033" s="4">
        <f>BBDD_Usiarios_Netflix[[#This Row],[Ingresos Mensuales]]*BBDD_Usiarios_Netflix[[#This Row],[Meses contratados]]</f>
        <v>108</v>
      </c>
      <c r="O2033" t="s">
        <v>29</v>
      </c>
      <c r="P2033" t="str">
        <f>IF(BBDD_Usiarios_Netflix[[#This Row],[País]]="","Desconocido",BBDD_Usiarios_Netflix[[#This Row],[País]])</f>
        <v>EEUU</v>
      </c>
      <c r="Q2033">
        <v>45</v>
      </c>
      <c r="R2033" t="s">
        <v>25</v>
      </c>
      <c r="S2033" t="s">
        <v>34</v>
      </c>
      <c r="T2033" t="s">
        <v>35</v>
      </c>
      <c r="U2033">
        <f>IF(IFERROR(VLOOKUP(BBDD_Usiarios_Netflix[[#This Row],[Identificador Usuario]],A2034:$A$5870,1,FALSE),0)&lt;&gt;0,1,0)</f>
        <v>0</v>
      </c>
      <c r="V2033" s="6" t="str">
        <f>IF(BBDD_Usiarios_Netflix[[#This Row],[Duración Plan]]="12 Meses",LEFT(BBDD_Usiarios_Netflix[[#This Row],[Duración Plan]],2),LEFT(BBDD_Usiarios_Netflix[[#This Row],[Duración Plan]],1))</f>
        <v>6</v>
      </c>
      <c r="W20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34" spans="1:23" x14ac:dyDescent="0.25">
      <c r="A2034">
        <v>2033</v>
      </c>
      <c r="B2034" t="s">
        <v>23</v>
      </c>
      <c r="C2034">
        <v>10</v>
      </c>
      <c r="D2034" s="3">
        <v>31</v>
      </c>
      <c r="E2034" s="3">
        <v>10</v>
      </c>
      <c r="F2034">
        <v>23</v>
      </c>
      <c r="G2034" s="1">
        <f>DATEVALUE(_xlfn.CONCAT(BBDD_Usiarios_Netflix[[#This Row],[Día Suscripción]],"/",BBDD_Usiarios_Netflix[[#This Row],[Mes Suscripción]],"/",BBDD_Usiarios_Netflix[[#This Row],[Año Suscripción]]))</f>
        <v>45230</v>
      </c>
      <c r="H2034" s="1">
        <v>7</v>
      </c>
      <c r="I2034" s="1">
        <v>7</v>
      </c>
      <c r="J2034" s="1">
        <v>24</v>
      </c>
      <c r="K2034" s="1" t="str">
        <f>TEXT(BBDD_Usiarios_Netflix[[#This Row],[Fecha Suscripción]],"dddd")</f>
        <v>martes</v>
      </c>
      <c r="L2034" s="1">
        <f>DATEVALUE(_xlfn.CONCAT(BBDD_Usiarios_Netflix[[#This Row],[Día Último Pago]],"/",BBDD_Usiarios_Netflix[[#This Row],[Mes Último Pago]],"/",BBDD_Usiarios_Netflix[[#This Row],[Año Último Pago]]))</f>
        <v>45480</v>
      </c>
      <c r="M2034" s="4">
        <f>DATEDIF(BBDD_Usiarios_Netflix[[#This Row],[Fecha Suscripción]],BBDD_Usiarios_Netflix[[#This Row],[Fecha Último Pago]],"M")+1</f>
        <v>9</v>
      </c>
      <c r="N2034" s="4">
        <f>BBDD_Usiarios_Netflix[[#This Row],[Ingresos Mensuales]]*BBDD_Usiarios_Netflix[[#This Row],[Meses contratados]]</f>
        <v>90</v>
      </c>
      <c r="O2034" t="s">
        <v>42</v>
      </c>
      <c r="P2034" t="str">
        <f>IF(BBDD_Usiarios_Netflix[[#This Row],[País]]="","Desconocido",BBDD_Usiarios_Netflix[[#This Row],[País]])</f>
        <v>Reino Unido</v>
      </c>
      <c r="Q2034">
        <v>48</v>
      </c>
      <c r="R2034" t="s">
        <v>25</v>
      </c>
      <c r="S2034" t="s">
        <v>26</v>
      </c>
      <c r="T2034" t="s">
        <v>27</v>
      </c>
      <c r="U2034">
        <f>IF(IFERROR(VLOOKUP(BBDD_Usiarios_Netflix[[#This Row],[Identificador Usuario]],A2035:$A$5870,1,FALSE),0)&lt;&gt;0,1,0)</f>
        <v>0</v>
      </c>
      <c r="V2034" s="6" t="str">
        <f>IF(BBDD_Usiarios_Netflix[[#This Row],[Duración Plan]]="12 Meses",LEFT(BBDD_Usiarios_Netflix[[#This Row],[Duración Plan]],2),LEFT(BBDD_Usiarios_Netflix[[#This Row],[Duración Plan]],1))</f>
        <v>1</v>
      </c>
      <c r="W20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35" spans="1:23" x14ac:dyDescent="0.25">
      <c r="A2035">
        <v>2034</v>
      </c>
      <c r="B2035" t="s">
        <v>32</v>
      </c>
      <c r="C2035">
        <v>12</v>
      </c>
      <c r="D2035" s="3">
        <v>2</v>
      </c>
      <c r="E2035" s="3">
        <v>11</v>
      </c>
      <c r="F2035">
        <v>23</v>
      </c>
      <c r="G2035" s="1">
        <f>DATEVALUE(_xlfn.CONCAT(BBDD_Usiarios_Netflix[[#This Row],[Día Suscripción]],"/",BBDD_Usiarios_Netflix[[#This Row],[Mes Suscripción]],"/",BBDD_Usiarios_Netflix[[#This Row],[Año Suscripción]]))</f>
        <v>45232</v>
      </c>
      <c r="H2035" s="1">
        <v>9</v>
      </c>
      <c r="I2035" s="1">
        <v>7</v>
      </c>
      <c r="J2035" s="1">
        <v>24</v>
      </c>
      <c r="K2035" s="1" t="str">
        <f>TEXT(BBDD_Usiarios_Netflix[[#This Row],[Fecha Suscripción]],"dddd")</f>
        <v>jueves</v>
      </c>
      <c r="L2035" s="1">
        <f>DATEVALUE(_xlfn.CONCAT(BBDD_Usiarios_Netflix[[#This Row],[Día Último Pago]],"/",BBDD_Usiarios_Netflix[[#This Row],[Mes Último Pago]],"/",BBDD_Usiarios_Netflix[[#This Row],[Año Último Pago]]))</f>
        <v>45482</v>
      </c>
      <c r="M2035" s="4">
        <f>DATEDIF(BBDD_Usiarios_Netflix[[#This Row],[Fecha Suscripción]],BBDD_Usiarios_Netflix[[#This Row],[Fecha Último Pago]],"M")+1</f>
        <v>9</v>
      </c>
      <c r="N2035" s="4">
        <f>BBDD_Usiarios_Netflix[[#This Row],[Ingresos Mensuales]]*BBDD_Usiarios_Netflix[[#This Row],[Meses contratados]]</f>
        <v>108</v>
      </c>
      <c r="O2035" t="s">
        <v>39</v>
      </c>
      <c r="P2035" t="str">
        <f>IF(BBDD_Usiarios_Netflix[[#This Row],[País]]="","Desconocido",BBDD_Usiarios_Netflix[[#This Row],[País]])</f>
        <v>Canadá</v>
      </c>
      <c r="Q2035">
        <v>30</v>
      </c>
      <c r="R2035" t="s">
        <v>25</v>
      </c>
      <c r="S2035" t="s">
        <v>36</v>
      </c>
      <c r="T2035" t="s">
        <v>38</v>
      </c>
      <c r="U2035">
        <f>IF(IFERROR(VLOOKUP(BBDD_Usiarios_Netflix[[#This Row],[Identificador Usuario]],A2036:$A$5870,1,FALSE),0)&lt;&gt;0,1,0)</f>
        <v>0</v>
      </c>
      <c r="V2035" s="6" t="str">
        <f>IF(BBDD_Usiarios_Netflix[[#This Row],[Duración Plan]]="12 Meses",LEFT(BBDD_Usiarios_Netflix[[#This Row],[Duración Plan]],2),LEFT(BBDD_Usiarios_Netflix[[#This Row],[Duración Plan]],1))</f>
        <v>3</v>
      </c>
      <c r="W20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36" spans="1:23" x14ac:dyDescent="0.25">
      <c r="A2036">
        <v>2035</v>
      </c>
      <c r="B2036" t="s">
        <v>28</v>
      </c>
      <c r="C2036">
        <v>14</v>
      </c>
      <c r="D2036" s="3">
        <v>4</v>
      </c>
      <c r="E2036" s="3">
        <v>11</v>
      </c>
      <c r="F2036">
        <v>23</v>
      </c>
      <c r="G2036" s="1">
        <f>DATEVALUE(_xlfn.CONCAT(BBDD_Usiarios_Netflix[[#This Row],[Día Suscripción]],"/",BBDD_Usiarios_Netflix[[#This Row],[Mes Suscripción]],"/",BBDD_Usiarios_Netflix[[#This Row],[Año Suscripción]]))</f>
        <v>45234</v>
      </c>
      <c r="H2036" s="1">
        <v>10</v>
      </c>
      <c r="I2036" s="1">
        <v>7</v>
      </c>
      <c r="J2036" s="1">
        <v>24</v>
      </c>
      <c r="K2036" s="1" t="str">
        <f>TEXT(BBDD_Usiarios_Netflix[[#This Row],[Fecha Suscripción]],"dddd")</f>
        <v>sábado</v>
      </c>
      <c r="L2036" s="1">
        <f>DATEVALUE(_xlfn.CONCAT(BBDD_Usiarios_Netflix[[#This Row],[Día Último Pago]],"/",BBDD_Usiarios_Netflix[[#This Row],[Mes Último Pago]],"/",BBDD_Usiarios_Netflix[[#This Row],[Año Último Pago]]))</f>
        <v>45483</v>
      </c>
      <c r="M2036" s="4">
        <f>DATEDIF(BBDD_Usiarios_Netflix[[#This Row],[Fecha Suscripción]],BBDD_Usiarios_Netflix[[#This Row],[Fecha Último Pago]],"M")+1</f>
        <v>9</v>
      </c>
      <c r="N2036" s="4">
        <f>BBDD_Usiarios_Netflix[[#This Row],[Ingresos Mensuales]]*BBDD_Usiarios_Netflix[[#This Row],[Meses contratados]]</f>
        <v>126</v>
      </c>
      <c r="O2036" t="s">
        <v>29</v>
      </c>
      <c r="P2036" t="str">
        <f>IF(BBDD_Usiarios_Netflix[[#This Row],[País]]="","Desconocido",BBDD_Usiarios_Netflix[[#This Row],[País]])</f>
        <v>EEUU</v>
      </c>
      <c r="Q2036">
        <v>51</v>
      </c>
      <c r="R2036" t="s">
        <v>30</v>
      </c>
      <c r="S2036" t="s">
        <v>34</v>
      </c>
      <c r="T2036" t="s">
        <v>41</v>
      </c>
      <c r="U2036">
        <f>IF(IFERROR(VLOOKUP(BBDD_Usiarios_Netflix[[#This Row],[Identificador Usuario]],A2037:$A$5870,1,FALSE),0)&lt;&gt;0,1,0)</f>
        <v>0</v>
      </c>
      <c r="V2036" s="6" t="str">
        <f>IF(BBDD_Usiarios_Netflix[[#This Row],[Duración Plan]]="12 Meses",LEFT(BBDD_Usiarios_Netflix[[#This Row],[Duración Plan]],2),LEFT(BBDD_Usiarios_Netflix[[#This Row],[Duración Plan]],1))</f>
        <v>12</v>
      </c>
      <c r="W20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37" spans="1:23" x14ac:dyDescent="0.25">
      <c r="A2037">
        <v>2036</v>
      </c>
      <c r="B2037" t="s">
        <v>23</v>
      </c>
      <c r="C2037">
        <v>10</v>
      </c>
      <c r="D2037" s="3">
        <v>5</v>
      </c>
      <c r="E2037" s="3">
        <v>11</v>
      </c>
      <c r="F2037">
        <v>23</v>
      </c>
      <c r="G2037" s="1">
        <f>DATEVALUE(_xlfn.CONCAT(BBDD_Usiarios_Netflix[[#This Row],[Día Suscripción]],"/",BBDD_Usiarios_Netflix[[#This Row],[Mes Suscripción]],"/",BBDD_Usiarios_Netflix[[#This Row],[Año Suscripción]]))</f>
        <v>45235</v>
      </c>
      <c r="H2037" s="1">
        <v>9</v>
      </c>
      <c r="I2037" s="1">
        <v>7</v>
      </c>
      <c r="J2037" s="1">
        <v>24</v>
      </c>
      <c r="K2037" s="1" t="str">
        <f>TEXT(BBDD_Usiarios_Netflix[[#This Row],[Fecha Suscripción]],"dddd")</f>
        <v>domingo</v>
      </c>
      <c r="L2037" s="1">
        <f>DATEVALUE(_xlfn.CONCAT(BBDD_Usiarios_Netflix[[#This Row],[Día Último Pago]],"/",BBDD_Usiarios_Netflix[[#This Row],[Mes Último Pago]],"/",BBDD_Usiarios_Netflix[[#This Row],[Año Último Pago]]))</f>
        <v>45482</v>
      </c>
      <c r="M2037" s="4">
        <f>DATEDIF(BBDD_Usiarios_Netflix[[#This Row],[Fecha Suscripción]],BBDD_Usiarios_Netflix[[#This Row],[Fecha Último Pago]],"M")+1</f>
        <v>9</v>
      </c>
      <c r="N2037" s="4">
        <f>BBDD_Usiarios_Netflix[[#This Row],[Ingresos Mensuales]]*BBDD_Usiarios_Netflix[[#This Row],[Meses contratados]]</f>
        <v>90</v>
      </c>
      <c r="O2037" t="s">
        <v>39</v>
      </c>
      <c r="P2037" t="str">
        <f>IF(BBDD_Usiarios_Netflix[[#This Row],[País]]="","Desconocido",BBDD_Usiarios_Netflix[[#This Row],[País]])</f>
        <v>Canadá</v>
      </c>
      <c r="Q2037">
        <v>48</v>
      </c>
      <c r="R2037" t="s">
        <v>30</v>
      </c>
      <c r="S2037" t="s">
        <v>26</v>
      </c>
      <c r="T2037" t="s">
        <v>35</v>
      </c>
      <c r="U2037">
        <f>IF(IFERROR(VLOOKUP(BBDD_Usiarios_Netflix[[#This Row],[Identificador Usuario]],A2038:$A$5870,1,FALSE),0)&lt;&gt;0,1,0)</f>
        <v>0</v>
      </c>
      <c r="V2037" s="6" t="str">
        <f>IF(BBDD_Usiarios_Netflix[[#This Row],[Duración Plan]]="12 Meses",LEFT(BBDD_Usiarios_Netflix[[#This Row],[Duración Plan]],2),LEFT(BBDD_Usiarios_Netflix[[#This Row],[Duración Plan]],1))</f>
        <v>6</v>
      </c>
      <c r="W20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38" spans="1:23" x14ac:dyDescent="0.25">
      <c r="A2038">
        <v>2037</v>
      </c>
      <c r="B2038" t="s">
        <v>28</v>
      </c>
      <c r="C2038">
        <v>14</v>
      </c>
      <c r="D2038" s="3">
        <v>6</v>
      </c>
      <c r="E2038" s="3">
        <v>11</v>
      </c>
      <c r="F2038">
        <v>23</v>
      </c>
      <c r="G2038" s="1">
        <f>DATEVALUE(_xlfn.CONCAT(BBDD_Usiarios_Netflix[[#This Row],[Día Suscripción]],"/",BBDD_Usiarios_Netflix[[#This Row],[Mes Suscripción]],"/",BBDD_Usiarios_Netflix[[#This Row],[Año Suscripción]]))</f>
        <v>45236</v>
      </c>
      <c r="H2038" s="1">
        <v>7</v>
      </c>
      <c r="I2038" s="1">
        <v>7</v>
      </c>
      <c r="J2038" s="1">
        <v>24</v>
      </c>
      <c r="K2038" s="1" t="str">
        <f>TEXT(BBDD_Usiarios_Netflix[[#This Row],[Fecha Suscripción]],"dddd")</f>
        <v>lunes</v>
      </c>
      <c r="L2038" s="1">
        <f>DATEVALUE(_xlfn.CONCAT(BBDD_Usiarios_Netflix[[#This Row],[Día Último Pago]],"/",BBDD_Usiarios_Netflix[[#This Row],[Mes Último Pago]],"/",BBDD_Usiarios_Netflix[[#This Row],[Año Último Pago]]))</f>
        <v>45480</v>
      </c>
      <c r="M2038" s="4">
        <f>DATEDIF(BBDD_Usiarios_Netflix[[#This Row],[Fecha Suscripción]],BBDD_Usiarios_Netflix[[#This Row],[Fecha Último Pago]],"M")+1</f>
        <v>9</v>
      </c>
      <c r="N2038" s="4">
        <f>BBDD_Usiarios_Netflix[[#This Row],[Ingresos Mensuales]]*BBDD_Usiarios_Netflix[[#This Row],[Meses contratados]]</f>
        <v>126</v>
      </c>
      <c r="O2038" t="s">
        <v>39</v>
      </c>
      <c r="P2038" t="str">
        <f>IF(BBDD_Usiarios_Netflix[[#This Row],[País]]="","Desconocido",BBDD_Usiarios_Netflix[[#This Row],[País]])</f>
        <v>Canadá</v>
      </c>
      <c r="Q2038">
        <v>41</v>
      </c>
      <c r="R2038" t="s">
        <v>30</v>
      </c>
      <c r="S2038" t="s">
        <v>34</v>
      </c>
      <c r="T2038" t="s">
        <v>27</v>
      </c>
      <c r="U2038">
        <f>IF(IFERROR(VLOOKUP(BBDD_Usiarios_Netflix[[#This Row],[Identificador Usuario]],A2039:$A$5870,1,FALSE),0)&lt;&gt;0,1,0)</f>
        <v>0</v>
      </c>
      <c r="V2038" s="6" t="str">
        <f>IF(BBDD_Usiarios_Netflix[[#This Row],[Duración Plan]]="12 Meses",LEFT(BBDD_Usiarios_Netflix[[#This Row],[Duración Plan]],2),LEFT(BBDD_Usiarios_Netflix[[#This Row],[Duración Plan]],1))</f>
        <v>1</v>
      </c>
      <c r="W20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39" spans="1:23" x14ac:dyDescent="0.25">
      <c r="A2039">
        <v>2038</v>
      </c>
      <c r="B2039" t="s">
        <v>32</v>
      </c>
      <c r="C2039">
        <v>12</v>
      </c>
      <c r="D2039" s="3">
        <v>7</v>
      </c>
      <c r="E2039" s="3">
        <v>11</v>
      </c>
      <c r="F2039">
        <v>23</v>
      </c>
      <c r="G2039" s="1">
        <f>DATEVALUE(_xlfn.CONCAT(BBDD_Usiarios_Netflix[[#This Row],[Día Suscripción]],"/",BBDD_Usiarios_Netflix[[#This Row],[Mes Suscripción]],"/",BBDD_Usiarios_Netflix[[#This Row],[Año Suscripción]]))</f>
        <v>45237</v>
      </c>
      <c r="H2039" s="1">
        <v>10</v>
      </c>
      <c r="I2039" s="1">
        <v>7</v>
      </c>
      <c r="J2039" s="1">
        <v>24</v>
      </c>
      <c r="K2039" s="1" t="str">
        <f>TEXT(BBDD_Usiarios_Netflix[[#This Row],[Fecha Suscripción]],"dddd")</f>
        <v>martes</v>
      </c>
      <c r="L2039" s="1">
        <f>DATEVALUE(_xlfn.CONCAT(BBDD_Usiarios_Netflix[[#This Row],[Día Último Pago]],"/",BBDD_Usiarios_Netflix[[#This Row],[Mes Último Pago]],"/",BBDD_Usiarios_Netflix[[#This Row],[Año Último Pago]]))</f>
        <v>45483</v>
      </c>
      <c r="M2039" s="4">
        <f>DATEDIF(BBDD_Usiarios_Netflix[[#This Row],[Fecha Suscripción]],BBDD_Usiarios_Netflix[[#This Row],[Fecha Último Pago]],"M")+1</f>
        <v>9</v>
      </c>
      <c r="N2039" s="4">
        <f>BBDD_Usiarios_Netflix[[#This Row],[Ingresos Mensuales]]*BBDD_Usiarios_Netflix[[#This Row],[Meses contratados]]</f>
        <v>108</v>
      </c>
      <c r="O2039" t="s">
        <v>29</v>
      </c>
      <c r="P2039" t="str">
        <f>IF(BBDD_Usiarios_Netflix[[#This Row],[País]]="","Desconocido",BBDD_Usiarios_Netflix[[#This Row],[País]])</f>
        <v>EEUU</v>
      </c>
      <c r="Q2039">
        <v>37</v>
      </c>
      <c r="R2039" t="s">
        <v>30</v>
      </c>
      <c r="S2039" t="s">
        <v>26</v>
      </c>
      <c r="T2039" t="s">
        <v>27</v>
      </c>
      <c r="U2039">
        <f>IF(IFERROR(VLOOKUP(BBDD_Usiarios_Netflix[[#This Row],[Identificador Usuario]],A2040:$A$5870,1,FALSE),0)&lt;&gt;0,1,0)</f>
        <v>0</v>
      </c>
      <c r="V2039" s="6" t="str">
        <f>IF(BBDD_Usiarios_Netflix[[#This Row],[Duración Plan]]="12 Meses",LEFT(BBDD_Usiarios_Netflix[[#This Row],[Duración Plan]],2),LEFT(BBDD_Usiarios_Netflix[[#This Row],[Duración Plan]],1))</f>
        <v>1</v>
      </c>
      <c r="W20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40" spans="1:23" x14ac:dyDescent="0.25">
      <c r="A2040">
        <v>2039</v>
      </c>
      <c r="B2040" t="s">
        <v>23</v>
      </c>
      <c r="C2040">
        <v>10</v>
      </c>
      <c r="D2040" s="3">
        <v>8</v>
      </c>
      <c r="E2040" s="3">
        <v>11</v>
      </c>
      <c r="F2040">
        <v>23</v>
      </c>
      <c r="G2040" s="1">
        <f>DATEVALUE(_xlfn.CONCAT(BBDD_Usiarios_Netflix[[#This Row],[Día Suscripción]],"/",BBDD_Usiarios_Netflix[[#This Row],[Mes Suscripción]],"/",BBDD_Usiarios_Netflix[[#This Row],[Año Suscripción]]))</f>
        <v>45238</v>
      </c>
      <c r="H2040" s="1">
        <v>9</v>
      </c>
      <c r="I2040" s="1">
        <v>7</v>
      </c>
      <c r="J2040" s="1">
        <v>24</v>
      </c>
      <c r="K2040" s="1" t="str">
        <f>TEXT(BBDD_Usiarios_Netflix[[#This Row],[Fecha Suscripción]],"dddd")</f>
        <v>miércoles</v>
      </c>
      <c r="L2040" s="1">
        <f>DATEVALUE(_xlfn.CONCAT(BBDD_Usiarios_Netflix[[#This Row],[Día Último Pago]],"/",BBDD_Usiarios_Netflix[[#This Row],[Mes Último Pago]],"/",BBDD_Usiarios_Netflix[[#This Row],[Año Último Pago]]))</f>
        <v>45482</v>
      </c>
      <c r="M2040" s="4">
        <f>DATEDIF(BBDD_Usiarios_Netflix[[#This Row],[Fecha Suscripción]],BBDD_Usiarios_Netflix[[#This Row],[Fecha Último Pago]],"M")+1</f>
        <v>9</v>
      </c>
      <c r="N2040" s="4">
        <f>BBDD_Usiarios_Netflix[[#This Row],[Ingresos Mensuales]]*BBDD_Usiarios_Netflix[[#This Row],[Meses contratados]]</f>
        <v>90</v>
      </c>
      <c r="O2040" t="s">
        <v>40</v>
      </c>
      <c r="P2040" t="str">
        <f>IF(BBDD_Usiarios_Netflix[[#This Row],[País]]="","Desconocido",BBDD_Usiarios_Netflix[[#This Row],[País]])</f>
        <v>Italia</v>
      </c>
      <c r="Q2040">
        <v>43</v>
      </c>
      <c r="R2040" t="s">
        <v>25</v>
      </c>
      <c r="S2040" t="s">
        <v>36</v>
      </c>
      <c r="T2040" t="s">
        <v>27</v>
      </c>
      <c r="U2040">
        <f>IF(IFERROR(VLOOKUP(BBDD_Usiarios_Netflix[[#This Row],[Identificador Usuario]],A2041:$A$5870,1,FALSE),0)&lt;&gt;0,1,0)</f>
        <v>0</v>
      </c>
      <c r="V2040" s="6" t="str">
        <f>IF(BBDD_Usiarios_Netflix[[#This Row],[Duración Plan]]="12 Meses",LEFT(BBDD_Usiarios_Netflix[[#This Row],[Duración Plan]],2),LEFT(BBDD_Usiarios_Netflix[[#This Row],[Duración Plan]],1))</f>
        <v>1</v>
      </c>
      <c r="W20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41" spans="1:23" x14ac:dyDescent="0.25">
      <c r="A2041">
        <v>2040</v>
      </c>
      <c r="B2041" t="s">
        <v>32</v>
      </c>
      <c r="C2041">
        <v>12</v>
      </c>
      <c r="D2041" s="3">
        <v>8</v>
      </c>
      <c r="E2041" s="3">
        <v>11</v>
      </c>
      <c r="F2041">
        <v>23</v>
      </c>
      <c r="G2041" s="1">
        <f>DATEVALUE(_xlfn.CONCAT(BBDD_Usiarios_Netflix[[#This Row],[Día Suscripción]],"/",BBDD_Usiarios_Netflix[[#This Row],[Mes Suscripción]],"/",BBDD_Usiarios_Netflix[[#This Row],[Año Suscripción]]))</f>
        <v>45238</v>
      </c>
      <c r="H2041" s="1">
        <v>8</v>
      </c>
      <c r="I2041" s="1">
        <v>7</v>
      </c>
      <c r="J2041" s="1">
        <v>24</v>
      </c>
      <c r="K2041" s="1" t="str">
        <f>TEXT(BBDD_Usiarios_Netflix[[#This Row],[Fecha Suscripción]],"dddd")</f>
        <v>miércoles</v>
      </c>
      <c r="L2041" s="1">
        <f>DATEVALUE(_xlfn.CONCAT(BBDD_Usiarios_Netflix[[#This Row],[Día Último Pago]],"/",BBDD_Usiarios_Netflix[[#This Row],[Mes Último Pago]],"/",BBDD_Usiarios_Netflix[[#This Row],[Año Último Pago]]))</f>
        <v>45481</v>
      </c>
      <c r="M2041" s="4">
        <f>DATEDIF(BBDD_Usiarios_Netflix[[#This Row],[Fecha Suscripción]],BBDD_Usiarios_Netflix[[#This Row],[Fecha Último Pago]],"M")+1</f>
        <v>9</v>
      </c>
      <c r="N2041" s="4">
        <f>BBDD_Usiarios_Netflix[[#This Row],[Ingresos Mensuales]]*BBDD_Usiarios_Netflix[[#This Row],[Meses contratados]]</f>
        <v>108</v>
      </c>
      <c r="O2041" t="s">
        <v>44</v>
      </c>
      <c r="P2041" t="str">
        <f>IF(BBDD_Usiarios_Netflix[[#This Row],[País]]="","Desconocido",BBDD_Usiarios_Netflix[[#This Row],[País]])</f>
        <v>Desconocido</v>
      </c>
      <c r="Q2041">
        <v>51</v>
      </c>
      <c r="R2041" t="s">
        <v>25</v>
      </c>
      <c r="S2041" t="s">
        <v>36</v>
      </c>
      <c r="T2041" t="s">
        <v>38</v>
      </c>
      <c r="U2041">
        <f>IF(IFERROR(VLOOKUP(BBDD_Usiarios_Netflix[[#This Row],[Identificador Usuario]],A2042:$A$5870,1,FALSE),0)&lt;&gt;0,1,0)</f>
        <v>0</v>
      </c>
      <c r="V2041" s="6" t="str">
        <f>IF(BBDD_Usiarios_Netflix[[#This Row],[Duración Plan]]="12 Meses",LEFT(BBDD_Usiarios_Netflix[[#This Row],[Duración Plan]],2),LEFT(BBDD_Usiarios_Netflix[[#This Row],[Duración Plan]],1))</f>
        <v>3</v>
      </c>
      <c r="W20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42" spans="1:23" x14ac:dyDescent="0.25">
      <c r="A2042">
        <v>2041</v>
      </c>
      <c r="B2042" t="s">
        <v>28</v>
      </c>
      <c r="C2042">
        <v>14</v>
      </c>
      <c r="D2042" s="3">
        <v>9</v>
      </c>
      <c r="E2042" s="3">
        <v>11</v>
      </c>
      <c r="F2042">
        <v>23</v>
      </c>
      <c r="G2042" s="1">
        <f>DATEVALUE(_xlfn.CONCAT(BBDD_Usiarios_Netflix[[#This Row],[Día Suscripción]],"/",BBDD_Usiarios_Netflix[[#This Row],[Mes Suscripción]],"/",BBDD_Usiarios_Netflix[[#This Row],[Año Suscripción]]))</f>
        <v>45239</v>
      </c>
      <c r="H2042" s="1">
        <v>7</v>
      </c>
      <c r="I2042" s="1">
        <v>7</v>
      </c>
      <c r="J2042" s="1">
        <v>24</v>
      </c>
      <c r="K2042" s="1" t="str">
        <f>TEXT(BBDD_Usiarios_Netflix[[#This Row],[Fecha Suscripción]],"dddd")</f>
        <v>jueves</v>
      </c>
      <c r="L2042" s="1">
        <f>DATEVALUE(_xlfn.CONCAT(BBDD_Usiarios_Netflix[[#This Row],[Día Último Pago]],"/",BBDD_Usiarios_Netflix[[#This Row],[Mes Último Pago]],"/",BBDD_Usiarios_Netflix[[#This Row],[Año Último Pago]]))</f>
        <v>45480</v>
      </c>
      <c r="M2042" s="4">
        <f>DATEDIF(BBDD_Usiarios_Netflix[[#This Row],[Fecha Suscripción]],BBDD_Usiarios_Netflix[[#This Row],[Fecha Último Pago]],"M")+1</f>
        <v>8</v>
      </c>
      <c r="N2042" s="4">
        <f>BBDD_Usiarios_Netflix[[#This Row],[Ingresos Mensuales]]*BBDD_Usiarios_Netflix[[#This Row],[Meses contratados]]</f>
        <v>112</v>
      </c>
      <c r="O2042" t="s">
        <v>40</v>
      </c>
      <c r="P2042" t="str">
        <f>IF(BBDD_Usiarios_Netflix[[#This Row],[País]]="","Desconocido",BBDD_Usiarios_Netflix[[#This Row],[País]])</f>
        <v>Italia</v>
      </c>
      <c r="Q2042">
        <v>34</v>
      </c>
      <c r="R2042" t="s">
        <v>30</v>
      </c>
      <c r="S2042" t="s">
        <v>26</v>
      </c>
      <c r="T2042" t="s">
        <v>35</v>
      </c>
      <c r="U2042">
        <f>IF(IFERROR(VLOOKUP(BBDD_Usiarios_Netflix[[#This Row],[Identificador Usuario]],A2043:$A$5870,1,FALSE),0)&lt;&gt;0,1,0)</f>
        <v>0</v>
      </c>
      <c r="V2042" s="6" t="str">
        <f>IF(BBDD_Usiarios_Netflix[[#This Row],[Duración Plan]]="12 Meses",LEFT(BBDD_Usiarios_Netflix[[#This Row],[Duración Plan]],2),LEFT(BBDD_Usiarios_Netflix[[#This Row],[Duración Plan]],1))</f>
        <v>6</v>
      </c>
      <c r="W20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43" spans="1:23" x14ac:dyDescent="0.25">
      <c r="A2043">
        <v>2042</v>
      </c>
      <c r="B2043" t="s">
        <v>23</v>
      </c>
      <c r="C2043">
        <v>10</v>
      </c>
      <c r="D2043" s="3">
        <v>9</v>
      </c>
      <c r="E2043" s="3">
        <v>11</v>
      </c>
      <c r="F2043">
        <v>23</v>
      </c>
      <c r="G2043" s="1">
        <f>DATEVALUE(_xlfn.CONCAT(BBDD_Usiarios_Netflix[[#This Row],[Día Suscripción]],"/",BBDD_Usiarios_Netflix[[#This Row],[Mes Suscripción]],"/",BBDD_Usiarios_Netflix[[#This Row],[Año Suscripción]]))</f>
        <v>45239</v>
      </c>
      <c r="H2043" s="1">
        <v>10</v>
      </c>
      <c r="I2043" s="1">
        <v>7</v>
      </c>
      <c r="J2043" s="1">
        <v>24</v>
      </c>
      <c r="K2043" s="1" t="str">
        <f>TEXT(BBDD_Usiarios_Netflix[[#This Row],[Fecha Suscripción]],"dddd")</f>
        <v>jueves</v>
      </c>
      <c r="L2043" s="1">
        <f>DATEVALUE(_xlfn.CONCAT(BBDD_Usiarios_Netflix[[#This Row],[Día Último Pago]],"/",BBDD_Usiarios_Netflix[[#This Row],[Mes Último Pago]],"/",BBDD_Usiarios_Netflix[[#This Row],[Año Último Pago]]))</f>
        <v>45483</v>
      </c>
      <c r="M2043" s="4">
        <f>DATEDIF(BBDD_Usiarios_Netflix[[#This Row],[Fecha Suscripción]],BBDD_Usiarios_Netflix[[#This Row],[Fecha Último Pago]],"M")+1</f>
        <v>9</v>
      </c>
      <c r="N2043" s="4">
        <f>BBDD_Usiarios_Netflix[[#This Row],[Ingresos Mensuales]]*BBDD_Usiarios_Netflix[[#This Row],[Meses contratados]]</f>
        <v>90</v>
      </c>
      <c r="O2043" t="s">
        <v>33</v>
      </c>
      <c r="P2043" t="str">
        <f>IF(BBDD_Usiarios_Netflix[[#This Row],[País]]="","Desconocido",BBDD_Usiarios_Netflix[[#This Row],[País]])</f>
        <v>Francia</v>
      </c>
      <c r="Q2043">
        <v>35</v>
      </c>
      <c r="R2043" t="s">
        <v>30</v>
      </c>
      <c r="S2043" t="s">
        <v>26</v>
      </c>
      <c r="T2043" t="s">
        <v>41</v>
      </c>
      <c r="U2043">
        <f>IF(IFERROR(VLOOKUP(BBDD_Usiarios_Netflix[[#This Row],[Identificador Usuario]],A2044:$A$5870,1,FALSE),0)&lt;&gt;0,1,0)</f>
        <v>0</v>
      </c>
      <c r="V2043" s="6" t="str">
        <f>IF(BBDD_Usiarios_Netflix[[#This Row],[Duración Plan]]="12 Meses",LEFT(BBDD_Usiarios_Netflix[[#This Row],[Duración Plan]],2),LEFT(BBDD_Usiarios_Netflix[[#This Row],[Duración Plan]],1))</f>
        <v>12</v>
      </c>
      <c r="W20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44" spans="1:23" x14ac:dyDescent="0.25">
      <c r="A2044">
        <v>2043</v>
      </c>
      <c r="B2044" t="s">
        <v>32</v>
      </c>
      <c r="C2044">
        <v>12</v>
      </c>
      <c r="D2044" s="3">
        <v>5</v>
      </c>
      <c r="E2044" s="3">
        <v>11</v>
      </c>
      <c r="F2044">
        <v>23</v>
      </c>
      <c r="G2044" s="1">
        <f>DATEVALUE(_xlfn.CONCAT(BBDD_Usiarios_Netflix[[#This Row],[Día Suscripción]],"/",BBDD_Usiarios_Netflix[[#This Row],[Mes Suscripción]],"/",BBDD_Usiarios_Netflix[[#This Row],[Año Suscripción]]))</f>
        <v>45235</v>
      </c>
      <c r="H2044" s="1">
        <v>9</v>
      </c>
      <c r="I2044" s="1">
        <v>7</v>
      </c>
      <c r="J2044" s="1">
        <v>24</v>
      </c>
      <c r="K2044" s="1" t="str">
        <f>TEXT(BBDD_Usiarios_Netflix[[#This Row],[Fecha Suscripción]],"dddd")</f>
        <v>domingo</v>
      </c>
      <c r="L2044" s="1">
        <f>DATEVALUE(_xlfn.CONCAT(BBDD_Usiarios_Netflix[[#This Row],[Día Último Pago]],"/",BBDD_Usiarios_Netflix[[#This Row],[Mes Último Pago]],"/",BBDD_Usiarios_Netflix[[#This Row],[Año Último Pago]]))</f>
        <v>45482</v>
      </c>
      <c r="M2044" s="4">
        <f>DATEDIF(BBDD_Usiarios_Netflix[[#This Row],[Fecha Suscripción]],BBDD_Usiarios_Netflix[[#This Row],[Fecha Último Pago]],"M")+1</f>
        <v>9</v>
      </c>
      <c r="N2044" s="4">
        <f>BBDD_Usiarios_Netflix[[#This Row],[Ingresos Mensuales]]*BBDD_Usiarios_Netflix[[#This Row],[Meses contratados]]</f>
        <v>108</v>
      </c>
      <c r="O2044" t="s">
        <v>29</v>
      </c>
      <c r="P2044" t="str">
        <f>IF(BBDD_Usiarios_Netflix[[#This Row],[País]]="","Desconocido",BBDD_Usiarios_Netflix[[#This Row],[País]])</f>
        <v>EEUU</v>
      </c>
      <c r="Q2044">
        <v>45</v>
      </c>
      <c r="R2044" t="s">
        <v>30</v>
      </c>
      <c r="S2044" t="s">
        <v>34</v>
      </c>
      <c r="T2044" t="s">
        <v>27</v>
      </c>
      <c r="U2044">
        <f>IF(IFERROR(VLOOKUP(BBDD_Usiarios_Netflix[[#This Row],[Identificador Usuario]],A2045:$A$5870,1,FALSE),0)&lt;&gt;0,1,0)</f>
        <v>0</v>
      </c>
      <c r="V2044" s="6" t="str">
        <f>IF(BBDD_Usiarios_Netflix[[#This Row],[Duración Plan]]="12 Meses",LEFT(BBDD_Usiarios_Netflix[[#This Row],[Duración Plan]],2),LEFT(BBDD_Usiarios_Netflix[[#This Row],[Duración Plan]],1))</f>
        <v>1</v>
      </c>
      <c r="W20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45" spans="1:23" x14ac:dyDescent="0.25">
      <c r="A2045">
        <v>2044</v>
      </c>
      <c r="B2045" t="s">
        <v>28</v>
      </c>
      <c r="C2045">
        <v>14</v>
      </c>
      <c r="D2045" s="3">
        <v>5</v>
      </c>
      <c r="E2045" s="3">
        <v>11</v>
      </c>
      <c r="F2045">
        <v>23</v>
      </c>
      <c r="G2045" s="1">
        <f>DATEVALUE(_xlfn.CONCAT(BBDD_Usiarios_Netflix[[#This Row],[Día Suscripción]],"/",BBDD_Usiarios_Netflix[[#This Row],[Mes Suscripción]],"/",BBDD_Usiarios_Netflix[[#This Row],[Año Suscripción]]))</f>
        <v>45235</v>
      </c>
      <c r="H2045" s="1">
        <v>10</v>
      </c>
      <c r="I2045" s="1">
        <v>7</v>
      </c>
      <c r="J2045" s="1">
        <v>24</v>
      </c>
      <c r="K2045" s="1" t="str">
        <f>TEXT(BBDD_Usiarios_Netflix[[#This Row],[Fecha Suscripción]],"dddd")</f>
        <v>domingo</v>
      </c>
      <c r="L2045" s="1">
        <f>DATEVALUE(_xlfn.CONCAT(BBDD_Usiarios_Netflix[[#This Row],[Día Último Pago]],"/",BBDD_Usiarios_Netflix[[#This Row],[Mes Último Pago]],"/",BBDD_Usiarios_Netflix[[#This Row],[Año Último Pago]]))</f>
        <v>45483</v>
      </c>
      <c r="M2045" s="4">
        <f>DATEDIF(BBDD_Usiarios_Netflix[[#This Row],[Fecha Suscripción]],BBDD_Usiarios_Netflix[[#This Row],[Fecha Último Pago]],"M")+1</f>
        <v>9</v>
      </c>
      <c r="N2045" s="4">
        <f>BBDD_Usiarios_Netflix[[#This Row],[Ingresos Mensuales]]*BBDD_Usiarios_Netflix[[#This Row],[Meses contratados]]</f>
        <v>126</v>
      </c>
      <c r="O2045" t="s">
        <v>29</v>
      </c>
      <c r="P2045" t="str">
        <f>IF(BBDD_Usiarios_Netflix[[#This Row],[País]]="","Desconocido",BBDD_Usiarios_Netflix[[#This Row],[País]])</f>
        <v>EEUU</v>
      </c>
      <c r="Q2045">
        <v>31</v>
      </c>
      <c r="R2045" t="s">
        <v>25</v>
      </c>
      <c r="S2045" t="s">
        <v>34</v>
      </c>
      <c r="T2045" t="s">
        <v>27</v>
      </c>
      <c r="U2045">
        <f>IF(IFERROR(VLOOKUP(BBDD_Usiarios_Netflix[[#This Row],[Identificador Usuario]],A2046:$A$5870,1,FALSE),0)&lt;&gt;0,1,0)</f>
        <v>0</v>
      </c>
      <c r="V2045" s="6" t="str">
        <f>IF(BBDD_Usiarios_Netflix[[#This Row],[Duración Plan]]="12 Meses",LEFT(BBDD_Usiarios_Netflix[[#This Row],[Duración Plan]],2),LEFT(BBDD_Usiarios_Netflix[[#This Row],[Duración Plan]],1))</f>
        <v>1</v>
      </c>
      <c r="W20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46" spans="1:23" x14ac:dyDescent="0.25">
      <c r="A2046">
        <v>2045</v>
      </c>
      <c r="B2046" t="s">
        <v>23</v>
      </c>
      <c r="C2046">
        <v>10</v>
      </c>
      <c r="D2046" s="3">
        <v>2</v>
      </c>
      <c r="E2046" s="3">
        <v>11</v>
      </c>
      <c r="F2046">
        <v>23</v>
      </c>
      <c r="G2046" s="1">
        <f>DATEVALUE(_xlfn.CONCAT(BBDD_Usiarios_Netflix[[#This Row],[Día Suscripción]],"/",BBDD_Usiarios_Netflix[[#This Row],[Mes Suscripción]],"/",BBDD_Usiarios_Netflix[[#This Row],[Año Suscripción]]))</f>
        <v>45232</v>
      </c>
      <c r="H2046" s="1">
        <v>8</v>
      </c>
      <c r="I2046" s="1">
        <v>7</v>
      </c>
      <c r="J2046" s="1">
        <v>24</v>
      </c>
      <c r="K2046" s="1" t="str">
        <f>TEXT(BBDD_Usiarios_Netflix[[#This Row],[Fecha Suscripción]],"dddd")</f>
        <v>jueves</v>
      </c>
      <c r="L2046" s="1">
        <f>DATEVALUE(_xlfn.CONCAT(BBDD_Usiarios_Netflix[[#This Row],[Día Último Pago]],"/",BBDD_Usiarios_Netflix[[#This Row],[Mes Último Pago]],"/",BBDD_Usiarios_Netflix[[#This Row],[Año Último Pago]]))</f>
        <v>45481</v>
      </c>
      <c r="M2046" s="4">
        <f>DATEDIF(BBDD_Usiarios_Netflix[[#This Row],[Fecha Suscripción]],BBDD_Usiarios_Netflix[[#This Row],[Fecha Último Pago]],"M")+1</f>
        <v>9</v>
      </c>
      <c r="N2046" s="4">
        <f>BBDD_Usiarios_Netflix[[#This Row],[Ingresos Mensuales]]*BBDD_Usiarios_Netflix[[#This Row],[Meses contratados]]</f>
        <v>90</v>
      </c>
      <c r="O2046" t="s">
        <v>43</v>
      </c>
      <c r="P2046" t="str">
        <f>IF(BBDD_Usiarios_Netflix[[#This Row],[País]]="","Desconocido",BBDD_Usiarios_Netflix[[#This Row],[País]])</f>
        <v>Alemania</v>
      </c>
      <c r="Q2046">
        <v>50</v>
      </c>
      <c r="R2046" t="s">
        <v>30</v>
      </c>
      <c r="S2046" t="s">
        <v>36</v>
      </c>
      <c r="T2046" t="s">
        <v>27</v>
      </c>
      <c r="U2046">
        <f>IF(IFERROR(VLOOKUP(BBDD_Usiarios_Netflix[[#This Row],[Identificador Usuario]],A2047:$A$5870,1,FALSE),0)&lt;&gt;0,1,0)</f>
        <v>0</v>
      </c>
      <c r="V2046" s="6" t="str">
        <f>IF(BBDD_Usiarios_Netflix[[#This Row],[Duración Plan]]="12 Meses",LEFT(BBDD_Usiarios_Netflix[[#This Row],[Duración Plan]],2),LEFT(BBDD_Usiarios_Netflix[[#This Row],[Duración Plan]],1))</f>
        <v>1</v>
      </c>
      <c r="W20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47" spans="1:23" x14ac:dyDescent="0.25">
      <c r="A2047">
        <v>2046</v>
      </c>
      <c r="B2047" t="s">
        <v>28</v>
      </c>
      <c r="C2047">
        <v>14</v>
      </c>
      <c r="D2047" s="3">
        <v>30</v>
      </c>
      <c r="E2047" s="3">
        <v>10</v>
      </c>
      <c r="F2047">
        <v>23</v>
      </c>
      <c r="G2047" s="1">
        <f>DATEVALUE(_xlfn.CONCAT(BBDD_Usiarios_Netflix[[#This Row],[Día Suscripción]],"/",BBDD_Usiarios_Netflix[[#This Row],[Mes Suscripción]],"/",BBDD_Usiarios_Netflix[[#This Row],[Año Suscripción]]))</f>
        <v>45229</v>
      </c>
      <c r="H2047" s="1">
        <v>9</v>
      </c>
      <c r="I2047" s="1">
        <v>7</v>
      </c>
      <c r="J2047" s="1">
        <v>24</v>
      </c>
      <c r="K2047" s="1" t="str">
        <f>TEXT(BBDD_Usiarios_Netflix[[#This Row],[Fecha Suscripción]],"dddd")</f>
        <v>lunes</v>
      </c>
      <c r="L2047" s="1">
        <f>DATEVALUE(_xlfn.CONCAT(BBDD_Usiarios_Netflix[[#This Row],[Día Último Pago]],"/",BBDD_Usiarios_Netflix[[#This Row],[Mes Último Pago]],"/",BBDD_Usiarios_Netflix[[#This Row],[Año Último Pago]]))</f>
        <v>45482</v>
      </c>
      <c r="M2047" s="4">
        <f>DATEDIF(BBDD_Usiarios_Netflix[[#This Row],[Fecha Suscripción]],BBDD_Usiarios_Netflix[[#This Row],[Fecha Último Pago]],"M")+1</f>
        <v>9</v>
      </c>
      <c r="N2047" s="4">
        <f>BBDD_Usiarios_Netflix[[#This Row],[Ingresos Mensuales]]*BBDD_Usiarios_Netflix[[#This Row],[Meses contratados]]</f>
        <v>126</v>
      </c>
      <c r="O2047" t="s">
        <v>44</v>
      </c>
      <c r="P2047" t="str">
        <f>IF(BBDD_Usiarios_Netflix[[#This Row],[País]]="","Desconocido",BBDD_Usiarios_Netflix[[#This Row],[País]])</f>
        <v>Desconocido</v>
      </c>
      <c r="Q2047">
        <v>41</v>
      </c>
      <c r="R2047" t="s">
        <v>25</v>
      </c>
      <c r="S2047" t="s">
        <v>26</v>
      </c>
      <c r="T2047" t="s">
        <v>35</v>
      </c>
      <c r="U2047">
        <f>IF(IFERROR(VLOOKUP(BBDD_Usiarios_Netflix[[#This Row],[Identificador Usuario]],A2048:$A$5870,1,FALSE),0)&lt;&gt;0,1,0)</f>
        <v>0</v>
      </c>
      <c r="V2047" s="6" t="str">
        <f>IF(BBDD_Usiarios_Netflix[[#This Row],[Duración Plan]]="12 Meses",LEFT(BBDD_Usiarios_Netflix[[#This Row],[Duración Plan]],2),LEFT(BBDD_Usiarios_Netflix[[#This Row],[Duración Plan]],1))</f>
        <v>6</v>
      </c>
      <c r="W20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48" spans="1:23" x14ac:dyDescent="0.25">
      <c r="A2048">
        <v>2047</v>
      </c>
      <c r="B2048" t="s">
        <v>23</v>
      </c>
      <c r="C2048">
        <v>10</v>
      </c>
      <c r="D2048" s="3">
        <v>30</v>
      </c>
      <c r="E2048" s="3">
        <v>10</v>
      </c>
      <c r="F2048">
        <v>23</v>
      </c>
      <c r="G2048" s="1">
        <f>DATEVALUE(_xlfn.CONCAT(BBDD_Usiarios_Netflix[[#This Row],[Día Suscripción]],"/",BBDD_Usiarios_Netflix[[#This Row],[Mes Suscripción]],"/",BBDD_Usiarios_Netflix[[#This Row],[Año Suscripción]]))</f>
        <v>45229</v>
      </c>
      <c r="H2048" s="1">
        <v>9</v>
      </c>
      <c r="I2048" s="1">
        <v>7</v>
      </c>
      <c r="J2048" s="1">
        <v>24</v>
      </c>
      <c r="K2048" s="1" t="str">
        <f>TEXT(BBDD_Usiarios_Netflix[[#This Row],[Fecha Suscripción]],"dddd")</f>
        <v>lunes</v>
      </c>
      <c r="L2048" s="1">
        <f>DATEVALUE(_xlfn.CONCAT(BBDD_Usiarios_Netflix[[#This Row],[Día Último Pago]],"/",BBDD_Usiarios_Netflix[[#This Row],[Mes Último Pago]],"/",BBDD_Usiarios_Netflix[[#This Row],[Año Último Pago]]))</f>
        <v>45482</v>
      </c>
      <c r="M2048" s="4">
        <f>DATEDIF(BBDD_Usiarios_Netflix[[#This Row],[Fecha Suscripción]],BBDD_Usiarios_Netflix[[#This Row],[Fecha Último Pago]],"M")+1</f>
        <v>9</v>
      </c>
      <c r="N2048" s="4">
        <f>BBDD_Usiarios_Netflix[[#This Row],[Ingresos Mensuales]]*BBDD_Usiarios_Netflix[[#This Row],[Meses contratados]]</f>
        <v>90</v>
      </c>
      <c r="O2048" t="s">
        <v>40</v>
      </c>
      <c r="P2048" t="str">
        <f>IF(BBDD_Usiarios_Netflix[[#This Row],[País]]="","Desconocido",BBDD_Usiarios_Netflix[[#This Row],[País]])</f>
        <v>Italia</v>
      </c>
      <c r="Q2048">
        <v>42</v>
      </c>
      <c r="R2048" t="s">
        <v>30</v>
      </c>
      <c r="S2048" t="s">
        <v>36</v>
      </c>
      <c r="T2048" t="s">
        <v>27</v>
      </c>
      <c r="U2048">
        <f>IF(IFERROR(VLOOKUP(BBDD_Usiarios_Netflix[[#This Row],[Identificador Usuario]],A2049:$A$5870,1,FALSE),0)&lt;&gt;0,1,0)</f>
        <v>0</v>
      </c>
      <c r="V2048" s="6" t="str">
        <f>IF(BBDD_Usiarios_Netflix[[#This Row],[Duración Plan]]="12 Meses",LEFT(BBDD_Usiarios_Netflix[[#This Row],[Duración Plan]],2),LEFT(BBDD_Usiarios_Netflix[[#This Row],[Duración Plan]],1))</f>
        <v>1</v>
      </c>
      <c r="W20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49" spans="1:23" x14ac:dyDescent="0.25">
      <c r="A2049">
        <v>2048</v>
      </c>
      <c r="B2049" t="s">
        <v>32</v>
      </c>
      <c r="C2049">
        <v>12</v>
      </c>
      <c r="D2049" s="3">
        <v>24</v>
      </c>
      <c r="E2049" s="3">
        <v>10</v>
      </c>
      <c r="F2049">
        <v>23</v>
      </c>
      <c r="G2049" s="1">
        <f>DATEVALUE(_xlfn.CONCAT(BBDD_Usiarios_Netflix[[#This Row],[Día Suscripción]],"/",BBDD_Usiarios_Netflix[[#This Row],[Mes Suscripción]],"/",BBDD_Usiarios_Netflix[[#This Row],[Año Suscripción]]))</f>
        <v>45223</v>
      </c>
      <c r="H2049" s="1">
        <v>9</v>
      </c>
      <c r="I2049" s="1">
        <v>7</v>
      </c>
      <c r="J2049" s="1">
        <v>24</v>
      </c>
      <c r="K2049" s="1" t="str">
        <f>TEXT(BBDD_Usiarios_Netflix[[#This Row],[Fecha Suscripción]],"dddd")</f>
        <v>martes</v>
      </c>
      <c r="L2049" s="1">
        <f>DATEVALUE(_xlfn.CONCAT(BBDD_Usiarios_Netflix[[#This Row],[Día Último Pago]],"/",BBDD_Usiarios_Netflix[[#This Row],[Mes Último Pago]],"/",BBDD_Usiarios_Netflix[[#This Row],[Año Último Pago]]))</f>
        <v>45482</v>
      </c>
      <c r="M2049" s="4">
        <f>DATEDIF(BBDD_Usiarios_Netflix[[#This Row],[Fecha Suscripción]],BBDD_Usiarios_Netflix[[#This Row],[Fecha Último Pago]],"M")+1</f>
        <v>9</v>
      </c>
      <c r="N2049" s="4">
        <f>BBDD_Usiarios_Netflix[[#This Row],[Ingresos Mensuales]]*BBDD_Usiarios_Netflix[[#This Row],[Meses contratados]]</f>
        <v>108</v>
      </c>
      <c r="O2049" t="s">
        <v>29</v>
      </c>
      <c r="P2049" t="str">
        <f>IF(BBDD_Usiarios_Netflix[[#This Row],[País]]="","Desconocido",BBDD_Usiarios_Netflix[[#This Row],[País]])</f>
        <v>EEUU</v>
      </c>
      <c r="Q2049">
        <v>41</v>
      </c>
      <c r="R2049" t="s">
        <v>25</v>
      </c>
      <c r="S2049" t="s">
        <v>31</v>
      </c>
      <c r="T2049" t="s">
        <v>41</v>
      </c>
      <c r="U2049">
        <f>IF(IFERROR(VLOOKUP(BBDD_Usiarios_Netflix[[#This Row],[Identificador Usuario]],A2050:$A$5870,1,FALSE),0)&lt;&gt;0,1,0)</f>
        <v>0</v>
      </c>
      <c r="V2049" s="6" t="str">
        <f>IF(BBDD_Usiarios_Netflix[[#This Row],[Duración Plan]]="12 Meses",LEFT(BBDD_Usiarios_Netflix[[#This Row],[Duración Plan]],2),LEFT(BBDD_Usiarios_Netflix[[#This Row],[Duración Plan]],1))</f>
        <v>12</v>
      </c>
      <c r="W20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50" spans="1:23" x14ac:dyDescent="0.25">
      <c r="A2050">
        <v>2049</v>
      </c>
      <c r="B2050" t="s">
        <v>32</v>
      </c>
      <c r="C2050">
        <v>12</v>
      </c>
      <c r="D2050" s="3">
        <v>8</v>
      </c>
      <c r="E2050" s="3">
        <v>10</v>
      </c>
      <c r="F2050">
        <v>23</v>
      </c>
      <c r="G2050" s="1">
        <f>DATEVALUE(_xlfn.CONCAT(BBDD_Usiarios_Netflix[[#This Row],[Día Suscripción]],"/",BBDD_Usiarios_Netflix[[#This Row],[Mes Suscripción]],"/",BBDD_Usiarios_Netflix[[#This Row],[Año Suscripción]]))</f>
        <v>45207</v>
      </c>
      <c r="H2050" s="1">
        <v>8</v>
      </c>
      <c r="I2050" s="1">
        <v>7</v>
      </c>
      <c r="J2050" s="1">
        <v>24</v>
      </c>
      <c r="K2050" s="1" t="str">
        <f>TEXT(BBDD_Usiarios_Netflix[[#This Row],[Fecha Suscripción]],"dddd")</f>
        <v>domingo</v>
      </c>
      <c r="L2050" s="1">
        <f>DATEVALUE(_xlfn.CONCAT(BBDD_Usiarios_Netflix[[#This Row],[Día Último Pago]],"/",BBDD_Usiarios_Netflix[[#This Row],[Mes Último Pago]],"/",BBDD_Usiarios_Netflix[[#This Row],[Año Último Pago]]))</f>
        <v>45481</v>
      </c>
      <c r="M2050" s="4">
        <f>DATEDIF(BBDD_Usiarios_Netflix[[#This Row],[Fecha Suscripción]],BBDD_Usiarios_Netflix[[#This Row],[Fecha Último Pago]],"M")+1</f>
        <v>10</v>
      </c>
      <c r="N2050" s="4">
        <f>BBDD_Usiarios_Netflix[[#This Row],[Ingresos Mensuales]]*BBDD_Usiarios_Netflix[[#This Row],[Meses contratados]]</f>
        <v>120</v>
      </c>
      <c r="O2050" t="s">
        <v>29</v>
      </c>
      <c r="P2050" t="str">
        <f>IF(BBDD_Usiarios_Netflix[[#This Row],[País]]="","Desconocido",BBDD_Usiarios_Netflix[[#This Row],[País]])</f>
        <v>EEUU</v>
      </c>
      <c r="Q2050">
        <v>34</v>
      </c>
      <c r="R2050" t="s">
        <v>25</v>
      </c>
      <c r="S2050" t="s">
        <v>31</v>
      </c>
      <c r="T2050" t="s">
        <v>27</v>
      </c>
      <c r="U2050">
        <f>IF(IFERROR(VLOOKUP(BBDD_Usiarios_Netflix[[#This Row],[Identificador Usuario]],A2051:$A$5870,1,FALSE),0)&lt;&gt;0,1,0)</f>
        <v>0</v>
      </c>
      <c r="V2050" s="6" t="str">
        <f>IF(BBDD_Usiarios_Netflix[[#This Row],[Duración Plan]]="12 Meses",LEFT(BBDD_Usiarios_Netflix[[#This Row],[Duración Plan]],2),LEFT(BBDD_Usiarios_Netflix[[#This Row],[Duración Plan]],1))</f>
        <v>1</v>
      </c>
      <c r="W20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51" spans="1:23" x14ac:dyDescent="0.25">
      <c r="A2051">
        <v>2050</v>
      </c>
      <c r="B2051" t="s">
        <v>23</v>
      </c>
      <c r="C2051">
        <v>10</v>
      </c>
      <c r="D2051" s="3">
        <v>4</v>
      </c>
      <c r="E2051" s="3">
        <v>10</v>
      </c>
      <c r="F2051">
        <v>23</v>
      </c>
      <c r="G2051" s="1">
        <f>DATEVALUE(_xlfn.CONCAT(BBDD_Usiarios_Netflix[[#This Row],[Día Suscripción]],"/",BBDD_Usiarios_Netflix[[#This Row],[Mes Suscripción]],"/",BBDD_Usiarios_Netflix[[#This Row],[Año Suscripción]]))</f>
        <v>45203</v>
      </c>
      <c r="H2051" s="1">
        <v>9</v>
      </c>
      <c r="I2051" s="1">
        <v>7</v>
      </c>
      <c r="J2051" s="1">
        <v>24</v>
      </c>
      <c r="K2051" s="1" t="str">
        <f>TEXT(BBDD_Usiarios_Netflix[[#This Row],[Fecha Suscripción]],"dddd")</f>
        <v>miércoles</v>
      </c>
      <c r="L2051" s="1">
        <f>DATEVALUE(_xlfn.CONCAT(BBDD_Usiarios_Netflix[[#This Row],[Día Último Pago]],"/",BBDD_Usiarios_Netflix[[#This Row],[Mes Último Pago]],"/",BBDD_Usiarios_Netflix[[#This Row],[Año Último Pago]]))</f>
        <v>45482</v>
      </c>
      <c r="M2051" s="4">
        <f>DATEDIF(BBDD_Usiarios_Netflix[[#This Row],[Fecha Suscripción]],BBDD_Usiarios_Netflix[[#This Row],[Fecha Último Pago]],"M")+1</f>
        <v>10</v>
      </c>
      <c r="N2051" s="4">
        <f>BBDD_Usiarios_Netflix[[#This Row],[Ingresos Mensuales]]*BBDD_Usiarios_Netflix[[#This Row],[Meses contratados]]</f>
        <v>100</v>
      </c>
      <c r="O2051" t="s">
        <v>39</v>
      </c>
      <c r="P2051" t="str">
        <f>IF(BBDD_Usiarios_Netflix[[#This Row],[País]]="","Desconocido",BBDD_Usiarios_Netflix[[#This Row],[País]])</f>
        <v>Canadá</v>
      </c>
      <c r="Q2051">
        <v>35</v>
      </c>
      <c r="R2051" t="s">
        <v>30</v>
      </c>
      <c r="S2051" t="s">
        <v>26</v>
      </c>
      <c r="T2051" t="s">
        <v>41</v>
      </c>
      <c r="U2051">
        <f>IF(IFERROR(VLOOKUP(BBDD_Usiarios_Netflix[[#This Row],[Identificador Usuario]],A2052:$A$5870,1,FALSE),0)&lt;&gt;0,1,0)</f>
        <v>0</v>
      </c>
      <c r="V2051" s="6" t="str">
        <f>IF(BBDD_Usiarios_Netflix[[#This Row],[Duración Plan]]="12 Meses",LEFT(BBDD_Usiarios_Netflix[[#This Row],[Duración Plan]],2),LEFT(BBDD_Usiarios_Netflix[[#This Row],[Duración Plan]],1))</f>
        <v>12</v>
      </c>
      <c r="W20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52" spans="1:23" x14ac:dyDescent="0.25">
      <c r="A2052">
        <v>2051</v>
      </c>
      <c r="B2052" t="s">
        <v>28</v>
      </c>
      <c r="C2052">
        <v>14</v>
      </c>
      <c r="D2052" s="3">
        <v>28</v>
      </c>
      <c r="E2052" s="3">
        <v>9</v>
      </c>
      <c r="F2052">
        <v>23</v>
      </c>
      <c r="G2052" s="1">
        <f>DATEVALUE(_xlfn.CONCAT(BBDD_Usiarios_Netflix[[#This Row],[Día Suscripción]],"/",BBDD_Usiarios_Netflix[[#This Row],[Mes Suscripción]],"/",BBDD_Usiarios_Netflix[[#This Row],[Año Suscripción]]))</f>
        <v>45197</v>
      </c>
      <c r="H2052" s="1">
        <v>9</v>
      </c>
      <c r="I2052" s="1">
        <v>7</v>
      </c>
      <c r="J2052" s="1">
        <v>24</v>
      </c>
      <c r="K2052" s="1" t="str">
        <f>TEXT(BBDD_Usiarios_Netflix[[#This Row],[Fecha Suscripción]],"dddd")</f>
        <v>jueves</v>
      </c>
      <c r="L2052" s="1">
        <f>DATEVALUE(_xlfn.CONCAT(BBDD_Usiarios_Netflix[[#This Row],[Día Último Pago]],"/",BBDD_Usiarios_Netflix[[#This Row],[Mes Último Pago]],"/",BBDD_Usiarios_Netflix[[#This Row],[Año Último Pago]]))</f>
        <v>45482</v>
      </c>
      <c r="M2052" s="4">
        <f>DATEDIF(BBDD_Usiarios_Netflix[[#This Row],[Fecha Suscripción]],BBDD_Usiarios_Netflix[[#This Row],[Fecha Último Pago]],"M")+1</f>
        <v>10</v>
      </c>
      <c r="N2052" s="4">
        <f>BBDD_Usiarios_Netflix[[#This Row],[Ingresos Mensuales]]*BBDD_Usiarios_Netflix[[#This Row],[Meses contratados]]</f>
        <v>140</v>
      </c>
      <c r="O2052" t="s">
        <v>43</v>
      </c>
      <c r="P2052" t="str">
        <f>IF(BBDD_Usiarios_Netflix[[#This Row],[País]]="","Desconocido",BBDD_Usiarios_Netflix[[#This Row],[País]])</f>
        <v>Alemania</v>
      </c>
      <c r="Q2052">
        <v>48</v>
      </c>
      <c r="R2052" t="s">
        <v>25</v>
      </c>
      <c r="S2052" t="s">
        <v>26</v>
      </c>
      <c r="T2052" t="s">
        <v>38</v>
      </c>
      <c r="U2052">
        <f>IF(IFERROR(VLOOKUP(BBDD_Usiarios_Netflix[[#This Row],[Identificador Usuario]],A2053:$A$5870,1,FALSE),0)&lt;&gt;0,1,0)</f>
        <v>0</v>
      </c>
      <c r="V2052" s="6" t="str">
        <f>IF(BBDD_Usiarios_Netflix[[#This Row],[Duración Plan]]="12 Meses",LEFT(BBDD_Usiarios_Netflix[[#This Row],[Duración Plan]],2),LEFT(BBDD_Usiarios_Netflix[[#This Row],[Duración Plan]],1))</f>
        <v>3</v>
      </c>
      <c r="W20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53" spans="1:23" x14ac:dyDescent="0.25">
      <c r="A2053">
        <v>2052</v>
      </c>
      <c r="B2053" t="s">
        <v>23</v>
      </c>
      <c r="C2053">
        <v>10</v>
      </c>
      <c r="D2053" s="3">
        <v>22</v>
      </c>
      <c r="E2053" s="3">
        <v>9</v>
      </c>
      <c r="F2053">
        <v>23</v>
      </c>
      <c r="G2053" s="1">
        <f>DATEVALUE(_xlfn.CONCAT(BBDD_Usiarios_Netflix[[#This Row],[Día Suscripción]],"/",BBDD_Usiarios_Netflix[[#This Row],[Mes Suscripción]],"/",BBDD_Usiarios_Netflix[[#This Row],[Año Suscripción]]))</f>
        <v>45191</v>
      </c>
      <c r="H2053" s="1">
        <v>9</v>
      </c>
      <c r="I2053" s="1">
        <v>7</v>
      </c>
      <c r="J2053" s="1">
        <v>24</v>
      </c>
      <c r="K2053" s="1" t="str">
        <f>TEXT(BBDD_Usiarios_Netflix[[#This Row],[Fecha Suscripción]],"dddd")</f>
        <v>viernes</v>
      </c>
      <c r="L2053" s="1">
        <f>DATEVALUE(_xlfn.CONCAT(BBDD_Usiarios_Netflix[[#This Row],[Día Último Pago]],"/",BBDD_Usiarios_Netflix[[#This Row],[Mes Último Pago]],"/",BBDD_Usiarios_Netflix[[#This Row],[Año Último Pago]]))</f>
        <v>45482</v>
      </c>
      <c r="M2053" s="4">
        <f>DATEDIF(BBDD_Usiarios_Netflix[[#This Row],[Fecha Suscripción]],BBDD_Usiarios_Netflix[[#This Row],[Fecha Último Pago]],"M")+1</f>
        <v>10</v>
      </c>
      <c r="N2053" s="4">
        <f>BBDD_Usiarios_Netflix[[#This Row],[Ingresos Mensuales]]*BBDD_Usiarios_Netflix[[#This Row],[Meses contratados]]</f>
        <v>100</v>
      </c>
      <c r="O2053" t="s">
        <v>24</v>
      </c>
      <c r="P2053" t="str">
        <f>IF(BBDD_Usiarios_Netflix[[#This Row],[País]]="","Desconocido",BBDD_Usiarios_Netflix[[#This Row],[País]])</f>
        <v>Australia</v>
      </c>
      <c r="Q2053">
        <v>39</v>
      </c>
      <c r="R2053" t="s">
        <v>30</v>
      </c>
      <c r="S2053" t="s">
        <v>34</v>
      </c>
      <c r="T2053" t="s">
        <v>27</v>
      </c>
      <c r="U2053">
        <f>IF(IFERROR(VLOOKUP(BBDD_Usiarios_Netflix[[#This Row],[Identificador Usuario]],A2054:$A$5870,1,FALSE),0)&lt;&gt;0,1,0)</f>
        <v>0</v>
      </c>
      <c r="V2053" s="6" t="str">
        <f>IF(BBDD_Usiarios_Netflix[[#This Row],[Duración Plan]]="12 Meses",LEFT(BBDD_Usiarios_Netflix[[#This Row],[Duración Plan]],2),LEFT(BBDD_Usiarios_Netflix[[#This Row],[Duración Plan]],1))</f>
        <v>1</v>
      </c>
      <c r="W20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54" spans="1:23" x14ac:dyDescent="0.25">
      <c r="A2054">
        <v>2053</v>
      </c>
      <c r="B2054" t="s">
        <v>32</v>
      </c>
      <c r="C2054">
        <v>12</v>
      </c>
      <c r="D2054" s="3">
        <v>19</v>
      </c>
      <c r="E2054" s="3">
        <v>9</v>
      </c>
      <c r="F2054">
        <v>23</v>
      </c>
      <c r="G2054" s="1">
        <f>DATEVALUE(_xlfn.CONCAT(BBDD_Usiarios_Netflix[[#This Row],[Día Suscripción]],"/",BBDD_Usiarios_Netflix[[#This Row],[Mes Suscripción]],"/",BBDD_Usiarios_Netflix[[#This Row],[Año Suscripción]]))</f>
        <v>45188</v>
      </c>
      <c r="H2054" s="1">
        <v>9</v>
      </c>
      <c r="I2054" s="1">
        <v>7</v>
      </c>
      <c r="J2054" s="1">
        <v>24</v>
      </c>
      <c r="K2054" s="1" t="str">
        <f>TEXT(BBDD_Usiarios_Netflix[[#This Row],[Fecha Suscripción]],"dddd")</f>
        <v>martes</v>
      </c>
      <c r="L2054" s="1">
        <f>DATEVALUE(_xlfn.CONCAT(BBDD_Usiarios_Netflix[[#This Row],[Día Último Pago]],"/",BBDD_Usiarios_Netflix[[#This Row],[Mes Último Pago]],"/",BBDD_Usiarios_Netflix[[#This Row],[Año Último Pago]]))</f>
        <v>45482</v>
      </c>
      <c r="M2054" s="4">
        <f>DATEDIF(BBDD_Usiarios_Netflix[[#This Row],[Fecha Suscripción]],BBDD_Usiarios_Netflix[[#This Row],[Fecha Último Pago]],"M")+1</f>
        <v>10</v>
      </c>
      <c r="N2054" s="4">
        <f>BBDD_Usiarios_Netflix[[#This Row],[Ingresos Mensuales]]*BBDD_Usiarios_Netflix[[#This Row],[Meses contratados]]</f>
        <v>120</v>
      </c>
      <c r="O2054" t="s">
        <v>24</v>
      </c>
      <c r="P2054" t="str">
        <f>IF(BBDD_Usiarios_Netflix[[#This Row],[País]]="","Desconocido",BBDD_Usiarios_Netflix[[#This Row],[País]])</f>
        <v>Australia</v>
      </c>
      <c r="Q2054">
        <v>37</v>
      </c>
      <c r="R2054" t="s">
        <v>30</v>
      </c>
      <c r="S2054" t="s">
        <v>36</v>
      </c>
      <c r="T2054" t="s">
        <v>35</v>
      </c>
      <c r="U2054">
        <f>IF(IFERROR(VLOOKUP(BBDD_Usiarios_Netflix[[#This Row],[Identificador Usuario]],A2055:$A$5870,1,FALSE),0)&lt;&gt;0,1,0)</f>
        <v>0</v>
      </c>
      <c r="V2054" s="6" t="str">
        <f>IF(BBDD_Usiarios_Netflix[[#This Row],[Duración Plan]]="12 Meses",LEFT(BBDD_Usiarios_Netflix[[#This Row],[Duración Plan]],2),LEFT(BBDD_Usiarios_Netflix[[#This Row],[Duración Plan]],1))</f>
        <v>6</v>
      </c>
      <c r="W20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55" spans="1:23" x14ac:dyDescent="0.25">
      <c r="A2055">
        <v>2054</v>
      </c>
      <c r="B2055" t="s">
        <v>28</v>
      </c>
      <c r="C2055">
        <v>14</v>
      </c>
      <c r="D2055" s="3">
        <v>13</v>
      </c>
      <c r="E2055" s="3">
        <v>9</v>
      </c>
      <c r="F2055">
        <v>23</v>
      </c>
      <c r="G2055" s="1">
        <f>DATEVALUE(_xlfn.CONCAT(BBDD_Usiarios_Netflix[[#This Row],[Día Suscripción]],"/",BBDD_Usiarios_Netflix[[#This Row],[Mes Suscripción]],"/",BBDD_Usiarios_Netflix[[#This Row],[Año Suscripción]]))</f>
        <v>45182</v>
      </c>
      <c r="H2055" s="1">
        <v>9</v>
      </c>
      <c r="I2055" s="1">
        <v>7</v>
      </c>
      <c r="J2055" s="1">
        <v>24</v>
      </c>
      <c r="K2055" s="1" t="str">
        <f>TEXT(BBDD_Usiarios_Netflix[[#This Row],[Fecha Suscripción]],"dddd")</f>
        <v>miércoles</v>
      </c>
      <c r="L2055" s="1">
        <f>DATEVALUE(_xlfn.CONCAT(BBDD_Usiarios_Netflix[[#This Row],[Día Último Pago]],"/",BBDD_Usiarios_Netflix[[#This Row],[Mes Último Pago]],"/",BBDD_Usiarios_Netflix[[#This Row],[Año Último Pago]]))</f>
        <v>45482</v>
      </c>
      <c r="M2055" s="4">
        <f>DATEDIF(BBDD_Usiarios_Netflix[[#This Row],[Fecha Suscripción]],BBDD_Usiarios_Netflix[[#This Row],[Fecha Último Pago]],"M")+1</f>
        <v>10</v>
      </c>
      <c r="N2055" s="4">
        <f>BBDD_Usiarios_Netflix[[#This Row],[Ingresos Mensuales]]*BBDD_Usiarios_Netflix[[#This Row],[Meses contratados]]</f>
        <v>140</v>
      </c>
      <c r="O2055" t="s">
        <v>39</v>
      </c>
      <c r="P2055" t="str">
        <f>IF(BBDD_Usiarios_Netflix[[#This Row],[País]]="","Desconocido",BBDD_Usiarios_Netflix[[#This Row],[País]])</f>
        <v>Canadá</v>
      </c>
      <c r="Q2055">
        <v>31</v>
      </c>
      <c r="R2055" t="s">
        <v>25</v>
      </c>
      <c r="S2055" t="s">
        <v>31</v>
      </c>
      <c r="T2055" t="s">
        <v>35</v>
      </c>
      <c r="U2055">
        <f>IF(IFERROR(VLOOKUP(BBDD_Usiarios_Netflix[[#This Row],[Identificador Usuario]],A2056:$A$5870,1,FALSE),0)&lt;&gt;0,1,0)</f>
        <v>0</v>
      </c>
      <c r="V2055" s="6" t="str">
        <f>IF(BBDD_Usiarios_Netflix[[#This Row],[Duración Plan]]="12 Meses",LEFT(BBDD_Usiarios_Netflix[[#This Row],[Duración Plan]],2),LEFT(BBDD_Usiarios_Netflix[[#This Row],[Duración Plan]],1))</f>
        <v>6</v>
      </c>
      <c r="W20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56" spans="1:23" x14ac:dyDescent="0.25">
      <c r="A2056">
        <v>2055</v>
      </c>
      <c r="B2056" t="s">
        <v>23</v>
      </c>
      <c r="C2056">
        <v>10</v>
      </c>
      <c r="D2056" s="3">
        <v>5</v>
      </c>
      <c r="E2056" s="3">
        <v>9</v>
      </c>
      <c r="F2056">
        <v>23</v>
      </c>
      <c r="G2056" s="1">
        <f>DATEVALUE(_xlfn.CONCAT(BBDD_Usiarios_Netflix[[#This Row],[Día Suscripción]],"/",BBDD_Usiarios_Netflix[[#This Row],[Mes Suscripción]],"/",BBDD_Usiarios_Netflix[[#This Row],[Año Suscripción]]))</f>
        <v>45174</v>
      </c>
      <c r="H2056" s="1">
        <v>9</v>
      </c>
      <c r="I2056" s="1">
        <v>7</v>
      </c>
      <c r="J2056" s="1">
        <v>24</v>
      </c>
      <c r="K2056" s="1" t="str">
        <f>TEXT(BBDD_Usiarios_Netflix[[#This Row],[Fecha Suscripción]],"dddd")</f>
        <v>martes</v>
      </c>
      <c r="L2056" s="1">
        <f>DATEVALUE(_xlfn.CONCAT(BBDD_Usiarios_Netflix[[#This Row],[Día Último Pago]],"/",BBDD_Usiarios_Netflix[[#This Row],[Mes Último Pago]],"/",BBDD_Usiarios_Netflix[[#This Row],[Año Último Pago]]))</f>
        <v>45482</v>
      </c>
      <c r="M2056" s="4">
        <f>DATEDIF(BBDD_Usiarios_Netflix[[#This Row],[Fecha Suscripción]],BBDD_Usiarios_Netflix[[#This Row],[Fecha Último Pago]],"M")+1</f>
        <v>11</v>
      </c>
      <c r="N2056" s="4">
        <f>BBDD_Usiarios_Netflix[[#This Row],[Ingresos Mensuales]]*BBDD_Usiarios_Netflix[[#This Row],[Meses contratados]]</f>
        <v>110</v>
      </c>
      <c r="O2056" t="s">
        <v>40</v>
      </c>
      <c r="P2056" t="str">
        <f>IF(BBDD_Usiarios_Netflix[[#This Row],[País]]="","Desconocido",BBDD_Usiarios_Netflix[[#This Row],[País]])</f>
        <v>Italia</v>
      </c>
      <c r="Q2056">
        <v>29</v>
      </c>
      <c r="R2056" t="s">
        <v>30</v>
      </c>
      <c r="S2056" t="s">
        <v>36</v>
      </c>
      <c r="T2056" t="s">
        <v>27</v>
      </c>
      <c r="U2056">
        <f>IF(IFERROR(VLOOKUP(BBDD_Usiarios_Netflix[[#This Row],[Identificador Usuario]],A2057:$A$5870,1,FALSE),0)&lt;&gt;0,1,0)</f>
        <v>0</v>
      </c>
      <c r="V2056" s="6" t="str">
        <f>IF(BBDD_Usiarios_Netflix[[#This Row],[Duración Plan]]="12 Meses",LEFT(BBDD_Usiarios_Netflix[[#This Row],[Duración Plan]],2),LEFT(BBDD_Usiarios_Netflix[[#This Row],[Duración Plan]],1))</f>
        <v>1</v>
      </c>
      <c r="W20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57" spans="1:23" x14ac:dyDescent="0.25">
      <c r="A2057">
        <v>2056</v>
      </c>
      <c r="B2057" t="s">
        <v>28</v>
      </c>
      <c r="C2057">
        <v>14</v>
      </c>
      <c r="D2057" s="3">
        <v>20</v>
      </c>
      <c r="E2057" s="3">
        <v>8</v>
      </c>
      <c r="F2057">
        <v>23</v>
      </c>
      <c r="G2057" s="1">
        <f>DATEVALUE(_xlfn.CONCAT(BBDD_Usiarios_Netflix[[#This Row],[Día Suscripción]],"/",BBDD_Usiarios_Netflix[[#This Row],[Mes Suscripción]],"/",BBDD_Usiarios_Netflix[[#This Row],[Año Suscripción]]))</f>
        <v>45158</v>
      </c>
      <c r="H2057" s="1">
        <v>9</v>
      </c>
      <c r="I2057" s="1">
        <v>7</v>
      </c>
      <c r="J2057" s="1">
        <v>24</v>
      </c>
      <c r="K2057" s="1" t="str">
        <f>TEXT(BBDD_Usiarios_Netflix[[#This Row],[Fecha Suscripción]],"dddd")</f>
        <v>domingo</v>
      </c>
      <c r="L2057" s="1">
        <f>DATEVALUE(_xlfn.CONCAT(BBDD_Usiarios_Netflix[[#This Row],[Día Último Pago]],"/",BBDD_Usiarios_Netflix[[#This Row],[Mes Último Pago]],"/",BBDD_Usiarios_Netflix[[#This Row],[Año Último Pago]]))</f>
        <v>45482</v>
      </c>
      <c r="M2057" s="4">
        <f>DATEDIF(BBDD_Usiarios_Netflix[[#This Row],[Fecha Suscripción]],BBDD_Usiarios_Netflix[[#This Row],[Fecha Último Pago]],"M")+1</f>
        <v>11</v>
      </c>
      <c r="N2057" s="4">
        <f>BBDD_Usiarios_Netflix[[#This Row],[Ingresos Mensuales]]*BBDD_Usiarios_Netflix[[#This Row],[Meses contratados]]</f>
        <v>154</v>
      </c>
      <c r="O2057" t="s">
        <v>40</v>
      </c>
      <c r="P2057" t="str">
        <f>IF(BBDD_Usiarios_Netflix[[#This Row],[País]]="","Desconocido",BBDD_Usiarios_Netflix[[#This Row],[País]])</f>
        <v>Italia</v>
      </c>
      <c r="Q2057">
        <v>36</v>
      </c>
      <c r="R2057" t="s">
        <v>25</v>
      </c>
      <c r="S2057" t="s">
        <v>31</v>
      </c>
      <c r="T2057" t="s">
        <v>35</v>
      </c>
      <c r="U2057">
        <f>IF(IFERROR(VLOOKUP(BBDD_Usiarios_Netflix[[#This Row],[Identificador Usuario]],A2058:$A$5870,1,FALSE),0)&lt;&gt;0,1,0)</f>
        <v>0</v>
      </c>
      <c r="V2057" s="6" t="str">
        <f>IF(BBDD_Usiarios_Netflix[[#This Row],[Duración Plan]]="12 Meses",LEFT(BBDD_Usiarios_Netflix[[#This Row],[Duración Plan]],2),LEFT(BBDD_Usiarios_Netflix[[#This Row],[Duración Plan]],1))</f>
        <v>6</v>
      </c>
      <c r="W20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58" spans="1:23" x14ac:dyDescent="0.25">
      <c r="A2058">
        <v>2057</v>
      </c>
      <c r="B2058" t="s">
        <v>23</v>
      </c>
      <c r="C2058">
        <v>10</v>
      </c>
      <c r="D2058" s="3">
        <v>10</v>
      </c>
      <c r="E2058" s="3">
        <v>8</v>
      </c>
      <c r="F2058">
        <v>23</v>
      </c>
      <c r="G2058" s="1">
        <f>DATEVALUE(_xlfn.CONCAT(BBDD_Usiarios_Netflix[[#This Row],[Día Suscripción]],"/",BBDD_Usiarios_Netflix[[#This Row],[Mes Suscripción]],"/",BBDD_Usiarios_Netflix[[#This Row],[Año Suscripción]]))</f>
        <v>45148</v>
      </c>
      <c r="H2058" s="1">
        <v>8</v>
      </c>
      <c r="I2058" s="1">
        <v>7</v>
      </c>
      <c r="J2058" s="1">
        <v>24</v>
      </c>
      <c r="K2058" s="1" t="str">
        <f>TEXT(BBDD_Usiarios_Netflix[[#This Row],[Fecha Suscripción]],"dddd")</f>
        <v>jueves</v>
      </c>
      <c r="L2058" s="1">
        <f>DATEVALUE(_xlfn.CONCAT(BBDD_Usiarios_Netflix[[#This Row],[Día Último Pago]],"/",BBDD_Usiarios_Netflix[[#This Row],[Mes Último Pago]],"/",BBDD_Usiarios_Netflix[[#This Row],[Año Último Pago]]))</f>
        <v>45481</v>
      </c>
      <c r="M2058" s="4">
        <f>DATEDIF(BBDD_Usiarios_Netflix[[#This Row],[Fecha Suscripción]],BBDD_Usiarios_Netflix[[#This Row],[Fecha Último Pago]],"M")+1</f>
        <v>11</v>
      </c>
      <c r="N2058" s="4">
        <f>BBDD_Usiarios_Netflix[[#This Row],[Ingresos Mensuales]]*BBDD_Usiarios_Netflix[[#This Row],[Meses contratados]]</f>
        <v>110</v>
      </c>
      <c r="O2058" t="s">
        <v>29</v>
      </c>
      <c r="P2058" t="str">
        <f>IF(BBDD_Usiarios_Netflix[[#This Row],[País]]="","Desconocido",BBDD_Usiarios_Netflix[[#This Row],[País]])</f>
        <v>EEUU</v>
      </c>
      <c r="Q2058">
        <v>32</v>
      </c>
      <c r="R2058" t="s">
        <v>25</v>
      </c>
      <c r="S2058" t="s">
        <v>26</v>
      </c>
      <c r="T2058" t="s">
        <v>41</v>
      </c>
      <c r="U2058">
        <f>IF(IFERROR(VLOOKUP(BBDD_Usiarios_Netflix[[#This Row],[Identificador Usuario]],A2059:$A$5870,1,FALSE),0)&lt;&gt;0,1,0)</f>
        <v>0</v>
      </c>
      <c r="V2058" s="6" t="str">
        <f>IF(BBDD_Usiarios_Netflix[[#This Row],[Duración Plan]]="12 Meses",LEFT(BBDD_Usiarios_Netflix[[#This Row],[Duración Plan]],2),LEFT(BBDD_Usiarios_Netflix[[#This Row],[Duración Plan]],1))</f>
        <v>12</v>
      </c>
      <c r="W20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59" spans="1:23" x14ac:dyDescent="0.25">
      <c r="A2059">
        <v>2058</v>
      </c>
      <c r="B2059" t="s">
        <v>32</v>
      </c>
      <c r="C2059">
        <v>12</v>
      </c>
      <c r="D2059" s="3">
        <v>10</v>
      </c>
      <c r="E2059" s="3">
        <v>8</v>
      </c>
      <c r="F2059">
        <v>23</v>
      </c>
      <c r="G2059" s="1">
        <f>DATEVALUE(_xlfn.CONCAT(BBDD_Usiarios_Netflix[[#This Row],[Día Suscripción]],"/",BBDD_Usiarios_Netflix[[#This Row],[Mes Suscripción]],"/",BBDD_Usiarios_Netflix[[#This Row],[Año Suscripción]]))</f>
        <v>45148</v>
      </c>
      <c r="H2059" s="1">
        <v>11</v>
      </c>
      <c r="I2059" s="1">
        <v>7</v>
      </c>
      <c r="J2059" s="1">
        <v>24</v>
      </c>
      <c r="K2059" s="1" t="str">
        <f>TEXT(BBDD_Usiarios_Netflix[[#This Row],[Fecha Suscripción]],"dddd")</f>
        <v>jueves</v>
      </c>
      <c r="L2059" s="1">
        <f>DATEVALUE(_xlfn.CONCAT(BBDD_Usiarios_Netflix[[#This Row],[Día Último Pago]],"/",BBDD_Usiarios_Netflix[[#This Row],[Mes Último Pago]],"/",BBDD_Usiarios_Netflix[[#This Row],[Año Último Pago]]))</f>
        <v>45484</v>
      </c>
      <c r="M2059" s="4">
        <f>DATEDIF(BBDD_Usiarios_Netflix[[#This Row],[Fecha Suscripción]],BBDD_Usiarios_Netflix[[#This Row],[Fecha Último Pago]],"M")+1</f>
        <v>12</v>
      </c>
      <c r="N2059" s="4">
        <f>BBDD_Usiarios_Netflix[[#This Row],[Ingresos Mensuales]]*BBDD_Usiarios_Netflix[[#This Row],[Meses contratados]]</f>
        <v>144</v>
      </c>
      <c r="O2059" t="s">
        <v>24</v>
      </c>
      <c r="P2059" t="str">
        <f>IF(BBDD_Usiarios_Netflix[[#This Row],[País]]="","Desconocido",BBDD_Usiarios_Netflix[[#This Row],[País]])</f>
        <v>Australia</v>
      </c>
      <c r="Q2059">
        <v>31</v>
      </c>
      <c r="R2059" t="s">
        <v>30</v>
      </c>
      <c r="S2059" t="s">
        <v>26</v>
      </c>
      <c r="T2059" t="s">
        <v>38</v>
      </c>
      <c r="U2059">
        <f>IF(IFERROR(VLOOKUP(BBDD_Usiarios_Netflix[[#This Row],[Identificador Usuario]],A2060:$A$5870,1,FALSE),0)&lt;&gt;0,1,0)</f>
        <v>0</v>
      </c>
      <c r="V2059" s="6" t="str">
        <f>IF(BBDD_Usiarios_Netflix[[#This Row],[Duración Plan]]="12 Meses",LEFT(BBDD_Usiarios_Netflix[[#This Row],[Duración Plan]],2),LEFT(BBDD_Usiarios_Netflix[[#This Row],[Duración Plan]],1))</f>
        <v>3</v>
      </c>
      <c r="W20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60" spans="1:23" x14ac:dyDescent="0.25">
      <c r="A2060">
        <v>2059</v>
      </c>
      <c r="B2060" t="s">
        <v>32</v>
      </c>
      <c r="C2060">
        <v>12</v>
      </c>
      <c r="D2060" s="3">
        <v>6</v>
      </c>
      <c r="E2060" s="3">
        <v>8</v>
      </c>
      <c r="F2060">
        <v>23</v>
      </c>
      <c r="G2060" s="1">
        <f>DATEVALUE(_xlfn.CONCAT(BBDD_Usiarios_Netflix[[#This Row],[Día Suscripción]],"/",BBDD_Usiarios_Netflix[[#This Row],[Mes Suscripción]],"/",BBDD_Usiarios_Netflix[[#This Row],[Año Suscripción]]))</f>
        <v>45144</v>
      </c>
      <c r="H2060" s="1">
        <v>9</v>
      </c>
      <c r="I2060" s="1">
        <v>7</v>
      </c>
      <c r="J2060" s="1">
        <v>24</v>
      </c>
      <c r="K2060" s="1" t="str">
        <f>TEXT(BBDD_Usiarios_Netflix[[#This Row],[Fecha Suscripción]],"dddd")</f>
        <v>domingo</v>
      </c>
      <c r="L2060" s="1">
        <f>DATEVALUE(_xlfn.CONCAT(BBDD_Usiarios_Netflix[[#This Row],[Día Último Pago]],"/",BBDD_Usiarios_Netflix[[#This Row],[Mes Último Pago]],"/",BBDD_Usiarios_Netflix[[#This Row],[Año Último Pago]]))</f>
        <v>45482</v>
      </c>
      <c r="M2060" s="4">
        <f>DATEDIF(BBDD_Usiarios_Netflix[[#This Row],[Fecha Suscripción]],BBDD_Usiarios_Netflix[[#This Row],[Fecha Último Pago]],"M")+1</f>
        <v>12</v>
      </c>
      <c r="N2060" s="4">
        <f>BBDD_Usiarios_Netflix[[#This Row],[Ingresos Mensuales]]*BBDD_Usiarios_Netflix[[#This Row],[Meses contratados]]</f>
        <v>144</v>
      </c>
      <c r="O2060" t="s">
        <v>24</v>
      </c>
      <c r="P2060" t="str">
        <f>IF(BBDD_Usiarios_Netflix[[#This Row],[País]]="","Desconocido",BBDD_Usiarios_Netflix[[#This Row],[País]])</f>
        <v>Australia</v>
      </c>
      <c r="Q2060">
        <v>31</v>
      </c>
      <c r="R2060" t="s">
        <v>25</v>
      </c>
      <c r="S2060" t="s">
        <v>36</v>
      </c>
      <c r="T2060" t="s">
        <v>27</v>
      </c>
      <c r="U2060">
        <f>IF(IFERROR(VLOOKUP(BBDD_Usiarios_Netflix[[#This Row],[Identificador Usuario]],A2061:$A$5870,1,FALSE),0)&lt;&gt;0,1,0)</f>
        <v>0</v>
      </c>
      <c r="V2060" s="6" t="str">
        <f>IF(BBDD_Usiarios_Netflix[[#This Row],[Duración Plan]]="12 Meses",LEFT(BBDD_Usiarios_Netflix[[#This Row],[Duración Plan]],2),LEFT(BBDD_Usiarios_Netflix[[#This Row],[Duración Plan]],1))</f>
        <v>1</v>
      </c>
      <c r="W20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61" spans="1:23" x14ac:dyDescent="0.25">
      <c r="A2061">
        <v>2060</v>
      </c>
      <c r="B2061" t="s">
        <v>23</v>
      </c>
      <c r="C2061">
        <v>10</v>
      </c>
      <c r="D2061" s="3">
        <v>3</v>
      </c>
      <c r="E2061" s="3">
        <v>8</v>
      </c>
      <c r="F2061">
        <v>23</v>
      </c>
      <c r="G2061" s="1">
        <f>DATEVALUE(_xlfn.CONCAT(BBDD_Usiarios_Netflix[[#This Row],[Día Suscripción]],"/",BBDD_Usiarios_Netflix[[#This Row],[Mes Suscripción]],"/",BBDD_Usiarios_Netflix[[#This Row],[Año Suscripción]]))</f>
        <v>45141</v>
      </c>
      <c r="H2061" s="1">
        <v>10</v>
      </c>
      <c r="I2061" s="1">
        <v>7</v>
      </c>
      <c r="J2061" s="1">
        <v>24</v>
      </c>
      <c r="K2061" s="1" t="str">
        <f>TEXT(BBDD_Usiarios_Netflix[[#This Row],[Fecha Suscripción]],"dddd")</f>
        <v>jueves</v>
      </c>
      <c r="L2061" s="1">
        <f>DATEVALUE(_xlfn.CONCAT(BBDD_Usiarios_Netflix[[#This Row],[Día Último Pago]],"/",BBDD_Usiarios_Netflix[[#This Row],[Mes Último Pago]],"/",BBDD_Usiarios_Netflix[[#This Row],[Año Último Pago]]))</f>
        <v>45483</v>
      </c>
      <c r="M2061" s="4">
        <f>DATEDIF(BBDD_Usiarios_Netflix[[#This Row],[Fecha Suscripción]],BBDD_Usiarios_Netflix[[#This Row],[Fecha Último Pago]],"M")+1</f>
        <v>12</v>
      </c>
      <c r="N2061" s="4">
        <f>BBDD_Usiarios_Netflix[[#This Row],[Ingresos Mensuales]]*BBDD_Usiarios_Netflix[[#This Row],[Meses contratados]]</f>
        <v>120</v>
      </c>
      <c r="O2061" t="s">
        <v>24</v>
      </c>
      <c r="P2061" t="str">
        <f>IF(BBDD_Usiarios_Netflix[[#This Row],[País]]="","Desconocido",BBDD_Usiarios_Netflix[[#This Row],[País]])</f>
        <v>Australia</v>
      </c>
      <c r="Q2061">
        <v>29</v>
      </c>
      <c r="R2061" t="s">
        <v>25</v>
      </c>
      <c r="S2061" t="s">
        <v>34</v>
      </c>
      <c r="T2061" t="s">
        <v>41</v>
      </c>
      <c r="U2061">
        <f>IF(IFERROR(VLOOKUP(BBDD_Usiarios_Netflix[[#This Row],[Identificador Usuario]],A2062:$A$5870,1,FALSE),0)&lt;&gt;0,1,0)</f>
        <v>0</v>
      </c>
      <c r="V2061" s="6" t="str">
        <f>IF(BBDD_Usiarios_Netflix[[#This Row],[Duración Plan]]="12 Meses",LEFT(BBDD_Usiarios_Netflix[[#This Row],[Duración Plan]],2),LEFT(BBDD_Usiarios_Netflix[[#This Row],[Duración Plan]],1))</f>
        <v>12</v>
      </c>
      <c r="W20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62" spans="1:23" x14ac:dyDescent="0.25">
      <c r="A2062">
        <v>2061</v>
      </c>
      <c r="B2062" t="s">
        <v>28</v>
      </c>
      <c r="C2062">
        <v>14</v>
      </c>
      <c r="D2062" s="3">
        <v>1</v>
      </c>
      <c r="E2062" s="3">
        <v>8</v>
      </c>
      <c r="F2062">
        <v>23</v>
      </c>
      <c r="G2062" s="1">
        <f>DATEVALUE(_xlfn.CONCAT(BBDD_Usiarios_Netflix[[#This Row],[Día Suscripción]],"/",BBDD_Usiarios_Netflix[[#This Row],[Mes Suscripción]],"/",BBDD_Usiarios_Netflix[[#This Row],[Año Suscripción]]))</f>
        <v>45139</v>
      </c>
      <c r="H2062" s="1">
        <v>9</v>
      </c>
      <c r="I2062" s="1">
        <v>7</v>
      </c>
      <c r="J2062" s="1">
        <v>24</v>
      </c>
      <c r="K2062" s="1" t="str">
        <f>TEXT(BBDD_Usiarios_Netflix[[#This Row],[Fecha Suscripción]],"dddd")</f>
        <v>martes</v>
      </c>
      <c r="L2062" s="1">
        <f>DATEVALUE(_xlfn.CONCAT(BBDD_Usiarios_Netflix[[#This Row],[Día Último Pago]],"/",BBDD_Usiarios_Netflix[[#This Row],[Mes Último Pago]],"/",BBDD_Usiarios_Netflix[[#This Row],[Año Último Pago]]))</f>
        <v>45482</v>
      </c>
      <c r="M2062" s="4">
        <f>DATEDIF(BBDD_Usiarios_Netflix[[#This Row],[Fecha Suscripción]],BBDD_Usiarios_Netflix[[#This Row],[Fecha Último Pago]],"M")+1</f>
        <v>12</v>
      </c>
      <c r="N2062" s="4">
        <f>BBDD_Usiarios_Netflix[[#This Row],[Ingresos Mensuales]]*BBDD_Usiarios_Netflix[[#This Row],[Meses contratados]]</f>
        <v>168</v>
      </c>
      <c r="O2062" t="s">
        <v>33</v>
      </c>
      <c r="P2062" t="str">
        <f>IF(BBDD_Usiarios_Netflix[[#This Row],[País]]="","Desconocido",BBDD_Usiarios_Netflix[[#This Row],[País]])</f>
        <v>Francia</v>
      </c>
      <c r="Q2062">
        <v>48</v>
      </c>
      <c r="R2062" t="s">
        <v>25</v>
      </c>
      <c r="S2062" t="s">
        <v>34</v>
      </c>
      <c r="T2062" t="s">
        <v>38</v>
      </c>
      <c r="U2062">
        <f>IF(IFERROR(VLOOKUP(BBDD_Usiarios_Netflix[[#This Row],[Identificador Usuario]],A2063:$A$5870,1,FALSE),0)&lt;&gt;0,1,0)</f>
        <v>0</v>
      </c>
      <c r="V2062" s="6" t="str">
        <f>IF(BBDD_Usiarios_Netflix[[#This Row],[Duración Plan]]="12 Meses",LEFT(BBDD_Usiarios_Netflix[[#This Row],[Duración Plan]],2),LEFT(BBDD_Usiarios_Netflix[[#This Row],[Duración Plan]],1))</f>
        <v>3</v>
      </c>
      <c r="W20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63" spans="1:23" x14ac:dyDescent="0.25">
      <c r="A2063">
        <v>2062</v>
      </c>
      <c r="B2063" t="s">
        <v>23</v>
      </c>
      <c r="C2063">
        <v>10</v>
      </c>
      <c r="D2063" s="3">
        <v>28</v>
      </c>
      <c r="E2063" s="3">
        <v>7</v>
      </c>
      <c r="F2063">
        <v>23</v>
      </c>
      <c r="G2063" s="1">
        <f>DATEVALUE(_xlfn.CONCAT(BBDD_Usiarios_Netflix[[#This Row],[Día Suscripción]],"/",BBDD_Usiarios_Netflix[[#This Row],[Mes Suscripción]],"/",BBDD_Usiarios_Netflix[[#This Row],[Año Suscripción]]))</f>
        <v>45135</v>
      </c>
      <c r="H2063" s="1">
        <v>10</v>
      </c>
      <c r="I2063" s="1">
        <v>7</v>
      </c>
      <c r="J2063" s="1">
        <v>24</v>
      </c>
      <c r="K2063" s="1" t="str">
        <f>TEXT(BBDD_Usiarios_Netflix[[#This Row],[Fecha Suscripción]],"dddd")</f>
        <v>viernes</v>
      </c>
      <c r="L2063" s="1">
        <f>DATEVALUE(_xlfn.CONCAT(BBDD_Usiarios_Netflix[[#This Row],[Día Último Pago]],"/",BBDD_Usiarios_Netflix[[#This Row],[Mes Último Pago]],"/",BBDD_Usiarios_Netflix[[#This Row],[Año Último Pago]]))</f>
        <v>45483</v>
      </c>
      <c r="M2063" s="4">
        <f>DATEDIF(BBDD_Usiarios_Netflix[[#This Row],[Fecha Suscripción]],BBDD_Usiarios_Netflix[[#This Row],[Fecha Último Pago]],"M")+1</f>
        <v>12</v>
      </c>
      <c r="N2063" s="4">
        <f>BBDD_Usiarios_Netflix[[#This Row],[Ingresos Mensuales]]*BBDD_Usiarios_Netflix[[#This Row],[Meses contratados]]</f>
        <v>120</v>
      </c>
      <c r="O2063" t="s">
        <v>29</v>
      </c>
      <c r="P2063" t="str">
        <f>IF(BBDD_Usiarios_Netflix[[#This Row],[País]]="","Desconocido",BBDD_Usiarios_Netflix[[#This Row],[País]])</f>
        <v>EEUU</v>
      </c>
      <c r="Q2063">
        <v>46</v>
      </c>
      <c r="R2063" t="s">
        <v>25</v>
      </c>
      <c r="S2063" t="s">
        <v>31</v>
      </c>
      <c r="T2063" t="s">
        <v>27</v>
      </c>
      <c r="U2063">
        <f>IF(IFERROR(VLOOKUP(BBDD_Usiarios_Netflix[[#This Row],[Identificador Usuario]],A2064:$A$5870,1,FALSE),0)&lt;&gt;0,1,0)</f>
        <v>0</v>
      </c>
      <c r="V2063" s="6" t="str">
        <f>IF(BBDD_Usiarios_Netflix[[#This Row],[Duración Plan]]="12 Meses",LEFT(BBDD_Usiarios_Netflix[[#This Row],[Duración Plan]],2),LEFT(BBDD_Usiarios_Netflix[[#This Row],[Duración Plan]],1))</f>
        <v>1</v>
      </c>
      <c r="W20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64" spans="1:23" x14ac:dyDescent="0.25">
      <c r="A2064">
        <v>2063</v>
      </c>
      <c r="B2064" t="s">
        <v>32</v>
      </c>
      <c r="C2064">
        <v>12</v>
      </c>
      <c r="D2064" s="3">
        <v>22</v>
      </c>
      <c r="E2064" s="3">
        <v>7</v>
      </c>
      <c r="F2064">
        <v>23</v>
      </c>
      <c r="G2064" s="1">
        <f>DATEVALUE(_xlfn.CONCAT(BBDD_Usiarios_Netflix[[#This Row],[Día Suscripción]],"/",BBDD_Usiarios_Netflix[[#This Row],[Mes Suscripción]],"/",BBDD_Usiarios_Netflix[[#This Row],[Año Suscripción]]))</f>
        <v>45129</v>
      </c>
      <c r="H2064" s="1">
        <v>9</v>
      </c>
      <c r="I2064" s="1">
        <v>7</v>
      </c>
      <c r="J2064" s="1">
        <v>24</v>
      </c>
      <c r="K2064" s="1" t="str">
        <f>TEXT(BBDD_Usiarios_Netflix[[#This Row],[Fecha Suscripción]],"dddd")</f>
        <v>sábado</v>
      </c>
      <c r="L2064" s="1">
        <f>DATEVALUE(_xlfn.CONCAT(BBDD_Usiarios_Netflix[[#This Row],[Día Último Pago]],"/",BBDD_Usiarios_Netflix[[#This Row],[Mes Último Pago]],"/",BBDD_Usiarios_Netflix[[#This Row],[Año Último Pago]]))</f>
        <v>45482</v>
      </c>
      <c r="M2064" s="4">
        <f>DATEDIF(BBDD_Usiarios_Netflix[[#This Row],[Fecha Suscripción]],BBDD_Usiarios_Netflix[[#This Row],[Fecha Último Pago]],"M")+1</f>
        <v>12</v>
      </c>
      <c r="N2064" s="4">
        <f>BBDD_Usiarios_Netflix[[#This Row],[Ingresos Mensuales]]*BBDD_Usiarios_Netflix[[#This Row],[Meses contratados]]</f>
        <v>144</v>
      </c>
      <c r="O2064" t="s">
        <v>24</v>
      </c>
      <c r="P2064" t="str">
        <f>IF(BBDD_Usiarios_Netflix[[#This Row],[País]]="","Desconocido",BBDD_Usiarios_Netflix[[#This Row],[País]])</f>
        <v>Australia</v>
      </c>
      <c r="Q2064">
        <v>35</v>
      </c>
      <c r="R2064" t="s">
        <v>30</v>
      </c>
      <c r="S2064" t="s">
        <v>26</v>
      </c>
      <c r="T2064" t="s">
        <v>41</v>
      </c>
      <c r="U2064">
        <f>IF(IFERROR(VLOOKUP(BBDD_Usiarios_Netflix[[#This Row],[Identificador Usuario]],A2065:$A$5870,1,FALSE),0)&lt;&gt;0,1,0)</f>
        <v>0</v>
      </c>
      <c r="V2064" s="6" t="str">
        <f>IF(BBDD_Usiarios_Netflix[[#This Row],[Duración Plan]]="12 Meses",LEFT(BBDD_Usiarios_Netflix[[#This Row],[Duración Plan]],2),LEFT(BBDD_Usiarios_Netflix[[#This Row],[Duración Plan]],1))</f>
        <v>12</v>
      </c>
      <c r="W20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65" spans="1:23" x14ac:dyDescent="0.25">
      <c r="A2065">
        <v>2064</v>
      </c>
      <c r="B2065" t="s">
        <v>28</v>
      </c>
      <c r="C2065">
        <v>14</v>
      </c>
      <c r="D2065" s="3">
        <v>22</v>
      </c>
      <c r="E2065" s="3">
        <v>7</v>
      </c>
      <c r="F2065">
        <v>23</v>
      </c>
      <c r="G2065" s="1">
        <f>DATEVALUE(_xlfn.CONCAT(BBDD_Usiarios_Netflix[[#This Row],[Día Suscripción]],"/",BBDD_Usiarios_Netflix[[#This Row],[Mes Suscripción]],"/",BBDD_Usiarios_Netflix[[#This Row],[Año Suscripción]]))</f>
        <v>45129</v>
      </c>
      <c r="H2065" s="1">
        <v>11</v>
      </c>
      <c r="I2065" s="1">
        <v>7</v>
      </c>
      <c r="J2065" s="1">
        <v>24</v>
      </c>
      <c r="K2065" s="1" t="str">
        <f>TEXT(BBDD_Usiarios_Netflix[[#This Row],[Fecha Suscripción]],"dddd")</f>
        <v>sábado</v>
      </c>
      <c r="L2065" s="1">
        <f>DATEVALUE(_xlfn.CONCAT(BBDD_Usiarios_Netflix[[#This Row],[Día Último Pago]],"/",BBDD_Usiarios_Netflix[[#This Row],[Mes Último Pago]],"/",BBDD_Usiarios_Netflix[[#This Row],[Año Último Pago]]))</f>
        <v>45484</v>
      </c>
      <c r="M2065" s="4">
        <f>DATEDIF(BBDD_Usiarios_Netflix[[#This Row],[Fecha Suscripción]],BBDD_Usiarios_Netflix[[#This Row],[Fecha Último Pago]],"M")+1</f>
        <v>12</v>
      </c>
      <c r="N2065" s="4">
        <f>BBDD_Usiarios_Netflix[[#This Row],[Ingresos Mensuales]]*BBDD_Usiarios_Netflix[[#This Row],[Meses contratados]]</f>
        <v>168</v>
      </c>
      <c r="O2065" t="s">
        <v>42</v>
      </c>
      <c r="P2065" t="str">
        <f>IF(BBDD_Usiarios_Netflix[[#This Row],[País]]="","Desconocido",BBDD_Usiarios_Netflix[[#This Row],[País]])</f>
        <v>Reino Unido</v>
      </c>
      <c r="Q2065">
        <v>37</v>
      </c>
      <c r="R2065" t="s">
        <v>30</v>
      </c>
      <c r="S2065" t="s">
        <v>31</v>
      </c>
      <c r="T2065" t="s">
        <v>35</v>
      </c>
      <c r="U2065">
        <f>IF(IFERROR(VLOOKUP(BBDD_Usiarios_Netflix[[#This Row],[Identificador Usuario]],A2066:$A$5870,1,FALSE),0)&lt;&gt;0,1,0)</f>
        <v>0</v>
      </c>
      <c r="V2065" s="6" t="str">
        <f>IF(BBDD_Usiarios_Netflix[[#This Row],[Duración Plan]]="12 Meses",LEFT(BBDD_Usiarios_Netflix[[#This Row],[Duración Plan]],2),LEFT(BBDD_Usiarios_Netflix[[#This Row],[Duración Plan]],1))</f>
        <v>6</v>
      </c>
      <c r="W20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66" spans="1:23" x14ac:dyDescent="0.25">
      <c r="A2066">
        <v>2065</v>
      </c>
      <c r="B2066" t="s">
        <v>23</v>
      </c>
      <c r="C2066">
        <v>10</v>
      </c>
      <c r="D2066" s="3">
        <v>20</v>
      </c>
      <c r="E2066" s="3">
        <v>7</v>
      </c>
      <c r="F2066">
        <v>23</v>
      </c>
      <c r="G2066" s="1">
        <f>DATEVALUE(_xlfn.CONCAT(BBDD_Usiarios_Netflix[[#This Row],[Día Suscripción]],"/",BBDD_Usiarios_Netflix[[#This Row],[Mes Suscripción]],"/",BBDD_Usiarios_Netflix[[#This Row],[Año Suscripción]]))</f>
        <v>45127</v>
      </c>
      <c r="H2066" s="1">
        <v>9</v>
      </c>
      <c r="I2066" s="1">
        <v>7</v>
      </c>
      <c r="J2066" s="1">
        <v>24</v>
      </c>
      <c r="K2066" s="1" t="str">
        <f>TEXT(BBDD_Usiarios_Netflix[[#This Row],[Fecha Suscripción]],"dddd")</f>
        <v>jueves</v>
      </c>
      <c r="L2066" s="1">
        <f>DATEVALUE(_xlfn.CONCAT(BBDD_Usiarios_Netflix[[#This Row],[Día Último Pago]],"/",BBDD_Usiarios_Netflix[[#This Row],[Mes Último Pago]],"/",BBDD_Usiarios_Netflix[[#This Row],[Año Último Pago]]))</f>
        <v>45482</v>
      </c>
      <c r="M2066" s="4">
        <f>DATEDIF(BBDD_Usiarios_Netflix[[#This Row],[Fecha Suscripción]],BBDD_Usiarios_Netflix[[#This Row],[Fecha Último Pago]],"M")+1</f>
        <v>12</v>
      </c>
      <c r="N2066" s="4">
        <f>BBDD_Usiarios_Netflix[[#This Row],[Ingresos Mensuales]]*BBDD_Usiarios_Netflix[[#This Row],[Meses contratados]]</f>
        <v>120</v>
      </c>
      <c r="O2066" t="s">
        <v>24</v>
      </c>
      <c r="P2066" t="str">
        <f>IF(BBDD_Usiarios_Netflix[[#This Row],[País]]="","Desconocido",BBDD_Usiarios_Netflix[[#This Row],[País]])</f>
        <v>Australia</v>
      </c>
      <c r="Q2066">
        <v>45</v>
      </c>
      <c r="R2066" t="s">
        <v>30</v>
      </c>
      <c r="S2066" t="s">
        <v>31</v>
      </c>
      <c r="T2066" t="s">
        <v>38</v>
      </c>
      <c r="U2066">
        <f>IF(IFERROR(VLOOKUP(BBDD_Usiarios_Netflix[[#This Row],[Identificador Usuario]],A2067:$A$5870,1,FALSE),0)&lt;&gt;0,1,0)</f>
        <v>0</v>
      </c>
      <c r="V2066" s="6" t="str">
        <f>IF(BBDD_Usiarios_Netflix[[#This Row],[Duración Plan]]="12 Meses",LEFT(BBDD_Usiarios_Netflix[[#This Row],[Duración Plan]],2),LEFT(BBDD_Usiarios_Netflix[[#This Row],[Duración Plan]],1))</f>
        <v>3</v>
      </c>
      <c r="W20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67" spans="1:23" x14ac:dyDescent="0.25">
      <c r="A2067">
        <v>2066</v>
      </c>
      <c r="B2067" t="s">
        <v>28</v>
      </c>
      <c r="C2067">
        <v>14</v>
      </c>
      <c r="D2067" s="3">
        <v>12</v>
      </c>
      <c r="E2067" s="3">
        <v>7</v>
      </c>
      <c r="F2067">
        <v>23</v>
      </c>
      <c r="G2067" s="1">
        <f>DATEVALUE(_xlfn.CONCAT(BBDD_Usiarios_Netflix[[#This Row],[Día Suscripción]],"/",BBDD_Usiarios_Netflix[[#This Row],[Mes Suscripción]],"/",BBDD_Usiarios_Netflix[[#This Row],[Año Suscripción]]))</f>
        <v>45119</v>
      </c>
      <c r="H2067" s="1">
        <v>10</v>
      </c>
      <c r="I2067" s="1">
        <v>7</v>
      </c>
      <c r="J2067" s="1">
        <v>24</v>
      </c>
      <c r="K2067" s="1" t="str">
        <f>TEXT(BBDD_Usiarios_Netflix[[#This Row],[Fecha Suscripción]],"dddd")</f>
        <v>miércoles</v>
      </c>
      <c r="L2067" s="1">
        <f>DATEVALUE(_xlfn.CONCAT(BBDD_Usiarios_Netflix[[#This Row],[Día Último Pago]],"/",BBDD_Usiarios_Netflix[[#This Row],[Mes Último Pago]],"/",BBDD_Usiarios_Netflix[[#This Row],[Año Último Pago]]))</f>
        <v>45483</v>
      </c>
      <c r="M2067" s="4">
        <f>DATEDIF(BBDD_Usiarios_Netflix[[#This Row],[Fecha Suscripción]],BBDD_Usiarios_Netflix[[#This Row],[Fecha Último Pago]],"M")+1</f>
        <v>12</v>
      </c>
      <c r="N2067" s="4">
        <f>BBDD_Usiarios_Netflix[[#This Row],[Ingresos Mensuales]]*BBDD_Usiarios_Netflix[[#This Row],[Meses contratados]]</f>
        <v>168</v>
      </c>
      <c r="O2067" t="s">
        <v>45</v>
      </c>
      <c r="P2067" t="str">
        <f>IF(BBDD_Usiarios_Netflix[[#This Row],[País]]="","Desconocido",BBDD_Usiarios_Netflix[[#This Row],[País]])</f>
        <v>España</v>
      </c>
      <c r="Q2067">
        <v>48</v>
      </c>
      <c r="R2067" t="s">
        <v>30</v>
      </c>
      <c r="S2067" t="s">
        <v>36</v>
      </c>
      <c r="T2067" t="s">
        <v>27</v>
      </c>
      <c r="U2067">
        <f>IF(IFERROR(VLOOKUP(BBDD_Usiarios_Netflix[[#This Row],[Identificador Usuario]],A2068:$A$5870,1,FALSE),0)&lt;&gt;0,1,0)</f>
        <v>0</v>
      </c>
      <c r="V2067" s="6" t="str">
        <f>IF(BBDD_Usiarios_Netflix[[#This Row],[Duración Plan]]="12 Meses",LEFT(BBDD_Usiarios_Netflix[[#This Row],[Duración Plan]],2),LEFT(BBDD_Usiarios_Netflix[[#This Row],[Duración Plan]],1))</f>
        <v>1</v>
      </c>
      <c r="W20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68" spans="1:23" x14ac:dyDescent="0.25">
      <c r="A2068">
        <v>2067</v>
      </c>
      <c r="B2068" t="s">
        <v>23</v>
      </c>
      <c r="C2068">
        <v>10</v>
      </c>
      <c r="D2068" s="3">
        <v>12</v>
      </c>
      <c r="E2068" s="3">
        <v>7</v>
      </c>
      <c r="F2068">
        <v>23</v>
      </c>
      <c r="G2068" s="1">
        <f>DATEVALUE(_xlfn.CONCAT(BBDD_Usiarios_Netflix[[#This Row],[Día Suscripción]],"/",BBDD_Usiarios_Netflix[[#This Row],[Mes Suscripción]],"/",BBDD_Usiarios_Netflix[[#This Row],[Año Suscripción]]))</f>
        <v>45119</v>
      </c>
      <c r="H2068" s="1">
        <v>9</v>
      </c>
      <c r="I2068" s="1">
        <v>7</v>
      </c>
      <c r="J2068" s="1">
        <v>24</v>
      </c>
      <c r="K2068" s="1" t="str">
        <f>TEXT(BBDD_Usiarios_Netflix[[#This Row],[Fecha Suscripción]],"dddd")</f>
        <v>miércoles</v>
      </c>
      <c r="L2068" s="1">
        <f>DATEVALUE(_xlfn.CONCAT(BBDD_Usiarios_Netflix[[#This Row],[Día Último Pago]],"/",BBDD_Usiarios_Netflix[[#This Row],[Mes Último Pago]],"/",BBDD_Usiarios_Netflix[[#This Row],[Año Último Pago]]))</f>
        <v>45482</v>
      </c>
      <c r="M2068" s="4">
        <f>DATEDIF(BBDD_Usiarios_Netflix[[#This Row],[Fecha Suscripción]],BBDD_Usiarios_Netflix[[#This Row],[Fecha Último Pago]],"M")+1</f>
        <v>12</v>
      </c>
      <c r="N2068" s="4">
        <f>BBDD_Usiarios_Netflix[[#This Row],[Ingresos Mensuales]]*BBDD_Usiarios_Netflix[[#This Row],[Meses contratados]]</f>
        <v>120</v>
      </c>
      <c r="O2068" t="s">
        <v>29</v>
      </c>
      <c r="P2068" t="str">
        <f>IF(BBDD_Usiarios_Netflix[[#This Row],[País]]="","Desconocido",BBDD_Usiarios_Netflix[[#This Row],[País]])</f>
        <v>EEUU</v>
      </c>
      <c r="Q2068">
        <v>44</v>
      </c>
      <c r="R2068" t="s">
        <v>30</v>
      </c>
      <c r="S2068" t="s">
        <v>36</v>
      </c>
      <c r="T2068" t="s">
        <v>38</v>
      </c>
      <c r="U2068">
        <f>IF(IFERROR(VLOOKUP(BBDD_Usiarios_Netflix[[#This Row],[Identificador Usuario]],A2069:$A$5870,1,FALSE),0)&lt;&gt;0,1,0)</f>
        <v>0</v>
      </c>
      <c r="V2068" s="6" t="str">
        <f>IF(BBDD_Usiarios_Netflix[[#This Row],[Duración Plan]]="12 Meses",LEFT(BBDD_Usiarios_Netflix[[#This Row],[Duración Plan]],2),LEFT(BBDD_Usiarios_Netflix[[#This Row],[Duración Plan]],1))</f>
        <v>3</v>
      </c>
      <c r="W20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69" spans="1:23" x14ac:dyDescent="0.25">
      <c r="A2069">
        <v>2068</v>
      </c>
      <c r="B2069" t="s">
        <v>32</v>
      </c>
      <c r="C2069">
        <v>12</v>
      </c>
      <c r="D2069" s="3">
        <v>10</v>
      </c>
      <c r="E2069" s="3">
        <v>7</v>
      </c>
      <c r="F2069">
        <v>23</v>
      </c>
      <c r="G2069" s="1">
        <f>DATEVALUE(_xlfn.CONCAT(BBDD_Usiarios_Netflix[[#This Row],[Día Suscripción]],"/",BBDD_Usiarios_Netflix[[#This Row],[Mes Suscripción]],"/",BBDD_Usiarios_Netflix[[#This Row],[Año Suscripción]]))</f>
        <v>45117</v>
      </c>
      <c r="H2069" s="1">
        <v>11</v>
      </c>
      <c r="I2069" s="1">
        <v>7</v>
      </c>
      <c r="J2069" s="1">
        <v>24</v>
      </c>
      <c r="K2069" s="1" t="str">
        <f>TEXT(BBDD_Usiarios_Netflix[[#This Row],[Fecha Suscripción]],"dddd")</f>
        <v>lunes</v>
      </c>
      <c r="L2069" s="1">
        <f>DATEVALUE(_xlfn.CONCAT(BBDD_Usiarios_Netflix[[#This Row],[Día Último Pago]],"/",BBDD_Usiarios_Netflix[[#This Row],[Mes Último Pago]],"/",BBDD_Usiarios_Netflix[[#This Row],[Año Último Pago]]))</f>
        <v>45484</v>
      </c>
      <c r="M2069" s="4">
        <f>DATEDIF(BBDD_Usiarios_Netflix[[#This Row],[Fecha Suscripción]],BBDD_Usiarios_Netflix[[#This Row],[Fecha Último Pago]],"M")+1</f>
        <v>13</v>
      </c>
      <c r="N2069" s="4">
        <f>BBDD_Usiarios_Netflix[[#This Row],[Ingresos Mensuales]]*BBDD_Usiarios_Netflix[[#This Row],[Meses contratados]]</f>
        <v>156</v>
      </c>
      <c r="O2069" t="s">
        <v>39</v>
      </c>
      <c r="P2069" t="str">
        <f>IF(BBDD_Usiarios_Netflix[[#This Row],[País]]="","Desconocido",BBDD_Usiarios_Netflix[[#This Row],[País]])</f>
        <v>Canadá</v>
      </c>
      <c r="Q2069">
        <v>47</v>
      </c>
      <c r="R2069" t="s">
        <v>30</v>
      </c>
      <c r="S2069" t="s">
        <v>36</v>
      </c>
      <c r="T2069" t="s">
        <v>35</v>
      </c>
      <c r="U2069">
        <f>IF(IFERROR(VLOOKUP(BBDD_Usiarios_Netflix[[#This Row],[Identificador Usuario]],A2070:$A$5870,1,FALSE),0)&lt;&gt;0,1,0)</f>
        <v>0</v>
      </c>
      <c r="V2069" s="6" t="str">
        <f>IF(BBDD_Usiarios_Netflix[[#This Row],[Duración Plan]]="12 Meses",LEFT(BBDD_Usiarios_Netflix[[#This Row],[Duración Plan]],2),LEFT(BBDD_Usiarios_Netflix[[#This Row],[Duración Plan]],1))</f>
        <v>6</v>
      </c>
      <c r="W20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70" spans="1:23" x14ac:dyDescent="0.25">
      <c r="A2070">
        <v>2069</v>
      </c>
      <c r="B2070" t="s">
        <v>32</v>
      </c>
      <c r="C2070">
        <v>12</v>
      </c>
      <c r="D2070" s="3">
        <v>11</v>
      </c>
      <c r="E2070" s="3">
        <v>7</v>
      </c>
      <c r="F2070">
        <v>23</v>
      </c>
      <c r="G2070" s="1">
        <f>DATEVALUE(_xlfn.CONCAT(BBDD_Usiarios_Netflix[[#This Row],[Día Suscripción]],"/",BBDD_Usiarios_Netflix[[#This Row],[Mes Suscripción]],"/",BBDD_Usiarios_Netflix[[#This Row],[Año Suscripción]]))</f>
        <v>45118</v>
      </c>
      <c r="H2070" s="1">
        <v>8</v>
      </c>
      <c r="I2070" s="1">
        <v>7</v>
      </c>
      <c r="J2070" s="1">
        <v>24</v>
      </c>
      <c r="K2070" s="1" t="str">
        <f>TEXT(BBDD_Usiarios_Netflix[[#This Row],[Fecha Suscripción]],"dddd")</f>
        <v>martes</v>
      </c>
      <c r="L2070" s="1">
        <f>DATEVALUE(_xlfn.CONCAT(BBDD_Usiarios_Netflix[[#This Row],[Día Último Pago]],"/",BBDD_Usiarios_Netflix[[#This Row],[Mes Último Pago]],"/",BBDD_Usiarios_Netflix[[#This Row],[Año Último Pago]]))</f>
        <v>45481</v>
      </c>
      <c r="M2070" s="4">
        <f>DATEDIF(BBDD_Usiarios_Netflix[[#This Row],[Fecha Suscripción]],BBDD_Usiarios_Netflix[[#This Row],[Fecha Último Pago]],"M")+1</f>
        <v>12</v>
      </c>
      <c r="N2070" s="4">
        <f>BBDD_Usiarios_Netflix[[#This Row],[Ingresos Mensuales]]*BBDD_Usiarios_Netflix[[#This Row],[Meses contratados]]</f>
        <v>144</v>
      </c>
      <c r="O2070" t="s">
        <v>40</v>
      </c>
      <c r="P2070" t="str">
        <f>IF(BBDD_Usiarios_Netflix[[#This Row],[País]]="","Desconocido",BBDD_Usiarios_Netflix[[#This Row],[País]])</f>
        <v>Italia</v>
      </c>
      <c r="Q2070">
        <v>35</v>
      </c>
      <c r="R2070" t="s">
        <v>25</v>
      </c>
      <c r="S2070" t="s">
        <v>34</v>
      </c>
      <c r="T2070" t="s">
        <v>35</v>
      </c>
      <c r="U2070">
        <f>IF(IFERROR(VLOOKUP(BBDD_Usiarios_Netflix[[#This Row],[Identificador Usuario]],A2071:$A$5870,1,FALSE),0)&lt;&gt;0,1,0)</f>
        <v>0</v>
      </c>
      <c r="V2070" s="6" t="str">
        <f>IF(BBDD_Usiarios_Netflix[[#This Row],[Duración Plan]]="12 Meses",LEFT(BBDD_Usiarios_Netflix[[#This Row],[Duración Plan]],2),LEFT(BBDD_Usiarios_Netflix[[#This Row],[Duración Plan]],1))</f>
        <v>6</v>
      </c>
      <c r="W20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71" spans="1:23" x14ac:dyDescent="0.25">
      <c r="A2071">
        <v>2070</v>
      </c>
      <c r="B2071" t="s">
        <v>23</v>
      </c>
      <c r="C2071">
        <v>10</v>
      </c>
      <c r="D2071" s="3">
        <v>11</v>
      </c>
      <c r="E2071" s="3">
        <v>7</v>
      </c>
      <c r="F2071">
        <v>23</v>
      </c>
      <c r="G2071" s="1">
        <f>DATEVALUE(_xlfn.CONCAT(BBDD_Usiarios_Netflix[[#This Row],[Día Suscripción]],"/",BBDD_Usiarios_Netflix[[#This Row],[Mes Suscripción]],"/",BBDD_Usiarios_Netflix[[#This Row],[Año Suscripción]]))</f>
        <v>45118</v>
      </c>
      <c r="H2071" s="1">
        <v>9</v>
      </c>
      <c r="I2071" s="1">
        <v>7</v>
      </c>
      <c r="J2071" s="1">
        <v>24</v>
      </c>
      <c r="K2071" s="1" t="str">
        <f>TEXT(BBDD_Usiarios_Netflix[[#This Row],[Fecha Suscripción]],"dddd")</f>
        <v>martes</v>
      </c>
      <c r="L2071" s="1">
        <f>DATEVALUE(_xlfn.CONCAT(BBDD_Usiarios_Netflix[[#This Row],[Día Último Pago]],"/",BBDD_Usiarios_Netflix[[#This Row],[Mes Último Pago]],"/",BBDD_Usiarios_Netflix[[#This Row],[Año Último Pago]]))</f>
        <v>45482</v>
      </c>
      <c r="M2071" s="4">
        <f>DATEDIF(BBDD_Usiarios_Netflix[[#This Row],[Fecha Suscripción]],BBDD_Usiarios_Netflix[[#This Row],[Fecha Último Pago]],"M")+1</f>
        <v>12</v>
      </c>
      <c r="N2071" s="4">
        <f>BBDD_Usiarios_Netflix[[#This Row],[Ingresos Mensuales]]*BBDD_Usiarios_Netflix[[#This Row],[Meses contratados]]</f>
        <v>120</v>
      </c>
      <c r="O2071" t="s">
        <v>39</v>
      </c>
      <c r="P2071" t="str">
        <f>IF(BBDD_Usiarios_Netflix[[#This Row],[País]]="","Desconocido",BBDD_Usiarios_Netflix[[#This Row],[País]])</f>
        <v>Canadá</v>
      </c>
      <c r="Q2071">
        <v>35</v>
      </c>
      <c r="R2071" t="s">
        <v>30</v>
      </c>
      <c r="S2071" t="s">
        <v>26</v>
      </c>
      <c r="T2071" t="s">
        <v>35</v>
      </c>
      <c r="U2071">
        <f>IF(IFERROR(VLOOKUP(BBDD_Usiarios_Netflix[[#This Row],[Identificador Usuario]],A2072:$A$5870,1,FALSE),0)&lt;&gt;0,1,0)</f>
        <v>0</v>
      </c>
      <c r="V2071" s="6" t="str">
        <f>IF(BBDD_Usiarios_Netflix[[#This Row],[Duración Plan]]="12 Meses",LEFT(BBDD_Usiarios_Netflix[[#This Row],[Duración Plan]],2),LEFT(BBDD_Usiarios_Netflix[[#This Row],[Duración Plan]],1))</f>
        <v>6</v>
      </c>
      <c r="W20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72" spans="1:23" x14ac:dyDescent="0.25">
      <c r="A2072">
        <v>2071</v>
      </c>
      <c r="B2072" t="s">
        <v>28</v>
      </c>
      <c r="C2072">
        <v>14</v>
      </c>
      <c r="D2072" s="3">
        <v>9</v>
      </c>
      <c r="E2072" s="3">
        <v>7</v>
      </c>
      <c r="F2072">
        <v>23</v>
      </c>
      <c r="G2072" s="1">
        <f>DATEVALUE(_xlfn.CONCAT(BBDD_Usiarios_Netflix[[#This Row],[Día Suscripción]],"/",BBDD_Usiarios_Netflix[[#This Row],[Mes Suscripción]],"/",BBDD_Usiarios_Netflix[[#This Row],[Año Suscripción]]))</f>
        <v>45116</v>
      </c>
      <c r="H2072" s="1">
        <v>8</v>
      </c>
      <c r="I2072" s="1">
        <v>7</v>
      </c>
      <c r="J2072" s="1">
        <v>24</v>
      </c>
      <c r="K2072" s="1" t="str">
        <f>TEXT(BBDD_Usiarios_Netflix[[#This Row],[Fecha Suscripción]],"dddd")</f>
        <v>domingo</v>
      </c>
      <c r="L2072" s="1">
        <f>DATEVALUE(_xlfn.CONCAT(BBDD_Usiarios_Netflix[[#This Row],[Día Último Pago]],"/",BBDD_Usiarios_Netflix[[#This Row],[Mes Último Pago]],"/",BBDD_Usiarios_Netflix[[#This Row],[Año Último Pago]]))</f>
        <v>45481</v>
      </c>
      <c r="M2072" s="4">
        <f>DATEDIF(BBDD_Usiarios_Netflix[[#This Row],[Fecha Suscripción]],BBDD_Usiarios_Netflix[[#This Row],[Fecha Último Pago]],"M")+1</f>
        <v>12</v>
      </c>
      <c r="N2072" s="4">
        <f>BBDD_Usiarios_Netflix[[#This Row],[Ingresos Mensuales]]*BBDD_Usiarios_Netflix[[#This Row],[Meses contratados]]</f>
        <v>168</v>
      </c>
      <c r="O2072" t="s">
        <v>29</v>
      </c>
      <c r="P2072" t="str">
        <f>IF(BBDD_Usiarios_Netflix[[#This Row],[País]]="","Desconocido",BBDD_Usiarios_Netflix[[#This Row],[País]])</f>
        <v>EEUU</v>
      </c>
      <c r="Q2072">
        <v>35</v>
      </c>
      <c r="R2072" t="s">
        <v>25</v>
      </c>
      <c r="S2072" t="s">
        <v>26</v>
      </c>
      <c r="T2072" t="s">
        <v>27</v>
      </c>
      <c r="U2072">
        <f>IF(IFERROR(VLOOKUP(BBDD_Usiarios_Netflix[[#This Row],[Identificador Usuario]],A2073:$A$5870,1,FALSE),0)&lt;&gt;0,1,0)</f>
        <v>0</v>
      </c>
      <c r="V2072" s="6" t="str">
        <f>IF(BBDD_Usiarios_Netflix[[#This Row],[Duración Plan]]="12 Meses",LEFT(BBDD_Usiarios_Netflix[[#This Row],[Duración Plan]],2),LEFT(BBDD_Usiarios_Netflix[[#This Row],[Duración Plan]],1))</f>
        <v>1</v>
      </c>
      <c r="W20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73" spans="1:23" x14ac:dyDescent="0.25">
      <c r="A2073">
        <v>2072</v>
      </c>
      <c r="B2073" t="s">
        <v>23</v>
      </c>
      <c r="C2073">
        <v>10</v>
      </c>
      <c r="D2073" s="3">
        <v>10</v>
      </c>
      <c r="E2073" s="3">
        <v>7</v>
      </c>
      <c r="F2073">
        <v>23</v>
      </c>
      <c r="G2073" s="1">
        <f>DATEVALUE(_xlfn.CONCAT(BBDD_Usiarios_Netflix[[#This Row],[Día Suscripción]],"/",BBDD_Usiarios_Netflix[[#This Row],[Mes Suscripción]],"/",BBDD_Usiarios_Netflix[[#This Row],[Año Suscripción]]))</f>
        <v>45117</v>
      </c>
      <c r="H2073" s="1">
        <v>11</v>
      </c>
      <c r="I2073" s="1">
        <v>7</v>
      </c>
      <c r="J2073" s="1">
        <v>24</v>
      </c>
      <c r="K2073" s="1" t="str">
        <f>TEXT(BBDD_Usiarios_Netflix[[#This Row],[Fecha Suscripción]],"dddd")</f>
        <v>lunes</v>
      </c>
      <c r="L2073" s="1">
        <f>DATEVALUE(_xlfn.CONCAT(BBDD_Usiarios_Netflix[[#This Row],[Día Último Pago]],"/",BBDD_Usiarios_Netflix[[#This Row],[Mes Último Pago]],"/",BBDD_Usiarios_Netflix[[#This Row],[Año Último Pago]]))</f>
        <v>45484</v>
      </c>
      <c r="M2073" s="4">
        <f>DATEDIF(BBDD_Usiarios_Netflix[[#This Row],[Fecha Suscripción]],BBDD_Usiarios_Netflix[[#This Row],[Fecha Último Pago]],"M")+1</f>
        <v>13</v>
      </c>
      <c r="N2073" s="4">
        <f>BBDD_Usiarios_Netflix[[#This Row],[Ingresos Mensuales]]*BBDD_Usiarios_Netflix[[#This Row],[Meses contratados]]</f>
        <v>130</v>
      </c>
      <c r="O2073" t="s">
        <v>29</v>
      </c>
      <c r="P2073" t="str">
        <f>IF(BBDD_Usiarios_Netflix[[#This Row],[País]]="","Desconocido",BBDD_Usiarios_Netflix[[#This Row],[País]])</f>
        <v>EEUU</v>
      </c>
      <c r="Q2073">
        <v>49</v>
      </c>
      <c r="R2073" t="s">
        <v>30</v>
      </c>
      <c r="S2073" t="s">
        <v>36</v>
      </c>
      <c r="T2073" t="s">
        <v>27</v>
      </c>
      <c r="U2073">
        <f>IF(IFERROR(VLOOKUP(BBDD_Usiarios_Netflix[[#This Row],[Identificador Usuario]],A2074:$A$5870,1,FALSE),0)&lt;&gt;0,1,0)</f>
        <v>0</v>
      </c>
      <c r="V2073" s="6" t="str">
        <f>IF(BBDD_Usiarios_Netflix[[#This Row],[Duración Plan]]="12 Meses",LEFT(BBDD_Usiarios_Netflix[[#This Row],[Duración Plan]],2),LEFT(BBDD_Usiarios_Netflix[[#This Row],[Duración Plan]],1))</f>
        <v>1</v>
      </c>
      <c r="W20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74" spans="1:23" x14ac:dyDescent="0.25">
      <c r="A2074">
        <v>2073</v>
      </c>
      <c r="B2074" t="s">
        <v>32</v>
      </c>
      <c r="C2074">
        <v>12</v>
      </c>
      <c r="D2074" s="3">
        <v>12</v>
      </c>
      <c r="E2074" s="3">
        <v>7</v>
      </c>
      <c r="F2074">
        <v>23</v>
      </c>
      <c r="G2074" s="1">
        <f>DATEVALUE(_xlfn.CONCAT(BBDD_Usiarios_Netflix[[#This Row],[Día Suscripción]],"/",BBDD_Usiarios_Netflix[[#This Row],[Mes Suscripción]],"/",BBDD_Usiarios_Netflix[[#This Row],[Año Suscripción]]))</f>
        <v>45119</v>
      </c>
      <c r="H2074" s="1">
        <v>8</v>
      </c>
      <c r="I2074" s="1">
        <v>7</v>
      </c>
      <c r="J2074" s="1">
        <v>24</v>
      </c>
      <c r="K2074" s="1" t="str">
        <f>TEXT(BBDD_Usiarios_Netflix[[#This Row],[Fecha Suscripción]],"dddd")</f>
        <v>miércoles</v>
      </c>
      <c r="L2074" s="1">
        <f>DATEVALUE(_xlfn.CONCAT(BBDD_Usiarios_Netflix[[#This Row],[Día Último Pago]],"/",BBDD_Usiarios_Netflix[[#This Row],[Mes Último Pago]],"/",BBDD_Usiarios_Netflix[[#This Row],[Año Último Pago]]))</f>
        <v>45481</v>
      </c>
      <c r="M2074" s="4">
        <f>DATEDIF(BBDD_Usiarios_Netflix[[#This Row],[Fecha Suscripción]],BBDD_Usiarios_Netflix[[#This Row],[Fecha Último Pago]],"M")+1</f>
        <v>12</v>
      </c>
      <c r="N2074" s="4">
        <f>BBDD_Usiarios_Netflix[[#This Row],[Ingresos Mensuales]]*BBDD_Usiarios_Netflix[[#This Row],[Meses contratados]]</f>
        <v>144</v>
      </c>
      <c r="O2074" t="s">
        <v>44</v>
      </c>
      <c r="P2074" t="str">
        <f>IF(BBDD_Usiarios_Netflix[[#This Row],[País]]="","Desconocido",BBDD_Usiarios_Netflix[[#This Row],[País]])</f>
        <v>Desconocido</v>
      </c>
      <c r="Q2074">
        <v>50</v>
      </c>
      <c r="R2074" t="s">
        <v>30</v>
      </c>
      <c r="S2074" t="s">
        <v>31</v>
      </c>
      <c r="T2074" t="s">
        <v>27</v>
      </c>
      <c r="U2074">
        <f>IF(IFERROR(VLOOKUP(BBDD_Usiarios_Netflix[[#This Row],[Identificador Usuario]],A2075:$A$5870,1,FALSE),0)&lt;&gt;0,1,0)</f>
        <v>0</v>
      </c>
      <c r="V2074" s="6" t="str">
        <f>IF(BBDD_Usiarios_Netflix[[#This Row],[Duración Plan]]="12 Meses",LEFT(BBDD_Usiarios_Netflix[[#This Row],[Duración Plan]],2),LEFT(BBDD_Usiarios_Netflix[[#This Row],[Duración Plan]],1))</f>
        <v>1</v>
      </c>
      <c r="W20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75" spans="1:23" x14ac:dyDescent="0.25">
      <c r="A2075">
        <v>2074</v>
      </c>
      <c r="B2075" t="s">
        <v>28</v>
      </c>
      <c r="C2075">
        <v>14</v>
      </c>
      <c r="D2075" s="3">
        <v>13</v>
      </c>
      <c r="E2075" s="3">
        <v>7</v>
      </c>
      <c r="F2075">
        <v>23</v>
      </c>
      <c r="G2075" s="1">
        <f>DATEVALUE(_xlfn.CONCAT(BBDD_Usiarios_Netflix[[#This Row],[Día Suscripción]],"/",BBDD_Usiarios_Netflix[[#This Row],[Mes Suscripción]],"/",BBDD_Usiarios_Netflix[[#This Row],[Año Suscripción]]))</f>
        <v>45120</v>
      </c>
      <c r="H2075" s="1">
        <v>9</v>
      </c>
      <c r="I2075" s="1">
        <v>7</v>
      </c>
      <c r="J2075" s="1">
        <v>24</v>
      </c>
      <c r="K2075" s="1" t="str">
        <f>TEXT(BBDD_Usiarios_Netflix[[#This Row],[Fecha Suscripción]],"dddd")</f>
        <v>jueves</v>
      </c>
      <c r="L2075" s="1">
        <f>DATEVALUE(_xlfn.CONCAT(BBDD_Usiarios_Netflix[[#This Row],[Día Último Pago]],"/",BBDD_Usiarios_Netflix[[#This Row],[Mes Último Pago]],"/",BBDD_Usiarios_Netflix[[#This Row],[Año Último Pago]]))</f>
        <v>45482</v>
      </c>
      <c r="M2075" s="4">
        <f>DATEDIF(BBDD_Usiarios_Netflix[[#This Row],[Fecha Suscripción]],BBDD_Usiarios_Netflix[[#This Row],[Fecha Último Pago]],"M")+1</f>
        <v>12</v>
      </c>
      <c r="N2075" s="4">
        <f>BBDD_Usiarios_Netflix[[#This Row],[Ingresos Mensuales]]*BBDD_Usiarios_Netflix[[#This Row],[Meses contratados]]</f>
        <v>168</v>
      </c>
      <c r="O2075" t="s">
        <v>37</v>
      </c>
      <c r="P2075" t="str">
        <f>IF(BBDD_Usiarios_Netflix[[#This Row],[País]]="","Desconocido",BBDD_Usiarios_Netflix[[#This Row],[País]])</f>
        <v>Brasil</v>
      </c>
      <c r="Q2075">
        <v>44</v>
      </c>
      <c r="R2075" t="s">
        <v>25</v>
      </c>
      <c r="S2075" t="s">
        <v>26</v>
      </c>
      <c r="T2075" t="s">
        <v>27</v>
      </c>
      <c r="U2075">
        <f>IF(IFERROR(VLOOKUP(BBDD_Usiarios_Netflix[[#This Row],[Identificador Usuario]],A2076:$A$5870,1,FALSE),0)&lt;&gt;0,1,0)</f>
        <v>0</v>
      </c>
      <c r="V2075" s="6" t="str">
        <f>IF(BBDD_Usiarios_Netflix[[#This Row],[Duración Plan]]="12 Meses",LEFT(BBDD_Usiarios_Netflix[[#This Row],[Duración Plan]],2),LEFT(BBDD_Usiarios_Netflix[[#This Row],[Duración Plan]],1))</f>
        <v>1</v>
      </c>
      <c r="W20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76" spans="1:23" x14ac:dyDescent="0.25">
      <c r="A2076">
        <v>2075</v>
      </c>
      <c r="B2076" t="s">
        <v>23</v>
      </c>
      <c r="C2076">
        <v>10</v>
      </c>
      <c r="D2076" s="3">
        <v>15</v>
      </c>
      <c r="E2076" s="3">
        <v>7</v>
      </c>
      <c r="F2076">
        <v>23</v>
      </c>
      <c r="G2076" s="1">
        <f>DATEVALUE(_xlfn.CONCAT(BBDD_Usiarios_Netflix[[#This Row],[Día Suscripción]],"/",BBDD_Usiarios_Netflix[[#This Row],[Mes Suscripción]],"/",BBDD_Usiarios_Netflix[[#This Row],[Año Suscripción]]))</f>
        <v>45122</v>
      </c>
      <c r="H2076" s="1">
        <v>9</v>
      </c>
      <c r="I2076" s="1">
        <v>7</v>
      </c>
      <c r="J2076" s="1">
        <v>24</v>
      </c>
      <c r="K2076" s="1" t="str">
        <f>TEXT(BBDD_Usiarios_Netflix[[#This Row],[Fecha Suscripción]],"dddd")</f>
        <v>sábado</v>
      </c>
      <c r="L2076" s="1">
        <f>DATEVALUE(_xlfn.CONCAT(BBDD_Usiarios_Netflix[[#This Row],[Día Último Pago]],"/",BBDD_Usiarios_Netflix[[#This Row],[Mes Último Pago]],"/",BBDD_Usiarios_Netflix[[#This Row],[Año Último Pago]]))</f>
        <v>45482</v>
      </c>
      <c r="M2076" s="4">
        <f>DATEDIF(BBDD_Usiarios_Netflix[[#This Row],[Fecha Suscripción]],BBDD_Usiarios_Netflix[[#This Row],[Fecha Último Pago]],"M")+1</f>
        <v>12</v>
      </c>
      <c r="N2076" s="4">
        <f>BBDD_Usiarios_Netflix[[#This Row],[Ingresos Mensuales]]*BBDD_Usiarios_Netflix[[#This Row],[Meses contratados]]</f>
        <v>120</v>
      </c>
      <c r="O2076" t="s">
        <v>43</v>
      </c>
      <c r="P2076" t="str">
        <f>IF(BBDD_Usiarios_Netflix[[#This Row],[País]]="","Desconocido",BBDD_Usiarios_Netflix[[#This Row],[País]])</f>
        <v>Alemania</v>
      </c>
      <c r="Q2076">
        <v>47</v>
      </c>
      <c r="R2076" t="s">
        <v>30</v>
      </c>
      <c r="S2076" t="s">
        <v>31</v>
      </c>
      <c r="T2076" t="s">
        <v>35</v>
      </c>
      <c r="U2076">
        <f>IF(IFERROR(VLOOKUP(BBDD_Usiarios_Netflix[[#This Row],[Identificador Usuario]],A2077:$A$5870,1,FALSE),0)&lt;&gt;0,1,0)</f>
        <v>0</v>
      </c>
      <c r="V2076" s="6" t="str">
        <f>IF(BBDD_Usiarios_Netflix[[#This Row],[Duración Plan]]="12 Meses",LEFT(BBDD_Usiarios_Netflix[[#This Row],[Duración Plan]],2),LEFT(BBDD_Usiarios_Netflix[[#This Row],[Duración Plan]],1))</f>
        <v>6</v>
      </c>
      <c r="W20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77" spans="1:23" x14ac:dyDescent="0.25">
      <c r="A2077">
        <v>2076</v>
      </c>
      <c r="B2077" t="s">
        <v>28</v>
      </c>
      <c r="C2077">
        <v>14</v>
      </c>
      <c r="D2077" s="3">
        <v>16</v>
      </c>
      <c r="E2077" s="3">
        <v>7</v>
      </c>
      <c r="F2077">
        <v>23</v>
      </c>
      <c r="G2077" s="1">
        <f>DATEVALUE(_xlfn.CONCAT(BBDD_Usiarios_Netflix[[#This Row],[Día Suscripción]],"/",BBDD_Usiarios_Netflix[[#This Row],[Mes Suscripción]],"/",BBDD_Usiarios_Netflix[[#This Row],[Año Suscripción]]))</f>
        <v>45123</v>
      </c>
      <c r="H2077" s="1">
        <v>11</v>
      </c>
      <c r="I2077" s="1">
        <v>7</v>
      </c>
      <c r="J2077" s="1">
        <v>24</v>
      </c>
      <c r="K2077" s="1" t="str">
        <f>TEXT(BBDD_Usiarios_Netflix[[#This Row],[Fecha Suscripción]],"dddd")</f>
        <v>domingo</v>
      </c>
      <c r="L2077" s="1">
        <f>DATEVALUE(_xlfn.CONCAT(BBDD_Usiarios_Netflix[[#This Row],[Día Último Pago]],"/",BBDD_Usiarios_Netflix[[#This Row],[Mes Último Pago]],"/",BBDD_Usiarios_Netflix[[#This Row],[Año Último Pago]]))</f>
        <v>45484</v>
      </c>
      <c r="M2077" s="4">
        <f>DATEDIF(BBDD_Usiarios_Netflix[[#This Row],[Fecha Suscripción]],BBDD_Usiarios_Netflix[[#This Row],[Fecha Último Pago]],"M")+1</f>
        <v>12</v>
      </c>
      <c r="N2077" s="4">
        <f>BBDD_Usiarios_Netflix[[#This Row],[Ingresos Mensuales]]*BBDD_Usiarios_Netflix[[#This Row],[Meses contratados]]</f>
        <v>168</v>
      </c>
      <c r="O2077" t="s">
        <v>29</v>
      </c>
      <c r="P2077" t="str">
        <f>IF(BBDD_Usiarios_Netflix[[#This Row],[País]]="","Desconocido",BBDD_Usiarios_Netflix[[#This Row],[País]])</f>
        <v>EEUU</v>
      </c>
      <c r="Q2077">
        <v>46</v>
      </c>
      <c r="R2077" t="s">
        <v>30</v>
      </c>
      <c r="S2077" t="s">
        <v>36</v>
      </c>
      <c r="T2077" t="s">
        <v>41</v>
      </c>
      <c r="U2077">
        <f>IF(IFERROR(VLOOKUP(BBDD_Usiarios_Netflix[[#This Row],[Identificador Usuario]],A2078:$A$5870,1,FALSE),0)&lt;&gt;0,1,0)</f>
        <v>0</v>
      </c>
      <c r="V2077" s="6" t="str">
        <f>IF(BBDD_Usiarios_Netflix[[#This Row],[Duración Plan]]="12 Meses",LEFT(BBDD_Usiarios_Netflix[[#This Row],[Duración Plan]],2),LEFT(BBDD_Usiarios_Netflix[[#This Row],[Duración Plan]],1))</f>
        <v>12</v>
      </c>
      <c r="W20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78" spans="1:23" x14ac:dyDescent="0.25">
      <c r="A2078">
        <v>2077</v>
      </c>
      <c r="B2078" t="s">
        <v>23</v>
      </c>
      <c r="C2078">
        <v>10</v>
      </c>
      <c r="D2078" s="3">
        <v>19</v>
      </c>
      <c r="E2078" s="3">
        <v>7</v>
      </c>
      <c r="F2078">
        <v>23</v>
      </c>
      <c r="G2078" s="1">
        <f>DATEVALUE(_xlfn.CONCAT(BBDD_Usiarios_Netflix[[#This Row],[Día Suscripción]],"/",BBDD_Usiarios_Netflix[[#This Row],[Mes Suscripción]],"/",BBDD_Usiarios_Netflix[[#This Row],[Año Suscripción]]))</f>
        <v>45126</v>
      </c>
      <c r="H2078" s="1">
        <v>8</v>
      </c>
      <c r="I2078" s="1">
        <v>7</v>
      </c>
      <c r="J2078" s="1">
        <v>24</v>
      </c>
      <c r="K2078" s="1" t="str">
        <f>TEXT(BBDD_Usiarios_Netflix[[#This Row],[Fecha Suscripción]],"dddd")</f>
        <v>miércoles</v>
      </c>
      <c r="L2078" s="1">
        <f>DATEVALUE(_xlfn.CONCAT(BBDD_Usiarios_Netflix[[#This Row],[Día Último Pago]],"/",BBDD_Usiarios_Netflix[[#This Row],[Mes Último Pago]],"/",BBDD_Usiarios_Netflix[[#This Row],[Año Último Pago]]))</f>
        <v>45481</v>
      </c>
      <c r="M2078" s="4">
        <f>DATEDIF(BBDD_Usiarios_Netflix[[#This Row],[Fecha Suscripción]],BBDD_Usiarios_Netflix[[#This Row],[Fecha Último Pago]],"M")+1</f>
        <v>12</v>
      </c>
      <c r="N2078" s="4">
        <f>BBDD_Usiarios_Netflix[[#This Row],[Ingresos Mensuales]]*BBDD_Usiarios_Netflix[[#This Row],[Meses contratados]]</f>
        <v>120</v>
      </c>
      <c r="O2078" t="s">
        <v>43</v>
      </c>
      <c r="P2078" t="str">
        <f>IF(BBDD_Usiarios_Netflix[[#This Row],[País]]="","Desconocido",BBDD_Usiarios_Netflix[[#This Row],[País]])</f>
        <v>Alemania</v>
      </c>
      <c r="Q2078">
        <v>39</v>
      </c>
      <c r="R2078" t="s">
        <v>30</v>
      </c>
      <c r="S2078" t="s">
        <v>36</v>
      </c>
      <c r="T2078" t="s">
        <v>41</v>
      </c>
      <c r="U2078">
        <f>IF(IFERROR(VLOOKUP(BBDD_Usiarios_Netflix[[#This Row],[Identificador Usuario]],A2079:$A$5870,1,FALSE),0)&lt;&gt;0,1,0)</f>
        <v>0</v>
      </c>
      <c r="V2078" s="6" t="str">
        <f>IF(BBDD_Usiarios_Netflix[[#This Row],[Duración Plan]]="12 Meses",LEFT(BBDD_Usiarios_Netflix[[#This Row],[Duración Plan]],2),LEFT(BBDD_Usiarios_Netflix[[#This Row],[Duración Plan]],1))</f>
        <v>12</v>
      </c>
      <c r="W20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79" spans="1:23" x14ac:dyDescent="0.25">
      <c r="A2079">
        <v>2078</v>
      </c>
      <c r="B2079" t="s">
        <v>32</v>
      </c>
      <c r="C2079">
        <v>12</v>
      </c>
      <c r="D2079" s="3">
        <v>23</v>
      </c>
      <c r="E2079" s="3">
        <v>7</v>
      </c>
      <c r="F2079">
        <v>23</v>
      </c>
      <c r="G2079" s="1">
        <f>DATEVALUE(_xlfn.CONCAT(BBDD_Usiarios_Netflix[[#This Row],[Día Suscripción]],"/",BBDD_Usiarios_Netflix[[#This Row],[Mes Suscripción]],"/",BBDD_Usiarios_Netflix[[#This Row],[Año Suscripción]]))</f>
        <v>45130</v>
      </c>
      <c r="H2079" s="1">
        <v>10</v>
      </c>
      <c r="I2079" s="1">
        <v>7</v>
      </c>
      <c r="J2079" s="1">
        <v>24</v>
      </c>
      <c r="K2079" s="1" t="str">
        <f>TEXT(BBDD_Usiarios_Netflix[[#This Row],[Fecha Suscripción]],"dddd")</f>
        <v>domingo</v>
      </c>
      <c r="L2079" s="1">
        <f>DATEVALUE(_xlfn.CONCAT(BBDD_Usiarios_Netflix[[#This Row],[Día Último Pago]],"/",BBDD_Usiarios_Netflix[[#This Row],[Mes Último Pago]],"/",BBDD_Usiarios_Netflix[[#This Row],[Año Último Pago]]))</f>
        <v>45483</v>
      </c>
      <c r="M2079" s="4">
        <f>DATEDIF(BBDD_Usiarios_Netflix[[#This Row],[Fecha Suscripción]],BBDD_Usiarios_Netflix[[#This Row],[Fecha Último Pago]],"M")+1</f>
        <v>12</v>
      </c>
      <c r="N2079" s="4">
        <f>BBDD_Usiarios_Netflix[[#This Row],[Ingresos Mensuales]]*BBDD_Usiarios_Netflix[[#This Row],[Meses contratados]]</f>
        <v>144</v>
      </c>
      <c r="O2079" t="s">
        <v>33</v>
      </c>
      <c r="P2079" t="str">
        <f>IF(BBDD_Usiarios_Netflix[[#This Row],[País]]="","Desconocido",BBDD_Usiarios_Netflix[[#This Row],[País]])</f>
        <v>Francia</v>
      </c>
      <c r="Q2079">
        <v>34</v>
      </c>
      <c r="R2079" t="s">
        <v>25</v>
      </c>
      <c r="S2079" t="s">
        <v>36</v>
      </c>
      <c r="T2079" t="s">
        <v>27</v>
      </c>
      <c r="U2079">
        <f>IF(IFERROR(VLOOKUP(BBDD_Usiarios_Netflix[[#This Row],[Identificador Usuario]],A2080:$A$5870,1,FALSE),0)&lt;&gt;0,1,0)</f>
        <v>0</v>
      </c>
      <c r="V2079" s="6" t="str">
        <f>IF(BBDD_Usiarios_Netflix[[#This Row],[Duración Plan]]="12 Meses",LEFT(BBDD_Usiarios_Netflix[[#This Row],[Duración Plan]],2),LEFT(BBDD_Usiarios_Netflix[[#This Row],[Duración Plan]],1))</f>
        <v>1</v>
      </c>
      <c r="W20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80" spans="1:23" x14ac:dyDescent="0.25">
      <c r="A2080">
        <v>2079</v>
      </c>
      <c r="B2080" t="s">
        <v>32</v>
      </c>
      <c r="C2080">
        <v>12</v>
      </c>
      <c r="D2080" s="3">
        <v>28</v>
      </c>
      <c r="E2080" s="3">
        <v>7</v>
      </c>
      <c r="F2080">
        <v>23</v>
      </c>
      <c r="G2080" s="1">
        <f>DATEVALUE(_xlfn.CONCAT(BBDD_Usiarios_Netflix[[#This Row],[Día Suscripción]],"/",BBDD_Usiarios_Netflix[[#This Row],[Mes Suscripción]],"/",BBDD_Usiarios_Netflix[[#This Row],[Año Suscripción]]))</f>
        <v>45135</v>
      </c>
      <c r="H2080" s="1">
        <v>9</v>
      </c>
      <c r="I2080" s="1">
        <v>7</v>
      </c>
      <c r="J2080" s="1">
        <v>24</v>
      </c>
      <c r="K2080" s="1" t="str">
        <f>TEXT(BBDD_Usiarios_Netflix[[#This Row],[Fecha Suscripción]],"dddd")</f>
        <v>viernes</v>
      </c>
      <c r="L2080" s="1">
        <f>DATEVALUE(_xlfn.CONCAT(BBDD_Usiarios_Netflix[[#This Row],[Día Último Pago]],"/",BBDD_Usiarios_Netflix[[#This Row],[Mes Último Pago]],"/",BBDD_Usiarios_Netflix[[#This Row],[Año Último Pago]]))</f>
        <v>45482</v>
      </c>
      <c r="M2080" s="4">
        <f>DATEDIF(BBDD_Usiarios_Netflix[[#This Row],[Fecha Suscripción]],BBDD_Usiarios_Netflix[[#This Row],[Fecha Último Pago]],"M")+1</f>
        <v>12</v>
      </c>
      <c r="N2080" s="4">
        <f>BBDD_Usiarios_Netflix[[#This Row],[Ingresos Mensuales]]*BBDD_Usiarios_Netflix[[#This Row],[Meses contratados]]</f>
        <v>144</v>
      </c>
      <c r="O2080" t="s">
        <v>39</v>
      </c>
      <c r="P2080" t="str">
        <f>IF(BBDD_Usiarios_Netflix[[#This Row],[País]]="","Desconocido",BBDD_Usiarios_Netflix[[#This Row],[País]])</f>
        <v>Canadá</v>
      </c>
      <c r="Q2080">
        <v>31</v>
      </c>
      <c r="R2080" t="s">
        <v>30</v>
      </c>
      <c r="S2080" t="s">
        <v>34</v>
      </c>
      <c r="T2080" t="s">
        <v>38</v>
      </c>
      <c r="U2080">
        <f>IF(IFERROR(VLOOKUP(BBDD_Usiarios_Netflix[[#This Row],[Identificador Usuario]],A2081:$A$5870,1,FALSE),0)&lt;&gt;0,1,0)</f>
        <v>0</v>
      </c>
      <c r="V2080" s="6" t="str">
        <f>IF(BBDD_Usiarios_Netflix[[#This Row],[Duración Plan]]="12 Meses",LEFT(BBDD_Usiarios_Netflix[[#This Row],[Duración Plan]],2),LEFT(BBDD_Usiarios_Netflix[[#This Row],[Duración Plan]],1))</f>
        <v>3</v>
      </c>
      <c r="W20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81" spans="1:23" x14ac:dyDescent="0.25">
      <c r="A2081">
        <v>2080</v>
      </c>
      <c r="B2081" t="s">
        <v>23</v>
      </c>
      <c r="C2081">
        <v>10</v>
      </c>
      <c r="D2081" s="3">
        <v>14</v>
      </c>
      <c r="E2081" s="3">
        <v>8</v>
      </c>
      <c r="F2081">
        <v>23</v>
      </c>
      <c r="G2081" s="1">
        <f>DATEVALUE(_xlfn.CONCAT(BBDD_Usiarios_Netflix[[#This Row],[Día Suscripción]],"/",BBDD_Usiarios_Netflix[[#This Row],[Mes Suscripción]],"/",BBDD_Usiarios_Netflix[[#This Row],[Año Suscripción]]))</f>
        <v>45152</v>
      </c>
      <c r="H2081" s="1">
        <v>11</v>
      </c>
      <c r="I2081" s="1">
        <v>7</v>
      </c>
      <c r="J2081" s="1">
        <v>24</v>
      </c>
      <c r="K2081" s="1" t="str">
        <f>TEXT(BBDD_Usiarios_Netflix[[#This Row],[Fecha Suscripción]],"dddd")</f>
        <v>lunes</v>
      </c>
      <c r="L2081" s="1">
        <f>DATEVALUE(_xlfn.CONCAT(BBDD_Usiarios_Netflix[[#This Row],[Día Último Pago]],"/",BBDD_Usiarios_Netflix[[#This Row],[Mes Último Pago]],"/",BBDD_Usiarios_Netflix[[#This Row],[Año Último Pago]]))</f>
        <v>45484</v>
      </c>
      <c r="M2081" s="4">
        <f>DATEDIF(BBDD_Usiarios_Netflix[[#This Row],[Fecha Suscripción]],BBDD_Usiarios_Netflix[[#This Row],[Fecha Último Pago]],"M")+1</f>
        <v>11</v>
      </c>
      <c r="N2081" s="4">
        <f>BBDD_Usiarios_Netflix[[#This Row],[Ingresos Mensuales]]*BBDD_Usiarios_Netflix[[#This Row],[Meses contratados]]</f>
        <v>110</v>
      </c>
      <c r="O2081" t="s">
        <v>43</v>
      </c>
      <c r="P2081" t="str">
        <f>IF(BBDD_Usiarios_Netflix[[#This Row],[País]]="","Desconocido",BBDD_Usiarios_Netflix[[#This Row],[País]])</f>
        <v>Alemania</v>
      </c>
      <c r="Q2081">
        <v>46</v>
      </c>
      <c r="R2081" t="s">
        <v>30</v>
      </c>
      <c r="S2081" t="s">
        <v>36</v>
      </c>
      <c r="T2081" t="s">
        <v>27</v>
      </c>
      <c r="U2081">
        <f>IF(IFERROR(VLOOKUP(BBDD_Usiarios_Netflix[[#This Row],[Identificador Usuario]],A2082:$A$5870,1,FALSE),0)&lt;&gt;0,1,0)</f>
        <v>0</v>
      </c>
      <c r="V2081" s="6" t="str">
        <f>IF(BBDD_Usiarios_Netflix[[#This Row],[Duración Plan]]="12 Meses",LEFT(BBDD_Usiarios_Netflix[[#This Row],[Duración Plan]],2),LEFT(BBDD_Usiarios_Netflix[[#This Row],[Duración Plan]],1))</f>
        <v>1</v>
      </c>
      <c r="W20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82" spans="1:23" x14ac:dyDescent="0.25">
      <c r="A2082">
        <v>2081</v>
      </c>
      <c r="B2082" t="s">
        <v>28</v>
      </c>
      <c r="C2082">
        <v>14</v>
      </c>
      <c r="D2082" s="3">
        <v>18</v>
      </c>
      <c r="E2082" s="3">
        <v>8</v>
      </c>
      <c r="F2082">
        <v>23</v>
      </c>
      <c r="G2082" s="1">
        <f>DATEVALUE(_xlfn.CONCAT(BBDD_Usiarios_Netflix[[#This Row],[Día Suscripción]],"/",BBDD_Usiarios_Netflix[[#This Row],[Mes Suscripción]],"/",BBDD_Usiarios_Netflix[[#This Row],[Año Suscripción]]))</f>
        <v>45156</v>
      </c>
      <c r="H2082" s="1">
        <v>8</v>
      </c>
      <c r="I2082" s="1">
        <v>7</v>
      </c>
      <c r="J2082" s="1">
        <v>24</v>
      </c>
      <c r="K2082" s="1" t="str">
        <f>TEXT(BBDD_Usiarios_Netflix[[#This Row],[Fecha Suscripción]],"dddd")</f>
        <v>viernes</v>
      </c>
      <c r="L2082" s="1">
        <f>DATEVALUE(_xlfn.CONCAT(BBDD_Usiarios_Netflix[[#This Row],[Día Último Pago]],"/",BBDD_Usiarios_Netflix[[#This Row],[Mes Último Pago]],"/",BBDD_Usiarios_Netflix[[#This Row],[Año Último Pago]]))</f>
        <v>45481</v>
      </c>
      <c r="M2082" s="4">
        <f>DATEDIF(BBDD_Usiarios_Netflix[[#This Row],[Fecha Suscripción]],BBDD_Usiarios_Netflix[[#This Row],[Fecha Último Pago]],"M")+1</f>
        <v>11</v>
      </c>
      <c r="N2082" s="4">
        <f>BBDD_Usiarios_Netflix[[#This Row],[Ingresos Mensuales]]*BBDD_Usiarios_Netflix[[#This Row],[Meses contratados]]</f>
        <v>154</v>
      </c>
      <c r="O2082" t="s">
        <v>39</v>
      </c>
      <c r="P2082" t="str">
        <f>IF(BBDD_Usiarios_Netflix[[#This Row],[País]]="","Desconocido",BBDD_Usiarios_Netflix[[#This Row],[País]])</f>
        <v>Canadá</v>
      </c>
      <c r="Q2082">
        <v>30</v>
      </c>
      <c r="R2082" t="s">
        <v>25</v>
      </c>
      <c r="S2082" t="s">
        <v>34</v>
      </c>
      <c r="T2082" t="s">
        <v>38</v>
      </c>
      <c r="U2082">
        <f>IF(IFERROR(VLOOKUP(BBDD_Usiarios_Netflix[[#This Row],[Identificador Usuario]],A2083:$A$5870,1,FALSE),0)&lt;&gt;0,1,0)</f>
        <v>0</v>
      </c>
      <c r="V2082" s="6" t="str">
        <f>IF(BBDD_Usiarios_Netflix[[#This Row],[Duración Plan]]="12 Meses",LEFT(BBDD_Usiarios_Netflix[[#This Row],[Duración Plan]],2),LEFT(BBDD_Usiarios_Netflix[[#This Row],[Duración Plan]],1))</f>
        <v>3</v>
      </c>
      <c r="W20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83" spans="1:23" x14ac:dyDescent="0.25">
      <c r="A2083">
        <v>2082</v>
      </c>
      <c r="B2083" t="s">
        <v>23</v>
      </c>
      <c r="C2083">
        <v>10</v>
      </c>
      <c r="D2083" s="3">
        <v>23</v>
      </c>
      <c r="E2083" s="3">
        <v>8</v>
      </c>
      <c r="F2083">
        <v>23</v>
      </c>
      <c r="G2083" s="1">
        <f>DATEVALUE(_xlfn.CONCAT(BBDD_Usiarios_Netflix[[#This Row],[Día Suscripción]],"/",BBDD_Usiarios_Netflix[[#This Row],[Mes Suscripción]],"/",BBDD_Usiarios_Netflix[[#This Row],[Año Suscripción]]))</f>
        <v>45161</v>
      </c>
      <c r="H2083" s="1">
        <v>12</v>
      </c>
      <c r="I2083" s="1">
        <v>7</v>
      </c>
      <c r="J2083" s="1">
        <v>24</v>
      </c>
      <c r="K2083" s="1" t="str">
        <f>TEXT(BBDD_Usiarios_Netflix[[#This Row],[Fecha Suscripción]],"dddd")</f>
        <v>miércoles</v>
      </c>
      <c r="L2083" s="1">
        <f>DATEVALUE(_xlfn.CONCAT(BBDD_Usiarios_Netflix[[#This Row],[Día Último Pago]],"/",BBDD_Usiarios_Netflix[[#This Row],[Mes Último Pago]],"/",BBDD_Usiarios_Netflix[[#This Row],[Año Último Pago]]))</f>
        <v>45485</v>
      </c>
      <c r="M2083" s="4">
        <f>DATEDIF(BBDD_Usiarios_Netflix[[#This Row],[Fecha Suscripción]],BBDD_Usiarios_Netflix[[#This Row],[Fecha Último Pago]],"M")+1</f>
        <v>11</v>
      </c>
      <c r="N2083" s="4">
        <f>BBDD_Usiarios_Netflix[[#This Row],[Ingresos Mensuales]]*BBDD_Usiarios_Netflix[[#This Row],[Meses contratados]]</f>
        <v>110</v>
      </c>
      <c r="O2083" t="s">
        <v>24</v>
      </c>
      <c r="P2083" t="str">
        <f>IF(BBDD_Usiarios_Netflix[[#This Row],[País]]="","Desconocido",BBDD_Usiarios_Netflix[[#This Row],[País]])</f>
        <v>Australia</v>
      </c>
      <c r="Q2083">
        <v>29</v>
      </c>
      <c r="R2083" t="s">
        <v>25</v>
      </c>
      <c r="S2083" t="s">
        <v>31</v>
      </c>
      <c r="T2083" t="s">
        <v>35</v>
      </c>
      <c r="U2083">
        <f>IF(IFERROR(VLOOKUP(BBDD_Usiarios_Netflix[[#This Row],[Identificador Usuario]],A2084:$A$5870,1,FALSE),0)&lt;&gt;0,1,0)</f>
        <v>0</v>
      </c>
      <c r="V2083" s="6" t="str">
        <f>IF(BBDD_Usiarios_Netflix[[#This Row],[Duración Plan]]="12 Meses",LEFT(BBDD_Usiarios_Netflix[[#This Row],[Duración Plan]],2),LEFT(BBDD_Usiarios_Netflix[[#This Row],[Duración Plan]],1))</f>
        <v>6</v>
      </c>
      <c r="W20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84" spans="1:23" x14ac:dyDescent="0.25">
      <c r="A2084">
        <v>2083</v>
      </c>
      <c r="B2084" t="s">
        <v>32</v>
      </c>
      <c r="C2084">
        <v>12</v>
      </c>
      <c r="D2084" s="3">
        <v>27</v>
      </c>
      <c r="E2084" s="3">
        <v>8</v>
      </c>
      <c r="F2084">
        <v>23</v>
      </c>
      <c r="G2084" s="1">
        <f>DATEVALUE(_xlfn.CONCAT(BBDD_Usiarios_Netflix[[#This Row],[Día Suscripción]],"/",BBDD_Usiarios_Netflix[[#This Row],[Mes Suscripción]],"/",BBDD_Usiarios_Netflix[[#This Row],[Año Suscripción]]))</f>
        <v>45165</v>
      </c>
      <c r="H2084" s="1">
        <v>9</v>
      </c>
      <c r="I2084" s="1">
        <v>7</v>
      </c>
      <c r="J2084" s="1">
        <v>24</v>
      </c>
      <c r="K2084" s="1" t="str">
        <f>TEXT(BBDD_Usiarios_Netflix[[#This Row],[Fecha Suscripción]],"dddd")</f>
        <v>domingo</v>
      </c>
      <c r="L2084" s="1">
        <f>DATEVALUE(_xlfn.CONCAT(BBDD_Usiarios_Netflix[[#This Row],[Día Último Pago]],"/",BBDD_Usiarios_Netflix[[#This Row],[Mes Último Pago]],"/",BBDD_Usiarios_Netflix[[#This Row],[Año Último Pago]]))</f>
        <v>45482</v>
      </c>
      <c r="M2084" s="4">
        <f>DATEDIF(BBDD_Usiarios_Netflix[[#This Row],[Fecha Suscripción]],BBDD_Usiarios_Netflix[[#This Row],[Fecha Último Pago]],"M")+1</f>
        <v>11</v>
      </c>
      <c r="N2084" s="4">
        <f>BBDD_Usiarios_Netflix[[#This Row],[Ingresos Mensuales]]*BBDD_Usiarios_Netflix[[#This Row],[Meses contratados]]</f>
        <v>132</v>
      </c>
      <c r="O2084" t="s">
        <v>42</v>
      </c>
      <c r="P2084" t="str">
        <f>IF(BBDD_Usiarios_Netflix[[#This Row],[País]]="","Desconocido",BBDD_Usiarios_Netflix[[#This Row],[País]])</f>
        <v>Reino Unido</v>
      </c>
      <c r="Q2084">
        <v>42</v>
      </c>
      <c r="R2084" t="s">
        <v>25</v>
      </c>
      <c r="S2084" t="s">
        <v>31</v>
      </c>
      <c r="T2084" t="s">
        <v>35</v>
      </c>
      <c r="U2084">
        <f>IF(IFERROR(VLOOKUP(BBDD_Usiarios_Netflix[[#This Row],[Identificador Usuario]],A2085:$A$5870,1,FALSE),0)&lt;&gt;0,1,0)</f>
        <v>0</v>
      </c>
      <c r="V2084" s="6" t="str">
        <f>IF(BBDD_Usiarios_Netflix[[#This Row],[Duración Plan]]="12 Meses",LEFT(BBDD_Usiarios_Netflix[[#This Row],[Duración Plan]],2),LEFT(BBDD_Usiarios_Netflix[[#This Row],[Duración Plan]],1))</f>
        <v>6</v>
      </c>
      <c r="W20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85" spans="1:23" x14ac:dyDescent="0.25">
      <c r="A2085">
        <v>2084</v>
      </c>
      <c r="B2085" t="s">
        <v>28</v>
      </c>
      <c r="C2085">
        <v>14</v>
      </c>
      <c r="D2085" s="3">
        <v>1</v>
      </c>
      <c r="E2085" s="3">
        <v>9</v>
      </c>
      <c r="F2085">
        <v>23</v>
      </c>
      <c r="G2085" s="1">
        <f>DATEVALUE(_xlfn.CONCAT(BBDD_Usiarios_Netflix[[#This Row],[Día Suscripción]],"/",BBDD_Usiarios_Netflix[[#This Row],[Mes Suscripción]],"/",BBDD_Usiarios_Netflix[[#This Row],[Año Suscripción]]))</f>
        <v>45170</v>
      </c>
      <c r="H2085" s="1">
        <v>10</v>
      </c>
      <c r="I2085" s="1">
        <v>7</v>
      </c>
      <c r="J2085" s="1">
        <v>24</v>
      </c>
      <c r="K2085" s="1" t="str">
        <f>TEXT(BBDD_Usiarios_Netflix[[#This Row],[Fecha Suscripción]],"dddd")</f>
        <v>viernes</v>
      </c>
      <c r="L2085" s="1">
        <f>DATEVALUE(_xlfn.CONCAT(BBDD_Usiarios_Netflix[[#This Row],[Día Último Pago]],"/",BBDD_Usiarios_Netflix[[#This Row],[Mes Último Pago]],"/",BBDD_Usiarios_Netflix[[#This Row],[Año Último Pago]]))</f>
        <v>45483</v>
      </c>
      <c r="M2085" s="4">
        <f>DATEDIF(BBDD_Usiarios_Netflix[[#This Row],[Fecha Suscripción]],BBDD_Usiarios_Netflix[[#This Row],[Fecha Último Pago]],"M")+1</f>
        <v>11</v>
      </c>
      <c r="N2085" s="4">
        <f>BBDD_Usiarios_Netflix[[#This Row],[Ingresos Mensuales]]*BBDD_Usiarios_Netflix[[#This Row],[Meses contratados]]</f>
        <v>154</v>
      </c>
      <c r="O2085" t="s">
        <v>44</v>
      </c>
      <c r="P2085" t="str">
        <f>IF(BBDD_Usiarios_Netflix[[#This Row],[País]]="","Desconocido",BBDD_Usiarios_Netflix[[#This Row],[País]])</f>
        <v>Desconocido</v>
      </c>
      <c r="Q2085">
        <v>27</v>
      </c>
      <c r="R2085" t="s">
        <v>30</v>
      </c>
      <c r="S2085" t="s">
        <v>26</v>
      </c>
      <c r="T2085" t="s">
        <v>27</v>
      </c>
      <c r="U2085">
        <f>IF(IFERROR(VLOOKUP(BBDD_Usiarios_Netflix[[#This Row],[Identificador Usuario]],A2086:$A$5870,1,FALSE),0)&lt;&gt;0,1,0)</f>
        <v>0</v>
      </c>
      <c r="V2085" s="6" t="str">
        <f>IF(BBDD_Usiarios_Netflix[[#This Row],[Duración Plan]]="12 Meses",LEFT(BBDD_Usiarios_Netflix[[#This Row],[Duración Plan]],2),LEFT(BBDD_Usiarios_Netflix[[#This Row],[Duración Plan]],1))</f>
        <v>1</v>
      </c>
      <c r="W20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86" spans="1:23" x14ac:dyDescent="0.25">
      <c r="A2086">
        <v>2085</v>
      </c>
      <c r="B2086" t="s">
        <v>23</v>
      </c>
      <c r="C2086">
        <v>10</v>
      </c>
      <c r="D2086" s="3">
        <v>2</v>
      </c>
      <c r="E2086" s="3">
        <v>9</v>
      </c>
      <c r="F2086">
        <v>23</v>
      </c>
      <c r="G2086" s="1">
        <f>DATEVALUE(_xlfn.CONCAT(BBDD_Usiarios_Netflix[[#This Row],[Día Suscripción]],"/",BBDD_Usiarios_Netflix[[#This Row],[Mes Suscripción]],"/",BBDD_Usiarios_Netflix[[#This Row],[Año Suscripción]]))</f>
        <v>45171</v>
      </c>
      <c r="H2086" s="1">
        <v>9</v>
      </c>
      <c r="I2086" s="1">
        <v>7</v>
      </c>
      <c r="J2086" s="1">
        <v>24</v>
      </c>
      <c r="K2086" s="1" t="str">
        <f>TEXT(BBDD_Usiarios_Netflix[[#This Row],[Fecha Suscripción]],"dddd")</f>
        <v>sábado</v>
      </c>
      <c r="L2086" s="1">
        <f>DATEVALUE(_xlfn.CONCAT(BBDD_Usiarios_Netflix[[#This Row],[Día Último Pago]],"/",BBDD_Usiarios_Netflix[[#This Row],[Mes Último Pago]],"/",BBDD_Usiarios_Netflix[[#This Row],[Año Último Pago]]))</f>
        <v>45482</v>
      </c>
      <c r="M2086" s="4">
        <f>DATEDIF(BBDD_Usiarios_Netflix[[#This Row],[Fecha Suscripción]],BBDD_Usiarios_Netflix[[#This Row],[Fecha Último Pago]],"M")+1</f>
        <v>11</v>
      </c>
      <c r="N2086" s="4">
        <f>BBDD_Usiarios_Netflix[[#This Row],[Ingresos Mensuales]]*BBDD_Usiarios_Netflix[[#This Row],[Meses contratados]]</f>
        <v>110</v>
      </c>
      <c r="O2086" t="s">
        <v>24</v>
      </c>
      <c r="P2086" t="str">
        <f>IF(BBDD_Usiarios_Netflix[[#This Row],[País]]="","Desconocido",BBDD_Usiarios_Netflix[[#This Row],[País]])</f>
        <v>Australia</v>
      </c>
      <c r="Q2086">
        <v>33</v>
      </c>
      <c r="R2086" t="s">
        <v>25</v>
      </c>
      <c r="S2086" t="s">
        <v>36</v>
      </c>
      <c r="T2086" t="s">
        <v>35</v>
      </c>
      <c r="U2086">
        <f>IF(IFERROR(VLOOKUP(BBDD_Usiarios_Netflix[[#This Row],[Identificador Usuario]],A2087:$A$5870,1,FALSE),0)&lt;&gt;0,1,0)</f>
        <v>0</v>
      </c>
      <c r="V2086" s="6" t="str">
        <f>IF(BBDD_Usiarios_Netflix[[#This Row],[Duración Plan]]="12 Meses",LEFT(BBDD_Usiarios_Netflix[[#This Row],[Duración Plan]],2),LEFT(BBDD_Usiarios_Netflix[[#This Row],[Duración Plan]],1))</f>
        <v>6</v>
      </c>
      <c r="W20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87" spans="1:23" x14ac:dyDescent="0.25">
      <c r="A2087">
        <v>2086</v>
      </c>
      <c r="B2087" t="s">
        <v>28</v>
      </c>
      <c r="C2087">
        <v>14</v>
      </c>
      <c r="D2087" s="3">
        <v>4</v>
      </c>
      <c r="E2087" s="3">
        <v>9</v>
      </c>
      <c r="F2087">
        <v>23</v>
      </c>
      <c r="G2087" s="1">
        <f>DATEVALUE(_xlfn.CONCAT(BBDD_Usiarios_Netflix[[#This Row],[Día Suscripción]],"/",BBDD_Usiarios_Netflix[[#This Row],[Mes Suscripción]],"/",BBDD_Usiarios_Netflix[[#This Row],[Año Suscripción]]))</f>
        <v>45173</v>
      </c>
      <c r="H2087" s="1">
        <v>12</v>
      </c>
      <c r="I2087" s="1">
        <v>7</v>
      </c>
      <c r="J2087" s="1">
        <v>24</v>
      </c>
      <c r="K2087" s="1" t="str">
        <f>TEXT(BBDD_Usiarios_Netflix[[#This Row],[Fecha Suscripción]],"dddd")</f>
        <v>lunes</v>
      </c>
      <c r="L2087" s="1">
        <f>DATEVALUE(_xlfn.CONCAT(BBDD_Usiarios_Netflix[[#This Row],[Día Último Pago]],"/",BBDD_Usiarios_Netflix[[#This Row],[Mes Último Pago]],"/",BBDD_Usiarios_Netflix[[#This Row],[Año Último Pago]]))</f>
        <v>45485</v>
      </c>
      <c r="M2087" s="4">
        <f>DATEDIF(BBDD_Usiarios_Netflix[[#This Row],[Fecha Suscripción]],BBDD_Usiarios_Netflix[[#This Row],[Fecha Último Pago]],"M")+1</f>
        <v>11</v>
      </c>
      <c r="N2087" s="4">
        <f>BBDD_Usiarios_Netflix[[#This Row],[Ingresos Mensuales]]*BBDD_Usiarios_Netflix[[#This Row],[Meses contratados]]</f>
        <v>154</v>
      </c>
      <c r="O2087" t="s">
        <v>40</v>
      </c>
      <c r="P2087" t="str">
        <f>IF(BBDD_Usiarios_Netflix[[#This Row],[País]]="","Desconocido",BBDD_Usiarios_Netflix[[#This Row],[País]])</f>
        <v>Italia</v>
      </c>
      <c r="Q2087">
        <v>45</v>
      </c>
      <c r="R2087" t="s">
        <v>30</v>
      </c>
      <c r="S2087" t="s">
        <v>34</v>
      </c>
      <c r="T2087" t="s">
        <v>38</v>
      </c>
      <c r="U2087">
        <f>IF(IFERROR(VLOOKUP(BBDD_Usiarios_Netflix[[#This Row],[Identificador Usuario]],A2088:$A$5870,1,FALSE),0)&lt;&gt;0,1,0)</f>
        <v>0</v>
      </c>
      <c r="V2087" s="6" t="str">
        <f>IF(BBDD_Usiarios_Netflix[[#This Row],[Duración Plan]]="12 Meses",LEFT(BBDD_Usiarios_Netflix[[#This Row],[Duración Plan]],2),LEFT(BBDD_Usiarios_Netflix[[#This Row],[Duración Plan]],1))</f>
        <v>3</v>
      </c>
      <c r="W20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88" spans="1:23" x14ac:dyDescent="0.25">
      <c r="A2088">
        <v>2087</v>
      </c>
      <c r="B2088" t="s">
        <v>23</v>
      </c>
      <c r="C2088">
        <v>10</v>
      </c>
      <c r="D2088" s="3">
        <v>11</v>
      </c>
      <c r="E2088" s="3">
        <v>9</v>
      </c>
      <c r="F2088">
        <v>23</v>
      </c>
      <c r="G2088" s="1">
        <f>DATEVALUE(_xlfn.CONCAT(BBDD_Usiarios_Netflix[[#This Row],[Día Suscripción]],"/",BBDD_Usiarios_Netflix[[#This Row],[Mes Suscripción]],"/",BBDD_Usiarios_Netflix[[#This Row],[Año Suscripción]]))</f>
        <v>45180</v>
      </c>
      <c r="H2088" s="1">
        <v>9</v>
      </c>
      <c r="I2088" s="1">
        <v>7</v>
      </c>
      <c r="J2088" s="1">
        <v>24</v>
      </c>
      <c r="K2088" s="1" t="str">
        <f>TEXT(BBDD_Usiarios_Netflix[[#This Row],[Fecha Suscripción]],"dddd")</f>
        <v>lunes</v>
      </c>
      <c r="L2088" s="1">
        <f>DATEVALUE(_xlfn.CONCAT(BBDD_Usiarios_Netflix[[#This Row],[Día Último Pago]],"/",BBDD_Usiarios_Netflix[[#This Row],[Mes Último Pago]],"/",BBDD_Usiarios_Netflix[[#This Row],[Año Último Pago]]))</f>
        <v>45482</v>
      </c>
      <c r="M2088" s="4">
        <f>DATEDIF(BBDD_Usiarios_Netflix[[#This Row],[Fecha Suscripción]],BBDD_Usiarios_Netflix[[#This Row],[Fecha Último Pago]],"M")+1</f>
        <v>10</v>
      </c>
      <c r="N2088" s="4">
        <f>BBDD_Usiarios_Netflix[[#This Row],[Ingresos Mensuales]]*BBDD_Usiarios_Netflix[[#This Row],[Meses contratados]]</f>
        <v>100</v>
      </c>
      <c r="O2088" t="s">
        <v>33</v>
      </c>
      <c r="P2088" t="str">
        <f>IF(BBDD_Usiarios_Netflix[[#This Row],[País]]="","Desconocido",BBDD_Usiarios_Netflix[[#This Row],[País]])</f>
        <v>Francia</v>
      </c>
      <c r="Q2088">
        <v>50</v>
      </c>
      <c r="R2088" t="s">
        <v>25</v>
      </c>
      <c r="S2088" t="s">
        <v>31</v>
      </c>
      <c r="T2088" t="s">
        <v>35</v>
      </c>
      <c r="U2088">
        <f>IF(IFERROR(VLOOKUP(BBDD_Usiarios_Netflix[[#This Row],[Identificador Usuario]],A2089:$A$5870,1,FALSE),0)&lt;&gt;0,1,0)</f>
        <v>0</v>
      </c>
      <c r="V2088" s="6" t="str">
        <f>IF(BBDD_Usiarios_Netflix[[#This Row],[Duración Plan]]="12 Meses",LEFT(BBDD_Usiarios_Netflix[[#This Row],[Duración Plan]],2),LEFT(BBDD_Usiarios_Netflix[[#This Row],[Duración Plan]],1))</f>
        <v>6</v>
      </c>
      <c r="W20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89" spans="1:23" x14ac:dyDescent="0.25">
      <c r="A2089">
        <v>2088</v>
      </c>
      <c r="B2089" t="s">
        <v>32</v>
      </c>
      <c r="C2089">
        <v>12</v>
      </c>
      <c r="D2089" s="3">
        <v>16</v>
      </c>
      <c r="E2089" s="3">
        <v>9</v>
      </c>
      <c r="F2089">
        <v>23</v>
      </c>
      <c r="G2089" s="1">
        <f>DATEVALUE(_xlfn.CONCAT(BBDD_Usiarios_Netflix[[#This Row],[Día Suscripción]],"/",BBDD_Usiarios_Netflix[[#This Row],[Mes Suscripción]],"/",BBDD_Usiarios_Netflix[[#This Row],[Año Suscripción]]))</f>
        <v>45185</v>
      </c>
      <c r="H2089" s="1">
        <v>9</v>
      </c>
      <c r="I2089" s="1">
        <v>7</v>
      </c>
      <c r="J2089" s="1">
        <v>24</v>
      </c>
      <c r="K2089" s="1" t="str">
        <f>TEXT(BBDD_Usiarios_Netflix[[#This Row],[Fecha Suscripción]],"dddd")</f>
        <v>sábado</v>
      </c>
      <c r="L2089" s="1">
        <f>DATEVALUE(_xlfn.CONCAT(BBDD_Usiarios_Netflix[[#This Row],[Día Último Pago]],"/",BBDD_Usiarios_Netflix[[#This Row],[Mes Último Pago]],"/",BBDD_Usiarios_Netflix[[#This Row],[Año Último Pago]]))</f>
        <v>45482</v>
      </c>
      <c r="M2089" s="4">
        <f>DATEDIF(BBDD_Usiarios_Netflix[[#This Row],[Fecha Suscripción]],BBDD_Usiarios_Netflix[[#This Row],[Fecha Último Pago]],"M")+1</f>
        <v>10</v>
      </c>
      <c r="N2089" s="4">
        <f>BBDD_Usiarios_Netflix[[#This Row],[Ingresos Mensuales]]*BBDD_Usiarios_Netflix[[#This Row],[Meses contratados]]</f>
        <v>120</v>
      </c>
      <c r="O2089" t="s">
        <v>33</v>
      </c>
      <c r="P2089" t="str">
        <f>IF(BBDD_Usiarios_Netflix[[#This Row],[País]]="","Desconocido",BBDD_Usiarios_Netflix[[#This Row],[País]])</f>
        <v>Francia</v>
      </c>
      <c r="Q2089">
        <v>42</v>
      </c>
      <c r="R2089" t="s">
        <v>30</v>
      </c>
      <c r="S2089" t="s">
        <v>31</v>
      </c>
      <c r="T2089" t="s">
        <v>38</v>
      </c>
      <c r="U2089">
        <f>IF(IFERROR(VLOOKUP(BBDD_Usiarios_Netflix[[#This Row],[Identificador Usuario]],A2090:$A$5870,1,FALSE),0)&lt;&gt;0,1,0)</f>
        <v>0</v>
      </c>
      <c r="V2089" s="6" t="str">
        <f>IF(BBDD_Usiarios_Netflix[[#This Row],[Duración Plan]]="12 Meses",LEFT(BBDD_Usiarios_Netflix[[#This Row],[Duración Plan]],2),LEFT(BBDD_Usiarios_Netflix[[#This Row],[Duración Plan]],1))</f>
        <v>3</v>
      </c>
      <c r="W20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090" spans="1:23" x14ac:dyDescent="0.25">
      <c r="A2090">
        <v>2089</v>
      </c>
      <c r="B2090" t="s">
        <v>32</v>
      </c>
      <c r="C2090">
        <v>12</v>
      </c>
      <c r="D2090" s="3">
        <v>19</v>
      </c>
      <c r="E2090" s="3">
        <v>9</v>
      </c>
      <c r="F2090">
        <v>23</v>
      </c>
      <c r="G2090" s="1">
        <f>DATEVALUE(_xlfn.CONCAT(BBDD_Usiarios_Netflix[[#This Row],[Día Suscripción]],"/",BBDD_Usiarios_Netflix[[#This Row],[Mes Suscripción]],"/",BBDD_Usiarios_Netflix[[#This Row],[Año Suscripción]]))</f>
        <v>45188</v>
      </c>
      <c r="H2090" s="1">
        <v>11</v>
      </c>
      <c r="I2090" s="1">
        <v>7</v>
      </c>
      <c r="J2090" s="1">
        <v>24</v>
      </c>
      <c r="K2090" s="1" t="str">
        <f>TEXT(BBDD_Usiarios_Netflix[[#This Row],[Fecha Suscripción]],"dddd")</f>
        <v>martes</v>
      </c>
      <c r="L2090" s="1">
        <f>DATEVALUE(_xlfn.CONCAT(BBDD_Usiarios_Netflix[[#This Row],[Día Último Pago]],"/",BBDD_Usiarios_Netflix[[#This Row],[Mes Último Pago]],"/",BBDD_Usiarios_Netflix[[#This Row],[Año Último Pago]]))</f>
        <v>45484</v>
      </c>
      <c r="M2090" s="4">
        <f>DATEDIF(BBDD_Usiarios_Netflix[[#This Row],[Fecha Suscripción]],BBDD_Usiarios_Netflix[[#This Row],[Fecha Último Pago]],"M")+1</f>
        <v>10</v>
      </c>
      <c r="N2090" s="4">
        <f>BBDD_Usiarios_Netflix[[#This Row],[Ingresos Mensuales]]*BBDD_Usiarios_Netflix[[#This Row],[Meses contratados]]</f>
        <v>120</v>
      </c>
      <c r="O2090" t="s">
        <v>29</v>
      </c>
      <c r="P2090" t="str">
        <f>IF(BBDD_Usiarios_Netflix[[#This Row],[País]]="","Desconocido",BBDD_Usiarios_Netflix[[#This Row],[País]])</f>
        <v>EEUU</v>
      </c>
      <c r="Q2090">
        <v>29</v>
      </c>
      <c r="R2090" t="s">
        <v>25</v>
      </c>
      <c r="S2090" t="s">
        <v>31</v>
      </c>
      <c r="T2090" t="s">
        <v>27</v>
      </c>
      <c r="U2090">
        <f>IF(IFERROR(VLOOKUP(BBDD_Usiarios_Netflix[[#This Row],[Identificador Usuario]],A2091:$A$5870,1,FALSE),0)&lt;&gt;0,1,0)</f>
        <v>0</v>
      </c>
      <c r="V2090" s="6" t="str">
        <f>IF(BBDD_Usiarios_Netflix[[#This Row],[Duración Plan]]="12 Meses",LEFT(BBDD_Usiarios_Netflix[[#This Row],[Duración Plan]],2),LEFT(BBDD_Usiarios_Netflix[[#This Row],[Duración Plan]],1))</f>
        <v>1</v>
      </c>
      <c r="W20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91" spans="1:23" x14ac:dyDescent="0.25">
      <c r="A2091">
        <v>2090</v>
      </c>
      <c r="B2091" t="s">
        <v>23</v>
      </c>
      <c r="C2091">
        <v>10</v>
      </c>
      <c r="D2091" s="3">
        <v>20</v>
      </c>
      <c r="E2091" s="3">
        <v>9</v>
      </c>
      <c r="F2091">
        <v>23</v>
      </c>
      <c r="G2091" s="1">
        <f>DATEVALUE(_xlfn.CONCAT(BBDD_Usiarios_Netflix[[#This Row],[Día Suscripción]],"/",BBDD_Usiarios_Netflix[[#This Row],[Mes Suscripción]],"/",BBDD_Usiarios_Netflix[[#This Row],[Año Suscripción]]))</f>
        <v>45189</v>
      </c>
      <c r="H2091" s="1">
        <v>12</v>
      </c>
      <c r="I2091" s="1">
        <v>7</v>
      </c>
      <c r="J2091" s="1">
        <v>24</v>
      </c>
      <c r="K2091" s="1" t="str">
        <f>TEXT(BBDD_Usiarios_Netflix[[#This Row],[Fecha Suscripción]],"dddd")</f>
        <v>miércoles</v>
      </c>
      <c r="L2091" s="1">
        <f>DATEVALUE(_xlfn.CONCAT(BBDD_Usiarios_Netflix[[#This Row],[Día Último Pago]],"/",BBDD_Usiarios_Netflix[[#This Row],[Mes Último Pago]],"/",BBDD_Usiarios_Netflix[[#This Row],[Año Último Pago]]))</f>
        <v>45485</v>
      </c>
      <c r="M2091" s="4">
        <f>DATEDIF(BBDD_Usiarios_Netflix[[#This Row],[Fecha Suscripción]],BBDD_Usiarios_Netflix[[#This Row],[Fecha Último Pago]],"M")+1</f>
        <v>10</v>
      </c>
      <c r="N2091" s="4">
        <f>BBDD_Usiarios_Netflix[[#This Row],[Ingresos Mensuales]]*BBDD_Usiarios_Netflix[[#This Row],[Meses contratados]]</f>
        <v>100</v>
      </c>
      <c r="O2091" t="s">
        <v>42</v>
      </c>
      <c r="P2091" t="str">
        <f>IF(BBDD_Usiarios_Netflix[[#This Row],[País]]="","Desconocido",BBDD_Usiarios_Netflix[[#This Row],[País]])</f>
        <v>Reino Unido</v>
      </c>
      <c r="Q2091">
        <v>31</v>
      </c>
      <c r="R2091" t="s">
        <v>30</v>
      </c>
      <c r="S2091" t="s">
        <v>31</v>
      </c>
      <c r="T2091" t="s">
        <v>41</v>
      </c>
      <c r="U2091">
        <f>IF(IFERROR(VLOOKUP(BBDD_Usiarios_Netflix[[#This Row],[Identificador Usuario]],A2092:$A$5870,1,FALSE),0)&lt;&gt;0,1,0)</f>
        <v>0</v>
      </c>
      <c r="V2091" s="6" t="str">
        <f>IF(BBDD_Usiarios_Netflix[[#This Row],[Duración Plan]]="12 Meses",LEFT(BBDD_Usiarios_Netflix[[#This Row],[Duración Plan]],2),LEFT(BBDD_Usiarios_Netflix[[#This Row],[Duración Plan]],1))</f>
        <v>12</v>
      </c>
      <c r="W20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92" spans="1:23" x14ac:dyDescent="0.25">
      <c r="A2092">
        <v>2091</v>
      </c>
      <c r="B2092" t="s">
        <v>28</v>
      </c>
      <c r="C2092">
        <v>14</v>
      </c>
      <c r="D2092" s="3">
        <v>5</v>
      </c>
      <c r="E2092" s="3">
        <v>10</v>
      </c>
      <c r="F2092">
        <v>23</v>
      </c>
      <c r="G2092" s="1">
        <f>DATEVALUE(_xlfn.CONCAT(BBDD_Usiarios_Netflix[[#This Row],[Día Suscripción]],"/",BBDD_Usiarios_Netflix[[#This Row],[Mes Suscripción]],"/",BBDD_Usiarios_Netflix[[#This Row],[Año Suscripción]]))</f>
        <v>45204</v>
      </c>
      <c r="H2092" s="1">
        <v>9</v>
      </c>
      <c r="I2092" s="1">
        <v>7</v>
      </c>
      <c r="J2092" s="1">
        <v>24</v>
      </c>
      <c r="K2092" s="1" t="str">
        <f>TEXT(BBDD_Usiarios_Netflix[[#This Row],[Fecha Suscripción]],"dddd")</f>
        <v>jueves</v>
      </c>
      <c r="L2092" s="1">
        <f>DATEVALUE(_xlfn.CONCAT(BBDD_Usiarios_Netflix[[#This Row],[Día Último Pago]],"/",BBDD_Usiarios_Netflix[[#This Row],[Mes Último Pago]],"/",BBDD_Usiarios_Netflix[[#This Row],[Año Último Pago]]))</f>
        <v>45482</v>
      </c>
      <c r="M2092" s="4">
        <f>DATEDIF(BBDD_Usiarios_Netflix[[#This Row],[Fecha Suscripción]],BBDD_Usiarios_Netflix[[#This Row],[Fecha Último Pago]],"M")+1</f>
        <v>10</v>
      </c>
      <c r="N2092" s="4">
        <f>BBDD_Usiarios_Netflix[[#This Row],[Ingresos Mensuales]]*BBDD_Usiarios_Netflix[[#This Row],[Meses contratados]]</f>
        <v>140</v>
      </c>
      <c r="O2092" t="s">
        <v>44</v>
      </c>
      <c r="P2092" t="str">
        <f>IF(BBDD_Usiarios_Netflix[[#This Row],[País]]="","Desconocido",BBDD_Usiarios_Netflix[[#This Row],[País]])</f>
        <v>Desconocido</v>
      </c>
      <c r="Q2092">
        <v>42</v>
      </c>
      <c r="R2092" t="s">
        <v>30</v>
      </c>
      <c r="S2092" t="s">
        <v>26</v>
      </c>
      <c r="T2092" t="s">
        <v>35</v>
      </c>
      <c r="U2092">
        <f>IF(IFERROR(VLOOKUP(BBDD_Usiarios_Netflix[[#This Row],[Identificador Usuario]],A2093:$A$5870,1,FALSE),0)&lt;&gt;0,1,0)</f>
        <v>0</v>
      </c>
      <c r="V2092" s="6" t="str">
        <f>IF(BBDD_Usiarios_Netflix[[#This Row],[Duración Plan]]="12 Meses",LEFT(BBDD_Usiarios_Netflix[[#This Row],[Duración Plan]],2),LEFT(BBDD_Usiarios_Netflix[[#This Row],[Duración Plan]],1))</f>
        <v>6</v>
      </c>
      <c r="W20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93" spans="1:23" x14ac:dyDescent="0.25">
      <c r="A2093">
        <v>2092</v>
      </c>
      <c r="B2093" t="s">
        <v>23</v>
      </c>
      <c r="C2093">
        <v>10</v>
      </c>
      <c r="D2093" s="3">
        <v>7</v>
      </c>
      <c r="E2093" s="3">
        <v>10</v>
      </c>
      <c r="F2093">
        <v>23</v>
      </c>
      <c r="G2093" s="1">
        <f>DATEVALUE(_xlfn.CONCAT(BBDD_Usiarios_Netflix[[#This Row],[Día Suscripción]],"/",BBDD_Usiarios_Netflix[[#This Row],[Mes Suscripción]],"/",BBDD_Usiarios_Netflix[[#This Row],[Año Suscripción]]))</f>
        <v>45206</v>
      </c>
      <c r="H2093" s="1">
        <v>9</v>
      </c>
      <c r="I2093" s="1">
        <v>7</v>
      </c>
      <c r="J2093" s="1">
        <v>24</v>
      </c>
      <c r="K2093" s="1" t="str">
        <f>TEXT(BBDD_Usiarios_Netflix[[#This Row],[Fecha Suscripción]],"dddd")</f>
        <v>sábado</v>
      </c>
      <c r="L2093" s="1">
        <f>DATEVALUE(_xlfn.CONCAT(BBDD_Usiarios_Netflix[[#This Row],[Día Último Pago]],"/",BBDD_Usiarios_Netflix[[#This Row],[Mes Último Pago]],"/",BBDD_Usiarios_Netflix[[#This Row],[Año Último Pago]]))</f>
        <v>45482</v>
      </c>
      <c r="M2093" s="4">
        <f>DATEDIF(BBDD_Usiarios_Netflix[[#This Row],[Fecha Suscripción]],BBDD_Usiarios_Netflix[[#This Row],[Fecha Último Pago]],"M")+1</f>
        <v>10</v>
      </c>
      <c r="N2093" s="4">
        <f>BBDD_Usiarios_Netflix[[#This Row],[Ingresos Mensuales]]*BBDD_Usiarios_Netflix[[#This Row],[Meses contratados]]</f>
        <v>100</v>
      </c>
      <c r="O2093" t="s">
        <v>33</v>
      </c>
      <c r="P2093" t="str">
        <f>IF(BBDD_Usiarios_Netflix[[#This Row],[País]]="","Desconocido",BBDD_Usiarios_Netflix[[#This Row],[País]])</f>
        <v>Francia</v>
      </c>
      <c r="Q2093">
        <v>44</v>
      </c>
      <c r="R2093" t="s">
        <v>30</v>
      </c>
      <c r="S2093" t="s">
        <v>36</v>
      </c>
      <c r="T2093" t="s">
        <v>41</v>
      </c>
      <c r="U2093">
        <f>IF(IFERROR(VLOOKUP(BBDD_Usiarios_Netflix[[#This Row],[Identificador Usuario]],A2094:$A$5870,1,FALSE),0)&lt;&gt;0,1,0)</f>
        <v>0</v>
      </c>
      <c r="V2093" s="6" t="str">
        <f>IF(BBDD_Usiarios_Netflix[[#This Row],[Duración Plan]]="12 Meses",LEFT(BBDD_Usiarios_Netflix[[#This Row],[Duración Plan]],2),LEFT(BBDD_Usiarios_Netflix[[#This Row],[Duración Plan]],1))</f>
        <v>12</v>
      </c>
      <c r="W20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94" spans="1:23" x14ac:dyDescent="0.25">
      <c r="A2094">
        <v>2093</v>
      </c>
      <c r="B2094" t="s">
        <v>32</v>
      </c>
      <c r="C2094">
        <v>12</v>
      </c>
      <c r="D2094" s="3">
        <v>10</v>
      </c>
      <c r="E2094" s="3">
        <v>10</v>
      </c>
      <c r="F2094">
        <v>23</v>
      </c>
      <c r="G2094" s="1">
        <f>DATEVALUE(_xlfn.CONCAT(BBDD_Usiarios_Netflix[[#This Row],[Día Suscripción]],"/",BBDD_Usiarios_Netflix[[#This Row],[Mes Suscripción]],"/",BBDD_Usiarios_Netflix[[#This Row],[Año Suscripción]]))</f>
        <v>45209</v>
      </c>
      <c r="H2094" s="1">
        <v>11</v>
      </c>
      <c r="I2094" s="1">
        <v>7</v>
      </c>
      <c r="J2094" s="1">
        <v>24</v>
      </c>
      <c r="K2094" s="1" t="str">
        <f>TEXT(BBDD_Usiarios_Netflix[[#This Row],[Fecha Suscripción]],"dddd")</f>
        <v>martes</v>
      </c>
      <c r="L2094" s="1">
        <f>DATEVALUE(_xlfn.CONCAT(BBDD_Usiarios_Netflix[[#This Row],[Día Último Pago]],"/",BBDD_Usiarios_Netflix[[#This Row],[Mes Último Pago]],"/",BBDD_Usiarios_Netflix[[#This Row],[Año Último Pago]]))</f>
        <v>45484</v>
      </c>
      <c r="M2094" s="4">
        <f>DATEDIF(BBDD_Usiarios_Netflix[[#This Row],[Fecha Suscripción]],BBDD_Usiarios_Netflix[[#This Row],[Fecha Último Pago]],"M")+1</f>
        <v>10</v>
      </c>
      <c r="N2094" s="4">
        <f>BBDD_Usiarios_Netflix[[#This Row],[Ingresos Mensuales]]*BBDD_Usiarios_Netflix[[#This Row],[Meses contratados]]</f>
        <v>120</v>
      </c>
      <c r="O2094" t="s">
        <v>33</v>
      </c>
      <c r="P2094" t="str">
        <f>IF(BBDD_Usiarios_Netflix[[#This Row],[País]]="","Desconocido",BBDD_Usiarios_Netflix[[#This Row],[País]])</f>
        <v>Francia</v>
      </c>
      <c r="Q2094">
        <v>34</v>
      </c>
      <c r="R2094" t="s">
        <v>25</v>
      </c>
      <c r="S2094" t="s">
        <v>34</v>
      </c>
      <c r="T2094" t="s">
        <v>41</v>
      </c>
      <c r="U2094">
        <f>IF(IFERROR(VLOOKUP(BBDD_Usiarios_Netflix[[#This Row],[Identificador Usuario]],A2095:$A$5870,1,FALSE),0)&lt;&gt;0,1,0)</f>
        <v>0</v>
      </c>
      <c r="V2094" s="6" t="str">
        <f>IF(BBDD_Usiarios_Netflix[[#This Row],[Duración Plan]]="12 Meses",LEFT(BBDD_Usiarios_Netflix[[#This Row],[Duración Plan]],2),LEFT(BBDD_Usiarios_Netflix[[#This Row],[Duración Plan]],1))</f>
        <v>12</v>
      </c>
      <c r="W20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95" spans="1:23" x14ac:dyDescent="0.25">
      <c r="A2095">
        <v>2094</v>
      </c>
      <c r="B2095" t="s">
        <v>28</v>
      </c>
      <c r="C2095">
        <v>14</v>
      </c>
      <c r="D2095" s="3">
        <v>12</v>
      </c>
      <c r="E2095" s="3">
        <v>10</v>
      </c>
      <c r="F2095">
        <v>23</v>
      </c>
      <c r="G2095" s="1">
        <f>DATEVALUE(_xlfn.CONCAT(BBDD_Usiarios_Netflix[[#This Row],[Día Suscripción]],"/",BBDD_Usiarios_Netflix[[#This Row],[Mes Suscripción]],"/",BBDD_Usiarios_Netflix[[#This Row],[Año Suscripción]]))</f>
        <v>45211</v>
      </c>
      <c r="H2095" s="1">
        <v>11</v>
      </c>
      <c r="I2095" s="1">
        <v>7</v>
      </c>
      <c r="J2095" s="1">
        <v>24</v>
      </c>
      <c r="K2095" s="1" t="str">
        <f>TEXT(BBDD_Usiarios_Netflix[[#This Row],[Fecha Suscripción]],"dddd")</f>
        <v>jueves</v>
      </c>
      <c r="L2095" s="1">
        <f>DATEVALUE(_xlfn.CONCAT(BBDD_Usiarios_Netflix[[#This Row],[Día Último Pago]],"/",BBDD_Usiarios_Netflix[[#This Row],[Mes Último Pago]],"/",BBDD_Usiarios_Netflix[[#This Row],[Año Último Pago]]))</f>
        <v>45484</v>
      </c>
      <c r="M2095" s="4">
        <f>DATEDIF(BBDD_Usiarios_Netflix[[#This Row],[Fecha Suscripción]],BBDD_Usiarios_Netflix[[#This Row],[Fecha Último Pago]],"M")+1</f>
        <v>9</v>
      </c>
      <c r="N2095" s="4">
        <f>BBDD_Usiarios_Netflix[[#This Row],[Ingresos Mensuales]]*BBDD_Usiarios_Netflix[[#This Row],[Meses contratados]]</f>
        <v>126</v>
      </c>
      <c r="O2095" t="s">
        <v>43</v>
      </c>
      <c r="P2095" t="str">
        <f>IF(BBDD_Usiarios_Netflix[[#This Row],[País]]="","Desconocido",BBDD_Usiarios_Netflix[[#This Row],[País]])</f>
        <v>Alemania</v>
      </c>
      <c r="Q2095">
        <v>40</v>
      </c>
      <c r="R2095" t="s">
        <v>30</v>
      </c>
      <c r="S2095" t="s">
        <v>34</v>
      </c>
      <c r="T2095" t="s">
        <v>27</v>
      </c>
      <c r="U2095">
        <f>IF(IFERROR(VLOOKUP(BBDD_Usiarios_Netflix[[#This Row],[Identificador Usuario]],A2096:$A$5870,1,FALSE),0)&lt;&gt;0,1,0)</f>
        <v>0</v>
      </c>
      <c r="V2095" s="6" t="str">
        <f>IF(BBDD_Usiarios_Netflix[[#This Row],[Duración Plan]]="12 Meses",LEFT(BBDD_Usiarios_Netflix[[#This Row],[Duración Plan]],2),LEFT(BBDD_Usiarios_Netflix[[#This Row],[Duración Plan]],1))</f>
        <v>1</v>
      </c>
      <c r="W20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096" spans="1:23" x14ac:dyDescent="0.25">
      <c r="A2096">
        <v>2095</v>
      </c>
      <c r="B2096" t="s">
        <v>23</v>
      </c>
      <c r="C2096">
        <v>10</v>
      </c>
      <c r="D2096" s="3">
        <v>13</v>
      </c>
      <c r="E2096" s="3">
        <v>10</v>
      </c>
      <c r="F2096">
        <v>23</v>
      </c>
      <c r="G2096" s="1">
        <f>DATEVALUE(_xlfn.CONCAT(BBDD_Usiarios_Netflix[[#This Row],[Día Suscripción]],"/",BBDD_Usiarios_Netflix[[#This Row],[Mes Suscripción]],"/",BBDD_Usiarios_Netflix[[#This Row],[Año Suscripción]]))</f>
        <v>45212</v>
      </c>
      <c r="H2096" s="1">
        <v>8</v>
      </c>
      <c r="I2096" s="1">
        <v>7</v>
      </c>
      <c r="J2096" s="1">
        <v>24</v>
      </c>
      <c r="K2096" s="1" t="str">
        <f>TEXT(BBDD_Usiarios_Netflix[[#This Row],[Fecha Suscripción]],"dddd")</f>
        <v>viernes</v>
      </c>
      <c r="L2096" s="1">
        <f>DATEVALUE(_xlfn.CONCAT(BBDD_Usiarios_Netflix[[#This Row],[Día Último Pago]],"/",BBDD_Usiarios_Netflix[[#This Row],[Mes Último Pago]],"/",BBDD_Usiarios_Netflix[[#This Row],[Año Último Pago]]))</f>
        <v>45481</v>
      </c>
      <c r="M2096" s="4">
        <f>DATEDIF(BBDD_Usiarios_Netflix[[#This Row],[Fecha Suscripción]],BBDD_Usiarios_Netflix[[#This Row],[Fecha Último Pago]],"M")+1</f>
        <v>9</v>
      </c>
      <c r="N2096" s="4">
        <f>BBDD_Usiarios_Netflix[[#This Row],[Ingresos Mensuales]]*BBDD_Usiarios_Netflix[[#This Row],[Meses contratados]]</f>
        <v>90</v>
      </c>
      <c r="O2096" t="s">
        <v>44</v>
      </c>
      <c r="P2096" t="str">
        <f>IF(BBDD_Usiarios_Netflix[[#This Row],[País]]="","Desconocido",BBDD_Usiarios_Netflix[[#This Row],[País]])</f>
        <v>Desconocido</v>
      </c>
      <c r="Q2096">
        <v>38</v>
      </c>
      <c r="R2096" t="s">
        <v>25</v>
      </c>
      <c r="S2096" t="s">
        <v>34</v>
      </c>
      <c r="T2096" t="s">
        <v>35</v>
      </c>
      <c r="U2096">
        <f>IF(IFERROR(VLOOKUP(BBDD_Usiarios_Netflix[[#This Row],[Identificador Usuario]],A2097:$A$5870,1,FALSE),0)&lt;&gt;0,1,0)</f>
        <v>0</v>
      </c>
      <c r="V2096" s="6" t="str">
        <f>IF(BBDD_Usiarios_Netflix[[#This Row],[Duración Plan]]="12 Meses",LEFT(BBDD_Usiarios_Netflix[[#This Row],[Duración Plan]],2),LEFT(BBDD_Usiarios_Netflix[[#This Row],[Duración Plan]],1))</f>
        <v>6</v>
      </c>
      <c r="W20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097" spans="1:23" x14ac:dyDescent="0.25">
      <c r="A2097">
        <v>2096</v>
      </c>
      <c r="B2097" t="s">
        <v>23</v>
      </c>
      <c r="C2097">
        <v>10</v>
      </c>
      <c r="D2097" s="3">
        <v>15</v>
      </c>
      <c r="E2097" s="3">
        <v>10</v>
      </c>
      <c r="F2097">
        <v>23</v>
      </c>
      <c r="G2097" s="1">
        <f>DATEVALUE(_xlfn.CONCAT(BBDD_Usiarios_Netflix[[#This Row],[Día Suscripción]],"/",BBDD_Usiarios_Netflix[[#This Row],[Mes Suscripción]],"/",BBDD_Usiarios_Netflix[[#This Row],[Año Suscripción]]))</f>
        <v>45214</v>
      </c>
      <c r="H2097" s="1">
        <v>9</v>
      </c>
      <c r="I2097" s="1">
        <v>7</v>
      </c>
      <c r="J2097" s="1">
        <v>24</v>
      </c>
      <c r="K2097" s="1" t="str">
        <f>TEXT(BBDD_Usiarios_Netflix[[#This Row],[Fecha Suscripción]],"dddd")</f>
        <v>domingo</v>
      </c>
      <c r="L2097" s="1">
        <f>DATEVALUE(_xlfn.CONCAT(BBDD_Usiarios_Netflix[[#This Row],[Día Último Pago]],"/",BBDD_Usiarios_Netflix[[#This Row],[Mes Último Pago]],"/",BBDD_Usiarios_Netflix[[#This Row],[Año Último Pago]]))</f>
        <v>45482</v>
      </c>
      <c r="M2097" s="4">
        <f>DATEDIF(BBDD_Usiarios_Netflix[[#This Row],[Fecha Suscripción]],BBDD_Usiarios_Netflix[[#This Row],[Fecha Último Pago]],"M")+1</f>
        <v>9</v>
      </c>
      <c r="N2097" s="4">
        <f>BBDD_Usiarios_Netflix[[#This Row],[Ingresos Mensuales]]*BBDD_Usiarios_Netflix[[#This Row],[Meses contratados]]</f>
        <v>90</v>
      </c>
      <c r="O2097" t="s">
        <v>24</v>
      </c>
      <c r="P2097" t="str">
        <f>IF(BBDD_Usiarios_Netflix[[#This Row],[País]]="","Desconocido",BBDD_Usiarios_Netflix[[#This Row],[País]])</f>
        <v>Australia</v>
      </c>
      <c r="Q2097">
        <v>42</v>
      </c>
      <c r="R2097" t="s">
        <v>30</v>
      </c>
      <c r="S2097" t="s">
        <v>31</v>
      </c>
      <c r="T2097" t="s">
        <v>41</v>
      </c>
      <c r="U2097">
        <f>IF(IFERROR(VLOOKUP(BBDD_Usiarios_Netflix[[#This Row],[Identificador Usuario]],A2098:$A$5870,1,FALSE),0)&lt;&gt;0,1,0)</f>
        <v>0</v>
      </c>
      <c r="V2097" s="6" t="str">
        <f>IF(BBDD_Usiarios_Netflix[[#This Row],[Duración Plan]]="12 Meses",LEFT(BBDD_Usiarios_Netflix[[#This Row],[Duración Plan]],2),LEFT(BBDD_Usiarios_Netflix[[#This Row],[Duración Plan]],1))</f>
        <v>12</v>
      </c>
      <c r="W20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98" spans="1:23" x14ac:dyDescent="0.25">
      <c r="A2098">
        <v>2097</v>
      </c>
      <c r="B2098" t="s">
        <v>23</v>
      </c>
      <c r="C2098">
        <v>10</v>
      </c>
      <c r="D2098" s="3">
        <v>17</v>
      </c>
      <c r="E2098" s="3">
        <v>10</v>
      </c>
      <c r="F2098">
        <v>23</v>
      </c>
      <c r="G2098" s="1">
        <f>DATEVALUE(_xlfn.CONCAT(BBDD_Usiarios_Netflix[[#This Row],[Día Suscripción]],"/",BBDD_Usiarios_Netflix[[#This Row],[Mes Suscripción]],"/",BBDD_Usiarios_Netflix[[#This Row],[Año Suscripción]]))</f>
        <v>45216</v>
      </c>
      <c r="H2098" s="1">
        <v>11</v>
      </c>
      <c r="I2098" s="1">
        <v>7</v>
      </c>
      <c r="J2098" s="1">
        <v>24</v>
      </c>
      <c r="K2098" s="1" t="str">
        <f>TEXT(BBDD_Usiarios_Netflix[[#This Row],[Fecha Suscripción]],"dddd")</f>
        <v>martes</v>
      </c>
      <c r="L2098" s="1">
        <f>DATEVALUE(_xlfn.CONCAT(BBDD_Usiarios_Netflix[[#This Row],[Día Último Pago]],"/",BBDD_Usiarios_Netflix[[#This Row],[Mes Último Pago]],"/",BBDD_Usiarios_Netflix[[#This Row],[Año Último Pago]]))</f>
        <v>45484</v>
      </c>
      <c r="M2098" s="4">
        <f>DATEDIF(BBDD_Usiarios_Netflix[[#This Row],[Fecha Suscripción]],BBDD_Usiarios_Netflix[[#This Row],[Fecha Último Pago]],"M")+1</f>
        <v>9</v>
      </c>
      <c r="N2098" s="4">
        <f>BBDD_Usiarios_Netflix[[#This Row],[Ingresos Mensuales]]*BBDD_Usiarios_Netflix[[#This Row],[Meses contratados]]</f>
        <v>90</v>
      </c>
      <c r="O2098" t="s">
        <v>33</v>
      </c>
      <c r="P2098" t="str">
        <f>IF(BBDD_Usiarios_Netflix[[#This Row],[País]]="","Desconocido",BBDD_Usiarios_Netflix[[#This Row],[País]])</f>
        <v>Francia</v>
      </c>
      <c r="Q2098">
        <v>47</v>
      </c>
      <c r="R2098" t="s">
        <v>25</v>
      </c>
      <c r="S2098" t="s">
        <v>31</v>
      </c>
      <c r="T2098" t="s">
        <v>41</v>
      </c>
      <c r="U2098">
        <f>IF(IFERROR(VLOOKUP(BBDD_Usiarios_Netflix[[#This Row],[Identificador Usuario]],A2099:$A$5870,1,FALSE),0)&lt;&gt;0,1,0)</f>
        <v>0</v>
      </c>
      <c r="V2098" s="6" t="str">
        <f>IF(BBDD_Usiarios_Netflix[[#This Row],[Duración Plan]]="12 Meses",LEFT(BBDD_Usiarios_Netflix[[#This Row],[Duración Plan]],2),LEFT(BBDD_Usiarios_Netflix[[#This Row],[Duración Plan]],1))</f>
        <v>12</v>
      </c>
      <c r="W20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099" spans="1:23" x14ac:dyDescent="0.25">
      <c r="A2099">
        <v>2098</v>
      </c>
      <c r="B2099" t="s">
        <v>32</v>
      </c>
      <c r="C2099">
        <v>12</v>
      </c>
      <c r="D2099" s="3">
        <v>18</v>
      </c>
      <c r="E2099" s="3">
        <v>10</v>
      </c>
      <c r="F2099">
        <v>23</v>
      </c>
      <c r="G2099" s="1">
        <f>DATEVALUE(_xlfn.CONCAT(BBDD_Usiarios_Netflix[[#This Row],[Día Suscripción]],"/",BBDD_Usiarios_Netflix[[#This Row],[Mes Suscripción]],"/",BBDD_Usiarios_Netflix[[#This Row],[Año Suscripción]]))</f>
        <v>45217</v>
      </c>
      <c r="H2099" s="1">
        <v>10</v>
      </c>
      <c r="I2099" s="1">
        <v>7</v>
      </c>
      <c r="J2099" s="1">
        <v>24</v>
      </c>
      <c r="K2099" s="1" t="str">
        <f>TEXT(BBDD_Usiarios_Netflix[[#This Row],[Fecha Suscripción]],"dddd")</f>
        <v>miércoles</v>
      </c>
      <c r="L2099" s="1">
        <f>DATEVALUE(_xlfn.CONCAT(BBDD_Usiarios_Netflix[[#This Row],[Día Último Pago]],"/",BBDD_Usiarios_Netflix[[#This Row],[Mes Último Pago]],"/",BBDD_Usiarios_Netflix[[#This Row],[Año Último Pago]]))</f>
        <v>45483</v>
      </c>
      <c r="M2099" s="4">
        <f>DATEDIF(BBDD_Usiarios_Netflix[[#This Row],[Fecha Suscripción]],BBDD_Usiarios_Netflix[[#This Row],[Fecha Último Pago]],"M")+1</f>
        <v>9</v>
      </c>
      <c r="N2099" s="4">
        <f>BBDD_Usiarios_Netflix[[#This Row],[Ingresos Mensuales]]*BBDD_Usiarios_Netflix[[#This Row],[Meses contratados]]</f>
        <v>108</v>
      </c>
      <c r="O2099" t="s">
        <v>42</v>
      </c>
      <c r="P2099" t="str">
        <f>IF(BBDD_Usiarios_Netflix[[#This Row],[País]]="","Desconocido",BBDD_Usiarios_Netflix[[#This Row],[País]])</f>
        <v>Reino Unido</v>
      </c>
      <c r="Q2099">
        <v>29</v>
      </c>
      <c r="R2099" t="s">
        <v>30</v>
      </c>
      <c r="S2099" t="s">
        <v>31</v>
      </c>
      <c r="T2099" t="s">
        <v>27</v>
      </c>
      <c r="U2099">
        <f>IF(IFERROR(VLOOKUP(BBDD_Usiarios_Netflix[[#This Row],[Identificador Usuario]],A2100:$A$5870,1,FALSE),0)&lt;&gt;0,1,0)</f>
        <v>0</v>
      </c>
      <c r="V2099" s="6" t="str">
        <f>IF(BBDD_Usiarios_Netflix[[#This Row],[Duración Plan]]="12 Meses",LEFT(BBDD_Usiarios_Netflix[[#This Row],[Duración Plan]],2),LEFT(BBDD_Usiarios_Netflix[[#This Row],[Duración Plan]],1))</f>
        <v>1</v>
      </c>
      <c r="W20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00" spans="1:23" x14ac:dyDescent="0.25">
      <c r="A2100">
        <v>2099</v>
      </c>
      <c r="B2100" t="s">
        <v>28</v>
      </c>
      <c r="C2100">
        <v>14</v>
      </c>
      <c r="D2100" s="3">
        <v>20</v>
      </c>
      <c r="E2100" s="3">
        <v>10</v>
      </c>
      <c r="F2100">
        <v>23</v>
      </c>
      <c r="G2100" s="1">
        <f>DATEVALUE(_xlfn.CONCAT(BBDD_Usiarios_Netflix[[#This Row],[Día Suscripción]],"/",BBDD_Usiarios_Netflix[[#This Row],[Mes Suscripción]],"/",BBDD_Usiarios_Netflix[[#This Row],[Año Suscripción]]))</f>
        <v>45219</v>
      </c>
      <c r="H2100" s="1">
        <v>8</v>
      </c>
      <c r="I2100" s="1">
        <v>7</v>
      </c>
      <c r="J2100" s="1">
        <v>24</v>
      </c>
      <c r="K2100" s="1" t="str">
        <f>TEXT(BBDD_Usiarios_Netflix[[#This Row],[Fecha Suscripción]],"dddd")</f>
        <v>viernes</v>
      </c>
      <c r="L2100" s="1">
        <f>DATEVALUE(_xlfn.CONCAT(BBDD_Usiarios_Netflix[[#This Row],[Día Último Pago]],"/",BBDD_Usiarios_Netflix[[#This Row],[Mes Último Pago]],"/",BBDD_Usiarios_Netflix[[#This Row],[Año Último Pago]]))</f>
        <v>45481</v>
      </c>
      <c r="M2100" s="4">
        <f>DATEDIF(BBDD_Usiarios_Netflix[[#This Row],[Fecha Suscripción]],BBDD_Usiarios_Netflix[[#This Row],[Fecha Último Pago]],"M")+1</f>
        <v>9</v>
      </c>
      <c r="N2100" s="4">
        <f>BBDD_Usiarios_Netflix[[#This Row],[Ingresos Mensuales]]*BBDD_Usiarios_Netflix[[#This Row],[Meses contratados]]</f>
        <v>126</v>
      </c>
      <c r="O2100" t="s">
        <v>39</v>
      </c>
      <c r="P2100" t="str">
        <f>IF(BBDD_Usiarios_Netflix[[#This Row],[País]]="","Desconocido",BBDD_Usiarios_Netflix[[#This Row],[País]])</f>
        <v>Canadá</v>
      </c>
      <c r="Q2100">
        <v>29</v>
      </c>
      <c r="R2100" t="s">
        <v>25</v>
      </c>
      <c r="S2100" t="s">
        <v>36</v>
      </c>
      <c r="T2100" t="s">
        <v>27</v>
      </c>
      <c r="U2100">
        <f>IF(IFERROR(VLOOKUP(BBDD_Usiarios_Netflix[[#This Row],[Identificador Usuario]],A2101:$A$5870,1,FALSE),0)&lt;&gt;0,1,0)</f>
        <v>0</v>
      </c>
      <c r="V2100" s="6" t="str">
        <f>IF(BBDD_Usiarios_Netflix[[#This Row],[Duración Plan]]="12 Meses",LEFT(BBDD_Usiarios_Netflix[[#This Row],[Duración Plan]],2),LEFT(BBDD_Usiarios_Netflix[[#This Row],[Duración Plan]],1))</f>
        <v>1</v>
      </c>
      <c r="W21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01" spans="1:23" x14ac:dyDescent="0.25">
      <c r="A2101">
        <v>2100</v>
      </c>
      <c r="B2101" t="s">
        <v>23</v>
      </c>
      <c r="C2101">
        <v>10</v>
      </c>
      <c r="D2101" s="3">
        <v>22</v>
      </c>
      <c r="E2101" s="3">
        <v>10</v>
      </c>
      <c r="F2101">
        <v>23</v>
      </c>
      <c r="G2101" s="1">
        <f>DATEVALUE(_xlfn.CONCAT(BBDD_Usiarios_Netflix[[#This Row],[Día Suscripción]],"/",BBDD_Usiarios_Netflix[[#This Row],[Mes Suscripción]],"/",BBDD_Usiarios_Netflix[[#This Row],[Año Suscripción]]))</f>
        <v>45221</v>
      </c>
      <c r="H2101" s="1">
        <v>10</v>
      </c>
      <c r="I2101" s="1">
        <v>7</v>
      </c>
      <c r="J2101" s="1">
        <v>24</v>
      </c>
      <c r="K2101" s="1" t="str">
        <f>TEXT(BBDD_Usiarios_Netflix[[#This Row],[Fecha Suscripción]],"dddd")</f>
        <v>domingo</v>
      </c>
      <c r="L2101" s="1">
        <f>DATEVALUE(_xlfn.CONCAT(BBDD_Usiarios_Netflix[[#This Row],[Día Último Pago]],"/",BBDD_Usiarios_Netflix[[#This Row],[Mes Último Pago]],"/",BBDD_Usiarios_Netflix[[#This Row],[Año Último Pago]]))</f>
        <v>45483</v>
      </c>
      <c r="M2101" s="4">
        <f>DATEDIF(BBDD_Usiarios_Netflix[[#This Row],[Fecha Suscripción]],BBDD_Usiarios_Netflix[[#This Row],[Fecha Último Pago]],"M")+1</f>
        <v>9</v>
      </c>
      <c r="N2101" s="4">
        <f>BBDD_Usiarios_Netflix[[#This Row],[Ingresos Mensuales]]*BBDD_Usiarios_Netflix[[#This Row],[Meses contratados]]</f>
        <v>90</v>
      </c>
      <c r="O2101" t="s">
        <v>24</v>
      </c>
      <c r="P2101" t="str">
        <f>IF(BBDD_Usiarios_Netflix[[#This Row],[País]]="","Desconocido",BBDD_Usiarios_Netflix[[#This Row],[País]])</f>
        <v>Australia</v>
      </c>
      <c r="Q2101">
        <v>44</v>
      </c>
      <c r="R2101" t="s">
        <v>30</v>
      </c>
      <c r="S2101" t="s">
        <v>34</v>
      </c>
      <c r="T2101" t="s">
        <v>41</v>
      </c>
      <c r="U2101">
        <f>IF(IFERROR(VLOOKUP(BBDD_Usiarios_Netflix[[#This Row],[Identificador Usuario]],A2102:$A$5870,1,FALSE),0)&lt;&gt;0,1,0)</f>
        <v>0</v>
      </c>
      <c r="V2101" s="6" t="str">
        <f>IF(BBDD_Usiarios_Netflix[[#This Row],[Duración Plan]]="12 Meses",LEFT(BBDD_Usiarios_Netflix[[#This Row],[Duración Plan]],2),LEFT(BBDD_Usiarios_Netflix[[#This Row],[Duración Plan]],1))</f>
        <v>12</v>
      </c>
      <c r="W21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02" spans="1:23" x14ac:dyDescent="0.25">
      <c r="A2102">
        <v>2101</v>
      </c>
      <c r="B2102" t="s">
        <v>23</v>
      </c>
      <c r="C2102">
        <v>10</v>
      </c>
      <c r="D2102" s="3">
        <v>25</v>
      </c>
      <c r="E2102" s="3">
        <v>10</v>
      </c>
      <c r="F2102">
        <v>23</v>
      </c>
      <c r="G2102" s="1">
        <f>DATEVALUE(_xlfn.CONCAT(BBDD_Usiarios_Netflix[[#This Row],[Día Suscripción]],"/",BBDD_Usiarios_Netflix[[#This Row],[Mes Suscripción]],"/",BBDD_Usiarios_Netflix[[#This Row],[Año Suscripción]]))</f>
        <v>45224</v>
      </c>
      <c r="H2102" s="1">
        <v>11</v>
      </c>
      <c r="I2102" s="1">
        <v>7</v>
      </c>
      <c r="J2102" s="1">
        <v>24</v>
      </c>
      <c r="K2102" s="1" t="str">
        <f>TEXT(BBDD_Usiarios_Netflix[[#This Row],[Fecha Suscripción]],"dddd")</f>
        <v>miércoles</v>
      </c>
      <c r="L2102" s="1">
        <f>DATEVALUE(_xlfn.CONCAT(BBDD_Usiarios_Netflix[[#This Row],[Día Último Pago]],"/",BBDD_Usiarios_Netflix[[#This Row],[Mes Último Pago]],"/",BBDD_Usiarios_Netflix[[#This Row],[Año Último Pago]]))</f>
        <v>45484</v>
      </c>
      <c r="M2102" s="4">
        <f>DATEDIF(BBDD_Usiarios_Netflix[[#This Row],[Fecha Suscripción]],BBDD_Usiarios_Netflix[[#This Row],[Fecha Último Pago]],"M")+1</f>
        <v>9</v>
      </c>
      <c r="N2102" s="4">
        <f>BBDD_Usiarios_Netflix[[#This Row],[Ingresos Mensuales]]*BBDD_Usiarios_Netflix[[#This Row],[Meses contratados]]</f>
        <v>90</v>
      </c>
      <c r="O2102" t="s">
        <v>45</v>
      </c>
      <c r="P2102" t="str">
        <f>IF(BBDD_Usiarios_Netflix[[#This Row],[País]]="","Desconocido",BBDD_Usiarios_Netflix[[#This Row],[País]])</f>
        <v>España</v>
      </c>
      <c r="Q2102">
        <v>31</v>
      </c>
      <c r="R2102" t="s">
        <v>25</v>
      </c>
      <c r="S2102" t="s">
        <v>31</v>
      </c>
      <c r="T2102" t="s">
        <v>27</v>
      </c>
      <c r="U2102">
        <f>IF(IFERROR(VLOOKUP(BBDD_Usiarios_Netflix[[#This Row],[Identificador Usuario]],A2103:$A$5870,1,FALSE),0)&lt;&gt;0,1,0)</f>
        <v>0</v>
      </c>
      <c r="V2102" s="6" t="str">
        <f>IF(BBDD_Usiarios_Netflix[[#This Row],[Duración Plan]]="12 Meses",LEFT(BBDD_Usiarios_Netflix[[#This Row],[Duración Plan]],2),LEFT(BBDD_Usiarios_Netflix[[#This Row],[Duración Plan]],1))</f>
        <v>1</v>
      </c>
      <c r="W21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03" spans="1:23" x14ac:dyDescent="0.25">
      <c r="A2103">
        <v>2102</v>
      </c>
      <c r="B2103" t="s">
        <v>28</v>
      </c>
      <c r="C2103">
        <v>14</v>
      </c>
      <c r="D2103" s="3">
        <v>27</v>
      </c>
      <c r="E2103" s="3">
        <v>10</v>
      </c>
      <c r="F2103">
        <v>23</v>
      </c>
      <c r="G2103" s="1">
        <f>DATEVALUE(_xlfn.CONCAT(BBDD_Usiarios_Netflix[[#This Row],[Día Suscripción]],"/",BBDD_Usiarios_Netflix[[#This Row],[Mes Suscripción]],"/",BBDD_Usiarios_Netflix[[#This Row],[Año Suscripción]]))</f>
        <v>45226</v>
      </c>
      <c r="H2103" s="1">
        <v>9</v>
      </c>
      <c r="I2103" s="1">
        <v>7</v>
      </c>
      <c r="J2103" s="1">
        <v>24</v>
      </c>
      <c r="K2103" s="1" t="str">
        <f>TEXT(BBDD_Usiarios_Netflix[[#This Row],[Fecha Suscripción]],"dddd")</f>
        <v>viernes</v>
      </c>
      <c r="L2103" s="1">
        <f>DATEVALUE(_xlfn.CONCAT(BBDD_Usiarios_Netflix[[#This Row],[Día Último Pago]],"/",BBDD_Usiarios_Netflix[[#This Row],[Mes Último Pago]],"/",BBDD_Usiarios_Netflix[[#This Row],[Año Último Pago]]))</f>
        <v>45482</v>
      </c>
      <c r="M2103" s="4">
        <f>DATEDIF(BBDD_Usiarios_Netflix[[#This Row],[Fecha Suscripción]],BBDD_Usiarios_Netflix[[#This Row],[Fecha Último Pago]],"M")+1</f>
        <v>9</v>
      </c>
      <c r="N2103" s="4">
        <f>BBDD_Usiarios_Netflix[[#This Row],[Ingresos Mensuales]]*BBDD_Usiarios_Netflix[[#This Row],[Meses contratados]]</f>
        <v>126</v>
      </c>
      <c r="O2103" t="s">
        <v>24</v>
      </c>
      <c r="P2103" t="str">
        <f>IF(BBDD_Usiarios_Netflix[[#This Row],[País]]="","Desconocido",BBDD_Usiarios_Netflix[[#This Row],[País]])</f>
        <v>Australia</v>
      </c>
      <c r="Q2103">
        <v>48</v>
      </c>
      <c r="R2103" t="s">
        <v>30</v>
      </c>
      <c r="S2103" t="s">
        <v>26</v>
      </c>
      <c r="T2103" t="s">
        <v>38</v>
      </c>
      <c r="U2103">
        <f>IF(IFERROR(VLOOKUP(BBDD_Usiarios_Netflix[[#This Row],[Identificador Usuario]],A2104:$A$5870,1,FALSE),0)&lt;&gt;0,1,0)</f>
        <v>0</v>
      </c>
      <c r="V2103" s="6" t="str">
        <f>IF(BBDD_Usiarios_Netflix[[#This Row],[Duración Plan]]="12 Meses",LEFT(BBDD_Usiarios_Netflix[[#This Row],[Duración Plan]],2),LEFT(BBDD_Usiarios_Netflix[[#This Row],[Duración Plan]],1))</f>
        <v>3</v>
      </c>
      <c r="W21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04" spans="1:23" x14ac:dyDescent="0.25">
      <c r="A2104">
        <v>2103</v>
      </c>
      <c r="B2104" t="s">
        <v>32</v>
      </c>
      <c r="C2104">
        <v>12</v>
      </c>
      <c r="D2104" s="3">
        <v>1</v>
      </c>
      <c r="E2104" s="3">
        <v>11</v>
      </c>
      <c r="F2104">
        <v>23</v>
      </c>
      <c r="G2104" s="1">
        <f>DATEVALUE(_xlfn.CONCAT(BBDD_Usiarios_Netflix[[#This Row],[Día Suscripción]],"/",BBDD_Usiarios_Netflix[[#This Row],[Mes Suscripción]],"/",BBDD_Usiarios_Netflix[[#This Row],[Año Suscripción]]))</f>
        <v>45231</v>
      </c>
      <c r="H2104" s="1">
        <v>7</v>
      </c>
      <c r="I2104" s="1">
        <v>7</v>
      </c>
      <c r="J2104" s="1">
        <v>24</v>
      </c>
      <c r="K2104" s="1" t="str">
        <f>TEXT(BBDD_Usiarios_Netflix[[#This Row],[Fecha Suscripción]],"dddd")</f>
        <v>miércoles</v>
      </c>
      <c r="L2104" s="1">
        <f>DATEVALUE(_xlfn.CONCAT(BBDD_Usiarios_Netflix[[#This Row],[Día Último Pago]],"/",BBDD_Usiarios_Netflix[[#This Row],[Mes Último Pago]],"/",BBDD_Usiarios_Netflix[[#This Row],[Año Último Pago]]))</f>
        <v>45480</v>
      </c>
      <c r="M2104" s="4">
        <f>DATEDIF(BBDD_Usiarios_Netflix[[#This Row],[Fecha Suscripción]],BBDD_Usiarios_Netflix[[#This Row],[Fecha Último Pago]],"M")+1</f>
        <v>9</v>
      </c>
      <c r="N2104" s="4">
        <f>BBDD_Usiarios_Netflix[[#This Row],[Ingresos Mensuales]]*BBDD_Usiarios_Netflix[[#This Row],[Meses contratados]]</f>
        <v>108</v>
      </c>
      <c r="O2104" t="s">
        <v>46</v>
      </c>
      <c r="P2104" t="str">
        <f>IF(BBDD_Usiarios_Netflix[[#This Row],[País]]="","Desconocido",BBDD_Usiarios_Netflix[[#This Row],[País]])</f>
        <v>Méjico</v>
      </c>
      <c r="Q2104">
        <v>32</v>
      </c>
      <c r="R2104" t="s">
        <v>30</v>
      </c>
      <c r="S2104" t="s">
        <v>36</v>
      </c>
      <c r="T2104" t="s">
        <v>38</v>
      </c>
      <c r="U2104">
        <f>IF(IFERROR(VLOOKUP(BBDD_Usiarios_Netflix[[#This Row],[Identificador Usuario]],A2105:$A$5870,1,FALSE),0)&lt;&gt;0,1,0)</f>
        <v>0</v>
      </c>
      <c r="V2104" s="6" t="str">
        <f>IF(BBDD_Usiarios_Netflix[[#This Row],[Duración Plan]]="12 Meses",LEFT(BBDD_Usiarios_Netflix[[#This Row],[Duración Plan]],2),LEFT(BBDD_Usiarios_Netflix[[#This Row],[Duración Plan]],1))</f>
        <v>3</v>
      </c>
      <c r="W21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05" spans="1:23" x14ac:dyDescent="0.25">
      <c r="A2105">
        <v>2104</v>
      </c>
      <c r="B2105" t="s">
        <v>32</v>
      </c>
      <c r="C2105">
        <v>12</v>
      </c>
      <c r="D2105" s="3">
        <v>2</v>
      </c>
      <c r="E2105" s="3">
        <v>11</v>
      </c>
      <c r="F2105">
        <v>23</v>
      </c>
      <c r="G2105" s="1">
        <f>DATEVALUE(_xlfn.CONCAT(BBDD_Usiarios_Netflix[[#This Row],[Día Suscripción]],"/",BBDD_Usiarios_Netflix[[#This Row],[Mes Suscripción]],"/",BBDD_Usiarios_Netflix[[#This Row],[Año Suscripción]]))</f>
        <v>45232</v>
      </c>
      <c r="H2105" s="1">
        <v>11</v>
      </c>
      <c r="I2105" s="1">
        <v>7</v>
      </c>
      <c r="J2105" s="1">
        <v>24</v>
      </c>
      <c r="K2105" s="1" t="str">
        <f>TEXT(BBDD_Usiarios_Netflix[[#This Row],[Fecha Suscripción]],"dddd")</f>
        <v>jueves</v>
      </c>
      <c r="L2105" s="1">
        <f>DATEVALUE(_xlfn.CONCAT(BBDD_Usiarios_Netflix[[#This Row],[Día Último Pago]],"/",BBDD_Usiarios_Netflix[[#This Row],[Mes Último Pago]],"/",BBDD_Usiarios_Netflix[[#This Row],[Año Último Pago]]))</f>
        <v>45484</v>
      </c>
      <c r="M2105" s="4">
        <f>DATEDIF(BBDD_Usiarios_Netflix[[#This Row],[Fecha Suscripción]],BBDD_Usiarios_Netflix[[#This Row],[Fecha Último Pago]],"M")+1</f>
        <v>9</v>
      </c>
      <c r="N2105" s="4">
        <f>BBDD_Usiarios_Netflix[[#This Row],[Ingresos Mensuales]]*BBDD_Usiarios_Netflix[[#This Row],[Meses contratados]]</f>
        <v>108</v>
      </c>
      <c r="O2105" t="s">
        <v>24</v>
      </c>
      <c r="P2105" t="str">
        <f>IF(BBDD_Usiarios_Netflix[[#This Row],[País]]="","Desconocido",BBDD_Usiarios_Netflix[[#This Row],[País]])</f>
        <v>Australia</v>
      </c>
      <c r="Q2105">
        <v>28</v>
      </c>
      <c r="R2105" t="s">
        <v>30</v>
      </c>
      <c r="S2105" t="s">
        <v>31</v>
      </c>
      <c r="T2105" t="s">
        <v>27</v>
      </c>
      <c r="U2105">
        <f>IF(IFERROR(VLOOKUP(BBDD_Usiarios_Netflix[[#This Row],[Identificador Usuario]],A2106:$A$5870,1,FALSE),0)&lt;&gt;0,1,0)</f>
        <v>0</v>
      </c>
      <c r="V2105" s="6" t="str">
        <f>IF(BBDD_Usiarios_Netflix[[#This Row],[Duración Plan]]="12 Meses",LEFT(BBDD_Usiarios_Netflix[[#This Row],[Duración Plan]],2),LEFT(BBDD_Usiarios_Netflix[[#This Row],[Duración Plan]],1))</f>
        <v>1</v>
      </c>
      <c r="W21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06" spans="1:23" x14ac:dyDescent="0.25">
      <c r="A2106">
        <v>2105</v>
      </c>
      <c r="B2106" t="s">
        <v>23</v>
      </c>
      <c r="C2106">
        <v>10</v>
      </c>
      <c r="D2106" s="3">
        <v>4</v>
      </c>
      <c r="E2106" s="3">
        <v>11</v>
      </c>
      <c r="F2106">
        <v>23</v>
      </c>
      <c r="G2106" s="1">
        <f>DATEVALUE(_xlfn.CONCAT(BBDD_Usiarios_Netflix[[#This Row],[Día Suscripción]],"/",BBDD_Usiarios_Netflix[[#This Row],[Mes Suscripción]],"/",BBDD_Usiarios_Netflix[[#This Row],[Año Suscripción]]))</f>
        <v>45234</v>
      </c>
      <c r="H2106" s="1">
        <v>10</v>
      </c>
      <c r="I2106" s="1">
        <v>7</v>
      </c>
      <c r="J2106" s="1">
        <v>24</v>
      </c>
      <c r="K2106" s="1" t="str">
        <f>TEXT(BBDD_Usiarios_Netflix[[#This Row],[Fecha Suscripción]],"dddd")</f>
        <v>sábado</v>
      </c>
      <c r="L2106" s="1">
        <f>DATEVALUE(_xlfn.CONCAT(BBDD_Usiarios_Netflix[[#This Row],[Día Último Pago]],"/",BBDD_Usiarios_Netflix[[#This Row],[Mes Último Pago]],"/",BBDD_Usiarios_Netflix[[#This Row],[Año Último Pago]]))</f>
        <v>45483</v>
      </c>
      <c r="M2106" s="4">
        <f>DATEDIF(BBDD_Usiarios_Netflix[[#This Row],[Fecha Suscripción]],BBDD_Usiarios_Netflix[[#This Row],[Fecha Último Pago]],"M")+1</f>
        <v>9</v>
      </c>
      <c r="N2106" s="4">
        <f>BBDD_Usiarios_Netflix[[#This Row],[Ingresos Mensuales]]*BBDD_Usiarios_Netflix[[#This Row],[Meses contratados]]</f>
        <v>90</v>
      </c>
      <c r="O2106" t="s">
        <v>24</v>
      </c>
      <c r="P2106" t="str">
        <f>IF(BBDD_Usiarios_Netflix[[#This Row],[País]]="","Desconocido",BBDD_Usiarios_Netflix[[#This Row],[País]])</f>
        <v>Australia</v>
      </c>
      <c r="Q2106">
        <v>36</v>
      </c>
      <c r="R2106" t="s">
        <v>30</v>
      </c>
      <c r="S2106" t="s">
        <v>26</v>
      </c>
      <c r="T2106" t="s">
        <v>27</v>
      </c>
      <c r="U2106">
        <f>IF(IFERROR(VLOOKUP(BBDD_Usiarios_Netflix[[#This Row],[Identificador Usuario]],A2107:$A$5870,1,FALSE),0)&lt;&gt;0,1,0)</f>
        <v>0</v>
      </c>
      <c r="V2106" s="6" t="str">
        <f>IF(BBDD_Usiarios_Netflix[[#This Row],[Duración Plan]]="12 Meses",LEFT(BBDD_Usiarios_Netflix[[#This Row],[Duración Plan]],2),LEFT(BBDD_Usiarios_Netflix[[#This Row],[Duración Plan]],1))</f>
        <v>1</v>
      </c>
      <c r="W21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07" spans="1:23" x14ac:dyDescent="0.25">
      <c r="A2107">
        <v>2106</v>
      </c>
      <c r="B2107" t="s">
        <v>28</v>
      </c>
      <c r="C2107">
        <v>14</v>
      </c>
      <c r="D2107" s="3">
        <v>6</v>
      </c>
      <c r="E2107" s="3">
        <v>11</v>
      </c>
      <c r="F2107">
        <v>23</v>
      </c>
      <c r="G2107" s="1">
        <f>DATEVALUE(_xlfn.CONCAT(BBDD_Usiarios_Netflix[[#This Row],[Día Suscripción]],"/",BBDD_Usiarios_Netflix[[#This Row],[Mes Suscripción]],"/",BBDD_Usiarios_Netflix[[#This Row],[Año Suscripción]]))</f>
        <v>45236</v>
      </c>
      <c r="H2107" s="1">
        <v>9</v>
      </c>
      <c r="I2107" s="1">
        <v>7</v>
      </c>
      <c r="J2107" s="1">
        <v>24</v>
      </c>
      <c r="K2107" s="1" t="str">
        <f>TEXT(BBDD_Usiarios_Netflix[[#This Row],[Fecha Suscripción]],"dddd")</f>
        <v>lunes</v>
      </c>
      <c r="L2107" s="1">
        <f>DATEVALUE(_xlfn.CONCAT(BBDD_Usiarios_Netflix[[#This Row],[Día Último Pago]],"/",BBDD_Usiarios_Netflix[[#This Row],[Mes Último Pago]],"/",BBDD_Usiarios_Netflix[[#This Row],[Año Último Pago]]))</f>
        <v>45482</v>
      </c>
      <c r="M2107" s="4">
        <f>DATEDIF(BBDD_Usiarios_Netflix[[#This Row],[Fecha Suscripción]],BBDD_Usiarios_Netflix[[#This Row],[Fecha Último Pago]],"M")+1</f>
        <v>9</v>
      </c>
      <c r="N2107" s="4">
        <f>BBDD_Usiarios_Netflix[[#This Row],[Ingresos Mensuales]]*BBDD_Usiarios_Netflix[[#This Row],[Meses contratados]]</f>
        <v>126</v>
      </c>
      <c r="O2107" t="s">
        <v>39</v>
      </c>
      <c r="P2107" t="str">
        <f>IF(BBDD_Usiarios_Netflix[[#This Row],[País]]="","Desconocido",BBDD_Usiarios_Netflix[[#This Row],[País]])</f>
        <v>Canadá</v>
      </c>
      <c r="Q2107">
        <v>28</v>
      </c>
      <c r="R2107" t="s">
        <v>30</v>
      </c>
      <c r="S2107" t="s">
        <v>26</v>
      </c>
      <c r="T2107" t="s">
        <v>35</v>
      </c>
      <c r="U2107">
        <f>IF(IFERROR(VLOOKUP(BBDD_Usiarios_Netflix[[#This Row],[Identificador Usuario]],A2108:$A$5870,1,FALSE),0)&lt;&gt;0,1,0)</f>
        <v>0</v>
      </c>
      <c r="V2107" s="6" t="str">
        <f>IF(BBDD_Usiarios_Netflix[[#This Row],[Duración Plan]]="12 Meses",LEFT(BBDD_Usiarios_Netflix[[#This Row],[Duración Plan]],2),LEFT(BBDD_Usiarios_Netflix[[#This Row],[Duración Plan]],1))</f>
        <v>6</v>
      </c>
      <c r="W21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08" spans="1:23" x14ac:dyDescent="0.25">
      <c r="A2108">
        <v>2107</v>
      </c>
      <c r="B2108" t="s">
        <v>32</v>
      </c>
      <c r="C2108">
        <v>12</v>
      </c>
      <c r="D2108" s="3">
        <v>7</v>
      </c>
      <c r="E2108" s="3">
        <v>11</v>
      </c>
      <c r="F2108">
        <v>23</v>
      </c>
      <c r="G2108" s="1">
        <f>DATEVALUE(_xlfn.CONCAT(BBDD_Usiarios_Netflix[[#This Row],[Día Suscripción]],"/",BBDD_Usiarios_Netflix[[#This Row],[Mes Suscripción]],"/",BBDD_Usiarios_Netflix[[#This Row],[Año Suscripción]]))</f>
        <v>45237</v>
      </c>
      <c r="H2108" s="1">
        <v>7</v>
      </c>
      <c r="I2108" s="1">
        <v>7</v>
      </c>
      <c r="J2108" s="1">
        <v>24</v>
      </c>
      <c r="K2108" s="1" t="str">
        <f>TEXT(BBDD_Usiarios_Netflix[[#This Row],[Fecha Suscripción]],"dddd")</f>
        <v>martes</v>
      </c>
      <c r="L2108" s="1">
        <f>DATEVALUE(_xlfn.CONCAT(BBDD_Usiarios_Netflix[[#This Row],[Día Último Pago]],"/",BBDD_Usiarios_Netflix[[#This Row],[Mes Último Pago]],"/",BBDD_Usiarios_Netflix[[#This Row],[Año Último Pago]]))</f>
        <v>45480</v>
      </c>
      <c r="M2108" s="4">
        <f>DATEDIF(BBDD_Usiarios_Netflix[[#This Row],[Fecha Suscripción]],BBDD_Usiarios_Netflix[[#This Row],[Fecha Último Pago]],"M")+1</f>
        <v>9</v>
      </c>
      <c r="N2108" s="4">
        <f>BBDD_Usiarios_Netflix[[#This Row],[Ingresos Mensuales]]*BBDD_Usiarios_Netflix[[#This Row],[Meses contratados]]</f>
        <v>108</v>
      </c>
      <c r="O2108" t="s">
        <v>33</v>
      </c>
      <c r="P2108" t="str">
        <f>IF(BBDD_Usiarios_Netflix[[#This Row],[País]]="","Desconocido",BBDD_Usiarios_Netflix[[#This Row],[País]])</f>
        <v>Francia</v>
      </c>
      <c r="Q2108">
        <v>32</v>
      </c>
      <c r="R2108" t="s">
        <v>30</v>
      </c>
      <c r="S2108" t="s">
        <v>34</v>
      </c>
      <c r="T2108" t="s">
        <v>41</v>
      </c>
      <c r="U2108">
        <f>IF(IFERROR(VLOOKUP(BBDD_Usiarios_Netflix[[#This Row],[Identificador Usuario]],A2109:$A$5870,1,FALSE),0)&lt;&gt;0,1,0)</f>
        <v>0</v>
      </c>
      <c r="V2108" s="6" t="str">
        <f>IF(BBDD_Usiarios_Netflix[[#This Row],[Duración Plan]]="12 Meses",LEFT(BBDD_Usiarios_Netflix[[#This Row],[Duración Plan]],2),LEFT(BBDD_Usiarios_Netflix[[#This Row],[Duración Plan]],1))</f>
        <v>12</v>
      </c>
      <c r="W21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09" spans="1:23" x14ac:dyDescent="0.25">
      <c r="A2109">
        <v>2108</v>
      </c>
      <c r="B2109" t="s">
        <v>23</v>
      </c>
      <c r="C2109">
        <v>10</v>
      </c>
      <c r="D2109" s="3">
        <v>8</v>
      </c>
      <c r="E2109" s="3">
        <v>11</v>
      </c>
      <c r="F2109">
        <v>23</v>
      </c>
      <c r="G2109" s="1">
        <f>DATEVALUE(_xlfn.CONCAT(BBDD_Usiarios_Netflix[[#This Row],[Día Suscripción]],"/",BBDD_Usiarios_Netflix[[#This Row],[Mes Suscripción]],"/",BBDD_Usiarios_Netflix[[#This Row],[Año Suscripción]]))</f>
        <v>45238</v>
      </c>
      <c r="H2109" s="1">
        <v>10</v>
      </c>
      <c r="I2109" s="1">
        <v>7</v>
      </c>
      <c r="J2109" s="1">
        <v>24</v>
      </c>
      <c r="K2109" s="1" t="str">
        <f>TEXT(BBDD_Usiarios_Netflix[[#This Row],[Fecha Suscripción]],"dddd")</f>
        <v>miércoles</v>
      </c>
      <c r="L2109" s="1">
        <f>DATEVALUE(_xlfn.CONCAT(BBDD_Usiarios_Netflix[[#This Row],[Día Último Pago]],"/",BBDD_Usiarios_Netflix[[#This Row],[Mes Último Pago]],"/",BBDD_Usiarios_Netflix[[#This Row],[Año Último Pago]]))</f>
        <v>45483</v>
      </c>
      <c r="M2109" s="4">
        <f>DATEDIF(BBDD_Usiarios_Netflix[[#This Row],[Fecha Suscripción]],BBDD_Usiarios_Netflix[[#This Row],[Fecha Último Pago]],"M")+1</f>
        <v>9</v>
      </c>
      <c r="N2109" s="4">
        <f>BBDD_Usiarios_Netflix[[#This Row],[Ingresos Mensuales]]*BBDD_Usiarios_Netflix[[#This Row],[Meses contratados]]</f>
        <v>90</v>
      </c>
      <c r="O2109" t="s">
        <v>44</v>
      </c>
      <c r="P2109" t="str">
        <f>IF(BBDD_Usiarios_Netflix[[#This Row],[País]]="","Desconocido",BBDD_Usiarios_Netflix[[#This Row],[País]])</f>
        <v>Desconocido</v>
      </c>
      <c r="Q2109">
        <v>50</v>
      </c>
      <c r="R2109" t="s">
        <v>30</v>
      </c>
      <c r="S2109" t="s">
        <v>26</v>
      </c>
      <c r="T2109" t="s">
        <v>41</v>
      </c>
      <c r="U2109">
        <f>IF(IFERROR(VLOOKUP(BBDD_Usiarios_Netflix[[#This Row],[Identificador Usuario]],A2110:$A$5870,1,FALSE),0)&lt;&gt;0,1,0)</f>
        <v>0</v>
      </c>
      <c r="V2109" s="6" t="str">
        <f>IF(BBDD_Usiarios_Netflix[[#This Row],[Duración Plan]]="12 Meses",LEFT(BBDD_Usiarios_Netflix[[#This Row],[Duración Plan]],2),LEFT(BBDD_Usiarios_Netflix[[#This Row],[Duración Plan]],1))</f>
        <v>12</v>
      </c>
      <c r="W21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10" spans="1:23" x14ac:dyDescent="0.25">
      <c r="A2110">
        <v>2109</v>
      </c>
      <c r="B2110" t="s">
        <v>32</v>
      </c>
      <c r="C2110">
        <v>12</v>
      </c>
      <c r="D2110" s="3">
        <v>9</v>
      </c>
      <c r="E2110" s="3">
        <v>11</v>
      </c>
      <c r="F2110">
        <v>23</v>
      </c>
      <c r="G2110" s="1">
        <f>DATEVALUE(_xlfn.CONCAT(BBDD_Usiarios_Netflix[[#This Row],[Día Suscripción]],"/",BBDD_Usiarios_Netflix[[#This Row],[Mes Suscripción]],"/",BBDD_Usiarios_Netflix[[#This Row],[Año Suscripción]]))</f>
        <v>45239</v>
      </c>
      <c r="H2110" s="1">
        <v>10</v>
      </c>
      <c r="I2110" s="1">
        <v>7</v>
      </c>
      <c r="J2110" s="1">
        <v>24</v>
      </c>
      <c r="K2110" s="1" t="str">
        <f>TEXT(BBDD_Usiarios_Netflix[[#This Row],[Fecha Suscripción]],"dddd")</f>
        <v>jueves</v>
      </c>
      <c r="L2110" s="1">
        <f>DATEVALUE(_xlfn.CONCAT(BBDD_Usiarios_Netflix[[#This Row],[Día Último Pago]],"/",BBDD_Usiarios_Netflix[[#This Row],[Mes Último Pago]],"/",BBDD_Usiarios_Netflix[[#This Row],[Año Último Pago]]))</f>
        <v>45483</v>
      </c>
      <c r="M2110" s="4">
        <f>DATEDIF(BBDD_Usiarios_Netflix[[#This Row],[Fecha Suscripción]],BBDD_Usiarios_Netflix[[#This Row],[Fecha Último Pago]],"M")+1</f>
        <v>9</v>
      </c>
      <c r="N2110" s="4">
        <f>BBDD_Usiarios_Netflix[[#This Row],[Ingresos Mensuales]]*BBDD_Usiarios_Netflix[[#This Row],[Meses contratados]]</f>
        <v>108</v>
      </c>
      <c r="O2110" t="s">
        <v>43</v>
      </c>
      <c r="P2110" t="str">
        <f>IF(BBDD_Usiarios_Netflix[[#This Row],[País]]="","Desconocido",BBDD_Usiarios_Netflix[[#This Row],[País]])</f>
        <v>Alemania</v>
      </c>
      <c r="Q2110">
        <v>44</v>
      </c>
      <c r="R2110" t="s">
        <v>25</v>
      </c>
      <c r="S2110" t="s">
        <v>31</v>
      </c>
      <c r="T2110" t="s">
        <v>27</v>
      </c>
      <c r="U2110">
        <f>IF(IFERROR(VLOOKUP(BBDD_Usiarios_Netflix[[#This Row],[Identificador Usuario]],A2111:$A$5870,1,FALSE),0)&lt;&gt;0,1,0)</f>
        <v>0</v>
      </c>
      <c r="V2110" s="6" t="str">
        <f>IF(BBDD_Usiarios_Netflix[[#This Row],[Duración Plan]]="12 Meses",LEFT(BBDD_Usiarios_Netflix[[#This Row],[Duración Plan]],2),LEFT(BBDD_Usiarios_Netflix[[#This Row],[Duración Plan]],1))</f>
        <v>1</v>
      </c>
      <c r="W21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11" spans="1:23" x14ac:dyDescent="0.25">
      <c r="A2111">
        <v>2110</v>
      </c>
      <c r="B2111" t="s">
        <v>28</v>
      </c>
      <c r="C2111">
        <v>14</v>
      </c>
      <c r="D2111" s="3">
        <v>10</v>
      </c>
      <c r="E2111" s="3">
        <v>11</v>
      </c>
      <c r="F2111">
        <v>23</v>
      </c>
      <c r="G2111" s="1">
        <f>DATEVALUE(_xlfn.CONCAT(BBDD_Usiarios_Netflix[[#This Row],[Día Suscripción]],"/",BBDD_Usiarios_Netflix[[#This Row],[Mes Suscripción]],"/",BBDD_Usiarios_Netflix[[#This Row],[Año Suscripción]]))</f>
        <v>45240</v>
      </c>
      <c r="H2111" s="1">
        <v>10</v>
      </c>
      <c r="I2111" s="1">
        <v>7</v>
      </c>
      <c r="J2111" s="1">
        <v>24</v>
      </c>
      <c r="K2111" s="1" t="str">
        <f>TEXT(BBDD_Usiarios_Netflix[[#This Row],[Fecha Suscripción]],"dddd")</f>
        <v>viernes</v>
      </c>
      <c r="L2111" s="1">
        <f>DATEVALUE(_xlfn.CONCAT(BBDD_Usiarios_Netflix[[#This Row],[Día Último Pago]],"/",BBDD_Usiarios_Netflix[[#This Row],[Mes Último Pago]],"/",BBDD_Usiarios_Netflix[[#This Row],[Año Último Pago]]))</f>
        <v>45483</v>
      </c>
      <c r="M2111" s="4">
        <f>DATEDIF(BBDD_Usiarios_Netflix[[#This Row],[Fecha Suscripción]],BBDD_Usiarios_Netflix[[#This Row],[Fecha Último Pago]],"M")+1</f>
        <v>9</v>
      </c>
      <c r="N2111" s="4">
        <f>BBDD_Usiarios_Netflix[[#This Row],[Ingresos Mensuales]]*BBDD_Usiarios_Netflix[[#This Row],[Meses contratados]]</f>
        <v>126</v>
      </c>
      <c r="O2111" t="s">
        <v>39</v>
      </c>
      <c r="P2111" t="str">
        <f>IF(BBDD_Usiarios_Netflix[[#This Row],[País]]="","Desconocido",BBDD_Usiarios_Netflix[[#This Row],[País]])</f>
        <v>Canadá</v>
      </c>
      <c r="Q2111">
        <v>44</v>
      </c>
      <c r="R2111" t="s">
        <v>30</v>
      </c>
      <c r="S2111" t="s">
        <v>26</v>
      </c>
      <c r="T2111" t="s">
        <v>41</v>
      </c>
      <c r="U2111">
        <f>IF(IFERROR(VLOOKUP(BBDD_Usiarios_Netflix[[#This Row],[Identificador Usuario]],A2112:$A$5870,1,FALSE),0)&lt;&gt;0,1,0)</f>
        <v>0</v>
      </c>
      <c r="V2111" s="6" t="str">
        <f>IF(BBDD_Usiarios_Netflix[[#This Row],[Duración Plan]]="12 Meses",LEFT(BBDD_Usiarios_Netflix[[#This Row],[Duración Plan]],2),LEFT(BBDD_Usiarios_Netflix[[#This Row],[Duración Plan]],1))</f>
        <v>12</v>
      </c>
      <c r="W21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12" spans="1:23" x14ac:dyDescent="0.25">
      <c r="A2112">
        <v>2111</v>
      </c>
      <c r="B2112" t="s">
        <v>23</v>
      </c>
      <c r="C2112">
        <v>10</v>
      </c>
      <c r="D2112" s="3">
        <v>9</v>
      </c>
      <c r="E2112" s="3">
        <v>11</v>
      </c>
      <c r="F2112">
        <v>23</v>
      </c>
      <c r="G2112" s="1">
        <f>DATEVALUE(_xlfn.CONCAT(BBDD_Usiarios_Netflix[[#This Row],[Día Suscripción]],"/",BBDD_Usiarios_Netflix[[#This Row],[Mes Suscripción]],"/",BBDD_Usiarios_Netflix[[#This Row],[Año Suscripción]]))</f>
        <v>45239</v>
      </c>
      <c r="H2112" s="1">
        <v>9</v>
      </c>
      <c r="I2112" s="1">
        <v>7</v>
      </c>
      <c r="J2112" s="1">
        <v>24</v>
      </c>
      <c r="K2112" s="1" t="str">
        <f>TEXT(BBDD_Usiarios_Netflix[[#This Row],[Fecha Suscripción]],"dddd")</f>
        <v>jueves</v>
      </c>
      <c r="L2112" s="1">
        <f>DATEVALUE(_xlfn.CONCAT(BBDD_Usiarios_Netflix[[#This Row],[Día Último Pago]],"/",BBDD_Usiarios_Netflix[[#This Row],[Mes Último Pago]],"/",BBDD_Usiarios_Netflix[[#This Row],[Año Último Pago]]))</f>
        <v>45482</v>
      </c>
      <c r="M2112" s="4">
        <f>DATEDIF(BBDD_Usiarios_Netflix[[#This Row],[Fecha Suscripción]],BBDD_Usiarios_Netflix[[#This Row],[Fecha Último Pago]],"M")+1</f>
        <v>9</v>
      </c>
      <c r="N2112" s="4">
        <f>BBDD_Usiarios_Netflix[[#This Row],[Ingresos Mensuales]]*BBDD_Usiarios_Netflix[[#This Row],[Meses contratados]]</f>
        <v>90</v>
      </c>
      <c r="O2112" t="s">
        <v>45</v>
      </c>
      <c r="P2112" t="str">
        <f>IF(BBDD_Usiarios_Netflix[[#This Row],[País]]="","Desconocido",BBDD_Usiarios_Netflix[[#This Row],[País]])</f>
        <v>España</v>
      </c>
      <c r="Q2112">
        <v>47</v>
      </c>
      <c r="R2112" t="s">
        <v>25</v>
      </c>
      <c r="S2112" t="s">
        <v>36</v>
      </c>
      <c r="T2112" t="s">
        <v>38</v>
      </c>
      <c r="U2112">
        <f>IF(IFERROR(VLOOKUP(BBDD_Usiarios_Netflix[[#This Row],[Identificador Usuario]],A2113:$A$5870,1,FALSE),0)&lt;&gt;0,1,0)</f>
        <v>0</v>
      </c>
      <c r="V2112" s="6" t="str">
        <f>IF(BBDD_Usiarios_Netflix[[#This Row],[Duración Plan]]="12 Meses",LEFT(BBDD_Usiarios_Netflix[[#This Row],[Duración Plan]],2),LEFT(BBDD_Usiarios_Netflix[[#This Row],[Duración Plan]],1))</f>
        <v>3</v>
      </c>
      <c r="W21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13" spans="1:23" x14ac:dyDescent="0.25">
      <c r="A2113">
        <v>2112</v>
      </c>
      <c r="B2113" t="s">
        <v>28</v>
      </c>
      <c r="C2113">
        <v>14</v>
      </c>
      <c r="D2113" s="3">
        <v>9</v>
      </c>
      <c r="E2113" s="3">
        <v>11</v>
      </c>
      <c r="F2113">
        <v>23</v>
      </c>
      <c r="G2113" s="1">
        <f>DATEVALUE(_xlfn.CONCAT(BBDD_Usiarios_Netflix[[#This Row],[Día Suscripción]],"/",BBDD_Usiarios_Netflix[[#This Row],[Mes Suscripción]],"/",BBDD_Usiarios_Netflix[[#This Row],[Año Suscripción]]))</f>
        <v>45239</v>
      </c>
      <c r="H2113" s="1">
        <v>10</v>
      </c>
      <c r="I2113" s="1">
        <v>7</v>
      </c>
      <c r="J2113" s="1">
        <v>24</v>
      </c>
      <c r="K2113" s="1" t="str">
        <f>TEXT(BBDD_Usiarios_Netflix[[#This Row],[Fecha Suscripción]],"dddd")</f>
        <v>jueves</v>
      </c>
      <c r="L2113" s="1">
        <f>DATEVALUE(_xlfn.CONCAT(BBDD_Usiarios_Netflix[[#This Row],[Día Último Pago]],"/",BBDD_Usiarios_Netflix[[#This Row],[Mes Último Pago]],"/",BBDD_Usiarios_Netflix[[#This Row],[Año Último Pago]]))</f>
        <v>45483</v>
      </c>
      <c r="M2113" s="4">
        <f>DATEDIF(BBDD_Usiarios_Netflix[[#This Row],[Fecha Suscripción]],BBDD_Usiarios_Netflix[[#This Row],[Fecha Último Pago]],"M")+1</f>
        <v>9</v>
      </c>
      <c r="N2113" s="4">
        <f>BBDD_Usiarios_Netflix[[#This Row],[Ingresos Mensuales]]*BBDD_Usiarios_Netflix[[#This Row],[Meses contratados]]</f>
        <v>126</v>
      </c>
      <c r="O2113" t="s">
        <v>39</v>
      </c>
      <c r="P2113" t="str">
        <f>IF(BBDD_Usiarios_Netflix[[#This Row],[País]]="","Desconocido",BBDD_Usiarios_Netflix[[#This Row],[País]])</f>
        <v>Canadá</v>
      </c>
      <c r="Q2113">
        <v>39</v>
      </c>
      <c r="R2113" t="s">
        <v>30</v>
      </c>
      <c r="S2113" t="s">
        <v>34</v>
      </c>
      <c r="T2113" t="s">
        <v>41</v>
      </c>
      <c r="U2113">
        <f>IF(IFERROR(VLOOKUP(BBDD_Usiarios_Netflix[[#This Row],[Identificador Usuario]],A2114:$A$5870,1,FALSE),0)&lt;&gt;0,1,0)</f>
        <v>0</v>
      </c>
      <c r="V2113" s="6" t="str">
        <f>IF(BBDD_Usiarios_Netflix[[#This Row],[Duración Plan]]="12 Meses",LEFT(BBDD_Usiarios_Netflix[[#This Row],[Duración Plan]],2),LEFT(BBDD_Usiarios_Netflix[[#This Row],[Duración Plan]],1))</f>
        <v>12</v>
      </c>
      <c r="W21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14" spans="1:23" x14ac:dyDescent="0.25">
      <c r="A2114">
        <v>2113</v>
      </c>
      <c r="B2114" t="s">
        <v>32</v>
      </c>
      <c r="C2114">
        <v>12</v>
      </c>
      <c r="D2114" s="3">
        <v>7</v>
      </c>
      <c r="E2114" s="3">
        <v>11</v>
      </c>
      <c r="F2114">
        <v>23</v>
      </c>
      <c r="G2114" s="1">
        <f>DATEVALUE(_xlfn.CONCAT(BBDD_Usiarios_Netflix[[#This Row],[Día Suscripción]],"/",BBDD_Usiarios_Netflix[[#This Row],[Mes Suscripción]],"/",BBDD_Usiarios_Netflix[[#This Row],[Año Suscripción]]))</f>
        <v>45237</v>
      </c>
      <c r="H2114" s="1">
        <v>10</v>
      </c>
      <c r="I2114" s="1">
        <v>7</v>
      </c>
      <c r="J2114" s="1">
        <v>24</v>
      </c>
      <c r="K2114" s="1" t="str">
        <f>TEXT(BBDD_Usiarios_Netflix[[#This Row],[Fecha Suscripción]],"dddd")</f>
        <v>martes</v>
      </c>
      <c r="L2114" s="1">
        <f>DATEVALUE(_xlfn.CONCAT(BBDD_Usiarios_Netflix[[#This Row],[Día Último Pago]],"/",BBDD_Usiarios_Netflix[[#This Row],[Mes Último Pago]],"/",BBDD_Usiarios_Netflix[[#This Row],[Año Último Pago]]))</f>
        <v>45483</v>
      </c>
      <c r="M2114" s="4">
        <f>DATEDIF(BBDD_Usiarios_Netflix[[#This Row],[Fecha Suscripción]],BBDD_Usiarios_Netflix[[#This Row],[Fecha Último Pago]],"M")+1</f>
        <v>9</v>
      </c>
      <c r="N2114" s="4">
        <f>BBDD_Usiarios_Netflix[[#This Row],[Ingresos Mensuales]]*BBDD_Usiarios_Netflix[[#This Row],[Meses contratados]]</f>
        <v>108</v>
      </c>
      <c r="O2114" t="s">
        <v>43</v>
      </c>
      <c r="P2114" t="str">
        <f>IF(BBDD_Usiarios_Netflix[[#This Row],[País]]="","Desconocido",BBDD_Usiarios_Netflix[[#This Row],[País]])</f>
        <v>Alemania</v>
      </c>
      <c r="Q2114">
        <v>44</v>
      </c>
      <c r="R2114" t="s">
        <v>30</v>
      </c>
      <c r="S2114" t="s">
        <v>31</v>
      </c>
      <c r="T2114" t="s">
        <v>41</v>
      </c>
      <c r="U2114">
        <f>IF(IFERROR(VLOOKUP(BBDD_Usiarios_Netflix[[#This Row],[Identificador Usuario]],A2115:$A$5870,1,FALSE),0)&lt;&gt;0,1,0)</f>
        <v>0</v>
      </c>
      <c r="V2114" s="6" t="str">
        <f>IF(BBDD_Usiarios_Netflix[[#This Row],[Duración Plan]]="12 Meses",LEFT(BBDD_Usiarios_Netflix[[#This Row],[Duración Plan]],2),LEFT(BBDD_Usiarios_Netflix[[#This Row],[Duración Plan]],1))</f>
        <v>12</v>
      </c>
      <c r="W21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15" spans="1:23" x14ac:dyDescent="0.25">
      <c r="A2115">
        <v>2114</v>
      </c>
      <c r="B2115" t="s">
        <v>23</v>
      </c>
      <c r="C2115">
        <v>10</v>
      </c>
      <c r="D2115" s="3">
        <v>3</v>
      </c>
      <c r="E2115" s="3">
        <v>11</v>
      </c>
      <c r="F2115">
        <v>23</v>
      </c>
      <c r="G2115" s="1">
        <f>DATEVALUE(_xlfn.CONCAT(BBDD_Usiarios_Netflix[[#This Row],[Día Suscripción]],"/",BBDD_Usiarios_Netflix[[#This Row],[Mes Suscripción]],"/",BBDD_Usiarios_Netflix[[#This Row],[Año Suscripción]]))</f>
        <v>45233</v>
      </c>
      <c r="H2115" s="1">
        <v>10</v>
      </c>
      <c r="I2115" s="1">
        <v>7</v>
      </c>
      <c r="J2115" s="1">
        <v>24</v>
      </c>
      <c r="K2115" s="1" t="str">
        <f>TEXT(BBDD_Usiarios_Netflix[[#This Row],[Fecha Suscripción]],"dddd")</f>
        <v>viernes</v>
      </c>
      <c r="L2115" s="1">
        <f>DATEVALUE(_xlfn.CONCAT(BBDD_Usiarios_Netflix[[#This Row],[Día Último Pago]],"/",BBDD_Usiarios_Netflix[[#This Row],[Mes Último Pago]],"/",BBDD_Usiarios_Netflix[[#This Row],[Año Último Pago]]))</f>
        <v>45483</v>
      </c>
      <c r="M2115" s="4">
        <f>DATEDIF(BBDD_Usiarios_Netflix[[#This Row],[Fecha Suscripción]],BBDD_Usiarios_Netflix[[#This Row],[Fecha Último Pago]],"M")+1</f>
        <v>9</v>
      </c>
      <c r="N2115" s="4">
        <f>BBDD_Usiarios_Netflix[[#This Row],[Ingresos Mensuales]]*BBDD_Usiarios_Netflix[[#This Row],[Meses contratados]]</f>
        <v>90</v>
      </c>
      <c r="O2115" t="s">
        <v>45</v>
      </c>
      <c r="P2115" t="str">
        <f>IF(BBDD_Usiarios_Netflix[[#This Row],[País]]="","Desconocido",BBDD_Usiarios_Netflix[[#This Row],[País]])</f>
        <v>España</v>
      </c>
      <c r="Q2115">
        <v>84</v>
      </c>
      <c r="R2115" t="s">
        <v>30</v>
      </c>
      <c r="S2115" t="s">
        <v>31</v>
      </c>
      <c r="T2115" t="s">
        <v>35</v>
      </c>
      <c r="U2115">
        <f>IF(IFERROR(VLOOKUP(BBDD_Usiarios_Netflix[[#This Row],[Identificador Usuario]],A2116:$A$5870,1,FALSE),0)&lt;&gt;0,1,0)</f>
        <v>0</v>
      </c>
      <c r="V2115" s="6" t="str">
        <f>IF(BBDD_Usiarios_Netflix[[#This Row],[Duración Plan]]="12 Meses",LEFT(BBDD_Usiarios_Netflix[[#This Row],[Duración Plan]],2),LEFT(BBDD_Usiarios_Netflix[[#This Row],[Duración Plan]],1))</f>
        <v>6</v>
      </c>
      <c r="W21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16" spans="1:23" x14ac:dyDescent="0.25">
      <c r="A2116">
        <v>2115</v>
      </c>
      <c r="B2116" t="s">
        <v>32</v>
      </c>
      <c r="C2116">
        <v>12</v>
      </c>
      <c r="D2116" s="3">
        <v>4</v>
      </c>
      <c r="E2116" s="3">
        <v>11</v>
      </c>
      <c r="F2116">
        <v>23</v>
      </c>
      <c r="G2116" s="1">
        <f>DATEVALUE(_xlfn.CONCAT(BBDD_Usiarios_Netflix[[#This Row],[Día Suscripción]],"/",BBDD_Usiarios_Netflix[[#This Row],[Mes Suscripción]],"/",BBDD_Usiarios_Netflix[[#This Row],[Año Suscripción]]))</f>
        <v>45234</v>
      </c>
      <c r="H2116" s="1">
        <v>8</v>
      </c>
      <c r="I2116" s="1">
        <v>7</v>
      </c>
      <c r="J2116" s="1">
        <v>24</v>
      </c>
      <c r="K2116" s="1" t="str">
        <f>TEXT(BBDD_Usiarios_Netflix[[#This Row],[Fecha Suscripción]],"dddd")</f>
        <v>sábado</v>
      </c>
      <c r="L2116" s="1">
        <f>DATEVALUE(_xlfn.CONCAT(BBDD_Usiarios_Netflix[[#This Row],[Día Último Pago]],"/",BBDD_Usiarios_Netflix[[#This Row],[Mes Último Pago]],"/",BBDD_Usiarios_Netflix[[#This Row],[Año Último Pago]]))</f>
        <v>45481</v>
      </c>
      <c r="M2116" s="4">
        <f>DATEDIF(BBDD_Usiarios_Netflix[[#This Row],[Fecha Suscripción]],BBDD_Usiarios_Netflix[[#This Row],[Fecha Último Pago]],"M")+1</f>
        <v>9</v>
      </c>
      <c r="N2116" s="4">
        <f>BBDD_Usiarios_Netflix[[#This Row],[Ingresos Mensuales]]*BBDD_Usiarios_Netflix[[#This Row],[Meses contratados]]</f>
        <v>108</v>
      </c>
      <c r="O2116" t="s">
        <v>24</v>
      </c>
      <c r="P2116" t="str">
        <f>IF(BBDD_Usiarios_Netflix[[#This Row],[País]]="","Desconocido",BBDD_Usiarios_Netflix[[#This Row],[País]])</f>
        <v>Australia</v>
      </c>
      <c r="Q2116">
        <v>31</v>
      </c>
      <c r="R2116" t="s">
        <v>30</v>
      </c>
      <c r="S2116" t="s">
        <v>36</v>
      </c>
      <c r="T2116" t="s">
        <v>41</v>
      </c>
      <c r="U2116">
        <f>IF(IFERROR(VLOOKUP(BBDD_Usiarios_Netflix[[#This Row],[Identificador Usuario]],A2117:$A$5870,1,FALSE),0)&lt;&gt;0,1,0)</f>
        <v>0</v>
      </c>
      <c r="V2116" s="6" t="str">
        <f>IF(BBDD_Usiarios_Netflix[[#This Row],[Duración Plan]]="12 Meses",LEFT(BBDD_Usiarios_Netflix[[#This Row],[Duración Plan]],2),LEFT(BBDD_Usiarios_Netflix[[#This Row],[Duración Plan]],1))</f>
        <v>12</v>
      </c>
      <c r="W21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17" spans="1:23" x14ac:dyDescent="0.25">
      <c r="A2117">
        <v>2116</v>
      </c>
      <c r="B2117" t="s">
        <v>28</v>
      </c>
      <c r="C2117">
        <v>14</v>
      </c>
      <c r="D2117" s="3">
        <v>1</v>
      </c>
      <c r="E2117" s="3">
        <v>11</v>
      </c>
      <c r="F2117">
        <v>23</v>
      </c>
      <c r="G2117" s="1">
        <f>DATEVALUE(_xlfn.CONCAT(BBDD_Usiarios_Netflix[[#This Row],[Día Suscripción]],"/",BBDD_Usiarios_Netflix[[#This Row],[Mes Suscripción]],"/",BBDD_Usiarios_Netflix[[#This Row],[Año Suscripción]]))</f>
        <v>45231</v>
      </c>
      <c r="H2117" s="1">
        <v>10</v>
      </c>
      <c r="I2117" s="1">
        <v>7</v>
      </c>
      <c r="J2117" s="1">
        <v>24</v>
      </c>
      <c r="K2117" s="1" t="str">
        <f>TEXT(BBDD_Usiarios_Netflix[[#This Row],[Fecha Suscripción]],"dddd")</f>
        <v>miércoles</v>
      </c>
      <c r="L2117" s="1">
        <f>DATEVALUE(_xlfn.CONCAT(BBDD_Usiarios_Netflix[[#This Row],[Día Último Pago]],"/",BBDD_Usiarios_Netflix[[#This Row],[Mes Último Pago]],"/",BBDD_Usiarios_Netflix[[#This Row],[Año Último Pago]]))</f>
        <v>45483</v>
      </c>
      <c r="M2117" s="4">
        <f>DATEDIF(BBDD_Usiarios_Netflix[[#This Row],[Fecha Suscripción]],BBDD_Usiarios_Netflix[[#This Row],[Fecha Último Pago]],"M")+1</f>
        <v>9</v>
      </c>
      <c r="N2117" s="4">
        <f>BBDD_Usiarios_Netflix[[#This Row],[Ingresos Mensuales]]*BBDD_Usiarios_Netflix[[#This Row],[Meses contratados]]</f>
        <v>126</v>
      </c>
      <c r="O2117" t="s">
        <v>29</v>
      </c>
      <c r="P2117" t="str">
        <f>IF(BBDD_Usiarios_Netflix[[#This Row],[País]]="","Desconocido",BBDD_Usiarios_Netflix[[#This Row],[País]])</f>
        <v>EEUU</v>
      </c>
      <c r="Q2117">
        <v>33</v>
      </c>
      <c r="R2117" t="s">
        <v>30</v>
      </c>
      <c r="S2117" t="s">
        <v>31</v>
      </c>
      <c r="T2117" t="s">
        <v>27</v>
      </c>
      <c r="U2117">
        <f>IF(IFERROR(VLOOKUP(BBDD_Usiarios_Netflix[[#This Row],[Identificador Usuario]],A2118:$A$5870,1,FALSE),0)&lt;&gt;0,1,0)</f>
        <v>0</v>
      </c>
      <c r="V2117" s="6" t="str">
        <f>IF(BBDD_Usiarios_Netflix[[#This Row],[Duración Plan]]="12 Meses",LEFT(BBDD_Usiarios_Netflix[[#This Row],[Duración Plan]],2),LEFT(BBDD_Usiarios_Netflix[[#This Row],[Duración Plan]],1))</f>
        <v>1</v>
      </c>
      <c r="W21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18" spans="1:23" x14ac:dyDescent="0.25">
      <c r="A2118">
        <v>2117</v>
      </c>
      <c r="B2118" t="s">
        <v>23</v>
      </c>
      <c r="C2118">
        <v>10</v>
      </c>
      <c r="D2118" s="3">
        <v>27</v>
      </c>
      <c r="E2118" s="3">
        <v>10</v>
      </c>
      <c r="F2118">
        <v>23</v>
      </c>
      <c r="G2118" s="1">
        <f>DATEVALUE(_xlfn.CONCAT(BBDD_Usiarios_Netflix[[#This Row],[Día Suscripción]],"/",BBDD_Usiarios_Netflix[[#This Row],[Mes Suscripción]],"/",BBDD_Usiarios_Netflix[[#This Row],[Año Suscripción]]))</f>
        <v>45226</v>
      </c>
      <c r="H2118" s="1">
        <v>9</v>
      </c>
      <c r="I2118" s="1">
        <v>7</v>
      </c>
      <c r="J2118" s="1">
        <v>24</v>
      </c>
      <c r="K2118" s="1" t="str">
        <f>TEXT(BBDD_Usiarios_Netflix[[#This Row],[Fecha Suscripción]],"dddd")</f>
        <v>viernes</v>
      </c>
      <c r="L2118" s="1">
        <f>DATEVALUE(_xlfn.CONCAT(BBDD_Usiarios_Netflix[[#This Row],[Día Último Pago]],"/",BBDD_Usiarios_Netflix[[#This Row],[Mes Último Pago]],"/",BBDD_Usiarios_Netflix[[#This Row],[Año Último Pago]]))</f>
        <v>45482</v>
      </c>
      <c r="M2118" s="4">
        <f>DATEDIF(BBDD_Usiarios_Netflix[[#This Row],[Fecha Suscripción]],BBDD_Usiarios_Netflix[[#This Row],[Fecha Último Pago]],"M")+1</f>
        <v>9</v>
      </c>
      <c r="N2118" s="4">
        <f>BBDD_Usiarios_Netflix[[#This Row],[Ingresos Mensuales]]*BBDD_Usiarios_Netflix[[#This Row],[Meses contratados]]</f>
        <v>90</v>
      </c>
      <c r="O2118" t="s">
        <v>29</v>
      </c>
      <c r="P2118" t="str">
        <f>IF(BBDD_Usiarios_Netflix[[#This Row],[País]]="","Desconocido",BBDD_Usiarios_Netflix[[#This Row],[País]])</f>
        <v>EEUU</v>
      </c>
      <c r="Q2118">
        <v>27</v>
      </c>
      <c r="R2118" t="s">
        <v>25</v>
      </c>
      <c r="S2118" t="s">
        <v>36</v>
      </c>
      <c r="T2118" t="s">
        <v>35</v>
      </c>
      <c r="U2118">
        <f>IF(IFERROR(VLOOKUP(BBDD_Usiarios_Netflix[[#This Row],[Identificador Usuario]],A2119:$A$5870,1,FALSE),0)&lt;&gt;0,1,0)</f>
        <v>0</v>
      </c>
      <c r="V2118" s="6" t="str">
        <f>IF(BBDD_Usiarios_Netflix[[#This Row],[Duración Plan]]="12 Meses",LEFT(BBDD_Usiarios_Netflix[[#This Row],[Duración Plan]],2),LEFT(BBDD_Usiarios_Netflix[[#This Row],[Duración Plan]],1))</f>
        <v>6</v>
      </c>
      <c r="W21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19" spans="1:23" x14ac:dyDescent="0.25">
      <c r="A2119">
        <v>2118</v>
      </c>
      <c r="B2119" t="s">
        <v>32</v>
      </c>
      <c r="C2119">
        <v>12</v>
      </c>
      <c r="D2119" s="3">
        <v>23</v>
      </c>
      <c r="E2119" s="3">
        <v>10</v>
      </c>
      <c r="F2119">
        <v>23</v>
      </c>
      <c r="G2119" s="1">
        <f>DATEVALUE(_xlfn.CONCAT(BBDD_Usiarios_Netflix[[#This Row],[Día Suscripción]],"/",BBDD_Usiarios_Netflix[[#This Row],[Mes Suscripción]],"/",BBDD_Usiarios_Netflix[[#This Row],[Año Suscripción]]))</f>
        <v>45222</v>
      </c>
      <c r="H2119" s="1">
        <v>10</v>
      </c>
      <c r="I2119" s="1">
        <v>7</v>
      </c>
      <c r="J2119" s="1">
        <v>24</v>
      </c>
      <c r="K2119" s="1" t="str">
        <f>TEXT(BBDD_Usiarios_Netflix[[#This Row],[Fecha Suscripción]],"dddd")</f>
        <v>lunes</v>
      </c>
      <c r="L2119" s="1">
        <f>DATEVALUE(_xlfn.CONCAT(BBDD_Usiarios_Netflix[[#This Row],[Día Último Pago]],"/",BBDD_Usiarios_Netflix[[#This Row],[Mes Último Pago]],"/",BBDD_Usiarios_Netflix[[#This Row],[Año Último Pago]]))</f>
        <v>45483</v>
      </c>
      <c r="M2119" s="4">
        <f>DATEDIF(BBDD_Usiarios_Netflix[[#This Row],[Fecha Suscripción]],BBDD_Usiarios_Netflix[[#This Row],[Fecha Último Pago]],"M")+1</f>
        <v>9</v>
      </c>
      <c r="N2119" s="4">
        <f>BBDD_Usiarios_Netflix[[#This Row],[Ingresos Mensuales]]*BBDD_Usiarios_Netflix[[#This Row],[Meses contratados]]</f>
        <v>108</v>
      </c>
      <c r="O2119" t="s">
        <v>43</v>
      </c>
      <c r="P2119" t="str">
        <f>IF(BBDD_Usiarios_Netflix[[#This Row],[País]]="","Desconocido",BBDD_Usiarios_Netflix[[#This Row],[País]])</f>
        <v>Alemania</v>
      </c>
      <c r="Q2119">
        <v>34</v>
      </c>
      <c r="R2119" t="s">
        <v>25</v>
      </c>
      <c r="S2119" t="s">
        <v>34</v>
      </c>
      <c r="T2119" t="s">
        <v>35</v>
      </c>
      <c r="U2119">
        <f>IF(IFERROR(VLOOKUP(BBDD_Usiarios_Netflix[[#This Row],[Identificador Usuario]],A2120:$A$5870,1,FALSE),0)&lt;&gt;0,1,0)</f>
        <v>0</v>
      </c>
      <c r="V2119" s="6" t="str">
        <f>IF(BBDD_Usiarios_Netflix[[#This Row],[Duración Plan]]="12 Meses",LEFT(BBDD_Usiarios_Netflix[[#This Row],[Duración Plan]],2),LEFT(BBDD_Usiarios_Netflix[[#This Row],[Duración Plan]],1))</f>
        <v>6</v>
      </c>
      <c r="W21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20" spans="1:23" x14ac:dyDescent="0.25">
      <c r="A2120">
        <v>2119</v>
      </c>
      <c r="B2120" t="s">
        <v>28</v>
      </c>
      <c r="C2120">
        <v>14</v>
      </c>
      <c r="D2120" s="3">
        <v>14</v>
      </c>
      <c r="E2120" s="3">
        <v>10</v>
      </c>
      <c r="F2120">
        <v>23</v>
      </c>
      <c r="G2120" s="1">
        <f>DATEVALUE(_xlfn.CONCAT(BBDD_Usiarios_Netflix[[#This Row],[Día Suscripción]],"/",BBDD_Usiarios_Netflix[[#This Row],[Mes Suscripción]],"/",BBDD_Usiarios_Netflix[[#This Row],[Año Suscripción]]))</f>
        <v>45213</v>
      </c>
      <c r="H2120" s="1">
        <v>9</v>
      </c>
      <c r="I2120" s="1">
        <v>7</v>
      </c>
      <c r="J2120" s="1">
        <v>24</v>
      </c>
      <c r="K2120" s="1" t="str">
        <f>TEXT(BBDD_Usiarios_Netflix[[#This Row],[Fecha Suscripción]],"dddd")</f>
        <v>sábado</v>
      </c>
      <c r="L2120" s="1">
        <f>DATEVALUE(_xlfn.CONCAT(BBDD_Usiarios_Netflix[[#This Row],[Día Último Pago]],"/",BBDD_Usiarios_Netflix[[#This Row],[Mes Último Pago]],"/",BBDD_Usiarios_Netflix[[#This Row],[Año Último Pago]]))</f>
        <v>45482</v>
      </c>
      <c r="M2120" s="4">
        <f>DATEDIF(BBDD_Usiarios_Netflix[[#This Row],[Fecha Suscripción]],BBDD_Usiarios_Netflix[[#This Row],[Fecha Último Pago]],"M")+1</f>
        <v>9</v>
      </c>
      <c r="N2120" s="4">
        <f>BBDD_Usiarios_Netflix[[#This Row],[Ingresos Mensuales]]*BBDD_Usiarios_Netflix[[#This Row],[Meses contratados]]</f>
        <v>126</v>
      </c>
      <c r="O2120" t="s">
        <v>24</v>
      </c>
      <c r="P2120" t="str">
        <f>IF(BBDD_Usiarios_Netflix[[#This Row],[País]]="","Desconocido",BBDD_Usiarios_Netflix[[#This Row],[País]])</f>
        <v>Australia</v>
      </c>
      <c r="Q2120">
        <v>48</v>
      </c>
      <c r="R2120" t="s">
        <v>25</v>
      </c>
      <c r="S2120" t="s">
        <v>36</v>
      </c>
      <c r="T2120" t="s">
        <v>35</v>
      </c>
      <c r="U2120">
        <f>IF(IFERROR(VLOOKUP(BBDD_Usiarios_Netflix[[#This Row],[Identificador Usuario]],A2121:$A$5870,1,FALSE),0)&lt;&gt;0,1,0)</f>
        <v>0</v>
      </c>
      <c r="V2120" s="6" t="str">
        <f>IF(BBDD_Usiarios_Netflix[[#This Row],[Duración Plan]]="12 Meses",LEFT(BBDD_Usiarios_Netflix[[#This Row],[Duración Plan]],2),LEFT(BBDD_Usiarios_Netflix[[#This Row],[Duración Plan]],1))</f>
        <v>6</v>
      </c>
      <c r="W21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21" spans="1:23" x14ac:dyDescent="0.25">
      <c r="A2121">
        <v>2120</v>
      </c>
      <c r="B2121" t="s">
        <v>23</v>
      </c>
      <c r="C2121">
        <v>10</v>
      </c>
      <c r="D2121" s="3">
        <v>28</v>
      </c>
      <c r="E2121" s="3">
        <v>9</v>
      </c>
      <c r="F2121">
        <v>23</v>
      </c>
      <c r="G2121" s="1">
        <f>DATEVALUE(_xlfn.CONCAT(BBDD_Usiarios_Netflix[[#This Row],[Día Suscripción]],"/",BBDD_Usiarios_Netflix[[#This Row],[Mes Suscripción]],"/",BBDD_Usiarios_Netflix[[#This Row],[Año Suscripción]]))</f>
        <v>45197</v>
      </c>
      <c r="H2121" s="1">
        <v>10</v>
      </c>
      <c r="I2121" s="1">
        <v>7</v>
      </c>
      <c r="J2121" s="1">
        <v>24</v>
      </c>
      <c r="K2121" s="1" t="str">
        <f>TEXT(BBDD_Usiarios_Netflix[[#This Row],[Fecha Suscripción]],"dddd")</f>
        <v>jueves</v>
      </c>
      <c r="L2121" s="1">
        <f>DATEVALUE(_xlfn.CONCAT(BBDD_Usiarios_Netflix[[#This Row],[Día Último Pago]],"/",BBDD_Usiarios_Netflix[[#This Row],[Mes Último Pago]],"/",BBDD_Usiarios_Netflix[[#This Row],[Año Último Pago]]))</f>
        <v>45483</v>
      </c>
      <c r="M2121" s="4">
        <f>DATEDIF(BBDD_Usiarios_Netflix[[#This Row],[Fecha Suscripción]],BBDD_Usiarios_Netflix[[#This Row],[Fecha Último Pago]],"M")+1</f>
        <v>10</v>
      </c>
      <c r="N2121" s="4">
        <f>BBDD_Usiarios_Netflix[[#This Row],[Ingresos Mensuales]]*BBDD_Usiarios_Netflix[[#This Row],[Meses contratados]]</f>
        <v>100</v>
      </c>
      <c r="O2121" t="s">
        <v>45</v>
      </c>
      <c r="P2121" t="str">
        <f>IF(BBDD_Usiarios_Netflix[[#This Row],[País]]="","Desconocido",BBDD_Usiarios_Netflix[[#This Row],[País]])</f>
        <v>España</v>
      </c>
      <c r="Q2121">
        <v>39</v>
      </c>
      <c r="R2121" t="s">
        <v>30</v>
      </c>
      <c r="S2121" t="s">
        <v>34</v>
      </c>
      <c r="T2121" t="s">
        <v>27</v>
      </c>
      <c r="U2121">
        <f>IF(IFERROR(VLOOKUP(BBDD_Usiarios_Netflix[[#This Row],[Identificador Usuario]],A2122:$A$5870,1,FALSE),0)&lt;&gt;0,1,0)</f>
        <v>0</v>
      </c>
      <c r="V2121" s="6" t="str">
        <f>IF(BBDD_Usiarios_Netflix[[#This Row],[Duración Plan]]="12 Meses",LEFT(BBDD_Usiarios_Netflix[[#This Row],[Duración Plan]],2),LEFT(BBDD_Usiarios_Netflix[[#This Row],[Duración Plan]],1))</f>
        <v>1</v>
      </c>
      <c r="W21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22" spans="1:23" x14ac:dyDescent="0.25">
      <c r="A2122">
        <v>2121</v>
      </c>
      <c r="B2122" t="s">
        <v>28</v>
      </c>
      <c r="C2122">
        <v>14</v>
      </c>
      <c r="D2122" s="3">
        <v>25</v>
      </c>
      <c r="E2122" s="3">
        <v>9</v>
      </c>
      <c r="F2122">
        <v>23</v>
      </c>
      <c r="G2122" s="1">
        <f>DATEVALUE(_xlfn.CONCAT(BBDD_Usiarios_Netflix[[#This Row],[Día Suscripción]],"/",BBDD_Usiarios_Netflix[[#This Row],[Mes Suscripción]],"/",BBDD_Usiarios_Netflix[[#This Row],[Año Suscripción]]))</f>
        <v>45194</v>
      </c>
      <c r="H2122" s="1">
        <v>9</v>
      </c>
      <c r="I2122" s="1">
        <v>7</v>
      </c>
      <c r="J2122" s="1">
        <v>24</v>
      </c>
      <c r="K2122" s="1" t="str">
        <f>TEXT(BBDD_Usiarios_Netflix[[#This Row],[Fecha Suscripción]],"dddd")</f>
        <v>lunes</v>
      </c>
      <c r="L2122" s="1">
        <f>DATEVALUE(_xlfn.CONCAT(BBDD_Usiarios_Netflix[[#This Row],[Día Último Pago]],"/",BBDD_Usiarios_Netflix[[#This Row],[Mes Último Pago]],"/",BBDD_Usiarios_Netflix[[#This Row],[Año Último Pago]]))</f>
        <v>45482</v>
      </c>
      <c r="M2122" s="4">
        <f>DATEDIF(BBDD_Usiarios_Netflix[[#This Row],[Fecha Suscripción]],BBDD_Usiarios_Netflix[[#This Row],[Fecha Último Pago]],"M")+1</f>
        <v>10</v>
      </c>
      <c r="N2122" s="4">
        <f>BBDD_Usiarios_Netflix[[#This Row],[Ingresos Mensuales]]*BBDD_Usiarios_Netflix[[#This Row],[Meses contratados]]</f>
        <v>140</v>
      </c>
      <c r="O2122" t="s">
        <v>29</v>
      </c>
      <c r="P2122" t="str">
        <f>IF(BBDD_Usiarios_Netflix[[#This Row],[País]]="","Desconocido",BBDD_Usiarios_Netflix[[#This Row],[País]])</f>
        <v>EEUU</v>
      </c>
      <c r="Q2122">
        <v>39</v>
      </c>
      <c r="R2122" t="s">
        <v>25</v>
      </c>
      <c r="S2122" t="s">
        <v>36</v>
      </c>
      <c r="T2122" t="s">
        <v>38</v>
      </c>
      <c r="U2122">
        <f>IF(IFERROR(VLOOKUP(BBDD_Usiarios_Netflix[[#This Row],[Identificador Usuario]],A2123:$A$5870,1,FALSE),0)&lt;&gt;0,1,0)</f>
        <v>0</v>
      </c>
      <c r="V2122" s="6" t="str">
        <f>IF(BBDD_Usiarios_Netflix[[#This Row],[Duración Plan]]="12 Meses",LEFT(BBDD_Usiarios_Netflix[[#This Row],[Duración Plan]],2),LEFT(BBDD_Usiarios_Netflix[[#This Row],[Duración Plan]],1))</f>
        <v>3</v>
      </c>
      <c r="W21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23" spans="1:23" x14ac:dyDescent="0.25">
      <c r="A2123">
        <v>2122</v>
      </c>
      <c r="B2123" t="s">
        <v>23</v>
      </c>
      <c r="C2123">
        <v>10</v>
      </c>
      <c r="D2123" s="3">
        <v>23</v>
      </c>
      <c r="E2123" s="3">
        <v>9</v>
      </c>
      <c r="F2123">
        <v>23</v>
      </c>
      <c r="G2123" s="1">
        <f>DATEVALUE(_xlfn.CONCAT(BBDD_Usiarios_Netflix[[#This Row],[Día Suscripción]],"/",BBDD_Usiarios_Netflix[[#This Row],[Mes Suscripción]],"/",BBDD_Usiarios_Netflix[[#This Row],[Año Suscripción]]))</f>
        <v>45192</v>
      </c>
      <c r="H2123" s="1">
        <v>10</v>
      </c>
      <c r="I2123" s="1">
        <v>7</v>
      </c>
      <c r="J2123" s="1">
        <v>24</v>
      </c>
      <c r="K2123" s="1" t="str">
        <f>TEXT(BBDD_Usiarios_Netflix[[#This Row],[Fecha Suscripción]],"dddd")</f>
        <v>sábado</v>
      </c>
      <c r="L2123" s="1">
        <f>DATEVALUE(_xlfn.CONCAT(BBDD_Usiarios_Netflix[[#This Row],[Día Último Pago]],"/",BBDD_Usiarios_Netflix[[#This Row],[Mes Último Pago]],"/",BBDD_Usiarios_Netflix[[#This Row],[Año Último Pago]]))</f>
        <v>45483</v>
      </c>
      <c r="M2123" s="4">
        <f>DATEDIF(BBDD_Usiarios_Netflix[[#This Row],[Fecha Suscripción]],BBDD_Usiarios_Netflix[[#This Row],[Fecha Último Pago]],"M")+1</f>
        <v>10</v>
      </c>
      <c r="N2123" s="4">
        <f>BBDD_Usiarios_Netflix[[#This Row],[Ingresos Mensuales]]*BBDD_Usiarios_Netflix[[#This Row],[Meses contratados]]</f>
        <v>100</v>
      </c>
      <c r="O2123" t="s">
        <v>37</v>
      </c>
      <c r="P2123" t="str">
        <f>IF(BBDD_Usiarios_Netflix[[#This Row],[País]]="","Desconocido",BBDD_Usiarios_Netflix[[#This Row],[País]])</f>
        <v>Brasil</v>
      </c>
      <c r="Q2123">
        <v>48</v>
      </c>
      <c r="R2123" t="s">
        <v>30</v>
      </c>
      <c r="S2123" t="s">
        <v>34</v>
      </c>
      <c r="T2123" t="s">
        <v>41</v>
      </c>
      <c r="U2123">
        <f>IF(IFERROR(VLOOKUP(BBDD_Usiarios_Netflix[[#This Row],[Identificador Usuario]],A2124:$A$5870,1,FALSE),0)&lt;&gt;0,1,0)</f>
        <v>0</v>
      </c>
      <c r="V2123" s="6" t="str">
        <f>IF(BBDD_Usiarios_Netflix[[#This Row],[Duración Plan]]="12 Meses",LEFT(BBDD_Usiarios_Netflix[[#This Row],[Duración Plan]],2),LEFT(BBDD_Usiarios_Netflix[[#This Row],[Duración Plan]],1))</f>
        <v>12</v>
      </c>
      <c r="W21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24" spans="1:23" x14ac:dyDescent="0.25">
      <c r="A2124">
        <v>2123</v>
      </c>
      <c r="B2124" t="s">
        <v>32</v>
      </c>
      <c r="C2124">
        <v>12</v>
      </c>
      <c r="D2124" s="3">
        <v>23</v>
      </c>
      <c r="E2124" s="3">
        <v>9</v>
      </c>
      <c r="F2124">
        <v>23</v>
      </c>
      <c r="G2124" s="1">
        <f>DATEVALUE(_xlfn.CONCAT(BBDD_Usiarios_Netflix[[#This Row],[Día Suscripción]],"/",BBDD_Usiarios_Netflix[[#This Row],[Mes Suscripción]],"/",BBDD_Usiarios_Netflix[[#This Row],[Año Suscripción]]))</f>
        <v>45192</v>
      </c>
      <c r="H2124" s="1">
        <v>9</v>
      </c>
      <c r="I2124" s="1">
        <v>7</v>
      </c>
      <c r="J2124" s="1">
        <v>24</v>
      </c>
      <c r="K2124" s="1" t="str">
        <f>TEXT(BBDD_Usiarios_Netflix[[#This Row],[Fecha Suscripción]],"dddd")</f>
        <v>sábado</v>
      </c>
      <c r="L2124" s="1">
        <f>DATEVALUE(_xlfn.CONCAT(BBDD_Usiarios_Netflix[[#This Row],[Día Último Pago]],"/",BBDD_Usiarios_Netflix[[#This Row],[Mes Último Pago]],"/",BBDD_Usiarios_Netflix[[#This Row],[Año Último Pago]]))</f>
        <v>45482</v>
      </c>
      <c r="M2124" s="4">
        <f>DATEDIF(BBDD_Usiarios_Netflix[[#This Row],[Fecha Suscripción]],BBDD_Usiarios_Netflix[[#This Row],[Fecha Último Pago]],"M")+1</f>
        <v>10</v>
      </c>
      <c r="N2124" s="4">
        <f>BBDD_Usiarios_Netflix[[#This Row],[Ingresos Mensuales]]*BBDD_Usiarios_Netflix[[#This Row],[Meses contratados]]</f>
        <v>120</v>
      </c>
      <c r="O2124" t="s">
        <v>42</v>
      </c>
      <c r="P2124" t="str">
        <f>IF(BBDD_Usiarios_Netflix[[#This Row],[País]]="","Desconocido",BBDD_Usiarios_Netflix[[#This Row],[País]])</f>
        <v>Reino Unido</v>
      </c>
      <c r="Q2124">
        <v>37</v>
      </c>
      <c r="R2124" t="s">
        <v>30</v>
      </c>
      <c r="S2124" t="s">
        <v>31</v>
      </c>
      <c r="T2124" t="s">
        <v>41</v>
      </c>
      <c r="U2124">
        <f>IF(IFERROR(VLOOKUP(BBDD_Usiarios_Netflix[[#This Row],[Identificador Usuario]],A2125:$A$5870,1,FALSE),0)&lt;&gt;0,1,0)</f>
        <v>0</v>
      </c>
      <c r="V2124" s="6" t="str">
        <f>IF(BBDD_Usiarios_Netflix[[#This Row],[Duración Plan]]="12 Meses",LEFT(BBDD_Usiarios_Netflix[[#This Row],[Duración Plan]],2),LEFT(BBDD_Usiarios_Netflix[[#This Row],[Duración Plan]],1))</f>
        <v>12</v>
      </c>
      <c r="W21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25" spans="1:23" x14ac:dyDescent="0.25">
      <c r="A2125">
        <v>2124</v>
      </c>
      <c r="B2125" t="s">
        <v>32</v>
      </c>
      <c r="C2125">
        <v>12</v>
      </c>
      <c r="D2125" s="3">
        <v>14</v>
      </c>
      <c r="E2125" s="3">
        <v>9</v>
      </c>
      <c r="F2125">
        <v>23</v>
      </c>
      <c r="G2125" s="1">
        <f>DATEVALUE(_xlfn.CONCAT(BBDD_Usiarios_Netflix[[#This Row],[Día Suscripción]],"/",BBDD_Usiarios_Netflix[[#This Row],[Mes Suscripción]],"/",BBDD_Usiarios_Netflix[[#This Row],[Año Suscripción]]))</f>
        <v>45183</v>
      </c>
      <c r="H2125" s="1">
        <v>11</v>
      </c>
      <c r="I2125" s="1">
        <v>7</v>
      </c>
      <c r="J2125" s="1">
        <v>24</v>
      </c>
      <c r="K2125" s="1" t="str">
        <f>TEXT(BBDD_Usiarios_Netflix[[#This Row],[Fecha Suscripción]],"dddd")</f>
        <v>jueves</v>
      </c>
      <c r="L2125" s="1">
        <f>DATEVALUE(_xlfn.CONCAT(BBDD_Usiarios_Netflix[[#This Row],[Día Último Pago]],"/",BBDD_Usiarios_Netflix[[#This Row],[Mes Último Pago]],"/",BBDD_Usiarios_Netflix[[#This Row],[Año Último Pago]]))</f>
        <v>45484</v>
      </c>
      <c r="M2125" s="4">
        <f>DATEDIF(BBDD_Usiarios_Netflix[[#This Row],[Fecha Suscripción]],BBDD_Usiarios_Netflix[[#This Row],[Fecha Último Pago]],"M")+1</f>
        <v>10</v>
      </c>
      <c r="N2125" s="4">
        <f>BBDD_Usiarios_Netflix[[#This Row],[Ingresos Mensuales]]*BBDD_Usiarios_Netflix[[#This Row],[Meses contratados]]</f>
        <v>120</v>
      </c>
      <c r="O2125" t="s">
        <v>33</v>
      </c>
      <c r="P2125" t="str">
        <f>IF(BBDD_Usiarios_Netflix[[#This Row],[País]]="","Desconocido",BBDD_Usiarios_Netflix[[#This Row],[País]])</f>
        <v>Francia</v>
      </c>
      <c r="Q2125">
        <v>40</v>
      </c>
      <c r="R2125" t="s">
        <v>25</v>
      </c>
      <c r="S2125" t="s">
        <v>36</v>
      </c>
      <c r="T2125" t="s">
        <v>35</v>
      </c>
      <c r="U2125">
        <f>IF(IFERROR(VLOOKUP(BBDD_Usiarios_Netflix[[#This Row],[Identificador Usuario]],A2126:$A$5870,1,FALSE),0)&lt;&gt;0,1,0)</f>
        <v>0</v>
      </c>
      <c r="V2125" s="6" t="str">
        <f>IF(BBDD_Usiarios_Netflix[[#This Row],[Duración Plan]]="12 Meses",LEFT(BBDD_Usiarios_Netflix[[#This Row],[Duración Plan]],2),LEFT(BBDD_Usiarios_Netflix[[#This Row],[Duración Plan]],1))</f>
        <v>6</v>
      </c>
      <c r="W21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26" spans="1:23" x14ac:dyDescent="0.25">
      <c r="A2126">
        <v>2125</v>
      </c>
      <c r="B2126" t="s">
        <v>23</v>
      </c>
      <c r="C2126">
        <v>10</v>
      </c>
      <c r="D2126" s="3">
        <v>5</v>
      </c>
      <c r="E2126" s="3">
        <v>9</v>
      </c>
      <c r="F2126">
        <v>23</v>
      </c>
      <c r="G2126" s="1">
        <f>DATEVALUE(_xlfn.CONCAT(BBDD_Usiarios_Netflix[[#This Row],[Día Suscripción]],"/",BBDD_Usiarios_Netflix[[#This Row],[Mes Suscripción]],"/",BBDD_Usiarios_Netflix[[#This Row],[Año Suscripción]]))</f>
        <v>45174</v>
      </c>
      <c r="H2126" s="1">
        <v>9</v>
      </c>
      <c r="I2126" s="1">
        <v>7</v>
      </c>
      <c r="J2126" s="1">
        <v>24</v>
      </c>
      <c r="K2126" s="1" t="str">
        <f>TEXT(BBDD_Usiarios_Netflix[[#This Row],[Fecha Suscripción]],"dddd")</f>
        <v>martes</v>
      </c>
      <c r="L2126" s="1">
        <f>DATEVALUE(_xlfn.CONCAT(BBDD_Usiarios_Netflix[[#This Row],[Día Último Pago]],"/",BBDD_Usiarios_Netflix[[#This Row],[Mes Último Pago]],"/",BBDD_Usiarios_Netflix[[#This Row],[Año Último Pago]]))</f>
        <v>45482</v>
      </c>
      <c r="M2126" s="4">
        <f>DATEDIF(BBDD_Usiarios_Netflix[[#This Row],[Fecha Suscripción]],BBDD_Usiarios_Netflix[[#This Row],[Fecha Último Pago]],"M")+1</f>
        <v>11</v>
      </c>
      <c r="N2126" s="4">
        <f>BBDD_Usiarios_Netflix[[#This Row],[Ingresos Mensuales]]*BBDD_Usiarios_Netflix[[#This Row],[Meses contratados]]</f>
        <v>110</v>
      </c>
      <c r="O2126" t="s">
        <v>44</v>
      </c>
      <c r="P2126" t="str">
        <f>IF(BBDD_Usiarios_Netflix[[#This Row],[País]]="","Desconocido",BBDD_Usiarios_Netflix[[#This Row],[País]])</f>
        <v>Desconocido</v>
      </c>
      <c r="Q2126">
        <v>41</v>
      </c>
      <c r="R2126" t="s">
        <v>30</v>
      </c>
      <c r="S2126" t="s">
        <v>26</v>
      </c>
      <c r="T2126" t="s">
        <v>27</v>
      </c>
      <c r="U2126">
        <f>IF(IFERROR(VLOOKUP(BBDD_Usiarios_Netflix[[#This Row],[Identificador Usuario]],A2127:$A$5870,1,FALSE),0)&lt;&gt;0,1,0)</f>
        <v>0</v>
      </c>
      <c r="V2126" s="6" t="str">
        <f>IF(BBDD_Usiarios_Netflix[[#This Row],[Duración Plan]]="12 Meses",LEFT(BBDD_Usiarios_Netflix[[#This Row],[Duración Plan]],2),LEFT(BBDD_Usiarios_Netflix[[#This Row],[Duración Plan]],1))</f>
        <v>1</v>
      </c>
      <c r="W21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27" spans="1:23" x14ac:dyDescent="0.25">
      <c r="A2127">
        <v>2126</v>
      </c>
      <c r="B2127" t="s">
        <v>28</v>
      </c>
      <c r="C2127">
        <v>14</v>
      </c>
      <c r="D2127" s="3">
        <v>13</v>
      </c>
      <c r="E2127" s="3">
        <v>8</v>
      </c>
      <c r="F2127">
        <v>23</v>
      </c>
      <c r="G2127" s="1">
        <f>DATEVALUE(_xlfn.CONCAT(BBDD_Usiarios_Netflix[[#This Row],[Día Suscripción]],"/",BBDD_Usiarios_Netflix[[#This Row],[Mes Suscripción]],"/",BBDD_Usiarios_Netflix[[#This Row],[Año Suscripción]]))</f>
        <v>45151</v>
      </c>
      <c r="H2127" s="1">
        <v>9</v>
      </c>
      <c r="I2127" s="1">
        <v>7</v>
      </c>
      <c r="J2127" s="1">
        <v>24</v>
      </c>
      <c r="K2127" s="1" t="str">
        <f>TEXT(BBDD_Usiarios_Netflix[[#This Row],[Fecha Suscripción]],"dddd")</f>
        <v>domingo</v>
      </c>
      <c r="L2127" s="1">
        <f>DATEVALUE(_xlfn.CONCAT(BBDD_Usiarios_Netflix[[#This Row],[Día Último Pago]],"/",BBDD_Usiarios_Netflix[[#This Row],[Mes Último Pago]],"/",BBDD_Usiarios_Netflix[[#This Row],[Año Último Pago]]))</f>
        <v>45482</v>
      </c>
      <c r="M2127" s="4">
        <f>DATEDIF(BBDD_Usiarios_Netflix[[#This Row],[Fecha Suscripción]],BBDD_Usiarios_Netflix[[#This Row],[Fecha Último Pago]],"M")+1</f>
        <v>11</v>
      </c>
      <c r="N2127" s="4">
        <f>BBDD_Usiarios_Netflix[[#This Row],[Ingresos Mensuales]]*BBDD_Usiarios_Netflix[[#This Row],[Meses contratados]]</f>
        <v>154</v>
      </c>
      <c r="O2127" t="s">
        <v>24</v>
      </c>
      <c r="P2127" t="str">
        <f>IF(BBDD_Usiarios_Netflix[[#This Row],[País]]="","Desconocido",BBDD_Usiarios_Netflix[[#This Row],[País]])</f>
        <v>Australia</v>
      </c>
      <c r="Q2127">
        <v>35</v>
      </c>
      <c r="R2127" t="s">
        <v>30</v>
      </c>
      <c r="S2127" t="s">
        <v>26</v>
      </c>
      <c r="T2127" t="s">
        <v>27</v>
      </c>
      <c r="U2127">
        <f>IF(IFERROR(VLOOKUP(BBDD_Usiarios_Netflix[[#This Row],[Identificador Usuario]],A2128:$A$5870,1,FALSE),0)&lt;&gt;0,1,0)</f>
        <v>0</v>
      </c>
      <c r="V2127" s="6" t="str">
        <f>IF(BBDD_Usiarios_Netflix[[#This Row],[Duración Plan]]="12 Meses",LEFT(BBDD_Usiarios_Netflix[[#This Row],[Duración Plan]],2),LEFT(BBDD_Usiarios_Netflix[[#This Row],[Duración Plan]],1))</f>
        <v>1</v>
      </c>
      <c r="W21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28" spans="1:23" x14ac:dyDescent="0.25">
      <c r="A2128">
        <v>2127</v>
      </c>
      <c r="B2128" t="s">
        <v>23</v>
      </c>
      <c r="C2128">
        <v>10</v>
      </c>
      <c r="D2128" s="3">
        <v>12</v>
      </c>
      <c r="E2128" s="3">
        <v>8</v>
      </c>
      <c r="F2128">
        <v>23</v>
      </c>
      <c r="G2128" s="1">
        <f>DATEVALUE(_xlfn.CONCAT(BBDD_Usiarios_Netflix[[#This Row],[Día Suscripción]],"/",BBDD_Usiarios_Netflix[[#This Row],[Mes Suscripción]],"/",BBDD_Usiarios_Netflix[[#This Row],[Año Suscripción]]))</f>
        <v>45150</v>
      </c>
      <c r="H2128" s="1">
        <v>9</v>
      </c>
      <c r="I2128" s="1">
        <v>7</v>
      </c>
      <c r="J2128" s="1">
        <v>24</v>
      </c>
      <c r="K2128" s="1" t="str">
        <f>TEXT(BBDD_Usiarios_Netflix[[#This Row],[Fecha Suscripción]],"dddd")</f>
        <v>sábado</v>
      </c>
      <c r="L2128" s="1">
        <f>DATEVALUE(_xlfn.CONCAT(BBDD_Usiarios_Netflix[[#This Row],[Día Último Pago]],"/",BBDD_Usiarios_Netflix[[#This Row],[Mes Último Pago]],"/",BBDD_Usiarios_Netflix[[#This Row],[Año Último Pago]]))</f>
        <v>45482</v>
      </c>
      <c r="M2128" s="4">
        <f>DATEDIF(BBDD_Usiarios_Netflix[[#This Row],[Fecha Suscripción]],BBDD_Usiarios_Netflix[[#This Row],[Fecha Último Pago]],"M")+1</f>
        <v>11</v>
      </c>
      <c r="N2128" s="4">
        <f>BBDD_Usiarios_Netflix[[#This Row],[Ingresos Mensuales]]*BBDD_Usiarios_Netflix[[#This Row],[Meses contratados]]</f>
        <v>110</v>
      </c>
      <c r="O2128" t="s">
        <v>24</v>
      </c>
      <c r="P2128" t="str">
        <f>IF(BBDD_Usiarios_Netflix[[#This Row],[País]]="","Desconocido",BBDD_Usiarios_Netflix[[#This Row],[País]])</f>
        <v>Australia</v>
      </c>
      <c r="Q2128">
        <v>46</v>
      </c>
      <c r="R2128" t="s">
        <v>25</v>
      </c>
      <c r="S2128" t="s">
        <v>26</v>
      </c>
      <c r="T2128" t="s">
        <v>35</v>
      </c>
      <c r="U2128">
        <f>IF(IFERROR(VLOOKUP(BBDD_Usiarios_Netflix[[#This Row],[Identificador Usuario]],A2129:$A$5870,1,FALSE),0)&lt;&gt;0,1,0)</f>
        <v>0</v>
      </c>
      <c r="V2128" s="6" t="str">
        <f>IF(BBDD_Usiarios_Netflix[[#This Row],[Duración Plan]]="12 Meses",LEFT(BBDD_Usiarios_Netflix[[#This Row],[Duración Plan]],2),LEFT(BBDD_Usiarios_Netflix[[#This Row],[Duración Plan]],1))</f>
        <v>6</v>
      </c>
      <c r="W21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29" spans="1:23" x14ac:dyDescent="0.25">
      <c r="A2129">
        <v>2128</v>
      </c>
      <c r="B2129" t="s">
        <v>32</v>
      </c>
      <c r="C2129">
        <v>12</v>
      </c>
      <c r="D2129" s="3">
        <v>10</v>
      </c>
      <c r="E2129" s="3">
        <v>8</v>
      </c>
      <c r="F2129">
        <v>23</v>
      </c>
      <c r="G2129" s="1">
        <f>DATEVALUE(_xlfn.CONCAT(BBDD_Usiarios_Netflix[[#This Row],[Día Suscripción]],"/",BBDD_Usiarios_Netflix[[#This Row],[Mes Suscripción]],"/",BBDD_Usiarios_Netflix[[#This Row],[Año Suscripción]]))</f>
        <v>45148</v>
      </c>
      <c r="H2129" s="1">
        <v>11</v>
      </c>
      <c r="I2129" s="1">
        <v>7</v>
      </c>
      <c r="J2129" s="1">
        <v>24</v>
      </c>
      <c r="K2129" s="1" t="str">
        <f>TEXT(BBDD_Usiarios_Netflix[[#This Row],[Fecha Suscripción]],"dddd")</f>
        <v>jueves</v>
      </c>
      <c r="L2129" s="1">
        <f>DATEVALUE(_xlfn.CONCAT(BBDD_Usiarios_Netflix[[#This Row],[Día Último Pago]],"/",BBDD_Usiarios_Netflix[[#This Row],[Mes Último Pago]],"/",BBDD_Usiarios_Netflix[[#This Row],[Año Último Pago]]))</f>
        <v>45484</v>
      </c>
      <c r="M2129" s="4">
        <f>DATEDIF(BBDD_Usiarios_Netflix[[#This Row],[Fecha Suscripción]],BBDD_Usiarios_Netflix[[#This Row],[Fecha Último Pago]],"M")+1</f>
        <v>12</v>
      </c>
      <c r="N2129" s="4">
        <f>BBDD_Usiarios_Netflix[[#This Row],[Ingresos Mensuales]]*BBDD_Usiarios_Netflix[[#This Row],[Meses contratados]]</f>
        <v>144</v>
      </c>
      <c r="O2129" t="s">
        <v>46</v>
      </c>
      <c r="P2129" t="str">
        <f>IF(BBDD_Usiarios_Netflix[[#This Row],[País]]="","Desconocido",BBDD_Usiarios_Netflix[[#This Row],[País]])</f>
        <v>Méjico</v>
      </c>
      <c r="Q2129">
        <v>28</v>
      </c>
      <c r="R2129" t="s">
        <v>30</v>
      </c>
      <c r="S2129" t="s">
        <v>31</v>
      </c>
      <c r="T2129" t="s">
        <v>41</v>
      </c>
      <c r="U2129">
        <f>IF(IFERROR(VLOOKUP(BBDD_Usiarios_Netflix[[#This Row],[Identificador Usuario]],A2130:$A$5870,1,FALSE),0)&lt;&gt;0,1,0)</f>
        <v>0</v>
      </c>
      <c r="V2129" s="6" t="str">
        <f>IF(BBDD_Usiarios_Netflix[[#This Row],[Duración Plan]]="12 Meses",LEFT(BBDD_Usiarios_Netflix[[#This Row],[Duración Plan]],2),LEFT(BBDD_Usiarios_Netflix[[#This Row],[Duración Plan]],1))</f>
        <v>12</v>
      </c>
      <c r="W21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30" spans="1:23" x14ac:dyDescent="0.25">
      <c r="A2130">
        <v>2129</v>
      </c>
      <c r="B2130" t="s">
        <v>28</v>
      </c>
      <c r="C2130">
        <v>14</v>
      </c>
      <c r="D2130" s="3">
        <v>5</v>
      </c>
      <c r="E2130" s="3">
        <v>8</v>
      </c>
      <c r="F2130">
        <v>23</v>
      </c>
      <c r="G2130" s="1">
        <f>DATEVALUE(_xlfn.CONCAT(BBDD_Usiarios_Netflix[[#This Row],[Día Suscripción]],"/",BBDD_Usiarios_Netflix[[#This Row],[Mes Suscripción]],"/",BBDD_Usiarios_Netflix[[#This Row],[Año Suscripción]]))</f>
        <v>45143</v>
      </c>
      <c r="H2130" s="1">
        <v>9</v>
      </c>
      <c r="I2130" s="1">
        <v>7</v>
      </c>
      <c r="J2130" s="1">
        <v>24</v>
      </c>
      <c r="K2130" s="1" t="str">
        <f>TEXT(BBDD_Usiarios_Netflix[[#This Row],[Fecha Suscripción]],"dddd")</f>
        <v>sábado</v>
      </c>
      <c r="L2130" s="1">
        <f>DATEVALUE(_xlfn.CONCAT(BBDD_Usiarios_Netflix[[#This Row],[Día Último Pago]],"/",BBDD_Usiarios_Netflix[[#This Row],[Mes Último Pago]],"/",BBDD_Usiarios_Netflix[[#This Row],[Año Último Pago]]))</f>
        <v>45482</v>
      </c>
      <c r="M2130" s="4">
        <f>DATEDIF(BBDD_Usiarios_Netflix[[#This Row],[Fecha Suscripción]],BBDD_Usiarios_Netflix[[#This Row],[Fecha Último Pago]],"M")+1</f>
        <v>12</v>
      </c>
      <c r="N2130" s="4">
        <f>BBDD_Usiarios_Netflix[[#This Row],[Ingresos Mensuales]]*BBDD_Usiarios_Netflix[[#This Row],[Meses contratados]]</f>
        <v>168</v>
      </c>
      <c r="O2130" t="s">
        <v>42</v>
      </c>
      <c r="P2130" t="str">
        <f>IF(BBDD_Usiarios_Netflix[[#This Row],[País]]="","Desconocido",BBDD_Usiarios_Netflix[[#This Row],[País]])</f>
        <v>Reino Unido</v>
      </c>
      <c r="Q2130">
        <v>29</v>
      </c>
      <c r="R2130" t="s">
        <v>30</v>
      </c>
      <c r="S2130" t="s">
        <v>36</v>
      </c>
      <c r="T2130" t="s">
        <v>27</v>
      </c>
      <c r="U2130">
        <f>IF(IFERROR(VLOOKUP(BBDD_Usiarios_Netflix[[#This Row],[Identificador Usuario]],A2131:$A$5870,1,FALSE),0)&lt;&gt;0,1,0)</f>
        <v>0</v>
      </c>
      <c r="V2130" s="6" t="str">
        <f>IF(BBDD_Usiarios_Netflix[[#This Row],[Duración Plan]]="12 Meses",LEFT(BBDD_Usiarios_Netflix[[#This Row],[Duración Plan]],2),LEFT(BBDD_Usiarios_Netflix[[#This Row],[Duración Plan]],1))</f>
        <v>1</v>
      </c>
      <c r="W21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31" spans="1:23" x14ac:dyDescent="0.25">
      <c r="A2131">
        <v>2130</v>
      </c>
      <c r="B2131" t="s">
        <v>23</v>
      </c>
      <c r="C2131">
        <v>10</v>
      </c>
      <c r="D2131" s="3">
        <v>4</v>
      </c>
      <c r="E2131" s="3">
        <v>8</v>
      </c>
      <c r="F2131">
        <v>23</v>
      </c>
      <c r="G2131" s="1">
        <f>DATEVALUE(_xlfn.CONCAT(BBDD_Usiarios_Netflix[[#This Row],[Día Suscripción]],"/",BBDD_Usiarios_Netflix[[#This Row],[Mes Suscripción]],"/",BBDD_Usiarios_Netflix[[#This Row],[Año Suscripción]]))</f>
        <v>45142</v>
      </c>
      <c r="H2131" s="1">
        <v>12</v>
      </c>
      <c r="I2131" s="1">
        <v>7</v>
      </c>
      <c r="J2131" s="1">
        <v>24</v>
      </c>
      <c r="K2131" s="1" t="str">
        <f>TEXT(BBDD_Usiarios_Netflix[[#This Row],[Fecha Suscripción]],"dddd")</f>
        <v>viernes</v>
      </c>
      <c r="L2131" s="1">
        <f>DATEVALUE(_xlfn.CONCAT(BBDD_Usiarios_Netflix[[#This Row],[Día Último Pago]],"/",BBDD_Usiarios_Netflix[[#This Row],[Mes Último Pago]],"/",BBDD_Usiarios_Netflix[[#This Row],[Año Último Pago]]))</f>
        <v>45485</v>
      </c>
      <c r="M2131" s="4">
        <f>DATEDIF(BBDD_Usiarios_Netflix[[#This Row],[Fecha Suscripción]],BBDD_Usiarios_Netflix[[#This Row],[Fecha Último Pago]],"M")+1</f>
        <v>12</v>
      </c>
      <c r="N2131" s="4">
        <f>BBDD_Usiarios_Netflix[[#This Row],[Ingresos Mensuales]]*BBDD_Usiarios_Netflix[[#This Row],[Meses contratados]]</f>
        <v>120</v>
      </c>
      <c r="O2131" t="s">
        <v>43</v>
      </c>
      <c r="P2131" t="str">
        <f>IF(BBDD_Usiarios_Netflix[[#This Row],[País]]="","Desconocido",BBDD_Usiarios_Netflix[[#This Row],[País]])</f>
        <v>Alemania</v>
      </c>
      <c r="Q2131">
        <v>46</v>
      </c>
      <c r="R2131" t="s">
        <v>30</v>
      </c>
      <c r="S2131" t="s">
        <v>31</v>
      </c>
      <c r="T2131" t="s">
        <v>38</v>
      </c>
      <c r="U2131">
        <f>IF(IFERROR(VLOOKUP(BBDD_Usiarios_Netflix[[#This Row],[Identificador Usuario]],A2132:$A$5870,1,FALSE),0)&lt;&gt;0,1,0)</f>
        <v>0</v>
      </c>
      <c r="V2131" s="6" t="str">
        <f>IF(BBDD_Usiarios_Netflix[[#This Row],[Duración Plan]]="12 Meses",LEFT(BBDD_Usiarios_Netflix[[#This Row],[Duración Plan]],2),LEFT(BBDD_Usiarios_Netflix[[#This Row],[Duración Plan]],1))</f>
        <v>3</v>
      </c>
      <c r="W21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32" spans="1:23" x14ac:dyDescent="0.25">
      <c r="A2132">
        <v>2131</v>
      </c>
      <c r="B2132" t="s">
        <v>28</v>
      </c>
      <c r="C2132">
        <v>14</v>
      </c>
      <c r="D2132" s="3">
        <v>28</v>
      </c>
      <c r="E2132" s="3">
        <v>7</v>
      </c>
      <c r="F2132">
        <v>23</v>
      </c>
      <c r="G2132" s="1">
        <f>DATEVALUE(_xlfn.CONCAT(BBDD_Usiarios_Netflix[[#This Row],[Día Suscripción]],"/",BBDD_Usiarios_Netflix[[#This Row],[Mes Suscripción]],"/",BBDD_Usiarios_Netflix[[#This Row],[Año Suscripción]]))</f>
        <v>45135</v>
      </c>
      <c r="H2132" s="1">
        <v>9</v>
      </c>
      <c r="I2132" s="1">
        <v>7</v>
      </c>
      <c r="J2132" s="1">
        <v>24</v>
      </c>
      <c r="K2132" s="1" t="str">
        <f>TEXT(BBDD_Usiarios_Netflix[[#This Row],[Fecha Suscripción]],"dddd")</f>
        <v>viernes</v>
      </c>
      <c r="L2132" s="1">
        <f>DATEVALUE(_xlfn.CONCAT(BBDD_Usiarios_Netflix[[#This Row],[Día Último Pago]],"/",BBDD_Usiarios_Netflix[[#This Row],[Mes Último Pago]],"/",BBDD_Usiarios_Netflix[[#This Row],[Año Último Pago]]))</f>
        <v>45482</v>
      </c>
      <c r="M2132" s="4">
        <f>DATEDIF(BBDD_Usiarios_Netflix[[#This Row],[Fecha Suscripción]],BBDD_Usiarios_Netflix[[#This Row],[Fecha Último Pago]],"M")+1</f>
        <v>12</v>
      </c>
      <c r="N2132" s="4">
        <f>BBDD_Usiarios_Netflix[[#This Row],[Ingresos Mensuales]]*BBDD_Usiarios_Netflix[[#This Row],[Meses contratados]]</f>
        <v>168</v>
      </c>
      <c r="O2132" t="s">
        <v>42</v>
      </c>
      <c r="P2132" t="str">
        <f>IF(BBDD_Usiarios_Netflix[[#This Row],[País]]="","Desconocido",BBDD_Usiarios_Netflix[[#This Row],[País]])</f>
        <v>Reino Unido</v>
      </c>
      <c r="Q2132">
        <v>35</v>
      </c>
      <c r="R2132" t="s">
        <v>25</v>
      </c>
      <c r="S2132" t="s">
        <v>36</v>
      </c>
      <c r="T2132" t="s">
        <v>38</v>
      </c>
      <c r="U2132">
        <f>IF(IFERROR(VLOOKUP(BBDD_Usiarios_Netflix[[#This Row],[Identificador Usuario]],A2133:$A$5870,1,FALSE),0)&lt;&gt;0,1,0)</f>
        <v>0</v>
      </c>
      <c r="V2132" s="6" t="str">
        <f>IF(BBDD_Usiarios_Netflix[[#This Row],[Duración Plan]]="12 Meses",LEFT(BBDD_Usiarios_Netflix[[#This Row],[Duración Plan]],2),LEFT(BBDD_Usiarios_Netflix[[#This Row],[Duración Plan]],1))</f>
        <v>3</v>
      </c>
      <c r="W21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33" spans="1:23" x14ac:dyDescent="0.25">
      <c r="A2133">
        <v>2132</v>
      </c>
      <c r="B2133" t="s">
        <v>23</v>
      </c>
      <c r="C2133">
        <v>10</v>
      </c>
      <c r="D2133" s="3">
        <v>24</v>
      </c>
      <c r="E2133" s="3">
        <v>7</v>
      </c>
      <c r="F2133">
        <v>23</v>
      </c>
      <c r="G2133" s="1">
        <f>DATEVALUE(_xlfn.CONCAT(BBDD_Usiarios_Netflix[[#This Row],[Día Suscripción]],"/",BBDD_Usiarios_Netflix[[#This Row],[Mes Suscripción]],"/",BBDD_Usiarios_Netflix[[#This Row],[Año Suscripción]]))</f>
        <v>45131</v>
      </c>
      <c r="H2133" s="1">
        <v>11</v>
      </c>
      <c r="I2133" s="1">
        <v>7</v>
      </c>
      <c r="J2133" s="1">
        <v>24</v>
      </c>
      <c r="K2133" s="1" t="str">
        <f>TEXT(BBDD_Usiarios_Netflix[[#This Row],[Fecha Suscripción]],"dddd")</f>
        <v>lunes</v>
      </c>
      <c r="L2133" s="1">
        <f>DATEVALUE(_xlfn.CONCAT(BBDD_Usiarios_Netflix[[#This Row],[Día Último Pago]],"/",BBDD_Usiarios_Netflix[[#This Row],[Mes Último Pago]],"/",BBDD_Usiarios_Netflix[[#This Row],[Año Último Pago]]))</f>
        <v>45484</v>
      </c>
      <c r="M2133" s="4">
        <f>DATEDIF(BBDD_Usiarios_Netflix[[#This Row],[Fecha Suscripción]],BBDD_Usiarios_Netflix[[#This Row],[Fecha Último Pago]],"M")+1</f>
        <v>12</v>
      </c>
      <c r="N2133" s="4">
        <f>BBDD_Usiarios_Netflix[[#This Row],[Ingresos Mensuales]]*BBDD_Usiarios_Netflix[[#This Row],[Meses contratados]]</f>
        <v>120</v>
      </c>
      <c r="O2133" t="s">
        <v>43</v>
      </c>
      <c r="P2133" t="str">
        <f>IF(BBDD_Usiarios_Netflix[[#This Row],[País]]="","Desconocido",BBDD_Usiarios_Netflix[[#This Row],[País]])</f>
        <v>Alemania</v>
      </c>
      <c r="Q2133">
        <v>27</v>
      </c>
      <c r="R2133" t="s">
        <v>25</v>
      </c>
      <c r="S2133" t="s">
        <v>34</v>
      </c>
      <c r="T2133" t="s">
        <v>27</v>
      </c>
      <c r="U2133">
        <f>IF(IFERROR(VLOOKUP(BBDD_Usiarios_Netflix[[#This Row],[Identificador Usuario]],A2134:$A$5870,1,FALSE),0)&lt;&gt;0,1,0)</f>
        <v>0</v>
      </c>
      <c r="V2133" s="6" t="str">
        <f>IF(BBDD_Usiarios_Netflix[[#This Row],[Duración Plan]]="12 Meses",LEFT(BBDD_Usiarios_Netflix[[#This Row],[Duración Plan]],2),LEFT(BBDD_Usiarios_Netflix[[#This Row],[Duración Plan]],1))</f>
        <v>1</v>
      </c>
      <c r="W21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34" spans="1:23" x14ac:dyDescent="0.25">
      <c r="A2134">
        <v>2133</v>
      </c>
      <c r="B2134" t="s">
        <v>32</v>
      </c>
      <c r="C2134">
        <v>12</v>
      </c>
      <c r="D2134" s="3">
        <v>22</v>
      </c>
      <c r="E2134" s="3">
        <v>7</v>
      </c>
      <c r="F2134">
        <v>23</v>
      </c>
      <c r="G2134" s="1">
        <f>DATEVALUE(_xlfn.CONCAT(BBDD_Usiarios_Netflix[[#This Row],[Día Suscripción]],"/",BBDD_Usiarios_Netflix[[#This Row],[Mes Suscripción]],"/",BBDD_Usiarios_Netflix[[#This Row],[Año Suscripción]]))</f>
        <v>45129</v>
      </c>
      <c r="H2134" s="1">
        <v>9</v>
      </c>
      <c r="I2134" s="1">
        <v>7</v>
      </c>
      <c r="J2134" s="1">
        <v>24</v>
      </c>
      <c r="K2134" s="1" t="str">
        <f>TEXT(BBDD_Usiarios_Netflix[[#This Row],[Fecha Suscripción]],"dddd")</f>
        <v>sábado</v>
      </c>
      <c r="L2134" s="1">
        <f>DATEVALUE(_xlfn.CONCAT(BBDD_Usiarios_Netflix[[#This Row],[Día Último Pago]],"/",BBDD_Usiarios_Netflix[[#This Row],[Mes Último Pago]],"/",BBDD_Usiarios_Netflix[[#This Row],[Año Último Pago]]))</f>
        <v>45482</v>
      </c>
      <c r="M2134" s="4">
        <f>DATEDIF(BBDD_Usiarios_Netflix[[#This Row],[Fecha Suscripción]],BBDD_Usiarios_Netflix[[#This Row],[Fecha Último Pago]],"M")+1</f>
        <v>12</v>
      </c>
      <c r="N2134" s="4">
        <f>BBDD_Usiarios_Netflix[[#This Row],[Ingresos Mensuales]]*BBDD_Usiarios_Netflix[[#This Row],[Meses contratados]]</f>
        <v>144</v>
      </c>
      <c r="O2134" t="s">
        <v>44</v>
      </c>
      <c r="P2134" t="str">
        <f>IF(BBDD_Usiarios_Netflix[[#This Row],[País]]="","Desconocido",BBDD_Usiarios_Netflix[[#This Row],[País]])</f>
        <v>Desconocido</v>
      </c>
      <c r="Q2134">
        <v>38</v>
      </c>
      <c r="R2134" t="s">
        <v>25</v>
      </c>
      <c r="S2134" t="s">
        <v>36</v>
      </c>
      <c r="T2134" t="s">
        <v>27</v>
      </c>
      <c r="U2134">
        <f>IF(IFERROR(VLOOKUP(BBDD_Usiarios_Netflix[[#This Row],[Identificador Usuario]],A2135:$A$5870,1,FALSE),0)&lt;&gt;0,1,0)</f>
        <v>0</v>
      </c>
      <c r="V2134" s="6" t="str">
        <f>IF(BBDD_Usiarios_Netflix[[#This Row],[Duración Plan]]="12 Meses",LEFT(BBDD_Usiarios_Netflix[[#This Row],[Duración Plan]],2),LEFT(BBDD_Usiarios_Netflix[[#This Row],[Duración Plan]],1))</f>
        <v>1</v>
      </c>
      <c r="W21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35" spans="1:23" x14ac:dyDescent="0.25">
      <c r="A2135">
        <v>2134</v>
      </c>
      <c r="B2135" t="s">
        <v>32</v>
      </c>
      <c r="C2135">
        <v>12</v>
      </c>
      <c r="D2135" s="3">
        <v>22</v>
      </c>
      <c r="E2135" s="3">
        <v>7</v>
      </c>
      <c r="F2135">
        <v>23</v>
      </c>
      <c r="G2135" s="1">
        <f>DATEVALUE(_xlfn.CONCAT(BBDD_Usiarios_Netflix[[#This Row],[Día Suscripción]],"/",BBDD_Usiarios_Netflix[[#This Row],[Mes Suscripción]],"/",BBDD_Usiarios_Netflix[[#This Row],[Año Suscripción]]))</f>
        <v>45129</v>
      </c>
      <c r="H2135" s="1">
        <v>12</v>
      </c>
      <c r="I2135" s="1">
        <v>7</v>
      </c>
      <c r="J2135" s="1">
        <v>24</v>
      </c>
      <c r="K2135" s="1" t="str">
        <f>TEXT(BBDD_Usiarios_Netflix[[#This Row],[Fecha Suscripción]],"dddd")</f>
        <v>sábado</v>
      </c>
      <c r="L2135" s="1">
        <f>DATEVALUE(_xlfn.CONCAT(BBDD_Usiarios_Netflix[[#This Row],[Día Último Pago]],"/",BBDD_Usiarios_Netflix[[#This Row],[Mes Último Pago]],"/",BBDD_Usiarios_Netflix[[#This Row],[Año Último Pago]]))</f>
        <v>45485</v>
      </c>
      <c r="M2135" s="4">
        <f>DATEDIF(BBDD_Usiarios_Netflix[[#This Row],[Fecha Suscripción]],BBDD_Usiarios_Netflix[[#This Row],[Fecha Último Pago]],"M")+1</f>
        <v>12</v>
      </c>
      <c r="N2135" s="4">
        <f>BBDD_Usiarios_Netflix[[#This Row],[Ingresos Mensuales]]*BBDD_Usiarios_Netflix[[#This Row],[Meses contratados]]</f>
        <v>144</v>
      </c>
      <c r="O2135" t="s">
        <v>45</v>
      </c>
      <c r="P2135" t="str">
        <f>IF(BBDD_Usiarios_Netflix[[#This Row],[País]]="","Desconocido",BBDD_Usiarios_Netflix[[#This Row],[País]])</f>
        <v>España</v>
      </c>
      <c r="Q2135">
        <v>43</v>
      </c>
      <c r="R2135" t="s">
        <v>25</v>
      </c>
      <c r="S2135" t="s">
        <v>34</v>
      </c>
      <c r="T2135" t="s">
        <v>27</v>
      </c>
      <c r="U2135">
        <f>IF(IFERROR(VLOOKUP(BBDD_Usiarios_Netflix[[#This Row],[Identificador Usuario]],A2136:$A$5870,1,FALSE),0)&lt;&gt;0,1,0)</f>
        <v>0</v>
      </c>
      <c r="V2135" s="6" t="str">
        <f>IF(BBDD_Usiarios_Netflix[[#This Row],[Duración Plan]]="12 Meses",LEFT(BBDD_Usiarios_Netflix[[#This Row],[Duración Plan]],2),LEFT(BBDD_Usiarios_Netflix[[#This Row],[Duración Plan]],1))</f>
        <v>1</v>
      </c>
      <c r="W21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36" spans="1:23" x14ac:dyDescent="0.25">
      <c r="A2136">
        <v>2135</v>
      </c>
      <c r="B2136" t="s">
        <v>23</v>
      </c>
      <c r="C2136">
        <v>10</v>
      </c>
      <c r="D2136" s="3">
        <v>19</v>
      </c>
      <c r="E2136" s="3">
        <v>7</v>
      </c>
      <c r="F2136">
        <v>23</v>
      </c>
      <c r="G2136" s="1">
        <f>DATEVALUE(_xlfn.CONCAT(BBDD_Usiarios_Netflix[[#This Row],[Día Suscripción]],"/",BBDD_Usiarios_Netflix[[#This Row],[Mes Suscripción]],"/",BBDD_Usiarios_Netflix[[#This Row],[Año Suscripción]]))</f>
        <v>45126</v>
      </c>
      <c r="H2136" s="1">
        <v>9</v>
      </c>
      <c r="I2136" s="1">
        <v>7</v>
      </c>
      <c r="J2136" s="1">
        <v>24</v>
      </c>
      <c r="K2136" s="1" t="str">
        <f>TEXT(BBDD_Usiarios_Netflix[[#This Row],[Fecha Suscripción]],"dddd")</f>
        <v>miércoles</v>
      </c>
      <c r="L2136" s="1">
        <f>DATEVALUE(_xlfn.CONCAT(BBDD_Usiarios_Netflix[[#This Row],[Día Último Pago]],"/",BBDD_Usiarios_Netflix[[#This Row],[Mes Último Pago]],"/",BBDD_Usiarios_Netflix[[#This Row],[Año Último Pago]]))</f>
        <v>45482</v>
      </c>
      <c r="M2136" s="4">
        <f>DATEDIF(BBDD_Usiarios_Netflix[[#This Row],[Fecha Suscripción]],BBDD_Usiarios_Netflix[[#This Row],[Fecha Último Pago]],"M")+1</f>
        <v>12</v>
      </c>
      <c r="N2136" s="4">
        <f>BBDD_Usiarios_Netflix[[#This Row],[Ingresos Mensuales]]*BBDD_Usiarios_Netflix[[#This Row],[Meses contratados]]</f>
        <v>120</v>
      </c>
      <c r="O2136" t="s">
        <v>37</v>
      </c>
      <c r="P2136" t="str">
        <f>IF(BBDD_Usiarios_Netflix[[#This Row],[País]]="","Desconocido",BBDD_Usiarios_Netflix[[#This Row],[País]])</f>
        <v>Brasil</v>
      </c>
      <c r="Q2136">
        <v>31</v>
      </c>
      <c r="R2136" t="s">
        <v>30</v>
      </c>
      <c r="S2136" t="s">
        <v>26</v>
      </c>
      <c r="T2136" t="s">
        <v>27</v>
      </c>
      <c r="U2136">
        <f>IF(IFERROR(VLOOKUP(BBDD_Usiarios_Netflix[[#This Row],[Identificador Usuario]],A2137:$A$5870,1,FALSE),0)&lt;&gt;0,1,0)</f>
        <v>0</v>
      </c>
      <c r="V2136" s="6" t="str">
        <f>IF(BBDD_Usiarios_Netflix[[#This Row],[Duración Plan]]="12 Meses",LEFT(BBDD_Usiarios_Netflix[[#This Row],[Duración Plan]],2),LEFT(BBDD_Usiarios_Netflix[[#This Row],[Duración Plan]],1))</f>
        <v>1</v>
      </c>
      <c r="W21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37" spans="1:23" x14ac:dyDescent="0.25">
      <c r="A2137">
        <v>2136</v>
      </c>
      <c r="B2137" t="s">
        <v>28</v>
      </c>
      <c r="C2137">
        <v>14</v>
      </c>
      <c r="D2137" s="3">
        <v>17</v>
      </c>
      <c r="E2137" s="3">
        <v>7</v>
      </c>
      <c r="F2137">
        <v>23</v>
      </c>
      <c r="G2137" s="1">
        <f>DATEVALUE(_xlfn.CONCAT(BBDD_Usiarios_Netflix[[#This Row],[Día Suscripción]],"/",BBDD_Usiarios_Netflix[[#This Row],[Mes Suscripción]],"/",BBDD_Usiarios_Netflix[[#This Row],[Año Suscripción]]))</f>
        <v>45124</v>
      </c>
      <c r="H2137" s="1">
        <v>10</v>
      </c>
      <c r="I2137" s="1">
        <v>7</v>
      </c>
      <c r="J2137" s="1">
        <v>24</v>
      </c>
      <c r="K2137" s="1" t="str">
        <f>TEXT(BBDD_Usiarios_Netflix[[#This Row],[Fecha Suscripción]],"dddd")</f>
        <v>lunes</v>
      </c>
      <c r="L2137" s="1">
        <f>DATEVALUE(_xlfn.CONCAT(BBDD_Usiarios_Netflix[[#This Row],[Día Último Pago]],"/",BBDD_Usiarios_Netflix[[#This Row],[Mes Último Pago]],"/",BBDD_Usiarios_Netflix[[#This Row],[Año Último Pago]]))</f>
        <v>45483</v>
      </c>
      <c r="M2137" s="4">
        <f>DATEDIF(BBDD_Usiarios_Netflix[[#This Row],[Fecha Suscripción]],BBDD_Usiarios_Netflix[[#This Row],[Fecha Último Pago]],"M")+1</f>
        <v>12</v>
      </c>
      <c r="N2137" s="4">
        <f>BBDD_Usiarios_Netflix[[#This Row],[Ingresos Mensuales]]*BBDD_Usiarios_Netflix[[#This Row],[Meses contratados]]</f>
        <v>168</v>
      </c>
      <c r="O2137" t="s">
        <v>39</v>
      </c>
      <c r="P2137" t="str">
        <f>IF(BBDD_Usiarios_Netflix[[#This Row],[País]]="","Desconocido",BBDD_Usiarios_Netflix[[#This Row],[País]])</f>
        <v>Canadá</v>
      </c>
      <c r="Q2137">
        <v>29</v>
      </c>
      <c r="R2137" t="s">
        <v>30</v>
      </c>
      <c r="S2137" t="s">
        <v>31</v>
      </c>
      <c r="T2137" t="s">
        <v>41</v>
      </c>
      <c r="U2137">
        <f>IF(IFERROR(VLOOKUP(BBDD_Usiarios_Netflix[[#This Row],[Identificador Usuario]],A2138:$A$5870,1,FALSE),0)&lt;&gt;0,1,0)</f>
        <v>0</v>
      </c>
      <c r="V2137" s="6" t="str">
        <f>IF(BBDD_Usiarios_Netflix[[#This Row],[Duración Plan]]="12 Meses",LEFT(BBDD_Usiarios_Netflix[[#This Row],[Duración Plan]],2),LEFT(BBDD_Usiarios_Netflix[[#This Row],[Duración Plan]],1))</f>
        <v>12</v>
      </c>
      <c r="W21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38" spans="1:23" x14ac:dyDescent="0.25">
      <c r="A2138">
        <v>2137</v>
      </c>
      <c r="B2138" t="s">
        <v>23</v>
      </c>
      <c r="C2138">
        <v>10</v>
      </c>
      <c r="D2138" s="3">
        <v>16</v>
      </c>
      <c r="E2138" s="3">
        <v>7</v>
      </c>
      <c r="F2138">
        <v>23</v>
      </c>
      <c r="G2138" s="1">
        <f>DATEVALUE(_xlfn.CONCAT(BBDD_Usiarios_Netflix[[#This Row],[Día Suscripción]],"/",BBDD_Usiarios_Netflix[[#This Row],[Mes Suscripción]],"/",BBDD_Usiarios_Netflix[[#This Row],[Año Suscripción]]))</f>
        <v>45123</v>
      </c>
      <c r="H2138" s="1">
        <v>9</v>
      </c>
      <c r="I2138" s="1">
        <v>7</v>
      </c>
      <c r="J2138" s="1">
        <v>24</v>
      </c>
      <c r="K2138" s="1" t="str">
        <f>TEXT(BBDD_Usiarios_Netflix[[#This Row],[Fecha Suscripción]],"dddd")</f>
        <v>domingo</v>
      </c>
      <c r="L2138" s="1">
        <f>DATEVALUE(_xlfn.CONCAT(BBDD_Usiarios_Netflix[[#This Row],[Día Último Pago]],"/",BBDD_Usiarios_Netflix[[#This Row],[Mes Último Pago]],"/",BBDD_Usiarios_Netflix[[#This Row],[Año Último Pago]]))</f>
        <v>45482</v>
      </c>
      <c r="M2138" s="4">
        <f>DATEDIF(BBDD_Usiarios_Netflix[[#This Row],[Fecha Suscripción]],BBDD_Usiarios_Netflix[[#This Row],[Fecha Último Pago]],"M")+1</f>
        <v>12</v>
      </c>
      <c r="N2138" s="4">
        <f>BBDD_Usiarios_Netflix[[#This Row],[Ingresos Mensuales]]*BBDD_Usiarios_Netflix[[#This Row],[Meses contratados]]</f>
        <v>120</v>
      </c>
      <c r="O2138" t="s">
        <v>42</v>
      </c>
      <c r="P2138" t="str">
        <f>IF(BBDD_Usiarios_Netflix[[#This Row],[País]]="","Desconocido",BBDD_Usiarios_Netflix[[#This Row],[País]])</f>
        <v>Reino Unido</v>
      </c>
      <c r="Q2138">
        <v>34</v>
      </c>
      <c r="R2138" t="s">
        <v>30</v>
      </c>
      <c r="S2138" t="s">
        <v>31</v>
      </c>
      <c r="T2138" t="s">
        <v>27</v>
      </c>
      <c r="U2138">
        <f>IF(IFERROR(VLOOKUP(BBDD_Usiarios_Netflix[[#This Row],[Identificador Usuario]],A2139:$A$5870,1,FALSE),0)&lt;&gt;0,1,0)</f>
        <v>0</v>
      </c>
      <c r="V2138" s="6" t="str">
        <f>IF(BBDD_Usiarios_Netflix[[#This Row],[Duración Plan]]="12 Meses",LEFT(BBDD_Usiarios_Netflix[[#This Row],[Duración Plan]],2),LEFT(BBDD_Usiarios_Netflix[[#This Row],[Duración Plan]],1))</f>
        <v>1</v>
      </c>
      <c r="W21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39" spans="1:23" x14ac:dyDescent="0.25">
      <c r="A2139">
        <v>2138</v>
      </c>
      <c r="B2139" t="s">
        <v>32</v>
      </c>
      <c r="C2139">
        <v>12</v>
      </c>
      <c r="D2139" s="3">
        <v>12</v>
      </c>
      <c r="E2139" s="3">
        <v>7</v>
      </c>
      <c r="F2139">
        <v>23</v>
      </c>
      <c r="G2139" s="1">
        <f>DATEVALUE(_xlfn.CONCAT(BBDD_Usiarios_Netflix[[#This Row],[Día Suscripción]],"/",BBDD_Usiarios_Netflix[[#This Row],[Mes Suscripción]],"/",BBDD_Usiarios_Netflix[[#This Row],[Año Suscripción]]))</f>
        <v>45119</v>
      </c>
      <c r="H2139" s="1">
        <v>12</v>
      </c>
      <c r="I2139" s="1">
        <v>7</v>
      </c>
      <c r="J2139" s="1">
        <v>24</v>
      </c>
      <c r="K2139" s="1" t="str">
        <f>TEXT(BBDD_Usiarios_Netflix[[#This Row],[Fecha Suscripción]],"dddd")</f>
        <v>miércoles</v>
      </c>
      <c r="L2139" s="1">
        <f>DATEVALUE(_xlfn.CONCAT(BBDD_Usiarios_Netflix[[#This Row],[Día Último Pago]],"/",BBDD_Usiarios_Netflix[[#This Row],[Mes Último Pago]],"/",BBDD_Usiarios_Netflix[[#This Row],[Año Último Pago]]))</f>
        <v>45485</v>
      </c>
      <c r="M2139" s="4">
        <f>DATEDIF(BBDD_Usiarios_Netflix[[#This Row],[Fecha Suscripción]],BBDD_Usiarios_Netflix[[#This Row],[Fecha Último Pago]],"M")+1</f>
        <v>13</v>
      </c>
      <c r="N2139" s="4">
        <f>BBDD_Usiarios_Netflix[[#This Row],[Ingresos Mensuales]]*BBDD_Usiarios_Netflix[[#This Row],[Meses contratados]]</f>
        <v>156</v>
      </c>
      <c r="O2139" t="s">
        <v>43</v>
      </c>
      <c r="P2139" t="str">
        <f>IF(BBDD_Usiarios_Netflix[[#This Row],[País]]="","Desconocido",BBDD_Usiarios_Netflix[[#This Row],[País]])</f>
        <v>Alemania</v>
      </c>
      <c r="Q2139">
        <v>39</v>
      </c>
      <c r="R2139" t="s">
        <v>25</v>
      </c>
      <c r="S2139" t="s">
        <v>26</v>
      </c>
      <c r="T2139" t="s">
        <v>27</v>
      </c>
      <c r="U2139">
        <f>IF(IFERROR(VLOOKUP(BBDD_Usiarios_Netflix[[#This Row],[Identificador Usuario]],A2140:$A$5870,1,FALSE),0)&lt;&gt;0,1,0)</f>
        <v>0</v>
      </c>
      <c r="V2139" s="6" t="str">
        <f>IF(BBDD_Usiarios_Netflix[[#This Row],[Duración Plan]]="12 Meses",LEFT(BBDD_Usiarios_Netflix[[#This Row],[Duración Plan]],2),LEFT(BBDD_Usiarios_Netflix[[#This Row],[Duración Plan]],1))</f>
        <v>1</v>
      </c>
      <c r="W21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40" spans="1:23" x14ac:dyDescent="0.25">
      <c r="A2140">
        <v>2139</v>
      </c>
      <c r="B2140" t="s">
        <v>28</v>
      </c>
      <c r="C2140">
        <v>14</v>
      </c>
      <c r="D2140" s="3">
        <v>12</v>
      </c>
      <c r="E2140" s="3">
        <v>7</v>
      </c>
      <c r="F2140">
        <v>23</v>
      </c>
      <c r="G2140" s="1">
        <f>DATEVALUE(_xlfn.CONCAT(BBDD_Usiarios_Netflix[[#This Row],[Día Suscripción]],"/",BBDD_Usiarios_Netflix[[#This Row],[Mes Suscripción]],"/",BBDD_Usiarios_Netflix[[#This Row],[Año Suscripción]]))</f>
        <v>45119</v>
      </c>
      <c r="H2140" s="1">
        <v>8</v>
      </c>
      <c r="I2140" s="1">
        <v>7</v>
      </c>
      <c r="J2140" s="1">
        <v>24</v>
      </c>
      <c r="K2140" s="1" t="str">
        <f>TEXT(BBDD_Usiarios_Netflix[[#This Row],[Fecha Suscripción]],"dddd")</f>
        <v>miércoles</v>
      </c>
      <c r="L2140" s="1">
        <f>DATEVALUE(_xlfn.CONCAT(BBDD_Usiarios_Netflix[[#This Row],[Día Último Pago]],"/",BBDD_Usiarios_Netflix[[#This Row],[Mes Último Pago]],"/",BBDD_Usiarios_Netflix[[#This Row],[Año Último Pago]]))</f>
        <v>45481</v>
      </c>
      <c r="M2140" s="4">
        <f>DATEDIF(BBDD_Usiarios_Netflix[[#This Row],[Fecha Suscripción]],BBDD_Usiarios_Netflix[[#This Row],[Fecha Último Pago]],"M")+1</f>
        <v>12</v>
      </c>
      <c r="N2140" s="4">
        <f>BBDD_Usiarios_Netflix[[#This Row],[Ingresos Mensuales]]*BBDD_Usiarios_Netflix[[#This Row],[Meses contratados]]</f>
        <v>168</v>
      </c>
      <c r="O2140" t="s">
        <v>43</v>
      </c>
      <c r="P2140" t="str">
        <f>IF(BBDD_Usiarios_Netflix[[#This Row],[País]]="","Desconocido",BBDD_Usiarios_Netflix[[#This Row],[País]])</f>
        <v>Alemania</v>
      </c>
      <c r="Q2140">
        <v>34</v>
      </c>
      <c r="R2140" t="s">
        <v>30</v>
      </c>
      <c r="S2140" t="s">
        <v>26</v>
      </c>
      <c r="T2140" t="s">
        <v>35</v>
      </c>
      <c r="U2140">
        <f>IF(IFERROR(VLOOKUP(BBDD_Usiarios_Netflix[[#This Row],[Identificador Usuario]],A2141:$A$5870,1,FALSE),0)&lt;&gt;0,1,0)</f>
        <v>0</v>
      </c>
      <c r="V2140" s="6" t="str">
        <f>IF(BBDD_Usiarios_Netflix[[#This Row],[Duración Plan]]="12 Meses",LEFT(BBDD_Usiarios_Netflix[[#This Row],[Duración Plan]],2),LEFT(BBDD_Usiarios_Netflix[[#This Row],[Duración Plan]],1))</f>
        <v>6</v>
      </c>
      <c r="W21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41" spans="1:23" x14ac:dyDescent="0.25">
      <c r="A2141">
        <v>2140</v>
      </c>
      <c r="B2141" t="s">
        <v>23</v>
      </c>
      <c r="C2141">
        <v>10</v>
      </c>
      <c r="D2141" s="3">
        <v>13</v>
      </c>
      <c r="E2141" s="3">
        <v>7</v>
      </c>
      <c r="F2141">
        <v>23</v>
      </c>
      <c r="G2141" s="1">
        <f>DATEVALUE(_xlfn.CONCAT(BBDD_Usiarios_Netflix[[#This Row],[Día Suscripción]],"/",BBDD_Usiarios_Netflix[[#This Row],[Mes Suscripción]],"/",BBDD_Usiarios_Netflix[[#This Row],[Año Suscripción]]))</f>
        <v>45120</v>
      </c>
      <c r="H2141" s="1">
        <v>10</v>
      </c>
      <c r="I2141" s="1">
        <v>7</v>
      </c>
      <c r="J2141" s="1">
        <v>24</v>
      </c>
      <c r="K2141" s="1" t="str">
        <f>TEXT(BBDD_Usiarios_Netflix[[#This Row],[Fecha Suscripción]],"dddd")</f>
        <v>jueves</v>
      </c>
      <c r="L2141" s="1">
        <f>DATEVALUE(_xlfn.CONCAT(BBDD_Usiarios_Netflix[[#This Row],[Día Último Pago]],"/",BBDD_Usiarios_Netflix[[#This Row],[Mes Último Pago]],"/",BBDD_Usiarios_Netflix[[#This Row],[Año Último Pago]]))</f>
        <v>45483</v>
      </c>
      <c r="M2141" s="4">
        <f>DATEDIF(BBDD_Usiarios_Netflix[[#This Row],[Fecha Suscripción]],BBDD_Usiarios_Netflix[[#This Row],[Fecha Último Pago]],"M")+1</f>
        <v>12</v>
      </c>
      <c r="N2141" s="4">
        <f>BBDD_Usiarios_Netflix[[#This Row],[Ingresos Mensuales]]*BBDD_Usiarios_Netflix[[#This Row],[Meses contratados]]</f>
        <v>120</v>
      </c>
      <c r="O2141" t="s">
        <v>24</v>
      </c>
      <c r="P2141" t="str">
        <f>IF(BBDD_Usiarios_Netflix[[#This Row],[País]]="","Desconocido",BBDD_Usiarios_Netflix[[#This Row],[País]])</f>
        <v>Australia</v>
      </c>
      <c r="Q2141">
        <v>51</v>
      </c>
      <c r="R2141" t="s">
        <v>25</v>
      </c>
      <c r="S2141" t="s">
        <v>31</v>
      </c>
      <c r="T2141" t="s">
        <v>38</v>
      </c>
      <c r="U2141">
        <f>IF(IFERROR(VLOOKUP(BBDD_Usiarios_Netflix[[#This Row],[Identificador Usuario]],A2142:$A$5870,1,FALSE),0)&lt;&gt;0,1,0)</f>
        <v>0</v>
      </c>
      <c r="V2141" s="6" t="str">
        <f>IF(BBDD_Usiarios_Netflix[[#This Row],[Duración Plan]]="12 Meses",LEFT(BBDD_Usiarios_Netflix[[#This Row],[Duración Plan]],2),LEFT(BBDD_Usiarios_Netflix[[#This Row],[Duración Plan]],1))</f>
        <v>3</v>
      </c>
      <c r="W21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42" spans="1:23" x14ac:dyDescent="0.25">
      <c r="A2142">
        <v>2141</v>
      </c>
      <c r="B2142" t="s">
        <v>28</v>
      </c>
      <c r="C2142">
        <v>14</v>
      </c>
      <c r="D2142" s="3">
        <v>13</v>
      </c>
      <c r="E2142" s="3">
        <v>7</v>
      </c>
      <c r="F2142">
        <v>23</v>
      </c>
      <c r="G2142" s="1">
        <f>DATEVALUE(_xlfn.CONCAT(BBDD_Usiarios_Netflix[[#This Row],[Día Suscripción]],"/",BBDD_Usiarios_Netflix[[#This Row],[Mes Suscripción]],"/",BBDD_Usiarios_Netflix[[#This Row],[Año Suscripción]]))</f>
        <v>45120</v>
      </c>
      <c r="H2142" s="1">
        <v>9</v>
      </c>
      <c r="I2142" s="1">
        <v>7</v>
      </c>
      <c r="J2142" s="1">
        <v>24</v>
      </c>
      <c r="K2142" s="1" t="str">
        <f>TEXT(BBDD_Usiarios_Netflix[[#This Row],[Fecha Suscripción]],"dddd")</f>
        <v>jueves</v>
      </c>
      <c r="L2142" s="1">
        <f>DATEVALUE(_xlfn.CONCAT(BBDD_Usiarios_Netflix[[#This Row],[Día Último Pago]],"/",BBDD_Usiarios_Netflix[[#This Row],[Mes Último Pago]],"/",BBDD_Usiarios_Netflix[[#This Row],[Año Último Pago]]))</f>
        <v>45482</v>
      </c>
      <c r="M2142" s="4">
        <f>DATEDIF(BBDD_Usiarios_Netflix[[#This Row],[Fecha Suscripción]],BBDD_Usiarios_Netflix[[#This Row],[Fecha Último Pago]],"M")+1</f>
        <v>12</v>
      </c>
      <c r="N2142" s="4">
        <f>BBDD_Usiarios_Netflix[[#This Row],[Ingresos Mensuales]]*BBDD_Usiarios_Netflix[[#This Row],[Meses contratados]]</f>
        <v>168</v>
      </c>
      <c r="O2142" t="s">
        <v>29</v>
      </c>
      <c r="P2142" t="str">
        <f>IF(BBDD_Usiarios_Netflix[[#This Row],[País]]="","Desconocido",BBDD_Usiarios_Netflix[[#This Row],[País]])</f>
        <v>EEUU</v>
      </c>
      <c r="Q2142">
        <v>47</v>
      </c>
      <c r="R2142" t="s">
        <v>30</v>
      </c>
      <c r="S2142" t="s">
        <v>31</v>
      </c>
      <c r="T2142" t="s">
        <v>41</v>
      </c>
      <c r="U2142">
        <f>IF(IFERROR(VLOOKUP(BBDD_Usiarios_Netflix[[#This Row],[Identificador Usuario]],A2143:$A$5870,1,FALSE),0)&lt;&gt;0,1,0)</f>
        <v>0</v>
      </c>
      <c r="V2142" s="6" t="str">
        <f>IF(BBDD_Usiarios_Netflix[[#This Row],[Duración Plan]]="12 Meses",LEFT(BBDD_Usiarios_Netflix[[#This Row],[Duración Plan]],2),LEFT(BBDD_Usiarios_Netflix[[#This Row],[Duración Plan]],1))</f>
        <v>12</v>
      </c>
      <c r="W21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43" spans="1:23" x14ac:dyDescent="0.25">
      <c r="A2143">
        <v>2142</v>
      </c>
      <c r="B2143" t="s">
        <v>23</v>
      </c>
      <c r="C2143">
        <v>10</v>
      </c>
      <c r="D2143" s="3">
        <v>13</v>
      </c>
      <c r="E2143" s="3">
        <v>7</v>
      </c>
      <c r="F2143">
        <v>23</v>
      </c>
      <c r="G2143" s="1">
        <f>DATEVALUE(_xlfn.CONCAT(BBDD_Usiarios_Netflix[[#This Row],[Día Suscripción]],"/",BBDD_Usiarios_Netflix[[#This Row],[Mes Suscripción]],"/",BBDD_Usiarios_Netflix[[#This Row],[Año Suscripción]]))</f>
        <v>45120</v>
      </c>
      <c r="H2143" s="1">
        <v>11</v>
      </c>
      <c r="I2143" s="1">
        <v>7</v>
      </c>
      <c r="J2143" s="1">
        <v>24</v>
      </c>
      <c r="K2143" s="1" t="str">
        <f>TEXT(BBDD_Usiarios_Netflix[[#This Row],[Fecha Suscripción]],"dddd")</f>
        <v>jueves</v>
      </c>
      <c r="L2143" s="1">
        <f>DATEVALUE(_xlfn.CONCAT(BBDD_Usiarios_Netflix[[#This Row],[Día Último Pago]],"/",BBDD_Usiarios_Netflix[[#This Row],[Mes Último Pago]],"/",BBDD_Usiarios_Netflix[[#This Row],[Año Último Pago]]))</f>
        <v>45484</v>
      </c>
      <c r="M2143" s="4">
        <f>DATEDIF(BBDD_Usiarios_Netflix[[#This Row],[Fecha Suscripción]],BBDD_Usiarios_Netflix[[#This Row],[Fecha Último Pago]],"M")+1</f>
        <v>12</v>
      </c>
      <c r="N2143" s="4">
        <f>BBDD_Usiarios_Netflix[[#This Row],[Ingresos Mensuales]]*BBDD_Usiarios_Netflix[[#This Row],[Meses contratados]]</f>
        <v>120</v>
      </c>
      <c r="O2143" t="s">
        <v>24</v>
      </c>
      <c r="P2143" t="str">
        <f>IF(BBDD_Usiarios_Netflix[[#This Row],[País]]="","Desconocido",BBDD_Usiarios_Netflix[[#This Row],[País]])</f>
        <v>Australia</v>
      </c>
      <c r="Q2143">
        <v>46</v>
      </c>
      <c r="R2143" t="s">
        <v>25</v>
      </c>
      <c r="S2143" t="s">
        <v>26</v>
      </c>
      <c r="T2143" t="s">
        <v>35</v>
      </c>
      <c r="U2143">
        <f>IF(IFERROR(VLOOKUP(BBDD_Usiarios_Netflix[[#This Row],[Identificador Usuario]],A2144:$A$5870,1,FALSE),0)&lt;&gt;0,1,0)</f>
        <v>0</v>
      </c>
      <c r="V2143" s="6" t="str">
        <f>IF(BBDD_Usiarios_Netflix[[#This Row],[Duración Plan]]="12 Meses",LEFT(BBDD_Usiarios_Netflix[[#This Row],[Duración Plan]],2),LEFT(BBDD_Usiarios_Netflix[[#This Row],[Duración Plan]],1))</f>
        <v>6</v>
      </c>
      <c r="W21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44" spans="1:23" x14ac:dyDescent="0.25">
      <c r="A2144">
        <v>2143</v>
      </c>
      <c r="B2144" t="s">
        <v>32</v>
      </c>
      <c r="C2144">
        <v>12</v>
      </c>
      <c r="D2144" s="3">
        <v>14</v>
      </c>
      <c r="E2144" s="3">
        <v>7</v>
      </c>
      <c r="F2144">
        <v>23</v>
      </c>
      <c r="G2144" s="1">
        <f>DATEVALUE(_xlfn.CONCAT(BBDD_Usiarios_Netflix[[#This Row],[Día Suscripción]],"/",BBDD_Usiarios_Netflix[[#This Row],[Mes Suscripción]],"/",BBDD_Usiarios_Netflix[[#This Row],[Año Suscripción]]))</f>
        <v>45121</v>
      </c>
      <c r="H2144" s="1">
        <v>8</v>
      </c>
      <c r="I2144" s="1">
        <v>7</v>
      </c>
      <c r="J2144" s="1">
        <v>24</v>
      </c>
      <c r="K2144" s="1" t="str">
        <f>TEXT(BBDD_Usiarios_Netflix[[#This Row],[Fecha Suscripción]],"dddd")</f>
        <v>viernes</v>
      </c>
      <c r="L2144" s="1">
        <f>DATEVALUE(_xlfn.CONCAT(BBDD_Usiarios_Netflix[[#This Row],[Día Último Pago]],"/",BBDD_Usiarios_Netflix[[#This Row],[Mes Último Pago]],"/",BBDD_Usiarios_Netflix[[#This Row],[Año Último Pago]]))</f>
        <v>45481</v>
      </c>
      <c r="M2144" s="4">
        <f>DATEDIF(BBDD_Usiarios_Netflix[[#This Row],[Fecha Suscripción]],BBDD_Usiarios_Netflix[[#This Row],[Fecha Último Pago]],"M")+1</f>
        <v>12</v>
      </c>
      <c r="N2144" s="4">
        <f>BBDD_Usiarios_Netflix[[#This Row],[Ingresos Mensuales]]*BBDD_Usiarios_Netflix[[#This Row],[Meses contratados]]</f>
        <v>144</v>
      </c>
      <c r="O2144" t="s">
        <v>29</v>
      </c>
      <c r="P2144" t="str">
        <f>IF(BBDD_Usiarios_Netflix[[#This Row],[País]]="","Desconocido",BBDD_Usiarios_Netflix[[#This Row],[País]])</f>
        <v>EEUU</v>
      </c>
      <c r="Q2144">
        <v>46</v>
      </c>
      <c r="R2144" t="s">
        <v>30</v>
      </c>
      <c r="S2144" t="s">
        <v>26</v>
      </c>
      <c r="T2144" t="s">
        <v>27</v>
      </c>
      <c r="U2144">
        <f>IF(IFERROR(VLOOKUP(BBDD_Usiarios_Netflix[[#This Row],[Identificador Usuario]],A2145:$A$5870,1,FALSE),0)&lt;&gt;0,1,0)</f>
        <v>0</v>
      </c>
      <c r="V2144" s="6" t="str">
        <f>IF(BBDD_Usiarios_Netflix[[#This Row],[Duración Plan]]="12 Meses",LEFT(BBDD_Usiarios_Netflix[[#This Row],[Duración Plan]],2),LEFT(BBDD_Usiarios_Netflix[[#This Row],[Duración Plan]],1))</f>
        <v>1</v>
      </c>
      <c r="W21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45" spans="1:23" x14ac:dyDescent="0.25">
      <c r="A2145">
        <v>2144</v>
      </c>
      <c r="B2145" t="s">
        <v>32</v>
      </c>
      <c r="C2145">
        <v>12</v>
      </c>
      <c r="D2145" s="3">
        <v>15</v>
      </c>
      <c r="E2145" s="3">
        <v>7</v>
      </c>
      <c r="F2145">
        <v>23</v>
      </c>
      <c r="G2145" s="1">
        <f>DATEVALUE(_xlfn.CONCAT(BBDD_Usiarios_Netflix[[#This Row],[Día Suscripción]],"/",BBDD_Usiarios_Netflix[[#This Row],[Mes Suscripción]],"/",BBDD_Usiarios_Netflix[[#This Row],[Año Suscripción]]))</f>
        <v>45122</v>
      </c>
      <c r="H2145" s="1">
        <v>10</v>
      </c>
      <c r="I2145" s="1">
        <v>7</v>
      </c>
      <c r="J2145" s="1">
        <v>24</v>
      </c>
      <c r="K2145" s="1" t="str">
        <f>TEXT(BBDD_Usiarios_Netflix[[#This Row],[Fecha Suscripción]],"dddd")</f>
        <v>sábado</v>
      </c>
      <c r="L2145" s="1">
        <f>DATEVALUE(_xlfn.CONCAT(BBDD_Usiarios_Netflix[[#This Row],[Día Último Pago]],"/",BBDD_Usiarios_Netflix[[#This Row],[Mes Último Pago]],"/",BBDD_Usiarios_Netflix[[#This Row],[Año Último Pago]]))</f>
        <v>45483</v>
      </c>
      <c r="M2145" s="4">
        <f>DATEDIF(BBDD_Usiarios_Netflix[[#This Row],[Fecha Suscripción]],BBDD_Usiarios_Netflix[[#This Row],[Fecha Último Pago]],"M")+1</f>
        <v>12</v>
      </c>
      <c r="N2145" s="4">
        <f>BBDD_Usiarios_Netflix[[#This Row],[Ingresos Mensuales]]*BBDD_Usiarios_Netflix[[#This Row],[Meses contratados]]</f>
        <v>144</v>
      </c>
      <c r="O2145" t="s">
        <v>37</v>
      </c>
      <c r="P2145" t="str">
        <f>IF(BBDD_Usiarios_Netflix[[#This Row],[País]]="","Desconocido",BBDD_Usiarios_Netflix[[#This Row],[País]])</f>
        <v>Brasil</v>
      </c>
      <c r="Q2145">
        <v>47</v>
      </c>
      <c r="R2145" t="s">
        <v>30</v>
      </c>
      <c r="S2145" t="s">
        <v>26</v>
      </c>
      <c r="T2145" t="s">
        <v>38</v>
      </c>
      <c r="U2145">
        <f>IF(IFERROR(VLOOKUP(BBDD_Usiarios_Netflix[[#This Row],[Identificador Usuario]],A2146:$A$5870,1,FALSE),0)&lt;&gt;0,1,0)</f>
        <v>0</v>
      </c>
      <c r="V2145" s="6" t="str">
        <f>IF(BBDD_Usiarios_Netflix[[#This Row],[Duración Plan]]="12 Meses",LEFT(BBDD_Usiarios_Netflix[[#This Row],[Duración Plan]],2),LEFT(BBDD_Usiarios_Netflix[[#This Row],[Duración Plan]],1))</f>
        <v>3</v>
      </c>
      <c r="W21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46" spans="1:23" x14ac:dyDescent="0.25">
      <c r="A2146">
        <v>2145</v>
      </c>
      <c r="B2146" t="s">
        <v>23</v>
      </c>
      <c r="C2146">
        <v>10</v>
      </c>
      <c r="D2146" s="3">
        <v>16</v>
      </c>
      <c r="E2146" s="3">
        <v>7</v>
      </c>
      <c r="F2146">
        <v>23</v>
      </c>
      <c r="G2146" s="1">
        <f>DATEVALUE(_xlfn.CONCAT(BBDD_Usiarios_Netflix[[#This Row],[Día Suscripción]],"/",BBDD_Usiarios_Netflix[[#This Row],[Mes Suscripción]],"/",BBDD_Usiarios_Netflix[[#This Row],[Año Suscripción]]))</f>
        <v>45123</v>
      </c>
      <c r="H2146" s="1">
        <v>9</v>
      </c>
      <c r="I2146" s="1">
        <v>7</v>
      </c>
      <c r="J2146" s="1">
        <v>24</v>
      </c>
      <c r="K2146" s="1" t="str">
        <f>TEXT(BBDD_Usiarios_Netflix[[#This Row],[Fecha Suscripción]],"dddd")</f>
        <v>domingo</v>
      </c>
      <c r="L2146" s="1">
        <f>DATEVALUE(_xlfn.CONCAT(BBDD_Usiarios_Netflix[[#This Row],[Día Último Pago]],"/",BBDD_Usiarios_Netflix[[#This Row],[Mes Último Pago]],"/",BBDD_Usiarios_Netflix[[#This Row],[Año Último Pago]]))</f>
        <v>45482</v>
      </c>
      <c r="M2146" s="4">
        <f>DATEDIF(BBDD_Usiarios_Netflix[[#This Row],[Fecha Suscripción]],BBDD_Usiarios_Netflix[[#This Row],[Fecha Último Pago]],"M")+1</f>
        <v>12</v>
      </c>
      <c r="N2146" s="4">
        <f>BBDD_Usiarios_Netflix[[#This Row],[Ingresos Mensuales]]*BBDD_Usiarios_Netflix[[#This Row],[Meses contratados]]</f>
        <v>120</v>
      </c>
      <c r="O2146" t="s">
        <v>29</v>
      </c>
      <c r="P2146" t="str">
        <f>IF(BBDD_Usiarios_Netflix[[#This Row],[País]]="","Desconocido",BBDD_Usiarios_Netflix[[#This Row],[País]])</f>
        <v>EEUU</v>
      </c>
      <c r="Q2146">
        <v>40</v>
      </c>
      <c r="R2146" t="s">
        <v>30</v>
      </c>
      <c r="S2146" t="s">
        <v>34</v>
      </c>
      <c r="T2146" t="s">
        <v>38</v>
      </c>
      <c r="U2146">
        <f>IF(IFERROR(VLOOKUP(BBDD_Usiarios_Netflix[[#This Row],[Identificador Usuario]],A2147:$A$5870,1,FALSE),0)&lt;&gt;0,1,0)</f>
        <v>0</v>
      </c>
      <c r="V2146" s="6" t="str">
        <f>IF(BBDD_Usiarios_Netflix[[#This Row],[Duración Plan]]="12 Meses",LEFT(BBDD_Usiarios_Netflix[[#This Row],[Duración Plan]],2),LEFT(BBDD_Usiarios_Netflix[[#This Row],[Duración Plan]],1))</f>
        <v>3</v>
      </c>
      <c r="W21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47" spans="1:23" x14ac:dyDescent="0.25">
      <c r="A2147">
        <v>2146</v>
      </c>
      <c r="B2147" t="s">
        <v>28</v>
      </c>
      <c r="C2147">
        <v>14</v>
      </c>
      <c r="D2147" s="3">
        <v>18</v>
      </c>
      <c r="E2147" s="3">
        <v>7</v>
      </c>
      <c r="F2147">
        <v>23</v>
      </c>
      <c r="G2147" s="1">
        <f>DATEVALUE(_xlfn.CONCAT(BBDD_Usiarios_Netflix[[#This Row],[Día Suscripción]],"/",BBDD_Usiarios_Netflix[[#This Row],[Mes Suscripción]],"/",BBDD_Usiarios_Netflix[[#This Row],[Año Suscripción]]))</f>
        <v>45125</v>
      </c>
      <c r="H2147" s="1">
        <v>11</v>
      </c>
      <c r="I2147" s="1">
        <v>7</v>
      </c>
      <c r="J2147" s="1">
        <v>24</v>
      </c>
      <c r="K2147" s="1" t="str">
        <f>TEXT(BBDD_Usiarios_Netflix[[#This Row],[Fecha Suscripción]],"dddd")</f>
        <v>martes</v>
      </c>
      <c r="L2147" s="1">
        <f>DATEVALUE(_xlfn.CONCAT(BBDD_Usiarios_Netflix[[#This Row],[Día Último Pago]],"/",BBDD_Usiarios_Netflix[[#This Row],[Mes Último Pago]],"/",BBDD_Usiarios_Netflix[[#This Row],[Año Último Pago]]))</f>
        <v>45484</v>
      </c>
      <c r="M2147" s="4">
        <f>DATEDIF(BBDD_Usiarios_Netflix[[#This Row],[Fecha Suscripción]],BBDD_Usiarios_Netflix[[#This Row],[Fecha Último Pago]],"M")+1</f>
        <v>12</v>
      </c>
      <c r="N2147" s="4">
        <f>BBDD_Usiarios_Netflix[[#This Row],[Ingresos Mensuales]]*BBDD_Usiarios_Netflix[[#This Row],[Meses contratados]]</f>
        <v>168</v>
      </c>
      <c r="O2147" t="s">
        <v>40</v>
      </c>
      <c r="P2147" t="str">
        <f>IF(BBDD_Usiarios_Netflix[[#This Row],[País]]="","Desconocido",BBDD_Usiarios_Netflix[[#This Row],[País]])</f>
        <v>Italia</v>
      </c>
      <c r="Q2147">
        <v>41</v>
      </c>
      <c r="R2147" t="s">
        <v>30</v>
      </c>
      <c r="S2147" t="s">
        <v>31</v>
      </c>
      <c r="T2147" t="s">
        <v>27</v>
      </c>
      <c r="U2147">
        <f>IF(IFERROR(VLOOKUP(BBDD_Usiarios_Netflix[[#This Row],[Identificador Usuario]],A2148:$A$5870,1,FALSE),0)&lt;&gt;0,1,0)</f>
        <v>0</v>
      </c>
      <c r="V2147" s="6" t="str">
        <f>IF(BBDD_Usiarios_Netflix[[#This Row],[Duración Plan]]="12 Meses",LEFT(BBDD_Usiarios_Netflix[[#This Row],[Duración Plan]],2),LEFT(BBDD_Usiarios_Netflix[[#This Row],[Duración Plan]],1))</f>
        <v>1</v>
      </c>
      <c r="W21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48" spans="1:23" x14ac:dyDescent="0.25">
      <c r="A2148">
        <v>2147</v>
      </c>
      <c r="B2148" t="s">
        <v>23</v>
      </c>
      <c r="C2148">
        <v>10</v>
      </c>
      <c r="D2148" s="3">
        <v>23</v>
      </c>
      <c r="E2148" s="3">
        <v>7</v>
      </c>
      <c r="F2148">
        <v>23</v>
      </c>
      <c r="G2148" s="1">
        <f>DATEVALUE(_xlfn.CONCAT(BBDD_Usiarios_Netflix[[#This Row],[Día Suscripción]],"/",BBDD_Usiarios_Netflix[[#This Row],[Mes Suscripción]],"/",BBDD_Usiarios_Netflix[[#This Row],[Año Suscripción]]))</f>
        <v>45130</v>
      </c>
      <c r="H2148" s="1">
        <v>9</v>
      </c>
      <c r="I2148" s="1">
        <v>7</v>
      </c>
      <c r="J2148" s="1">
        <v>24</v>
      </c>
      <c r="K2148" s="1" t="str">
        <f>TEXT(BBDD_Usiarios_Netflix[[#This Row],[Fecha Suscripción]],"dddd")</f>
        <v>domingo</v>
      </c>
      <c r="L2148" s="1">
        <f>DATEVALUE(_xlfn.CONCAT(BBDD_Usiarios_Netflix[[#This Row],[Día Último Pago]],"/",BBDD_Usiarios_Netflix[[#This Row],[Mes Último Pago]],"/",BBDD_Usiarios_Netflix[[#This Row],[Año Último Pago]]))</f>
        <v>45482</v>
      </c>
      <c r="M2148" s="4">
        <f>DATEDIF(BBDD_Usiarios_Netflix[[#This Row],[Fecha Suscripción]],BBDD_Usiarios_Netflix[[#This Row],[Fecha Último Pago]],"M")+1</f>
        <v>12</v>
      </c>
      <c r="N2148" s="4">
        <f>BBDD_Usiarios_Netflix[[#This Row],[Ingresos Mensuales]]*BBDD_Usiarios_Netflix[[#This Row],[Meses contratados]]</f>
        <v>120</v>
      </c>
      <c r="O2148" t="s">
        <v>33</v>
      </c>
      <c r="P2148" t="str">
        <f>IF(BBDD_Usiarios_Netflix[[#This Row],[País]]="","Desconocido",BBDD_Usiarios_Netflix[[#This Row],[País]])</f>
        <v>Francia</v>
      </c>
      <c r="Q2148">
        <v>30</v>
      </c>
      <c r="R2148" t="s">
        <v>30</v>
      </c>
      <c r="S2148" t="s">
        <v>26</v>
      </c>
      <c r="T2148" t="s">
        <v>38</v>
      </c>
      <c r="U2148">
        <f>IF(IFERROR(VLOOKUP(BBDD_Usiarios_Netflix[[#This Row],[Identificador Usuario]],A2149:$A$5870,1,FALSE),0)&lt;&gt;0,1,0)</f>
        <v>0</v>
      </c>
      <c r="V2148" s="6" t="str">
        <f>IF(BBDD_Usiarios_Netflix[[#This Row],[Duración Plan]]="12 Meses",LEFT(BBDD_Usiarios_Netflix[[#This Row],[Duración Plan]],2),LEFT(BBDD_Usiarios_Netflix[[#This Row],[Duración Plan]],1))</f>
        <v>3</v>
      </c>
      <c r="W21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49" spans="1:23" x14ac:dyDescent="0.25">
      <c r="A2149">
        <v>2148</v>
      </c>
      <c r="B2149" t="s">
        <v>32</v>
      </c>
      <c r="C2149">
        <v>12</v>
      </c>
      <c r="D2149" s="3">
        <v>25</v>
      </c>
      <c r="E2149" s="3">
        <v>7</v>
      </c>
      <c r="F2149">
        <v>23</v>
      </c>
      <c r="G2149" s="1">
        <f>DATEVALUE(_xlfn.CONCAT(BBDD_Usiarios_Netflix[[#This Row],[Día Suscripción]],"/",BBDD_Usiarios_Netflix[[#This Row],[Mes Suscripción]],"/",BBDD_Usiarios_Netflix[[#This Row],[Año Suscripción]]))</f>
        <v>45132</v>
      </c>
      <c r="H2149" s="1">
        <v>11</v>
      </c>
      <c r="I2149" s="1">
        <v>7</v>
      </c>
      <c r="J2149" s="1">
        <v>24</v>
      </c>
      <c r="K2149" s="1" t="str">
        <f>TEXT(BBDD_Usiarios_Netflix[[#This Row],[Fecha Suscripción]],"dddd")</f>
        <v>martes</v>
      </c>
      <c r="L2149" s="1">
        <f>DATEVALUE(_xlfn.CONCAT(BBDD_Usiarios_Netflix[[#This Row],[Día Último Pago]],"/",BBDD_Usiarios_Netflix[[#This Row],[Mes Último Pago]],"/",BBDD_Usiarios_Netflix[[#This Row],[Año Último Pago]]))</f>
        <v>45484</v>
      </c>
      <c r="M2149" s="4">
        <f>DATEDIF(BBDD_Usiarios_Netflix[[#This Row],[Fecha Suscripción]],BBDD_Usiarios_Netflix[[#This Row],[Fecha Último Pago]],"M")+1</f>
        <v>12</v>
      </c>
      <c r="N2149" s="4">
        <f>BBDD_Usiarios_Netflix[[#This Row],[Ingresos Mensuales]]*BBDD_Usiarios_Netflix[[#This Row],[Meses contratados]]</f>
        <v>144</v>
      </c>
      <c r="O2149" t="s">
        <v>39</v>
      </c>
      <c r="P2149" t="str">
        <f>IF(BBDD_Usiarios_Netflix[[#This Row],[País]]="","Desconocido",BBDD_Usiarios_Netflix[[#This Row],[País]])</f>
        <v>Canadá</v>
      </c>
      <c r="Q2149">
        <v>31</v>
      </c>
      <c r="R2149" t="s">
        <v>30</v>
      </c>
      <c r="S2149" t="s">
        <v>31</v>
      </c>
      <c r="T2149" t="s">
        <v>41</v>
      </c>
      <c r="U2149">
        <f>IF(IFERROR(VLOOKUP(BBDD_Usiarios_Netflix[[#This Row],[Identificador Usuario]],A2150:$A$5870,1,FALSE),0)&lt;&gt;0,1,0)</f>
        <v>0</v>
      </c>
      <c r="V2149" s="6" t="str">
        <f>IF(BBDD_Usiarios_Netflix[[#This Row],[Duración Plan]]="12 Meses",LEFT(BBDD_Usiarios_Netflix[[#This Row],[Duración Plan]],2),LEFT(BBDD_Usiarios_Netflix[[#This Row],[Duración Plan]],1))</f>
        <v>12</v>
      </c>
      <c r="W21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50" spans="1:23" x14ac:dyDescent="0.25">
      <c r="A2150">
        <v>2149</v>
      </c>
      <c r="B2150" t="s">
        <v>28</v>
      </c>
      <c r="C2150">
        <v>14</v>
      </c>
      <c r="D2150" s="3">
        <v>30</v>
      </c>
      <c r="E2150" s="3">
        <v>7</v>
      </c>
      <c r="F2150">
        <v>23</v>
      </c>
      <c r="G2150" s="1">
        <f>DATEVALUE(_xlfn.CONCAT(BBDD_Usiarios_Netflix[[#This Row],[Día Suscripción]],"/",BBDD_Usiarios_Netflix[[#This Row],[Mes Suscripción]],"/",BBDD_Usiarios_Netflix[[#This Row],[Año Suscripción]]))</f>
        <v>45137</v>
      </c>
      <c r="H2150" s="1">
        <v>9</v>
      </c>
      <c r="I2150" s="1">
        <v>7</v>
      </c>
      <c r="J2150" s="1">
        <v>24</v>
      </c>
      <c r="K2150" s="1" t="str">
        <f>TEXT(BBDD_Usiarios_Netflix[[#This Row],[Fecha Suscripción]],"dddd")</f>
        <v>domingo</v>
      </c>
      <c r="L2150" s="1">
        <f>DATEVALUE(_xlfn.CONCAT(BBDD_Usiarios_Netflix[[#This Row],[Día Último Pago]],"/",BBDD_Usiarios_Netflix[[#This Row],[Mes Último Pago]],"/",BBDD_Usiarios_Netflix[[#This Row],[Año Último Pago]]))</f>
        <v>45482</v>
      </c>
      <c r="M2150" s="4">
        <f>DATEDIF(BBDD_Usiarios_Netflix[[#This Row],[Fecha Suscripción]],BBDD_Usiarios_Netflix[[#This Row],[Fecha Último Pago]],"M")+1</f>
        <v>12</v>
      </c>
      <c r="N2150" s="4">
        <f>BBDD_Usiarios_Netflix[[#This Row],[Ingresos Mensuales]]*BBDD_Usiarios_Netflix[[#This Row],[Meses contratados]]</f>
        <v>168</v>
      </c>
      <c r="O2150" t="s">
        <v>40</v>
      </c>
      <c r="P2150" t="str">
        <f>IF(BBDD_Usiarios_Netflix[[#This Row],[País]]="","Desconocido",BBDD_Usiarios_Netflix[[#This Row],[País]])</f>
        <v>Italia</v>
      </c>
      <c r="Q2150">
        <v>42</v>
      </c>
      <c r="R2150" t="s">
        <v>25</v>
      </c>
      <c r="S2150" t="s">
        <v>34</v>
      </c>
      <c r="T2150" t="s">
        <v>35</v>
      </c>
      <c r="U2150">
        <f>IF(IFERROR(VLOOKUP(BBDD_Usiarios_Netflix[[#This Row],[Identificador Usuario]],A2151:$A$5870,1,FALSE),0)&lt;&gt;0,1,0)</f>
        <v>0</v>
      </c>
      <c r="V2150" s="6" t="str">
        <f>IF(BBDD_Usiarios_Netflix[[#This Row],[Duración Plan]]="12 Meses",LEFT(BBDD_Usiarios_Netflix[[#This Row],[Duración Plan]],2),LEFT(BBDD_Usiarios_Netflix[[#This Row],[Duración Plan]],1))</f>
        <v>6</v>
      </c>
      <c r="W21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51" spans="1:23" x14ac:dyDescent="0.25">
      <c r="A2151">
        <v>2150</v>
      </c>
      <c r="B2151" t="s">
        <v>23</v>
      </c>
      <c r="C2151">
        <v>10</v>
      </c>
      <c r="D2151" s="3">
        <v>6</v>
      </c>
      <c r="E2151" s="3">
        <v>8</v>
      </c>
      <c r="F2151">
        <v>23</v>
      </c>
      <c r="G2151" s="1">
        <f>DATEVALUE(_xlfn.CONCAT(BBDD_Usiarios_Netflix[[#This Row],[Día Suscripción]],"/",BBDD_Usiarios_Netflix[[#This Row],[Mes Suscripción]],"/",BBDD_Usiarios_Netflix[[#This Row],[Año Suscripción]]))</f>
        <v>45144</v>
      </c>
      <c r="H2151" s="1">
        <v>11</v>
      </c>
      <c r="I2151" s="1">
        <v>7</v>
      </c>
      <c r="J2151" s="1">
        <v>24</v>
      </c>
      <c r="K2151" s="1" t="str">
        <f>TEXT(BBDD_Usiarios_Netflix[[#This Row],[Fecha Suscripción]],"dddd")</f>
        <v>domingo</v>
      </c>
      <c r="L2151" s="1">
        <f>DATEVALUE(_xlfn.CONCAT(BBDD_Usiarios_Netflix[[#This Row],[Día Último Pago]],"/",BBDD_Usiarios_Netflix[[#This Row],[Mes Último Pago]],"/",BBDD_Usiarios_Netflix[[#This Row],[Año Último Pago]]))</f>
        <v>45484</v>
      </c>
      <c r="M2151" s="4">
        <f>DATEDIF(BBDD_Usiarios_Netflix[[#This Row],[Fecha Suscripción]],BBDD_Usiarios_Netflix[[#This Row],[Fecha Último Pago]],"M")+1</f>
        <v>12</v>
      </c>
      <c r="N2151" s="4">
        <f>BBDD_Usiarios_Netflix[[#This Row],[Ingresos Mensuales]]*BBDD_Usiarios_Netflix[[#This Row],[Meses contratados]]</f>
        <v>120</v>
      </c>
      <c r="O2151" t="s">
        <v>24</v>
      </c>
      <c r="P2151" t="str">
        <f>IF(BBDD_Usiarios_Netflix[[#This Row],[País]]="","Desconocido",BBDD_Usiarios_Netflix[[#This Row],[País]])</f>
        <v>Australia</v>
      </c>
      <c r="Q2151">
        <v>46</v>
      </c>
      <c r="R2151" t="s">
        <v>30</v>
      </c>
      <c r="S2151" t="s">
        <v>31</v>
      </c>
      <c r="T2151" t="s">
        <v>27</v>
      </c>
      <c r="U2151">
        <f>IF(IFERROR(VLOOKUP(BBDD_Usiarios_Netflix[[#This Row],[Identificador Usuario]],A2152:$A$5870,1,FALSE),0)&lt;&gt;0,1,0)</f>
        <v>0</v>
      </c>
      <c r="V2151" s="6" t="str">
        <f>IF(BBDD_Usiarios_Netflix[[#This Row],[Duración Plan]]="12 Meses",LEFT(BBDD_Usiarios_Netflix[[#This Row],[Duración Plan]],2),LEFT(BBDD_Usiarios_Netflix[[#This Row],[Duración Plan]],1))</f>
        <v>1</v>
      </c>
      <c r="W21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52" spans="1:23" x14ac:dyDescent="0.25">
      <c r="A2152">
        <v>2151</v>
      </c>
      <c r="B2152" t="s">
        <v>28</v>
      </c>
      <c r="C2152">
        <v>14</v>
      </c>
      <c r="D2152" s="3">
        <v>14</v>
      </c>
      <c r="E2152" s="3">
        <v>8</v>
      </c>
      <c r="F2152">
        <v>23</v>
      </c>
      <c r="G2152" s="1">
        <f>DATEVALUE(_xlfn.CONCAT(BBDD_Usiarios_Netflix[[#This Row],[Día Suscripción]],"/",BBDD_Usiarios_Netflix[[#This Row],[Mes Suscripción]],"/",BBDD_Usiarios_Netflix[[#This Row],[Año Suscripción]]))</f>
        <v>45152</v>
      </c>
      <c r="H2152" s="1">
        <v>8</v>
      </c>
      <c r="I2152" s="1">
        <v>7</v>
      </c>
      <c r="J2152" s="1">
        <v>24</v>
      </c>
      <c r="K2152" s="1" t="str">
        <f>TEXT(BBDD_Usiarios_Netflix[[#This Row],[Fecha Suscripción]],"dddd")</f>
        <v>lunes</v>
      </c>
      <c r="L2152" s="1">
        <f>DATEVALUE(_xlfn.CONCAT(BBDD_Usiarios_Netflix[[#This Row],[Día Último Pago]],"/",BBDD_Usiarios_Netflix[[#This Row],[Mes Último Pago]],"/",BBDD_Usiarios_Netflix[[#This Row],[Año Último Pago]]))</f>
        <v>45481</v>
      </c>
      <c r="M2152" s="4">
        <f>DATEDIF(BBDD_Usiarios_Netflix[[#This Row],[Fecha Suscripción]],BBDD_Usiarios_Netflix[[#This Row],[Fecha Último Pago]],"M")+1</f>
        <v>11</v>
      </c>
      <c r="N2152" s="4">
        <f>BBDD_Usiarios_Netflix[[#This Row],[Ingresos Mensuales]]*BBDD_Usiarios_Netflix[[#This Row],[Meses contratados]]</f>
        <v>154</v>
      </c>
      <c r="O2152" t="s">
        <v>45</v>
      </c>
      <c r="P2152" t="str">
        <f>IF(BBDD_Usiarios_Netflix[[#This Row],[País]]="","Desconocido",BBDD_Usiarios_Netflix[[#This Row],[País]])</f>
        <v>España</v>
      </c>
      <c r="Q2152">
        <v>34</v>
      </c>
      <c r="R2152" t="s">
        <v>30</v>
      </c>
      <c r="S2152" t="s">
        <v>34</v>
      </c>
      <c r="T2152" t="s">
        <v>41</v>
      </c>
      <c r="U2152">
        <f>IF(IFERROR(VLOOKUP(BBDD_Usiarios_Netflix[[#This Row],[Identificador Usuario]],A2153:$A$5870,1,FALSE),0)&lt;&gt;0,1,0)</f>
        <v>0</v>
      </c>
      <c r="V2152" s="6" t="str">
        <f>IF(BBDD_Usiarios_Netflix[[#This Row],[Duración Plan]]="12 Meses",LEFT(BBDD_Usiarios_Netflix[[#This Row],[Duración Plan]],2),LEFT(BBDD_Usiarios_Netflix[[#This Row],[Duración Plan]],1))</f>
        <v>12</v>
      </c>
      <c r="W21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53" spans="1:23" x14ac:dyDescent="0.25">
      <c r="A2153">
        <v>2152</v>
      </c>
      <c r="B2153" t="s">
        <v>23</v>
      </c>
      <c r="C2153">
        <v>10</v>
      </c>
      <c r="D2153" s="3">
        <v>23</v>
      </c>
      <c r="E2153" s="3">
        <v>8</v>
      </c>
      <c r="F2153">
        <v>23</v>
      </c>
      <c r="G2153" s="1">
        <f>DATEVALUE(_xlfn.CONCAT(BBDD_Usiarios_Netflix[[#This Row],[Día Suscripción]],"/",BBDD_Usiarios_Netflix[[#This Row],[Mes Suscripción]],"/",BBDD_Usiarios_Netflix[[#This Row],[Año Suscripción]]))</f>
        <v>45161</v>
      </c>
      <c r="H2153" s="1">
        <v>12</v>
      </c>
      <c r="I2153" s="1">
        <v>7</v>
      </c>
      <c r="J2153" s="1">
        <v>24</v>
      </c>
      <c r="K2153" s="1" t="str">
        <f>TEXT(BBDD_Usiarios_Netflix[[#This Row],[Fecha Suscripción]],"dddd")</f>
        <v>miércoles</v>
      </c>
      <c r="L2153" s="1">
        <f>DATEVALUE(_xlfn.CONCAT(BBDD_Usiarios_Netflix[[#This Row],[Día Último Pago]],"/",BBDD_Usiarios_Netflix[[#This Row],[Mes Último Pago]],"/",BBDD_Usiarios_Netflix[[#This Row],[Año Último Pago]]))</f>
        <v>45485</v>
      </c>
      <c r="M2153" s="4">
        <f>DATEDIF(BBDD_Usiarios_Netflix[[#This Row],[Fecha Suscripción]],BBDD_Usiarios_Netflix[[#This Row],[Fecha Último Pago]],"M")+1</f>
        <v>11</v>
      </c>
      <c r="N2153" s="4">
        <f>BBDD_Usiarios_Netflix[[#This Row],[Ingresos Mensuales]]*BBDD_Usiarios_Netflix[[#This Row],[Meses contratados]]</f>
        <v>110</v>
      </c>
      <c r="O2153" t="s">
        <v>42</v>
      </c>
      <c r="P2153" t="str">
        <f>IF(BBDD_Usiarios_Netflix[[#This Row],[País]]="","Desconocido",BBDD_Usiarios_Netflix[[#This Row],[País]])</f>
        <v>Reino Unido</v>
      </c>
      <c r="Q2153">
        <v>42</v>
      </c>
      <c r="R2153" t="s">
        <v>25</v>
      </c>
      <c r="S2153" t="s">
        <v>36</v>
      </c>
      <c r="T2153" t="s">
        <v>27</v>
      </c>
      <c r="U2153">
        <f>IF(IFERROR(VLOOKUP(BBDD_Usiarios_Netflix[[#This Row],[Identificador Usuario]],A2154:$A$5870,1,FALSE),0)&lt;&gt;0,1,0)</f>
        <v>0</v>
      </c>
      <c r="V2153" s="6" t="str">
        <f>IF(BBDD_Usiarios_Netflix[[#This Row],[Duración Plan]]="12 Meses",LEFT(BBDD_Usiarios_Netflix[[#This Row],[Duración Plan]],2),LEFT(BBDD_Usiarios_Netflix[[#This Row],[Duración Plan]],1))</f>
        <v>1</v>
      </c>
      <c r="W21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54" spans="1:23" x14ac:dyDescent="0.25">
      <c r="A2154">
        <v>2153</v>
      </c>
      <c r="B2154" t="s">
        <v>32</v>
      </c>
      <c r="C2154">
        <v>12</v>
      </c>
      <c r="D2154" s="3">
        <v>27</v>
      </c>
      <c r="E2154" s="3">
        <v>8</v>
      </c>
      <c r="F2154">
        <v>23</v>
      </c>
      <c r="G2154" s="1">
        <f>DATEVALUE(_xlfn.CONCAT(BBDD_Usiarios_Netflix[[#This Row],[Día Suscripción]],"/",BBDD_Usiarios_Netflix[[#This Row],[Mes Suscripción]],"/",BBDD_Usiarios_Netflix[[#This Row],[Año Suscripción]]))</f>
        <v>45165</v>
      </c>
      <c r="H2154" s="1">
        <v>9</v>
      </c>
      <c r="I2154" s="1">
        <v>7</v>
      </c>
      <c r="J2154" s="1">
        <v>24</v>
      </c>
      <c r="K2154" s="1" t="str">
        <f>TEXT(BBDD_Usiarios_Netflix[[#This Row],[Fecha Suscripción]],"dddd")</f>
        <v>domingo</v>
      </c>
      <c r="L2154" s="1">
        <f>DATEVALUE(_xlfn.CONCAT(BBDD_Usiarios_Netflix[[#This Row],[Día Último Pago]],"/",BBDD_Usiarios_Netflix[[#This Row],[Mes Último Pago]],"/",BBDD_Usiarios_Netflix[[#This Row],[Año Último Pago]]))</f>
        <v>45482</v>
      </c>
      <c r="M2154" s="4">
        <f>DATEDIF(BBDD_Usiarios_Netflix[[#This Row],[Fecha Suscripción]],BBDD_Usiarios_Netflix[[#This Row],[Fecha Último Pago]],"M")+1</f>
        <v>11</v>
      </c>
      <c r="N2154" s="4">
        <f>BBDD_Usiarios_Netflix[[#This Row],[Ingresos Mensuales]]*BBDD_Usiarios_Netflix[[#This Row],[Meses contratados]]</f>
        <v>132</v>
      </c>
      <c r="O2154" t="s">
        <v>40</v>
      </c>
      <c r="P2154" t="str">
        <f>IF(BBDD_Usiarios_Netflix[[#This Row],[País]]="","Desconocido",BBDD_Usiarios_Netflix[[#This Row],[País]])</f>
        <v>Italia</v>
      </c>
      <c r="Q2154">
        <v>45</v>
      </c>
      <c r="R2154" t="s">
        <v>25</v>
      </c>
      <c r="S2154" t="s">
        <v>31</v>
      </c>
      <c r="T2154" t="s">
        <v>38</v>
      </c>
      <c r="U2154">
        <f>IF(IFERROR(VLOOKUP(BBDD_Usiarios_Netflix[[#This Row],[Identificador Usuario]],A2155:$A$5870,1,FALSE),0)&lt;&gt;0,1,0)</f>
        <v>0</v>
      </c>
      <c r="V2154" s="6" t="str">
        <f>IF(BBDD_Usiarios_Netflix[[#This Row],[Duración Plan]]="12 Meses",LEFT(BBDD_Usiarios_Netflix[[#This Row],[Duración Plan]],2),LEFT(BBDD_Usiarios_Netflix[[#This Row],[Duración Plan]],1))</f>
        <v>3</v>
      </c>
      <c r="W21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55" spans="1:23" x14ac:dyDescent="0.25">
      <c r="A2155">
        <v>2154</v>
      </c>
      <c r="B2155" t="s">
        <v>32</v>
      </c>
      <c r="C2155">
        <v>12</v>
      </c>
      <c r="D2155" s="3">
        <v>29</v>
      </c>
      <c r="E2155" s="3">
        <v>8</v>
      </c>
      <c r="F2155">
        <v>23</v>
      </c>
      <c r="G2155" s="1">
        <f>DATEVALUE(_xlfn.CONCAT(BBDD_Usiarios_Netflix[[#This Row],[Día Suscripción]],"/",BBDD_Usiarios_Netflix[[#This Row],[Mes Suscripción]],"/",BBDD_Usiarios_Netflix[[#This Row],[Año Suscripción]]))</f>
        <v>45167</v>
      </c>
      <c r="H2155" s="1">
        <v>10</v>
      </c>
      <c r="I2155" s="1">
        <v>7</v>
      </c>
      <c r="J2155" s="1">
        <v>24</v>
      </c>
      <c r="K2155" s="1" t="str">
        <f>TEXT(BBDD_Usiarios_Netflix[[#This Row],[Fecha Suscripción]],"dddd")</f>
        <v>martes</v>
      </c>
      <c r="L2155" s="1">
        <f>DATEVALUE(_xlfn.CONCAT(BBDD_Usiarios_Netflix[[#This Row],[Día Último Pago]],"/",BBDD_Usiarios_Netflix[[#This Row],[Mes Último Pago]],"/",BBDD_Usiarios_Netflix[[#This Row],[Año Último Pago]]))</f>
        <v>45483</v>
      </c>
      <c r="M2155" s="4">
        <f>DATEDIF(BBDD_Usiarios_Netflix[[#This Row],[Fecha Suscripción]],BBDD_Usiarios_Netflix[[#This Row],[Fecha Último Pago]],"M")+1</f>
        <v>11</v>
      </c>
      <c r="N2155" s="4">
        <f>BBDD_Usiarios_Netflix[[#This Row],[Ingresos Mensuales]]*BBDD_Usiarios_Netflix[[#This Row],[Meses contratados]]</f>
        <v>132</v>
      </c>
      <c r="O2155" t="s">
        <v>44</v>
      </c>
      <c r="P2155" t="str">
        <f>IF(BBDD_Usiarios_Netflix[[#This Row],[País]]="","Desconocido",BBDD_Usiarios_Netflix[[#This Row],[País]])</f>
        <v>Desconocido</v>
      </c>
      <c r="Q2155">
        <v>30</v>
      </c>
      <c r="R2155" t="s">
        <v>25</v>
      </c>
      <c r="S2155" t="s">
        <v>34</v>
      </c>
      <c r="T2155" t="s">
        <v>27</v>
      </c>
      <c r="U2155">
        <f>IF(IFERROR(VLOOKUP(BBDD_Usiarios_Netflix[[#This Row],[Identificador Usuario]],A2156:$A$5870,1,FALSE),0)&lt;&gt;0,1,0)</f>
        <v>0</v>
      </c>
      <c r="V2155" s="6" t="str">
        <f>IF(BBDD_Usiarios_Netflix[[#This Row],[Duración Plan]]="12 Meses",LEFT(BBDD_Usiarios_Netflix[[#This Row],[Duración Plan]],2),LEFT(BBDD_Usiarios_Netflix[[#This Row],[Duración Plan]],1))</f>
        <v>1</v>
      </c>
      <c r="W21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56" spans="1:23" x14ac:dyDescent="0.25">
      <c r="A2156">
        <v>2155</v>
      </c>
      <c r="B2156" t="s">
        <v>23</v>
      </c>
      <c r="C2156">
        <v>10</v>
      </c>
      <c r="D2156" s="3">
        <v>1</v>
      </c>
      <c r="E2156" s="3">
        <v>9</v>
      </c>
      <c r="F2156">
        <v>23</v>
      </c>
      <c r="G2156" s="1">
        <f>DATEVALUE(_xlfn.CONCAT(BBDD_Usiarios_Netflix[[#This Row],[Día Suscripción]],"/",BBDD_Usiarios_Netflix[[#This Row],[Mes Suscripción]],"/",BBDD_Usiarios_Netflix[[#This Row],[Año Suscripción]]))</f>
        <v>45170</v>
      </c>
      <c r="H2156" s="1">
        <v>9</v>
      </c>
      <c r="I2156" s="1">
        <v>7</v>
      </c>
      <c r="J2156" s="1">
        <v>24</v>
      </c>
      <c r="K2156" s="1" t="str">
        <f>TEXT(BBDD_Usiarios_Netflix[[#This Row],[Fecha Suscripción]],"dddd")</f>
        <v>viernes</v>
      </c>
      <c r="L2156" s="1">
        <f>DATEVALUE(_xlfn.CONCAT(BBDD_Usiarios_Netflix[[#This Row],[Día Último Pago]],"/",BBDD_Usiarios_Netflix[[#This Row],[Mes Último Pago]],"/",BBDD_Usiarios_Netflix[[#This Row],[Año Último Pago]]))</f>
        <v>45482</v>
      </c>
      <c r="M2156" s="4">
        <f>DATEDIF(BBDD_Usiarios_Netflix[[#This Row],[Fecha Suscripción]],BBDD_Usiarios_Netflix[[#This Row],[Fecha Último Pago]],"M")+1</f>
        <v>11</v>
      </c>
      <c r="N2156" s="4">
        <f>BBDD_Usiarios_Netflix[[#This Row],[Ingresos Mensuales]]*BBDD_Usiarios_Netflix[[#This Row],[Meses contratados]]</f>
        <v>110</v>
      </c>
      <c r="O2156" t="s">
        <v>33</v>
      </c>
      <c r="P2156" t="str">
        <f>IF(BBDD_Usiarios_Netflix[[#This Row],[País]]="","Desconocido",BBDD_Usiarios_Netflix[[#This Row],[País]])</f>
        <v>Francia</v>
      </c>
      <c r="Q2156">
        <v>44</v>
      </c>
      <c r="R2156" t="s">
        <v>25</v>
      </c>
      <c r="S2156" t="s">
        <v>26</v>
      </c>
      <c r="T2156" t="s">
        <v>38</v>
      </c>
      <c r="U2156">
        <f>IF(IFERROR(VLOOKUP(BBDD_Usiarios_Netflix[[#This Row],[Identificador Usuario]],A2157:$A$5870,1,FALSE),0)&lt;&gt;0,1,0)</f>
        <v>0</v>
      </c>
      <c r="V2156" s="6" t="str">
        <f>IF(BBDD_Usiarios_Netflix[[#This Row],[Duración Plan]]="12 Meses",LEFT(BBDD_Usiarios_Netflix[[#This Row],[Duración Plan]],2),LEFT(BBDD_Usiarios_Netflix[[#This Row],[Duración Plan]],1))</f>
        <v>3</v>
      </c>
      <c r="W21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57" spans="1:23" x14ac:dyDescent="0.25">
      <c r="A2157">
        <v>2156</v>
      </c>
      <c r="B2157" t="s">
        <v>28</v>
      </c>
      <c r="C2157">
        <v>14</v>
      </c>
      <c r="D2157" s="3">
        <v>7</v>
      </c>
      <c r="E2157" s="3">
        <v>9</v>
      </c>
      <c r="F2157">
        <v>23</v>
      </c>
      <c r="G2157" s="1">
        <f>DATEVALUE(_xlfn.CONCAT(BBDD_Usiarios_Netflix[[#This Row],[Día Suscripción]],"/",BBDD_Usiarios_Netflix[[#This Row],[Mes Suscripción]],"/",BBDD_Usiarios_Netflix[[#This Row],[Año Suscripción]]))</f>
        <v>45176</v>
      </c>
      <c r="H2157" s="1">
        <v>13</v>
      </c>
      <c r="I2157" s="1">
        <v>7</v>
      </c>
      <c r="J2157" s="1">
        <v>24</v>
      </c>
      <c r="K2157" s="1" t="str">
        <f>TEXT(BBDD_Usiarios_Netflix[[#This Row],[Fecha Suscripción]],"dddd")</f>
        <v>jueves</v>
      </c>
      <c r="L2157" s="1">
        <f>DATEVALUE(_xlfn.CONCAT(BBDD_Usiarios_Netflix[[#This Row],[Día Último Pago]],"/",BBDD_Usiarios_Netflix[[#This Row],[Mes Último Pago]],"/",BBDD_Usiarios_Netflix[[#This Row],[Año Último Pago]]))</f>
        <v>45486</v>
      </c>
      <c r="M2157" s="4">
        <f>DATEDIF(BBDD_Usiarios_Netflix[[#This Row],[Fecha Suscripción]],BBDD_Usiarios_Netflix[[#This Row],[Fecha Último Pago]],"M")+1</f>
        <v>11</v>
      </c>
      <c r="N2157" s="4">
        <f>BBDD_Usiarios_Netflix[[#This Row],[Ingresos Mensuales]]*BBDD_Usiarios_Netflix[[#This Row],[Meses contratados]]</f>
        <v>154</v>
      </c>
      <c r="O2157" t="s">
        <v>40</v>
      </c>
      <c r="P2157" t="str">
        <f>IF(BBDD_Usiarios_Netflix[[#This Row],[País]]="","Desconocido",BBDD_Usiarios_Netflix[[#This Row],[País]])</f>
        <v>Italia</v>
      </c>
      <c r="Q2157">
        <v>37</v>
      </c>
      <c r="R2157" t="s">
        <v>25</v>
      </c>
      <c r="S2157" t="s">
        <v>34</v>
      </c>
      <c r="T2157" t="s">
        <v>35</v>
      </c>
      <c r="U2157">
        <f>IF(IFERROR(VLOOKUP(BBDD_Usiarios_Netflix[[#This Row],[Identificador Usuario]],A2158:$A$5870,1,FALSE),0)&lt;&gt;0,1,0)</f>
        <v>0</v>
      </c>
      <c r="V2157" s="6" t="str">
        <f>IF(BBDD_Usiarios_Netflix[[#This Row],[Duración Plan]]="12 Meses",LEFT(BBDD_Usiarios_Netflix[[#This Row],[Duración Plan]],2),LEFT(BBDD_Usiarios_Netflix[[#This Row],[Duración Plan]],1))</f>
        <v>6</v>
      </c>
      <c r="W21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58" spans="1:23" x14ac:dyDescent="0.25">
      <c r="A2158">
        <v>2157</v>
      </c>
      <c r="B2158" t="s">
        <v>23</v>
      </c>
      <c r="C2158">
        <v>10</v>
      </c>
      <c r="D2158" s="3">
        <v>13</v>
      </c>
      <c r="E2158" s="3">
        <v>9</v>
      </c>
      <c r="F2158">
        <v>23</v>
      </c>
      <c r="G2158" s="1">
        <f>DATEVALUE(_xlfn.CONCAT(BBDD_Usiarios_Netflix[[#This Row],[Día Suscripción]],"/",BBDD_Usiarios_Netflix[[#This Row],[Mes Suscripción]],"/",BBDD_Usiarios_Netflix[[#This Row],[Año Suscripción]]))</f>
        <v>45182</v>
      </c>
      <c r="H2158" s="1">
        <v>10</v>
      </c>
      <c r="I2158" s="1">
        <v>7</v>
      </c>
      <c r="J2158" s="1">
        <v>24</v>
      </c>
      <c r="K2158" s="1" t="str">
        <f>TEXT(BBDD_Usiarios_Netflix[[#This Row],[Fecha Suscripción]],"dddd")</f>
        <v>miércoles</v>
      </c>
      <c r="L2158" s="1">
        <f>DATEVALUE(_xlfn.CONCAT(BBDD_Usiarios_Netflix[[#This Row],[Día Último Pago]],"/",BBDD_Usiarios_Netflix[[#This Row],[Mes Último Pago]],"/",BBDD_Usiarios_Netflix[[#This Row],[Año Último Pago]]))</f>
        <v>45483</v>
      </c>
      <c r="M2158" s="4">
        <f>DATEDIF(BBDD_Usiarios_Netflix[[#This Row],[Fecha Suscripción]],BBDD_Usiarios_Netflix[[#This Row],[Fecha Último Pago]],"M")+1</f>
        <v>10</v>
      </c>
      <c r="N2158" s="4">
        <f>BBDD_Usiarios_Netflix[[#This Row],[Ingresos Mensuales]]*BBDD_Usiarios_Netflix[[#This Row],[Meses contratados]]</f>
        <v>100</v>
      </c>
      <c r="O2158" t="s">
        <v>33</v>
      </c>
      <c r="P2158" t="str">
        <f>IF(BBDD_Usiarios_Netflix[[#This Row],[País]]="","Desconocido",BBDD_Usiarios_Netflix[[#This Row],[País]])</f>
        <v>Francia</v>
      </c>
      <c r="Q2158">
        <v>43</v>
      </c>
      <c r="R2158" t="s">
        <v>25</v>
      </c>
      <c r="S2158" t="s">
        <v>34</v>
      </c>
      <c r="T2158" t="s">
        <v>38</v>
      </c>
      <c r="U2158">
        <f>IF(IFERROR(VLOOKUP(BBDD_Usiarios_Netflix[[#This Row],[Identificador Usuario]],A2159:$A$5870,1,FALSE),0)&lt;&gt;0,1,0)</f>
        <v>0</v>
      </c>
      <c r="V2158" s="6" t="str">
        <f>IF(BBDD_Usiarios_Netflix[[#This Row],[Duración Plan]]="12 Meses",LEFT(BBDD_Usiarios_Netflix[[#This Row],[Duración Plan]],2),LEFT(BBDD_Usiarios_Netflix[[#This Row],[Duración Plan]],1))</f>
        <v>3</v>
      </c>
      <c r="W21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59" spans="1:23" x14ac:dyDescent="0.25">
      <c r="A2159">
        <v>2158</v>
      </c>
      <c r="B2159" t="s">
        <v>32</v>
      </c>
      <c r="C2159">
        <v>12</v>
      </c>
      <c r="D2159" s="3">
        <v>14</v>
      </c>
      <c r="E2159" s="3">
        <v>9</v>
      </c>
      <c r="F2159">
        <v>23</v>
      </c>
      <c r="G2159" s="1">
        <f>DATEVALUE(_xlfn.CONCAT(BBDD_Usiarios_Netflix[[#This Row],[Día Suscripción]],"/",BBDD_Usiarios_Netflix[[#This Row],[Mes Suscripción]],"/",BBDD_Usiarios_Netflix[[#This Row],[Año Suscripción]]))</f>
        <v>45183</v>
      </c>
      <c r="H2159" s="1">
        <v>10</v>
      </c>
      <c r="I2159" s="1">
        <v>7</v>
      </c>
      <c r="J2159" s="1">
        <v>24</v>
      </c>
      <c r="K2159" s="1" t="str">
        <f>TEXT(BBDD_Usiarios_Netflix[[#This Row],[Fecha Suscripción]],"dddd")</f>
        <v>jueves</v>
      </c>
      <c r="L2159" s="1">
        <f>DATEVALUE(_xlfn.CONCAT(BBDD_Usiarios_Netflix[[#This Row],[Día Último Pago]],"/",BBDD_Usiarios_Netflix[[#This Row],[Mes Último Pago]],"/",BBDD_Usiarios_Netflix[[#This Row],[Año Último Pago]]))</f>
        <v>45483</v>
      </c>
      <c r="M2159" s="4">
        <f>DATEDIF(BBDD_Usiarios_Netflix[[#This Row],[Fecha Suscripción]],BBDD_Usiarios_Netflix[[#This Row],[Fecha Último Pago]],"M")+1</f>
        <v>10</v>
      </c>
      <c r="N2159" s="4">
        <f>BBDD_Usiarios_Netflix[[#This Row],[Ingresos Mensuales]]*BBDD_Usiarios_Netflix[[#This Row],[Meses contratados]]</f>
        <v>120</v>
      </c>
      <c r="O2159" t="s">
        <v>40</v>
      </c>
      <c r="P2159" t="str">
        <f>IF(BBDD_Usiarios_Netflix[[#This Row],[País]]="","Desconocido",BBDD_Usiarios_Netflix[[#This Row],[País]])</f>
        <v>Italia</v>
      </c>
      <c r="Q2159">
        <v>46</v>
      </c>
      <c r="R2159" t="s">
        <v>25</v>
      </c>
      <c r="S2159" t="s">
        <v>26</v>
      </c>
      <c r="T2159" t="s">
        <v>27</v>
      </c>
      <c r="U2159">
        <f>IF(IFERROR(VLOOKUP(BBDD_Usiarios_Netflix[[#This Row],[Identificador Usuario]],A2160:$A$5870,1,FALSE),0)&lt;&gt;0,1,0)</f>
        <v>0</v>
      </c>
      <c r="V2159" s="6" t="str">
        <f>IF(BBDD_Usiarios_Netflix[[#This Row],[Duración Plan]]="12 Meses",LEFT(BBDD_Usiarios_Netflix[[#This Row],[Duración Plan]],2),LEFT(BBDD_Usiarios_Netflix[[#This Row],[Duración Plan]],1))</f>
        <v>1</v>
      </c>
      <c r="W21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60" spans="1:23" x14ac:dyDescent="0.25">
      <c r="A2160">
        <v>2159</v>
      </c>
      <c r="B2160" t="s">
        <v>28</v>
      </c>
      <c r="C2160">
        <v>14</v>
      </c>
      <c r="D2160" s="3">
        <v>17</v>
      </c>
      <c r="E2160" s="3">
        <v>9</v>
      </c>
      <c r="F2160">
        <v>23</v>
      </c>
      <c r="G2160" s="1">
        <f>DATEVALUE(_xlfn.CONCAT(BBDD_Usiarios_Netflix[[#This Row],[Día Suscripción]],"/",BBDD_Usiarios_Netflix[[#This Row],[Mes Suscripción]],"/",BBDD_Usiarios_Netflix[[#This Row],[Año Suscripción]]))</f>
        <v>45186</v>
      </c>
      <c r="H2160" s="1">
        <v>12</v>
      </c>
      <c r="I2160" s="1">
        <v>7</v>
      </c>
      <c r="J2160" s="1">
        <v>24</v>
      </c>
      <c r="K2160" s="1" t="str">
        <f>TEXT(BBDD_Usiarios_Netflix[[#This Row],[Fecha Suscripción]],"dddd")</f>
        <v>domingo</v>
      </c>
      <c r="L2160" s="1">
        <f>DATEVALUE(_xlfn.CONCAT(BBDD_Usiarios_Netflix[[#This Row],[Día Último Pago]],"/",BBDD_Usiarios_Netflix[[#This Row],[Mes Último Pago]],"/",BBDD_Usiarios_Netflix[[#This Row],[Año Último Pago]]))</f>
        <v>45485</v>
      </c>
      <c r="M2160" s="4">
        <f>DATEDIF(BBDD_Usiarios_Netflix[[#This Row],[Fecha Suscripción]],BBDD_Usiarios_Netflix[[#This Row],[Fecha Último Pago]],"M")+1</f>
        <v>10</v>
      </c>
      <c r="N2160" s="4">
        <f>BBDD_Usiarios_Netflix[[#This Row],[Ingresos Mensuales]]*BBDD_Usiarios_Netflix[[#This Row],[Meses contratados]]</f>
        <v>140</v>
      </c>
      <c r="O2160" t="s">
        <v>39</v>
      </c>
      <c r="P2160" t="str">
        <f>IF(BBDD_Usiarios_Netflix[[#This Row],[País]]="","Desconocido",BBDD_Usiarios_Netflix[[#This Row],[País]])</f>
        <v>Canadá</v>
      </c>
      <c r="Q2160">
        <v>40</v>
      </c>
      <c r="R2160" t="s">
        <v>30</v>
      </c>
      <c r="S2160" t="s">
        <v>31</v>
      </c>
      <c r="T2160" t="s">
        <v>35</v>
      </c>
      <c r="U2160">
        <f>IF(IFERROR(VLOOKUP(BBDD_Usiarios_Netflix[[#This Row],[Identificador Usuario]],A2161:$A$5870,1,FALSE),0)&lt;&gt;0,1,0)</f>
        <v>0</v>
      </c>
      <c r="V2160" s="6" t="str">
        <f>IF(BBDD_Usiarios_Netflix[[#This Row],[Duración Plan]]="12 Meses",LEFT(BBDD_Usiarios_Netflix[[#This Row],[Duración Plan]],2),LEFT(BBDD_Usiarios_Netflix[[#This Row],[Duración Plan]],1))</f>
        <v>6</v>
      </c>
      <c r="W21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61" spans="1:23" x14ac:dyDescent="0.25">
      <c r="A2161">
        <v>2160</v>
      </c>
      <c r="B2161" t="s">
        <v>23</v>
      </c>
      <c r="C2161">
        <v>10</v>
      </c>
      <c r="D2161" s="3">
        <v>23</v>
      </c>
      <c r="E2161" s="3">
        <v>9</v>
      </c>
      <c r="F2161">
        <v>23</v>
      </c>
      <c r="G2161" s="1">
        <f>DATEVALUE(_xlfn.CONCAT(BBDD_Usiarios_Netflix[[#This Row],[Día Suscripción]],"/",BBDD_Usiarios_Netflix[[#This Row],[Mes Suscripción]],"/",BBDD_Usiarios_Netflix[[#This Row],[Año Suscripción]]))</f>
        <v>45192</v>
      </c>
      <c r="H2161" s="1">
        <v>12</v>
      </c>
      <c r="I2161" s="1">
        <v>7</v>
      </c>
      <c r="J2161" s="1">
        <v>24</v>
      </c>
      <c r="K2161" s="1" t="str">
        <f>TEXT(BBDD_Usiarios_Netflix[[#This Row],[Fecha Suscripción]],"dddd")</f>
        <v>sábado</v>
      </c>
      <c r="L2161" s="1">
        <f>DATEVALUE(_xlfn.CONCAT(BBDD_Usiarios_Netflix[[#This Row],[Día Último Pago]],"/",BBDD_Usiarios_Netflix[[#This Row],[Mes Último Pago]],"/",BBDD_Usiarios_Netflix[[#This Row],[Año Último Pago]]))</f>
        <v>45485</v>
      </c>
      <c r="M2161" s="4">
        <f>DATEDIF(BBDD_Usiarios_Netflix[[#This Row],[Fecha Suscripción]],BBDD_Usiarios_Netflix[[#This Row],[Fecha Último Pago]],"M")+1</f>
        <v>10</v>
      </c>
      <c r="N2161" s="4">
        <f>BBDD_Usiarios_Netflix[[#This Row],[Ingresos Mensuales]]*BBDD_Usiarios_Netflix[[#This Row],[Meses contratados]]</f>
        <v>100</v>
      </c>
      <c r="O2161" t="s">
        <v>24</v>
      </c>
      <c r="P2161" t="str">
        <f>IF(BBDD_Usiarios_Netflix[[#This Row],[País]]="","Desconocido",BBDD_Usiarios_Netflix[[#This Row],[País]])</f>
        <v>Australia</v>
      </c>
      <c r="Q2161">
        <v>45</v>
      </c>
      <c r="R2161" t="s">
        <v>30</v>
      </c>
      <c r="S2161" t="s">
        <v>26</v>
      </c>
      <c r="T2161" t="s">
        <v>41</v>
      </c>
      <c r="U2161">
        <f>IF(IFERROR(VLOOKUP(BBDD_Usiarios_Netflix[[#This Row],[Identificador Usuario]],A2162:$A$5870,1,FALSE),0)&lt;&gt;0,1,0)</f>
        <v>0</v>
      </c>
      <c r="V2161" s="6" t="str">
        <f>IF(BBDD_Usiarios_Netflix[[#This Row],[Duración Plan]]="12 Meses",LEFT(BBDD_Usiarios_Netflix[[#This Row],[Duración Plan]],2),LEFT(BBDD_Usiarios_Netflix[[#This Row],[Duración Plan]],1))</f>
        <v>12</v>
      </c>
      <c r="W21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62" spans="1:23" x14ac:dyDescent="0.25">
      <c r="A2162">
        <v>2161</v>
      </c>
      <c r="B2162" t="s">
        <v>28</v>
      </c>
      <c r="C2162">
        <v>14</v>
      </c>
      <c r="D2162" s="3">
        <v>27</v>
      </c>
      <c r="E2162" s="3">
        <v>9</v>
      </c>
      <c r="F2162">
        <v>23</v>
      </c>
      <c r="G2162" s="1">
        <f>DATEVALUE(_xlfn.CONCAT(BBDD_Usiarios_Netflix[[#This Row],[Día Suscripción]],"/",BBDD_Usiarios_Netflix[[#This Row],[Mes Suscripción]],"/",BBDD_Usiarios_Netflix[[#This Row],[Año Suscripción]]))</f>
        <v>45196</v>
      </c>
      <c r="H2162" s="1">
        <v>9</v>
      </c>
      <c r="I2162" s="1">
        <v>7</v>
      </c>
      <c r="J2162" s="1">
        <v>24</v>
      </c>
      <c r="K2162" s="1" t="str">
        <f>TEXT(BBDD_Usiarios_Netflix[[#This Row],[Fecha Suscripción]],"dddd")</f>
        <v>miércoles</v>
      </c>
      <c r="L2162" s="1">
        <f>DATEVALUE(_xlfn.CONCAT(BBDD_Usiarios_Netflix[[#This Row],[Día Último Pago]],"/",BBDD_Usiarios_Netflix[[#This Row],[Mes Último Pago]],"/",BBDD_Usiarios_Netflix[[#This Row],[Año Último Pago]]))</f>
        <v>45482</v>
      </c>
      <c r="M2162" s="4">
        <f>DATEDIF(BBDD_Usiarios_Netflix[[#This Row],[Fecha Suscripción]],BBDD_Usiarios_Netflix[[#This Row],[Fecha Último Pago]],"M")+1</f>
        <v>10</v>
      </c>
      <c r="N2162" s="4">
        <f>BBDD_Usiarios_Netflix[[#This Row],[Ingresos Mensuales]]*BBDD_Usiarios_Netflix[[#This Row],[Meses contratados]]</f>
        <v>140</v>
      </c>
      <c r="O2162" t="s">
        <v>37</v>
      </c>
      <c r="P2162" t="str">
        <f>IF(BBDD_Usiarios_Netflix[[#This Row],[País]]="","Desconocido",BBDD_Usiarios_Netflix[[#This Row],[País]])</f>
        <v>Brasil</v>
      </c>
      <c r="Q2162">
        <v>48</v>
      </c>
      <c r="R2162" t="s">
        <v>30</v>
      </c>
      <c r="S2162" t="s">
        <v>26</v>
      </c>
      <c r="T2162" t="s">
        <v>35</v>
      </c>
      <c r="U2162">
        <f>IF(IFERROR(VLOOKUP(BBDD_Usiarios_Netflix[[#This Row],[Identificador Usuario]],A2163:$A$5870,1,FALSE),0)&lt;&gt;0,1,0)</f>
        <v>0</v>
      </c>
      <c r="V2162" s="6" t="str">
        <f>IF(BBDD_Usiarios_Netflix[[#This Row],[Duración Plan]]="12 Meses",LEFT(BBDD_Usiarios_Netflix[[#This Row],[Duración Plan]],2),LEFT(BBDD_Usiarios_Netflix[[#This Row],[Duración Plan]],1))</f>
        <v>6</v>
      </c>
      <c r="W21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63" spans="1:23" x14ac:dyDescent="0.25">
      <c r="A2163">
        <v>2162</v>
      </c>
      <c r="B2163" t="s">
        <v>23</v>
      </c>
      <c r="C2163">
        <v>10</v>
      </c>
      <c r="D2163" s="3">
        <v>3</v>
      </c>
      <c r="E2163" s="3">
        <v>10</v>
      </c>
      <c r="F2163">
        <v>23</v>
      </c>
      <c r="G2163" s="1">
        <f>DATEVALUE(_xlfn.CONCAT(BBDD_Usiarios_Netflix[[#This Row],[Día Suscripción]],"/",BBDD_Usiarios_Netflix[[#This Row],[Mes Suscripción]],"/",BBDD_Usiarios_Netflix[[#This Row],[Año Suscripción]]))</f>
        <v>45202</v>
      </c>
      <c r="H2163" s="1">
        <v>10</v>
      </c>
      <c r="I2163" s="1">
        <v>7</v>
      </c>
      <c r="J2163" s="1">
        <v>24</v>
      </c>
      <c r="K2163" s="1" t="str">
        <f>TEXT(BBDD_Usiarios_Netflix[[#This Row],[Fecha Suscripción]],"dddd")</f>
        <v>martes</v>
      </c>
      <c r="L2163" s="1">
        <f>DATEVALUE(_xlfn.CONCAT(BBDD_Usiarios_Netflix[[#This Row],[Día Último Pago]],"/",BBDD_Usiarios_Netflix[[#This Row],[Mes Último Pago]],"/",BBDD_Usiarios_Netflix[[#This Row],[Año Último Pago]]))</f>
        <v>45483</v>
      </c>
      <c r="M2163" s="4">
        <f>DATEDIF(BBDD_Usiarios_Netflix[[#This Row],[Fecha Suscripción]],BBDD_Usiarios_Netflix[[#This Row],[Fecha Último Pago]],"M")+1</f>
        <v>10</v>
      </c>
      <c r="N2163" s="4">
        <f>BBDD_Usiarios_Netflix[[#This Row],[Ingresos Mensuales]]*BBDD_Usiarios_Netflix[[#This Row],[Meses contratados]]</f>
        <v>100</v>
      </c>
      <c r="O2163" t="s">
        <v>24</v>
      </c>
      <c r="P2163" t="str">
        <f>IF(BBDD_Usiarios_Netflix[[#This Row],[País]]="","Desconocido",BBDD_Usiarios_Netflix[[#This Row],[País]])</f>
        <v>Australia</v>
      </c>
      <c r="Q2163">
        <v>43</v>
      </c>
      <c r="R2163" t="s">
        <v>30</v>
      </c>
      <c r="S2163" t="s">
        <v>31</v>
      </c>
      <c r="T2163" t="s">
        <v>27</v>
      </c>
      <c r="U2163">
        <f>IF(IFERROR(VLOOKUP(BBDD_Usiarios_Netflix[[#This Row],[Identificador Usuario]],A2164:$A$5870,1,FALSE),0)&lt;&gt;0,1,0)</f>
        <v>0</v>
      </c>
      <c r="V2163" s="6" t="str">
        <f>IF(BBDD_Usiarios_Netflix[[#This Row],[Duración Plan]]="12 Meses",LEFT(BBDD_Usiarios_Netflix[[#This Row],[Duración Plan]],2),LEFT(BBDD_Usiarios_Netflix[[#This Row],[Duración Plan]],1))</f>
        <v>1</v>
      </c>
      <c r="W21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64" spans="1:23" x14ac:dyDescent="0.25">
      <c r="A2164">
        <v>2163</v>
      </c>
      <c r="B2164" t="s">
        <v>32</v>
      </c>
      <c r="C2164">
        <v>12</v>
      </c>
      <c r="D2164" s="3">
        <v>10</v>
      </c>
      <c r="E2164" s="3">
        <v>10</v>
      </c>
      <c r="F2164">
        <v>23</v>
      </c>
      <c r="G2164" s="1">
        <f>DATEVALUE(_xlfn.CONCAT(BBDD_Usiarios_Netflix[[#This Row],[Día Suscripción]],"/",BBDD_Usiarios_Netflix[[#This Row],[Mes Suscripción]],"/",BBDD_Usiarios_Netflix[[#This Row],[Año Suscripción]]))</f>
        <v>45209</v>
      </c>
      <c r="H2164" s="1">
        <v>11</v>
      </c>
      <c r="I2164" s="1">
        <v>7</v>
      </c>
      <c r="J2164" s="1">
        <v>24</v>
      </c>
      <c r="K2164" s="1" t="str">
        <f>TEXT(BBDD_Usiarios_Netflix[[#This Row],[Fecha Suscripción]],"dddd")</f>
        <v>martes</v>
      </c>
      <c r="L2164" s="1">
        <f>DATEVALUE(_xlfn.CONCAT(BBDD_Usiarios_Netflix[[#This Row],[Día Último Pago]],"/",BBDD_Usiarios_Netflix[[#This Row],[Mes Último Pago]],"/",BBDD_Usiarios_Netflix[[#This Row],[Año Último Pago]]))</f>
        <v>45484</v>
      </c>
      <c r="M2164" s="4">
        <f>DATEDIF(BBDD_Usiarios_Netflix[[#This Row],[Fecha Suscripción]],BBDD_Usiarios_Netflix[[#This Row],[Fecha Último Pago]],"M")+1</f>
        <v>10</v>
      </c>
      <c r="N2164" s="4">
        <f>BBDD_Usiarios_Netflix[[#This Row],[Ingresos Mensuales]]*BBDD_Usiarios_Netflix[[#This Row],[Meses contratados]]</f>
        <v>120</v>
      </c>
      <c r="O2164" t="s">
        <v>42</v>
      </c>
      <c r="P2164" t="str">
        <f>IF(BBDD_Usiarios_Netflix[[#This Row],[País]]="","Desconocido",BBDD_Usiarios_Netflix[[#This Row],[País]])</f>
        <v>Reino Unido</v>
      </c>
      <c r="Q2164">
        <v>48</v>
      </c>
      <c r="R2164" t="s">
        <v>25</v>
      </c>
      <c r="S2164" t="s">
        <v>34</v>
      </c>
      <c r="T2164" t="s">
        <v>27</v>
      </c>
      <c r="U2164">
        <f>IF(IFERROR(VLOOKUP(BBDD_Usiarios_Netflix[[#This Row],[Identificador Usuario]],A2165:$A$5870,1,FALSE),0)&lt;&gt;0,1,0)</f>
        <v>0</v>
      </c>
      <c r="V2164" s="6" t="str">
        <f>IF(BBDD_Usiarios_Netflix[[#This Row],[Duración Plan]]="12 Meses",LEFT(BBDD_Usiarios_Netflix[[#This Row],[Duración Plan]],2),LEFT(BBDD_Usiarios_Netflix[[#This Row],[Duración Plan]],1))</f>
        <v>1</v>
      </c>
      <c r="W21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65" spans="1:23" x14ac:dyDescent="0.25">
      <c r="A2165">
        <v>2164</v>
      </c>
      <c r="B2165" t="s">
        <v>32</v>
      </c>
      <c r="C2165">
        <v>12</v>
      </c>
      <c r="D2165" s="3">
        <v>12</v>
      </c>
      <c r="E2165" s="3">
        <v>10</v>
      </c>
      <c r="F2165">
        <v>23</v>
      </c>
      <c r="G2165" s="1">
        <f>DATEVALUE(_xlfn.CONCAT(BBDD_Usiarios_Netflix[[#This Row],[Día Suscripción]],"/",BBDD_Usiarios_Netflix[[#This Row],[Mes Suscripción]],"/",BBDD_Usiarios_Netflix[[#This Row],[Año Suscripción]]))</f>
        <v>45211</v>
      </c>
      <c r="H2165" s="1">
        <v>11</v>
      </c>
      <c r="I2165" s="1">
        <v>7</v>
      </c>
      <c r="J2165" s="1">
        <v>24</v>
      </c>
      <c r="K2165" s="1" t="str">
        <f>TEXT(BBDD_Usiarios_Netflix[[#This Row],[Fecha Suscripción]],"dddd")</f>
        <v>jueves</v>
      </c>
      <c r="L2165" s="1">
        <f>DATEVALUE(_xlfn.CONCAT(BBDD_Usiarios_Netflix[[#This Row],[Día Último Pago]],"/",BBDD_Usiarios_Netflix[[#This Row],[Mes Último Pago]],"/",BBDD_Usiarios_Netflix[[#This Row],[Año Último Pago]]))</f>
        <v>45484</v>
      </c>
      <c r="M2165" s="4">
        <f>DATEDIF(BBDD_Usiarios_Netflix[[#This Row],[Fecha Suscripción]],BBDD_Usiarios_Netflix[[#This Row],[Fecha Último Pago]],"M")+1</f>
        <v>9</v>
      </c>
      <c r="N2165" s="4">
        <f>BBDD_Usiarios_Netflix[[#This Row],[Ingresos Mensuales]]*BBDD_Usiarios_Netflix[[#This Row],[Meses contratados]]</f>
        <v>108</v>
      </c>
      <c r="O2165" t="s">
        <v>40</v>
      </c>
      <c r="P2165" t="str">
        <f>IF(BBDD_Usiarios_Netflix[[#This Row],[País]]="","Desconocido",BBDD_Usiarios_Netflix[[#This Row],[País]])</f>
        <v>Italia</v>
      </c>
      <c r="Q2165">
        <v>32</v>
      </c>
      <c r="R2165" t="s">
        <v>30</v>
      </c>
      <c r="S2165" t="s">
        <v>26</v>
      </c>
      <c r="T2165" t="s">
        <v>41</v>
      </c>
      <c r="U2165">
        <f>IF(IFERROR(VLOOKUP(BBDD_Usiarios_Netflix[[#This Row],[Identificador Usuario]],A2166:$A$5870,1,FALSE),0)&lt;&gt;0,1,0)</f>
        <v>0</v>
      </c>
      <c r="V2165" s="6" t="str">
        <f>IF(BBDD_Usiarios_Netflix[[#This Row],[Duración Plan]]="12 Meses",LEFT(BBDD_Usiarios_Netflix[[#This Row],[Duración Plan]],2),LEFT(BBDD_Usiarios_Netflix[[#This Row],[Duración Plan]],1))</f>
        <v>12</v>
      </c>
      <c r="W21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66" spans="1:23" x14ac:dyDescent="0.25">
      <c r="A2166">
        <v>2165</v>
      </c>
      <c r="B2166" t="s">
        <v>23</v>
      </c>
      <c r="C2166">
        <v>10</v>
      </c>
      <c r="D2166" s="3">
        <v>14</v>
      </c>
      <c r="E2166" s="3">
        <v>10</v>
      </c>
      <c r="F2166">
        <v>23</v>
      </c>
      <c r="G2166" s="1">
        <f>DATEVALUE(_xlfn.CONCAT(BBDD_Usiarios_Netflix[[#This Row],[Día Suscripción]],"/",BBDD_Usiarios_Netflix[[#This Row],[Mes Suscripción]],"/",BBDD_Usiarios_Netflix[[#This Row],[Año Suscripción]]))</f>
        <v>45213</v>
      </c>
      <c r="H2166" s="1">
        <v>8</v>
      </c>
      <c r="I2166" s="1">
        <v>7</v>
      </c>
      <c r="J2166" s="1">
        <v>24</v>
      </c>
      <c r="K2166" s="1" t="str">
        <f>TEXT(BBDD_Usiarios_Netflix[[#This Row],[Fecha Suscripción]],"dddd")</f>
        <v>sábado</v>
      </c>
      <c r="L2166" s="1">
        <f>DATEVALUE(_xlfn.CONCAT(BBDD_Usiarios_Netflix[[#This Row],[Día Último Pago]],"/",BBDD_Usiarios_Netflix[[#This Row],[Mes Último Pago]],"/",BBDD_Usiarios_Netflix[[#This Row],[Año Último Pago]]))</f>
        <v>45481</v>
      </c>
      <c r="M2166" s="4">
        <f>DATEDIF(BBDD_Usiarios_Netflix[[#This Row],[Fecha Suscripción]],BBDD_Usiarios_Netflix[[#This Row],[Fecha Último Pago]],"M")+1</f>
        <v>9</v>
      </c>
      <c r="N2166" s="4">
        <f>BBDD_Usiarios_Netflix[[#This Row],[Ingresos Mensuales]]*BBDD_Usiarios_Netflix[[#This Row],[Meses contratados]]</f>
        <v>90</v>
      </c>
      <c r="O2166" t="s">
        <v>45</v>
      </c>
      <c r="P2166" t="str">
        <f>IF(BBDD_Usiarios_Netflix[[#This Row],[País]]="","Desconocido",BBDD_Usiarios_Netflix[[#This Row],[País]])</f>
        <v>España</v>
      </c>
      <c r="Q2166">
        <v>38</v>
      </c>
      <c r="R2166" t="s">
        <v>25</v>
      </c>
      <c r="S2166" t="s">
        <v>36</v>
      </c>
      <c r="T2166" t="s">
        <v>27</v>
      </c>
      <c r="U2166">
        <f>IF(IFERROR(VLOOKUP(BBDD_Usiarios_Netflix[[#This Row],[Identificador Usuario]],A2167:$A$5870,1,FALSE),0)&lt;&gt;0,1,0)</f>
        <v>0</v>
      </c>
      <c r="V2166" s="6" t="str">
        <f>IF(BBDD_Usiarios_Netflix[[#This Row],[Duración Plan]]="12 Meses",LEFT(BBDD_Usiarios_Netflix[[#This Row],[Duración Plan]],2),LEFT(BBDD_Usiarios_Netflix[[#This Row],[Duración Plan]],1))</f>
        <v>1</v>
      </c>
      <c r="W21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67" spans="1:23" x14ac:dyDescent="0.25">
      <c r="A2167">
        <v>2166</v>
      </c>
      <c r="B2167" t="s">
        <v>28</v>
      </c>
      <c r="C2167">
        <v>14</v>
      </c>
      <c r="D2167" s="3">
        <v>16</v>
      </c>
      <c r="E2167" s="3">
        <v>10</v>
      </c>
      <c r="F2167">
        <v>23</v>
      </c>
      <c r="G2167" s="1">
        <f>DATEVALUE(_xlfn.CONCAT(BBDD_Usiarios_Netflix[[#This Row],[Día Suscripción]],"/",BBDD_Usiarios_Netflix[[#This Row],[Mes Suscripción]],"/",BBDD_Usiarios_Netflix[[#This Row],[Año Suscripción]]))</f>
        <v>45215</v>
      </c>
      <c r="H2167" s="1">
        <v>10</v>
      </c>
      <c r="I2167" s="1">
        <v>7</v>
      </c>
      <c r="J2167" s="1">
        <v>24</v>
      </c>
      <c r="K2167" s="1" t="str">
        <f>TEXT(BBDD_Usiarios_Netflix[[#This Row],[Fecha Suscripción]],"dddd")</f>
        <v>lunes</v>
      </c>
      <c r="L2167" s="1">
        <f>DATEVALUE(_xlfn.CONCAT(BBDD_Usiarios_Netflix[[#This Row],[Día Último Pago]],"/",BBDD_Usiarios_Netflix[[#This Row],[Mes Último Pago]],"/",BBDD_Usiarios_Netflix[[#This Row],[Año Último Pago]]))</f>
        <v>45483</v>
      </c>
      <c r="M2167" s="4">
        <f>DATEDIF(BBDD_Usiarios_Netflix[[#This Row],[Fecha Suscripción]],BBDD_Usiarios_Netflix[[#This Row],[Fecha Último Pago]],"M")+1</f>
        <v>9</v>
      </c>
      <c r="N2167" s="4">
        <f>BBDD_Usiarios_Netflix[[#This Row],[Ingresos Mensuales]]*BBDD_Usiarios_Netflix[[#This Row],[Meses contratados]]</f>
        <v>126</v>
      </c>
      <c r="O2167" t="s">
        <v>24</v>
      </c>
      <c r="P2167" t="str">
        <f>IF(BBDD_Usiarios_Netflix[[#This Row],[País]]="","Desconocido",BBDD_Usiarios_Netflix[[#This Row],[País]])</f>
        <v>Australia</v>
      </c>
      <c r="Q2167">
        <v>50</v>
      </c>
      <c r="R2167" t="s">
        <v>25</v>
      </c>
      <c r="S2167" t="s">
        <v>26</v>
      </c>
      <c r="T2167" t="s">
        <v>41</v>
      </c>
      <c r="U2167">
        <f>IF(IFERROR(VLOOKUP(BBDD_Usiarios_Netflix[[#This Row],[Identificador Usuario]],A2168:$A$5870,1,FALSE),0)&lt;&gt;0,1,0)</f>
        <v>0</v>
      </c>
      <c r="V2167" s="6" t="str">
        <f>IF(BBDD_Usiarios_Netflix[[#This Row],[Duración Plan]]="12 Meses",LEFT(BBDD_Usiarios_Netflix[[#This Row],[Duración Plan]],2),LEFT(BBDD_Usiarios_Netflix[[#This Row],[Duración Plan]],1))</f>
        <v>12</v>
      </c>
      <c r="W21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68" spans="1:23" x14ac:dyDescent="0.25">
      <c r="A2168">
        <v>2167</v>
      </c>
      <c r="B2168" t="s">
        <v>23</v>
      </c>
      <c r="C2168">
        <v>10</v>
      </c>
      <c r="D2168" s="3">
        <v>18</v>
      </c>
      <c r="E2168" s="3">
        <v>10</v>
      </c>
      <c r="F2168">
        <v>23</v>
      </c>
      <c r="G2168" s="1">
        <f>DATEVALUE(_xlfn.CONCAT(BBDD_Usiarios_Netflix[[#This Row],[Día Suscripción]],"/",BBDD_Usiarios_Netflix[[#This Row],[Mes Suscripción]],"/",BBDD_Usiarios_Netflix[[#This Row],[Año Suscripción]]))</f>
        <v>45217</v>
      </c>
      <c r="H2168" s="1">
        <v>11</v>
      </c>
      <c r="I2168" s="1">
        <v>7</v>
      </c>
      <c r="J2168" s="1">
        <v>24</v>
      </c>
      <c r="K2168" s="1" t="str">
        <f>TEXT(BBDD_Usiarios_Netflix[[#This Row],[Fecha Suscripción]],"dddd")</f>
        <v>miércoles</v>
      </c>
      <c r="L2168" s="1">
        <f>DATEVALUE(_xlfn.CONCAT(BBDD_Usiarios_Netflix[[#This Row],[Día Último Pago]],"/",BBDD_Usiarios_Netflix[[#This Row],[Mes Último Pago]],"/",BBDD_Usiarios_Netflix[[#This Row],[Año Último Pago]]))</f>
        <v>45484</v>
      </c>
      <c r="M2168" s="4">
        <f>DATEDIF(BBDD_Usiarios_Netflix[[#This Row],[Fecha Suscripción]],BBDD_Usiarios_Netflix[[#This Row],[Fecha Último Pago]],"M")+1</f>
        <v>9</v>
      </c>
      <c r="N2168" s="4">
        <f>BBDD_Usiarios_Netflix[[#This Row],[Ingresos Mensuales]]*BBDD_Usiarios_Netflix[[#This Row],[Meses contratados]]</f>
        <v>90</v>
      </c>
      <c r="O2168" t="s">
        <v>24</v>
      </c>
      <c r="P2168" t="str">
        <f>IF(BBDD_Usiarios_Netflix[[#This Row],[País]]="","Desconocido",BBDD_Usiarios_Netflix[[#This Row],[País]])</f>
        <v>Australia</v>
      </c>
      <c r="Q2168">
        <v>33</v>
      </c>
      <c r="R2168" t="s">
        <v>30</v>
      </c>
      <c r="S2168" t="s">
        <v>36</v>
      </c>
      <c r="T2168" t="s">
        <v>41</v>
      </c>
      <c r="U2168">
        <f>IF(IFERROR(VLOOKUP(BBDD_Usiarios_Netflix[[#This Row],[Identificador Usuario]],A2169:$A$5870,1,FALSE),0)&lt;&gt;0,1,0)</f>
        <v>0</v>
      </c>
      <c r="V2168" s="6" t="str">
        <f>IF(BBDD_Usiarios_Netflix[[#This Row],[Duración Plan]]="12 Meses",LEFT(BBDD_Usiarios_Netflix[[#This Row],[Duración Plan]],2),LEFT(BBDD_Usiarios_Netflix[[#This Row],[Duración Plan]],1))</f>
        <v>12</v>
      </c>
      <c r="W21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69" spans="1:23" x14ac:dyDescent="0.25">
      <c r="A2169">
        <v>2168</v>
      </c>
      <c r="B2169" t="s">
        <v>32</v>
      </c>
      <c r="C2169">
        <v>12</v>
      </c>
      <c r="D2169" s="3">
        <v>20</v>
      </c>
      <c r="E2169" s="3">
        <v>10</v>
      </c>
      <c r="F2169">
        <v>23</v>
      </c>
      <c r="G2169" s="1">
        <f>DATEVALUE(_xlfn.CONCAT(BBDD_Usiarios_Netflix[[#This Row],[Día Suscripción]],"/",BBDD_Usiarios_Netflix[[#This Row],[Mes Suscripción]],"/",BBDD_Usiarios_Netflix[[#This Row],[Año Suscripción]]))</f>
        <v>45219</v>
      </c>
      <c r="H2169" s="1">
        <v>10</v>
      </c>
      <c r="I2169" s="1">
        <v>7</v>
      </c>
      <c r="J2169" s="1">
        <v>24</v>
      </c>
      <c r="K2169" s="1" t="str">
        <f>TEXT(BBDD_Usiarios_Netflix[[#This Row],[Fecha Suscripción]],"dddd")</f>
        <v>viernes</v>
      </c>
      <c r="L2169" s="1">
        <f>DATEVALUE(_xlfn.CONCAT(BBDD_Usiarios_Netflix[[#This Row],[Día Último Pago]],"/",BBDD_Usiarios_Netflix[[#This Row],[Mes Último Pago]],"/",BBDD_Usiarios_Netflix[[#This Row],[Año Último Pago]]))</f>
        <v>45483</v>
      </c>
      <c r="M2169" s="4">
        <f>DATEDIF(BBDD_Usiarios_Netflix[[#This Row],[Fecha Suscripción]],BBDD_Usiarios_Netflix[[#This Row],[Fecha Último Pago]],"M")+1</f>
        <v>9</v>
      </c>
      <c r="N2169" s="4">
        <f>BBDD_Usiarios_Netflix[[#This Row],[Ingresos Mensuales]]*BBDD_Usiarios_Netflix[[#This Row],[Meses contratados]]</f>
        <v>108</v>
      </c>
      <c r="O2169" t="s">
        <v>44</v>
      </c>
      <c r="P2169" t="str">
        <f>IF(BBDD_Usiarios_Netflix[[#This Row],[País]]="","Desconocido",BBDD_Usiarios_Netflix[[#This Row],[País]])</f>
        <v>Desconocido</v>
      </c>
      <c r="Q2169">
        <v>27</v>
      </c>
      <c r="R2169" t="s">
        <v>25</v>
      </c>
      <c r="S2169" t="s">
        <v>34</v>
      </c>
      <c r="T2169" t="s">
        <v>27</v>
      </c>
      <c r="U2169">
        <f>IF(IFERROR(VLOOKUP(BBDD_Usiarios_Netflix[[#This Row],[Identificador Usuario]],A2170:$A$5870,1,FALSE),0)&lt;&gt;0,1,0)</f>
        <v>0</v>
      </c>
      <c r="V2169" s="6" t="str">
        <f>IF(BBDD_Usiarios_Netflix[[#This Row],[Duración Plan]]="12 Meses",LEFT(BBDD_Usiarios_Netflix[[#This Row],[Duración Plan]],2),LEFT(BBDD_Usiarios_Netflix[[#This Row],[Duración Plan]],1))</f>
        <v>1</v>
      </c>
      <c r="W21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70" spans="1:23" x14ac:dyDescent="0.25">
      <c r="A2170">
        <v>2169</v>
      </c>
      <c r="B2170" t="s">
        <v>28</v>
      </c>
      <c r="C2170">
        <v>14</v>
      </c>
      <c r="D2170" s="3">
        <v>22</v>
      </c>
      <c r="E2170" s="3">
        <v>10</v>
      </c>
      <c r="F2170">
        <v>23</v>
      </c>
      <c r="G2170" s="1">
        <f>DATEVALUE(_xlfn.CONCAT(BBDD_Usiarios_Netflix[[#This Row],[Día Suscripción]],"/",BBDD_Usiarios_Netflix[[#This Row],[Mes Suscripción]],"/",BBDD_Usiarios_Netflix[[#This Row],[Año Suscripción]]))</f>
        <v>45221</v>
      </c>
      <c r="H2170" s="1">
        <v>8</v>
      </c>
      <c r="I2170" s="1">
        <v>7</v>
      </c>
      <c r="J2170" s="1">
        <v>24</v>
      </c>
      <c r="K2170" s="1" t="str">
        <f>TEXT(BBDD_Usiarios_Netflix[[#This Row],[Fecha Suscripción]],"dddd")</f>
        <v>domingo</v>
      </c>
      <c r="L2170" s="1">
        <f>DATEVALUE(_xlfn.CONCAT(BBDD_Usiarios_Netflix[[#This Row],[Día Último Pago]],"/",BBDD_Usiarios_Netflix[[#This Row],[Mes Último Pago]],"/",BBDD_Usiarios_Netflix[[#This Row],[Año Último Pago]]))</f>
        <v>45481</v>
      </c>
      <c r="M2170" s="4">
        <f>DATEDIF(BBDD_Usiarios_Netflix[[#This Row],[Fecha Suscripción]],BBDD_Usiarios_Netflix[[#This Row],[Fecha Último Pago]],"M")+1</f>
        <v>9</v>
      </c>
      <c r="N2170" s="4">
        <f>BBDD_Usiarios_Netflix[[#This Row],[Ingresos Mensuales]]*BBDD_Usiarios_Netflix[[#This Row],[Meses contratados]]</f>
        <v>126</v>
      </c>
      <c r="O2170" t="s">
        <v>43</v>
      </c>
      <c r="P2170" t="str">
        <f>IF(BBDD_Usiarios_Netflix[[#This Row],[País]]="","Desconocido",BBDD_Usiarios_Netflix[[#This Row],[País]])</f>
        <v>Alemania</v>
      </c>
      <c r="Q2170">
        <v>47</v>
      </c>
      <c r="R2170" t="s">
        <v>25</v>
      </c>
      <c r="S2170" t="s">
        <v>31</v>
      </c>
      <c r="T2170" t="s">
        <v>27</v>
      </c>
      <c r="U2170">
        <f>IF(IFERROR(VLOOKUP(BBDD_Usiarios_Netflix[[#This Row],[Identificador Usuario]],A2171:$A$5870,1,FALSE),0)&lt;&gt;0,1,0)</f>
        <v>0</v>
      </c>
      <c r="V2170" s="6" t="str">
        <f>IF(BBDD_Usiarios_Netflix[[#This Row],[Duración Plan]]="12 Meses",LEFT(BBDD_Usiarios_Netflix[[#This Row],[Duración Plan]],2),LEFT(BBDD_Usiarios_Netflix[[#This Row],[Duración Plan]],1))</f>
        <v>1</v>
      </c>
      <c r="W21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71" spans="1:23" x14ac:dyDescent="0.25">
      <c r="A2171">
        <v>2170</v>
      </c>
      <c r="B2171" t="s">
        <v>23</v>
      </c>
      <c r="C2171">
        <v>10</v>
      </c>
      <c r="D2171" s="3">
        <v>25</v>
      </c>
      <c r="E2171" s="3">
        <v>10</v>
      </c>
      <c r="F2171">
        <v>23</v>
      </c>
      <c r="G2171" s="1">
        <f>DATEVALUE(_xlfn.CONCAT(BBDD_Usiarios_Netflix[[#This Row],[Día Suscripción]],"/",BBDD_Usiarios_Netflix[[#This Row],[Mes Suscripción]],"/",BBDD_Usiarios_Netflix[[#This Row],[Año Suscripción]]))</f>
        <v>45224</v>
      </c>
      <c r="H2171" s="1">
        <v>10</v>
      </c>
      <c r="I2171" s="1">
        <v>7</v>
      </c>
      <c r="J2171" s="1">
        <v>24</v>
      </c>
      <c r="K2171" s="1" t="str">
        <f>TEXT(BBDD_Usiarios_Netflix[[#This Row],[Fecha Suscripción]],"dddd")</f>
        <v>miércoles</v>
      </c>
      <c r="L2171" s="1">
        <f>DATEVALUE(_xlfn.CONCAT(BBDD_Usiarios_Netflix[[#This Row],[Día Último Pago]],"/",BBDD_Usiarios_Netflix[[#This Row],[Mes Último Pago]],"/",BBDD_Usiarios_Netflix[[#This Row],[Año Último Pago]]))</f>
        <v>45483</v>
      </c>
      <c r="M2171" s="4">
        <f>DATEDIF(BBDD_Usiarios_Netflix[[#This Row],[Fecha Suscripción]],BBDD_Usiarios_Netflix[[#This Row],[Fecha Último Pago]],"M")+1</f>
        <v>9</v>
      </c>
      <c r="N2171" s="4">
        <f>BBDD_Usiarios_Netflix[[#This Row],[Ingresos Mensuales]]*BBDD_Usiarios_Netflix[[#This Row],[Meses contratados]]</f>
        <v>90</v>
      </c>
      <c r="O2171" t="s">
        <v>42</v>
      </c>
      <c r="P2171" t="str">
        <f>IF(BBDD_Usiarios_Netflix[[#This Row],[País]]="","Desconocido",BBDD_Usiarios_Netflix[[#This Row],[País]])</f>
        <v>Reino Unido</v>
      </c>
      <c r="Q2171">
        <v>35</v>
      </c>
      <c r="R2171" t="s">
        <v>30</v>
      </c>
      <c r="S2171" t="s">
        <v>34</v>
      </c>
      <c r="T2171" t="s">
        <v>27</v>
      </c>
      <c r="U2171">
        <f>IF(IFERROR(VLOOKUP(BBDD_Usiarios_Netflix[[#This Row],[Identificador Usuario]],A2172:$A$5870,1,FALSE),0)&lt;&gt;0,1,0)</f>
        <v>0</v>
      </c>
      <c r="V2171" s="6" t="str">
        <f>IF(BBDD_Usiarios_Netflix[[#This Row],[Duración Plan]]="12 Meses",LEFT(BBDD_Usiarios_Netflix[[#This Row],[Duración Plan]],2),LEFT(BBDD_Usiarios_Netflix[[#This Row],[Duración Plan]],1))</f>
        <v>1</v>
      </c>
      <c r="W21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72" spans="1:23" x14ac:dyDescent="0.25">
      <c r="A2172">
        <v>2171</v>
      </c>
      <c r="B2172" t="s">
        <v>23</v>
      </c>
      <c r="C2172">
        <v>10</v>
      </c>
      <c r="D2172" s="3">
        <v>26</v>
      </c>
      <c r="E2172" s="3">
        <v>10</v>
      </c>
      <c r="F2172">
        <v>23</v>
      </c>
      <c r="G2172" s="1">
        <f>DATEVALUE(_xlfn.CONCAT(BBDD_Usiarios_Netflix[[#This Row],[Día Suscripción]],"/",BBDD_Usiarios_Netflix[[#This Row],[Mes Suscripción]],"/",BBDD_Usiarios_Netflix[[#This Row],[Año Suscripción]]))</f>
        <v>45225</v>
      </c>
      <c r="H2172" s="1">
        <v>11</v>
      </c>
      <c r="I2172" s="1">
        <v>7</v>
      </c>
      <c r="J2172" s="1">
        <v>24</v>
      </c>
      <c r="K2172" s="1" t="str">
        <f>TEXT(BBDD_Usiarios_Netflix[[#This Row],[Fecha Suscripción]],"dddd")</f>
        <v>jueves</v>
      </c>
      <c r="L2172" s="1">
        <f>DATEVALUE(_xlfn.CONCAT(BBDD_Usiarios_Netflix[[#This Row],[Día Último Pago]],"/",BBDD_Usiarios_Netflix[[#This Row],[Mes Último Pago]],"/",BBDD_Usiarios_Netflix[[#This Row],[Año Último Pago]]))</f>
        <v>45484</v>
      </c>
      <c r="M2172" s="4">
        <f>DATEDIF(BBDD_Usiarios_Netflix[[#This Row],[Fecha Suscripción]],BBDD_Usiarios_Netflix[[#This Row],[Fecha Último Pago]],"M")+1</f>
        <v>9</v>
      </c>
      <c r="N2172" s="4">
        <f>BBDD_Usiarios_Netflix[[#This Row],[Ingresos Mensuales]]*BBDD_Usiarios_Netflix[[#This Row],[Meses contratados]]</f>
        <v>90</v>
      </c>
      <c r="O2172" t="s">
        <v>33</v>
      </c>
      <c r="P2172" t="str">
        <f>IF(BBDD_Usiarios_Netflix[[#This Row],[País]]="","Desconocido",BBDD_Usiarios_Netflix[[#This Row],[País]])</f>
        <v>Francia</v>
      </c>
      <c r="Q2172">
        <v>41</v>
      </c>
      <c r="R2172" t="s">
        <v>25</v>
      </c>
      <c r="S2172" t="s">
        <v>31</v>
      </c>
      <c r="T2172" t="s">
        <v>27</v>
      </c>
      <c r="U2172">
        <f>IF(IFERROR(VLOOKUP(BBDD_Usiarios_Netflix[[#This Row],[Identificador Usuario]],A2173:$A$5870,1,FALSE),0)&lt;&gt;0,1,0)</f>
        <v>0</v>
      </c>
      <c r="V2172" s="6" t="str">
        <f>IF(BBDD_Usiarios_Netflix[[#This Row],[Duración Plan]]="12 Meses",LEFT(BBDD_Usiarios_Netflix[[#This Row],[Duración Plan]],2),LEFT(BBDD_Usiarios_Netflix[[#This Row],[Duración Plan]],1))</f>
        <v>1</v>
      </c>
      <c r="W21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73" spans="1:23" x14ac:dyDescent="0.25">
      <c r="A2173">
        <v>2172</v>
      </c>
      <c r="B2173" t="s">
        <v>23</v>
      </c>
      <c r="C2173">
        <v>10</v>
      </c>
      <c r="D2173" s="3">
        <v>29</v>
      </c>
      <c r="E2173" s="3">
        <v>10</v>
      </c>
      <c r="F2173">
        <v>23</v>
      </c>
      <c r="G2173" s="1">
        <f>DATEVALUE(_xlfn.CONCAT(BBDD_Usiarios_Netflix[[#This Row],[Día Suscripción]],"/",BBDD_Usiarios_Netflix[[#This Row],[Mes Suscripción]],"/",BBDD_Usiarios_Netflix[[#This Row],[Año Suscripción]]))</f>
        <v>45228</v>
      </c>
      <c r="H2173" s="1">
        <v>10</v>
      </c>
      <c r="I2173" s="1">
        <v>7</v>
      </c>
      <c r="J2173" s="1">
        <v>24</v>
      </c>
      <c r="K2173" s="1" t="str">
        <f>TEXT(BBDD_Usiarios_Netflix[[#This Row],[Fecha Suscripción]],"dddd")</f>
        <v>domingo</v>
      </c>
      <c r="L2173" s="1">
        <f>DATEVALUE(_xlfn.CONCAT(BBDD_Usiarios_Netflix[[#This Row],[Día Último Pago]],"/",BBDD_Usiarios_Netflix[[#This Row],[Mes Último Pago]],"/",BBDD_Usiarios_Netflix[[#This Row],[Año Último Pago]]))</f>
        <v>45483</v>
      </c>
      <c r="M2173" s="4">
        <f>DATEDIF(BBDD_Usiarios_Netflix[[#This Row],[Fecha Suscripción]],BBDD_Usiarios_Netflix[[#This Row],[Fecha Último Pago]],"M")+1</f>
        <v>9</v>
      </c>
      <c r="N2173" s="4">
        <f>BBDD_Usiarios_Netflix[[#This Row],[Ingresos Mensuales]]*BBDD_Usiarios_Netflix[[#This Row],[Meses contratados]]</f>
        <v>90</v>
      </c>
      <c r="O2173" t="s">
        <v>33</v>
      </c>
      <c r="P2173" t="str">
        <f>IF(BBDD_Usiarios_Netflix[[#This Row],[País]]="","Desconocido",BBDD_Usiarios_Netflix[[#This Row],[País]])</f>
        <v>Francia</v>
      </c>
      <c r="Q2173">
        <v>39</v>
      </c>
      <c r="R2173" t="s">
        <v>30</v>
      </c>
      <c r="S2173" t="s">
        <v>34</v>
      </c>
      <c r="T2173" t="s">
        <v>41</v>
      </c>
      <c r="U2173">
        <f>IF(IFERROR(VLOOKUP(BBDD_Usiarios_Netflix[[#This Row],[Identificador Usuario]],A2174:$A$5870,1,FALSE),0)&lt;&gt;0,1,0)</f>
        <v>0</v>
      </c>
      <c r="V2173" s="6" t="str">
        <f>IF(BBDD_Usiarios_Netflix[[#This Row],[Duración Plan]]="12 Meses",LEFT(BBDD_Usiarios_Netflix[[#This Row],[Duración Plan]],2),LEFT(BBDD_Usiarios_Netflix[[#This Row],[Duración Plan]],1))</f>
        <v>12</v>
      </c>
      <c r="W21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74" spans="1:23" x14ac:dyDescent="0.25">
      <c r="A2174">
        <v>2173</v>
      </c>
      <c r="B2174" t="s">
        <v>32</v>
      </c>
      <c r="C2174">
        <v>12</v>
      </c>
      <c r="D2174" s="3">
        <v>31</v>
      </c>
      <c r="E2174" s="3">
        <v>10</v>
      </c>
      <c r="F2174">
        <v>23</v>
      </c>
      <c r="G2174" s="1">
        <f>DATEVALUE(_xlfn.CONCAT(BBDD_Usiarios_Netflix[[#This Row],[Día Suscripción]],"/",BBDD_Usiarios_Netflix[[#This Row],[Mes Suscripción]],"/",BBDD_Usiarios_Netflix[[#This Row],[Año Suscripción]]))</f>
        <v>45230</v>
      </c>
      <c r="H2174" s="1">
        <v>7</v>
      </c>
      <c r="I2174" s="1">
        <v>7</v>
      </c>
      <c r="J2174" s="1">
        <v>24</v>
      </c>
      <c r="K2174" s="1" t="str">
        <f>TEXT(BBDD_Usiarios_Netflix[[#This Row],[Fecha Suscripción]],"dddd")</f>
        <v>martes</v>
      </c>
      <c r="L2174" s="1">
        <f>DATEVALUE(_xlfn.CONCAT(BBDD_Usiarios_Netflix[[#This Row],[Día Último Pago]],"/",BBDD_Usiarios_Netflix[[#This Row],[Mes Último Pago]],"/",BBDD_Usiarios_Netflix[[#This Row],[Año Último Pago]]))</f>
        <v>45480</v>
      </c>
      <c r="M2174" s="4">
        <f>DATEDIF(BBDD_Usiarios_Netflix[[#This Row],[Fecha Suscripción]],BBDD_Usiarios_Netflix[[#This Row],[Fecha Último Pago]],"M")+1</f>
        <v>9</v>
      </c>
      <c r="N2174" s="4">
        <f>BBDD_Usiarios_Netflix[[#This Row],[Ingresos Mensuales]]*BBDD_Usiarios_Netflix[[#This Row],[Meses contratados]]</f>
        <v>108</v>
      </c>
      <c r="O2174" t="s">
        <v>42</v>
      </c>
      <c r="P2174" t="str">
        <f>IF(BBDD_Usiarios_Netflix[[#This Row],[País]]="","Desconocido",BBDD_Usiarios_Netflix[[#This Row],[País]])</f>
        <v>Reino Unido</v>
      </c>
      <c r="Q2174">
        <v>46</v>
      </c>
      <c r="R2174" t="s">
        <v>30</v>
      </c>
      <c r="S2174" t="s">
        <v>26</v>
      </c>
      <c r="T2174" t="s">
        <v>27</v>
      </c>
      <c r="U2174">
        <f>IF(IFERROR(VLOOKUP(BBDD_Usiarios_Netflix[[#This Row],[Identificador Usuario]],A2175:$A$5870,1,FALSE),0)&lt;&gt;0,1,0)</f>
        <v>0</v>
      </c>
      <c r="V2174" s="6" t="str">
        <f>IF(BBDD_Usiarios_Netflix[[#This Row],[Duración Plan]]="12 Meses",LEFT(BBDD_Usiarios_Netflix[[#This Row],[Duración Plan]],2),LEFT(BBDD_Usiarios_Netflix[[#This Row],[Duración Plan]],1))</f>
        <v>1</v>
      </c>
      <c r="W21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75" spans="1:23" x14ac:dyDescent="0.25">
      <c r="A2175">
        <v>2174</v>
      </c>
      <c r="B2175" t="s">
        <v>28</v>
      </c>
      <c r="C2175">
        <v>14</v>
      </c>
      <c r="D2175" s="3">
        <v>4</v>
      </c>
      <c r="E2175" s="3">
        <v>11</v>
      </c>
      <c r="F2175">
        <v>23</v>
      </c>
      <c r="G2175" s="1">
        <f>DATEVALUE(_xlfn.CONCAT(BBDD_Usiarios_Netflix[[#This Row],[Día Suscripción]],"/",BBDD_Usiarios_Netflix[[#This Row],[Mes Suscripción]],"/",BBDD_Usiarios_Netflix[[#This Row],[Año Suscripción]]))</f>
        <v>45234</v>
      </c>
      <c r="H2175" s="1">
        <v>11</v>
      </c>
      <c r="I2175" s="1">
        <v>7</v>
      </c>
      <c r="J2175" s="1">
        <v>24</v>
      </c>
      <c r="K2175" s="1" t="str">
        <f>TEXT(BBDD_Usiarios_Netflix[[#This Row],[Fecha Suscripción]],"dddd")</f>
        <v>sábado</v>
      </c>
      <c r="L2175" s="1">
        <f>DATEVALUE(_xlfn.CONCAT(BBDD_Usiarios_Netflix[[#This Row],[Día Último Pago]],"/",BBDD_Usiarios_Netflix[[#This Row],[Mes Último Pago]],"/",BBDD_Usiarios_Netflix[[#This Row],[Año Último Pago]]))</f>
        <v>45484</v>
      </c>
      <c r="M2175" s="4">
        <f>DATEDIF(BBDD_Usiarios_Netflix[[#This Row],[Fecha Suscripción]],BBDD_Usiarios_Netflix[[#This Row],[Fecha Último Pago]],"M")+1</f>
        <v>9</v>
      </c>
      <c r="N2175" s="4">
        <f>BBDD_Usiarios_Netflix[[#This Row],[Ingresos Mensuales]]*BBDD_Usiarios_Netflix[[#This Row],[Meses contratados]]</f>
        <v>126</v>
      </c>
      <c r="O2175" t="s">
        <v>39</v>
      </c>
      <c r="P2175" t="str">
        <f>IF(BBDD_Usiarios_Netflix[[#This Row],[País]]="","Desconocido",BBDD_Usiarios_Netflix[[#This Row],[País]])</f>
        <v>Canadá</v>
      </c>
      <c r="Q2175">
        <v>33</v>
      </c>
      <c r="R2175" t="s">
        <v>30</v>
      </c>
      <c r="S2175" t="s">
        <v>26</v>
      </c>
      <c r="T2175" t="s">
        <v>41</v>
      </c>
      <c r="U2175">
        <f>IF(IFERROR(VLOOKUP(BBDD_Usiarios_Netflix[[#This Row],[Identificador Usuario]],A2176:$A$5870,1,FALSE),0)&lt;&gt;0,1,0)</f>
        <v>0</v>
      </c>
      <c r="V2175" s="6" t="str">
        <f>IF(BBDD_Usiarios_Netflix[[#This Row],[Duración Plan]]="12 Meses",LEFT(BBDD_Usiarios_Netflix[[#This Row],[Duración Plan]],2),LEFT(BBDD_Usiarios_Netflix[[#This Row],[Duración Plan]],1))</f>
        <v>12</v>
      </c>
      <c r="W21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76" spans="1:23" x14ac:dyDescent="0.25">
      <c r="A2176">
        <v>2175</v>
      </c>
      <c r="B2176" t="s">
        <v>23</v>
      </c>
      <c r="C2176">
        <v>10</v>
      </c>
      <c r="D2176" s="3">
        <v>6</v>
      </c>
      <c r="E2176" s="3">
        <v>11</v>
      </c>
      <c r="F2176">
        <v>23</v>
      </c>
      <c r="G2176" s="1">
        <f>DATEVALUE(_xlfn.CONCAT(BBDD_Usiarios_Netflix[[#This Row],[Día Suscripción]],"/",BBDD_Usiarios_Netflix[[#This Row],[Mes Suscripción]],"/",BBDD_Usiarios_Netflix[[#This Row],[Año Suscripción]]))</f>
        <v>45236</v>
      </c>
      <c r="H2176" s="1">
        <v>10</v>
      </c>
      <c r="I2176" s="1">
        <v>7</v>
      </c>
      <c r="J2176" s="1">
        <v>24</v>
      </c>
      <c r="K2176" s="1" t="str">
        <f>TEXT(BBDD_Usiarios_Netflix[[#This Row],[Fecha Suscripción]],"dddd")</f>
        <v>lunes</v>
      </c>
      <c r="L2176" s="1">
        <f>DATEVALUE(_xlfn.CONCAT(BBDD_Usiarios_Netflix[[#This Row],[Día Último Pago]],"/",BBDD_Usiarios_Netflix[[#This Row],[Mes Último Pago]],"/",BBDD_Usiarios_Netflix[[#This Row],[Año Último Pago]]))</f>
        <v>45483</v>
      </c>
      <c r="M2176" s="4">
        <f>DATEDIF(BBDD_Usiarios_Netflix[[#This Row],[Fecha Suscripción]],BBDD_Usiarios_Netflix[[#This Row],[Fecha Último Pago]],"M")+1</f>
        <v>9</v>
      </c>
      <c r="N2176" s="4">
        <f>BBDD_Usiarios_Netflix[[#This Row],[Ingresos Mensuales]]*BBDD_Usiarios_Netflix[[#This Row],[Meses contratados]]</f>
        <v>90</v>
      </c>
      <c r="O2176" t="s">
        <v>29</v>
      </c>
      <c r="P2176" t="str">
        <f>IF(BBDD_Usiarios_Netflix[[#This Row],[País]]="","Desconocido",BBDD_Usiarios_Netflix[[#This Row],[País]])</f>
        <v>EEUU</v>
      </c>
      <c r="Q2176">
        <v>30</v>
      </c>
      <c r="R2176" t="s">
        <v>25</v>
      </c>
      <c r="S2176" t="s">
        <v>36</v>
      </c>
      <c r="T2176" t="s">
        <v>38</v>
      </c>
      <c r="U2176">
        <f>IF(IFERROR(VLOOKUP(BBDD_Usiarios_Netflix[[#This Row],[Identificador Usuario]],A2177:$A$5870,1,FALSE),0)&lt;&gt;0,1,0)</f>
        <v>0</v>
      </c>
      <c r="V2176" s="6" t="str">
        <f>IF(BBDD_Usiarios_Netflix[[#This Row],[Duración Plan]]="12 Meses",LEFT(BBDD_Usiarios_Netflix[[#This Row],[Duración Plan]],2),LEFT(BBDD_Usiarios_Netflix[[#This Row],[Duración Plan]],1))</f>
        <v>3</v>
      </c>
      <c r="W21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77" spans="1:23" x14ac:dyDescent="0.25">
      <c r="A2177">
        <v>2176</v>
      </c>
      <c r="B2177" t="s">
        <v>23</v>
      </c>
      <c r="C2177">
        <v>10</v>
      </c>
      <c r="D2177" s="3">
        <v>7</v>
      </c>
      <c r="E2177" s="3">
        <v>11</v>
      </c>
      <c r="F2177">
        <v>23</v>
      </c>
      <c r="G2177" s="1">
        <f>DATEVALUE(_xlfn.CONCAT(BBDD_Usiarios_Netflix[[#This Row],[Día Suscripción]],"/",BBDD_Usiarios_Netflix[[#This Row],[Mes Suscripción]],"/",BBDD_Usiarios_Netflix[[#This Row],[Año Suscripción]]))</f>
        <v>45237</v>
      </c>
      <c r="H2177" s="1">
        <v>10</v>
      </c>
      <c r="I2177" s="1">
        <v>7</v>
      </c>
      <c r="J2177" s="1">
        <v>24</v>
      </c>
      <c r="K2177" s="1" t="str">
        <f>TEXT(BBDD_Usiarios_Netflix[[#This Row],[Fecha Suscripción]],"dddd")</f>
        <v>martes</v>
      </c>
      <c r="L2177" s="1">
        <f>DATEVALUE(_xlfn.CONCAT(BBDD_Usiarios_Netflix[[#This Row],[Día Último Pago]],"/",BBDD_Usiarios_Netflix[[#This Row],[Mes Último Pago]],"/",BBDD_Usiarios_Netflix[[#This Row],[Año Último Pago]]))</f>
        <v>45483</v>
      </c>
      <c r="M2177" s="4">
        <f>DATEDIF(BBDD_Usiarios_Netflix[[#This Row],[Fecha Suscripción]],BBDD_Usiarios_Netflix[[#This Row],[Fecha Último Pago]],"M")+1</f>
        <v>9</v>
      </c>
      <c r="N2177" s="4">
        <f>BBDD_Usiarios_Netflix[[#This Row],[Ingresos Mensuales]]*BBDD_Usiarios_Netflix[[#This Row],[Meses contratados]]</f>
        <v>90</v>
      </c>
      <c r="O2177" t="s">
        <v>43</v>
      </c>
      <c r="P2177" t="str">
        <f>IF(BBDD_Usiarios_Netflix[[#This Row],[País]]="","Desconocido",BBDD_Usiarios_Netflix[[#This Row],[País]])</f>
        <v>Alemania</v>
      </c>
      <c r="Q2177">
        <v>46</v>
      </c>
      <c r="R2177" t="s">
        <v>25</v>
      </c>
      <c r="S2177" t="s">
        <v>31</v>
      </c>
      <c r="T2177" t="s">
        <v>27</v>
      </c>
      <c r="U2177">
        <f>IF(IFERROR(VLOOKUP(BBDD_Usiarios_Netflix[[#This Row],[Identificador Usuario]],A2178:$A$5870,1,FALSE),0)&lt;&gt;0,1,0)</f>
        <v>0</v>
      </c>
      <c r="V2177" s="6" t="str">
        <f>IF(BBDD_Usiarios_Netflix[[#This Row],[Duración Plan]]="12 Meses",LEFT(BBDD_Usiarios_Netflix[[#This Row],[Duración Plan]],2),LEFT(BBDD_Usiarios_Netflix[[#This Row],[Duración Plan]],1))</f>
        <v>1</v>
      </c>
      <c r="W21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78" spans="1:23" x14ac:dyDescent="0.25">
      <c r="A2178">
        <v>2177</v>
      </c>
      <c r="B2178" t="s">
        <v>28</v>
      </c>
      <c r="C2178">
        <v>14</v>
      </c>
      <c r="D2178" s="3">
        <v>8</v>
      </c>
      <c r="E2178" s="3">
        <v>11</v>
      </c>
      <c r="F2178">
        <v>23</v>
      </c>
      <c r="G2178" s="1">
        <f>DATEVALUE(_xlfn.CONCAT(BBDD_Usiarios_Netflix[[#This Row],[Día Suscripción]],"/",BBDD_Usiarios_Netflix[[#This Row],[Mes Suscripción]],"/",BBDD_Usiarios_Netflix[[#This Row],[Año Suscripción]]))</f>
        <v>45238</v>
      </c>
      <c r="H2178" s="1">
        <v>9</v>
      </c>
      <c r="I2178" s="1">
        <v>7</v>
      </c>
      <c r="J2178" s="1">
        <v>24</v>
      </c>
      <c r="K2178" s="1" t="str">
        <f>TEXT(BBDD_Usiarios_Netflix[[#This Row],[Fecha Suscripción]],"dddd")</f>
        <v>miércoles</v>
      </c>
      <c r="L2178" s="1">
        <f>DATEVALUE(_xlfn.CONCAT(BBDD_Usiarios_Netflix[[#This Row],[Día Último Pago]],"/",BBDD_Usiarios_Netflix[[#This Row],[Mes Último Pago]],"/",BBDD_Usiarios_Netflix[[#This Row],[Año Último Pago]]))</f>
        <v>45482</v>
      </c>
      <c r="M2178" s="4">
        <f>DATEDIF(BBDD_Usiarios_Netflix[[#This Row],[Fecha Suscripción]],BBDD_Usiarios_Netflix[[#This Row],[Fecha Último Pago]],"M")+1</f>
        <v>9</v>
      </c>
      <c r="N2178" s="4">
        <f>BBDD_Usiarios_Netflix[[#This Row],[Ingresos Mensuales]]*BBDD_Usiarios_Netflix[[#This Row],[Meses contratados]]</f>
        <v>126</v>
      </c>
      <c r="O2178" t="s">
        <v>43</v>
      </c>
      <c r="P2178" t="str">
        <f>IF(BBDD_Usiarios_Netflix[[#This Row],[País]]="","Desconocido",BBDD_Usiarios_Netflix[[#This Row],[País]])</f>
        <v>Alemania</v>
      </c>
      <c r="Q2178">
        <v>42</v>
      </c>
      <c r="R2178" t="s">
        <v>30</v>
      </c>
      <c r="S2178" t="s">
        <v>31</v>
      </c>
      <c r="T2178" t="s">
        <v>38</v>
      </c>
      <c r="U2178">
        <f>IF(IFERROR(VLOOKUP(BBDD_Usiarios_Netflix[[#This Row],[Identificador Usuario]],A2179:$A$5870,1,FALSE),0)&lt;&gt;0,1,0)</f>
        <v>0</v>
      </c>
      <c r="V2178" s="6" t="str">
        <f>IF(BBDD_Usiarios_Netflix[[#This Row],[Duración Plan]]="12 Meses",LEFT(BBDD_Usiarios_Netflix[[#This Row],[Duración Plan]],2),LEFT(BBDD_Usiarios_Netflix[[#This Row],[Duración Plan]],1))</f>
        <v>3</v>
      </c>
      <c r="W21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79" spans="1:23" x14ac:dyDescent="0.25">
      <c r="A2179">
        <v>2178</v>
      </c>
      <c r="B2179" t="s">
        <v>32</v>
      </c>
      <c r="C2179">
        <v>12</v>
      </c>
      <c r="D2179" s="3">
        <v>9</v>
      </c>
      <c r="E2179" s="3">
        <v>11</v>
      </c>
      <c r="F2179">
        <v>23</v>
      </c>
      <c r="G2179" s="1">
        <f>DATEVALUE(_xlfn.CONCAT(BBDD_Usiarios_Netflix[[#This Row],[Día Suscripción]],"/",BBDD_Usiarios_Netflix[[#This Row],[Mes Suscripción]],"/",BBDD_Usiarios_Netflix[[#This Row],[Año Suscripción]]))</f>
        <v>45239</v>
      </c>
      <c r="H2179" s="1">
        <v>11</v>
      </c>
      <c r="I2179" s="1">
        <v>7</v>
      </c>
      <c r="J2179" s="1">
        <v>24</v>
      </c>
      <c r="K2179" s="1" t="str">
        <f>TEXT(BBDD_Usiarios_Netflix[[#This Row],[Fecha Suscripción]],"dddd")</f>
        <v>jueves</v>
      </c>
      <c r="L2179" s="1">
        <f>DATEVALUE(_xlfn.CONCAT(BBDD_Usiarios_Netflix[[#This Row],[Día Último Pago]],"/",BBDD_Usiarios_Netflix[[#This Row],[Mes Último Pago]],"/",BBDD_Usiarios_Netflix[[#This Row],[Año Último Pago]]))</f>
        <v>45484</v>
      </c>
      <c r="M2179" s="4">
        <f>DATEDIF(BBDD_Usiarios_Netflix[[#This Row],[Fecha Suscripción]],BBDD_Usiarios_Netflix[[#This Row],[Fecha Último Pago]],"M")+1</f>
        <v>9</v>
      </c>
      <c r="N2179" s="4">
        <f>BBDD_Usiarios_Netflix[[#This Row],[Ingresos Mensuales]]*BBDD_Usiarios_Netflix[[#This Row],[Meses contratados]]</f>
        <v>108</v>
      </c>
      <c r="O2179" t="s">
        <v>45</v>
      </c>
      <c r="P2179" t="str">
        <f>IF(BBDD_Usiarios_Netflix[[#This Row],[País]]="","Desconocido",BBDD_Usiarios_Netflix[[#This Row],[País]])</f>
        <v>España</v>
      </c>
      <c r="Q2179">
        <v>28</v>
      </c>
      <c r="R2179" t="s">
        <v>30</v>
      </c>
      <c r="S2179" t="s">
        <v>31</v>
      </c>
      <c r="T2179" t="s">
        <v>27</v>
      </c>
      <c r="U2179">
        <f>IF(IFERROR(VLOOKUP(BBDD_Usiarios_Netflix[[#This Row],[Identificador Usuario]],A2180:$A$5870,1,FALSE),0)&lt;&gt;0,1,0)</f>
        <v>0</v>
      </c>
      <c r="V2179" s="6" t="str">
        <f>IF(BBDD_Usiarios_Netflix[[#This Row],[Duración Plan]]="12 Meses",LEFT(BBDD_Usiarios_Netflix[[#This Row],[Duración Plan]],2),LEFT(BBDD_Usiarios_Netflix[[#This Row],[Duración Plan]],1))</f>
        <v>1</v>
      </c>
      <c r="W21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80" spans="1:23" x14ac:dyDescent="0.25">
      <c r="A2180">
        <v>2179</v>
      </c>
      <c r="B2180" t="s">
        <v>32</v>
      </c>
      <c r="C2180">
        <v>12</v>
      </c>
      <c r="D2180" s="3">
        <v>10</v>
      </c>
      <c r="E2180" s="3">
        <v>11</v>
      </c>
      <c r="F2180">
        <v>23</v>
      </c>
      <c r="G2180" s="1">
        <f>DATEVALUE(_xlfn.CONCAT(BBDD_Usiarios_Netflix[[#This Row],[Día Suscripción]],"/",BBDD_Usiarios_Netflix[[#This Row],[Mes Suscripción]],"/",BBDD_Usiarios_Netflix[[#This Row],[Año Suscripción]]))</f>
        <v>45240</v>
      </c>
      <c r="H2180" s="1">
        <v>10</v>
      </c>
      <c r="I2180" s="1">
        <v>7</v>
      </c>
      <c r="J2180" s="1">
        <v>24</v>
      </c>
      <c r="K2180" s="1" t="str">
        <f>TEXT(BBDD_Usiarios_Netflix[[#This Row],[Fecha Suscripción]],"dddd")</f>
        <v>viernes</v>
      </c>
      <c r="L2180" s="1">
        <f>DATEVALUE(_xlfn.CONCAT(BBDD_Usiarios_Netflix[[#This Row],[Día Último Pago]],"/",BBDD_Usiarios_Netflix[[#This Row],[Mes Último Pago]],"/",BBDD_Usiarios_Netflix[[#This Row],[Año Último Pago]]))</f>
        <v>45483</v>
      </c>
      <c r="M2180" s="4">
        <f>DATEDIF(BBDD_Usiarios_Netflix[[#This Row],[Fecha Suscripción]],BBDD_Usiarios_Netflix[[#This Row],[Fecha Último Pago]],"M")+1</f>
        <v>9</v>
      </c>
      <c r="N2180" s="4">
        <f>BBDD_Usiarios_Netflix[[#This Row],[Ingresos Mensuales]]*BBDD_Usiarios_Netflix[[#This Row],[Meses contratados]]</f>
        <v>108</v>
      </c>
      <c r="O2180" t="s">
        <v>29</v>
      </c>
      <c r="P2180" t="str">
        <f>IF(BBDD_Usiarios_Netflix[[#This Row],[País]]="","Desconocido",BBDD_Usiarios_Netflix[[#This Row],[País]])</f>
        <v>EEUU</v>
      </c>
      <c r="Q2180">
        <v>40</v>
      </c>
      <c r="R2180" t="s">
        <v>25</v>
      </c>
      <c r="S2180" t="s">
        <v>34</v>
      </c>
      <c r="T2180" t="s">
        <v>27</v>
      </c>
      <c r="U2180">
        <f>IF(IFERROR(VLOOKUP(BBDD_Usiarios_Netflix[[#This Row],[Identificador Usuario]],A2181:$A$5870,1,FALSE),0)&lt;&gt;0,1,0)</f>
        <v>0</v>
      </c>
      <c r="V2180" s="6" t="str">
        <f>IF(BBDD_Usiarios_Netflix[[#This Row],[Duración Plan]]="12 Meses",LEFT(BBDD_Usiarios_Netflix[[#This Row],[Duración Plan]],2),LEFT(BBDD_Usiarios_Netflix[[#This Row],[Duración Plan]],1))</f>
        <v>1</v>
      </c>
      <c r="W21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81" spans="1:23" x14ac:dyDescent="0.25">
      <c r="A2181">
        <v>2180</v>
      </c>
      <c r="B2181" t="s">
        <v>23</v>
      </c>
      <c r="C2181">
        <v>10</v>
      </c>
      <c r="D2181" s="3">
        <v>10</v>
      </c>
      <c r="E2181" s="3">
        <v>11</v>
      </c>
      <c r="F2181">
        <v>23</v>
      </c>
      <c r="G2181" s="1">
        <f>DATEVALUE(_xlfn.CONCAT(BBDD_Usiarios_Netflix[[#This Row],[Día Suscripción]],"/",BBDD_Usiarios_Netflix[[#This Row],[Mes Suscripción]],"/",BBDD_Usiarios_Netflix[[#This Row],[Año Suscripción]]))</f>
        <v>45240</v>
      </c>
      <c r="H2181" s="1">
        <v>10</v>
      </c>
      <c r="I2181" s="1">
        <v>7</v>
      </c>
      <c r="J2181" s="1">
        <v>24</v>
      </c>
      <c r="K2181" s="1" t="str">
        <f>TEXT(BBDD_Usiarios_Netflix[[#This Row],[Fecha Suscripción]],"dddd")</f>
        <v>viernes</v>
      </c>
      <c r="L2181" s="1">
        <f>DATEVALUE(_xlfn.CONCAT(BBDD_Usiarios_Netflix[[#This Row],[Día Último Pago]],"/",BBDD_Usiarios_Netflix[[#This Row],[Mes Último Pago]],"/",BBDD_Usiarios_Netflix[[#This Row],[Año Último Pago]]))</f>
        <v>45483</v>
      </c>
      <c r="M2181" s="4">
        <f>DATEDIF(BBDD_Usiarios_Netflix[[#This Row],[Fecha Suscripción]],BBDD_Usiarios_Netflix[[#This Row],[Fecha Último Pago]],"M")+1</f>
        <v>9</v>
      </c>
      <c r="N2181" s="4">
        <f>BBDD_Usiarios_Netflix[[#This Row],[Ingresos Mensuales]]*BBDD_Usiarios_Netflix[[#This Row],[Meses contratados]]</f>
        <v>90</v>
      </c>
      <c r="O2181" t="s">
        <v>39</v>
      </c>
      <c r="P2181" t="str">
        <f>IF(BBDD_Usiarios_Netflix[[#This Row],[País]]="","Desconocido",BBDD_Usiarios_Netflix[[#This Row],[País]])</f>
        <v>Canadá</v>
      </c>
      <c r="Q2181">
        <v>31</v>
      </c>
      <c r="R2181" t="s">
        <v>30</v>
      </c>
      <c r="S2181" t="s">
        <v>34</v>
      </c>
      <c r="T2181" t="s">
        <v>41</v>
      </c>
      <c r="U2181">
        <f>IF(IFERROR(VLOOKUP(BBDD_Usiarios_Netflix[[#This Row],[Identificador Usuario]],A2182:$A$5870,1,FALSE),0)&lt;&gt;0,1,0)</f>
        <v>0</v>
      </c>
      <c r="V2181" s="6" t="str">
        <f>IF(BBDD_Usiarios_Netflix[[#This Row],[Duración Plan]]="12 Meses",LEFT(BBDD_Usiarios_Netflix[[#This Row],[Duración Plan]],2),LEFT(BBDD_Usiarios_Netflix[[#This Row],[Duración Plan]],1))</f>
        <v>12</v>
      </c>
      <c r="W21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82" spans="1:23" x14ac:dyDescent="0.25">
      <c r="A2182">
        <v>2181</v>
      </c>
      <c r="B2182" t="s">
        <v>28</v>
      </c>
      <c r="C2182">
        <v>14</v>
      </c>
      <c r="D2182" s="3">
        <v>10</v>
      </c>
      <c r="E2182" s="3">
        <v>11</v>
      </c>
      <c r="F2182">
        <v>23</v>
      </c>
      <c r="G2182" s="1">
        <f>DATEVALUE(_xlfn.CONCAT(BBDD_Usiarios_Netflix[[#This Row],[Día Suscripción]],"/",BBDD_Usiarios_Netflix[[#This Row],[Mes Suscripción]],"/",BBDD_Usiarios_Netflix[[#This Row],[Año Suscripción]]))</f>
        <v>45240</v>
      </c>
      <c r="H2182" s="1">
        <v>9</v>
      </c>
      <c r="I2182" s="1">
        <v>7</v>
      </c>
      <c r="J2182" s="1">
        <v>24</v>
      </c>
      <c r="K2182" s="1" t="str">
        <f>TEXT(BBDD_Usiarios_Netflix[[#This Row],[Fecha Suscripción]],"dddd")</f>
        <v>viernes</v>
      </c>
      <c r="L2182" s="1">
        <f>DATEVALUE(_xlfn.CONCAT(BBDD_Usiarios_Netflix[[#This Row],[Día Último Pago]],"/",BBDD_Usiarios_Netflix[[#This Row],[Mes Último Pago]],"/",BBDD_Usiarios_Netflix[[#This Row],[Año Último Pago]]))</f>
        <v>45482</v>
      </c>
      <c r="M2182" s="4">
        <f>DATEDIF(BBDD_Usiarios_Netflix[[#This Row],[Fecha Suscripción]],BBDD_Usiarios_Netflix[[#This Row],[Fecha Último Pago]],"M")+1</f>
        <v>8</v>
      </c>
      <c r="N2182" s="4">
        <f>BBDD_Usiarios_Netflix[[#This Row],[Ingresos Mensuales]]*BBDD_Usiarios_Netflix[[#This Row],[Meses contratados]]</f>
        <v>112</v>
      </c>
      <c r="O2182" t="s">
        <v>43</v>
      </c>
      <c r="P2182" t="str">
        <f>IF(BBDD_Usiarios_Netflix[[#This Row],[País]]="","Desconocido",BBDD_Usiarios_Netflix[[#This Row],[País]])</f>
        <v>Alemania</v>
      </c>
      <c r="Q2182">
        <v>27</v>
      </c>
      <c r="R2182" t="s">
        <v>25</v>
      </c>
      <c r="S2182" t="s">
        <v>36</v>
      </c>
      <c r="T2182" t="s">
        <v>27</v>
      </c>
      <c r="U2182">
        <f>IF(IFERROR(VLOOKUP(BBDD_Usiarios_Netflix[[#This Row],[Identificador Usuario]],A2183:$A$5870,1,FALSE),0)&lt;&gt;0,1,0)</f>
        <v>0</v>
      </c>
      <c r="V2182" s="6" t="str">
        <f>IF(BBDD_Usiarios_Netflix[[#This Row],[Duración Plan]]="12 Meses",LEFT(BBDD_Usiarios_Netflix[[#This Row],[Duración Plan]],2),LEFT(BBDD_Usiarios_Netflix[[#This Row],[Duración Plan]],1))</f>
        <v>1</v>
      </c>
      <c r="W21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83" spans="1:23" x14ac:dyDescent="0.25">
      <c r="A2183">
        <v>2182</v>
      </c>
      <c r="B2183" t="s">
        <v>32</v>
      </c>
      <c r="C2183">
        <v>12</v>
      </c>
      <c r="D2183" s="3">
        <v>9</v>
      </c>
      <c r="E2183" s="3">
        <v>11</v>
      </c>
      <c r="F2183">
        <v>23</v>
      </c>
      <c r="G2183" s="1">
        <f>DATEVALUE(_xlfn.CONCAT(BBDD_Usiarios_Netflix[[#This Row],[Día Suscripción]],"/",BBDD_Usiarios_Netflix[[#This Row],[Mes Suscripción]],"/",BBDD_Usiarios_Netflix[[#This Row],[Año Suscripción]]))</f>
        <v>45239</v>
      </c>
      <c r="H2183" s="1">
        <v>10</v>
      </c>
      <c r="I2183" s="1">
        <v>7</v>
      </c>
      <c r="J2183" s="1">
        <v>24</v>
      </c>
      <c r="K2183" s="1" t="str">
        <f>TEXT(BBDD_Usiarios_Netflix[[#This Row],[Fecha Suscripción]],"dddd")</f>
        <v>jueves</v>
      </c>
      <c r="L2183" s="1">
        <f>DATEVALUE(_xlfn.CONCAT(BBDD_Usiarios_Netflix[[#This Row],[Día Último Pago]],"/",BBDD_Usiarios_Netflix[[#This Row],[Mes Último Pago]],"/",BBDD_Usiarios_Netflix[[#This Row],[Año Último Pago]]))</f>
        <v>45483</v>
      </c>
      <c r="M2183" s="4">
        <f>DATEDIF(BBDD_Usiarios_Netflix[[#This Row],[Fecha Suscripción]],BBDD_Usiarios_Netflix[[#This Row],[Fecha Último Pago]],"M")+1</f>
        <v>9</v>
      </c>
      <c r="N2183" s="4">
        <f>BBDD_Usiarios_Netflix[[#This Row],[Ingresos Mensuales]]*BBDD_Usiarios_Netflix[[#This Row],[Meses contratados]]</f>
        <v>108</v>
      </c>
      <c r="O2183" t="s">
        <v>33</v>
      </c>
      <c r="P2183" t="str">
        <f>IF(BBDD_Usiarios_Netflix[[#This Row],[País]]="","Desconocido",BBDD_Usiarios_Netflix[[#This Row],[País]])</f>
        <v>Francia</v>
      </c>
      <c r="Q2183">
        <v>45</v>
      </c>
      <c r="R2183" t="s">
        <v>30</v>
      </c>
      <c r="S2183" t="s">
        <v>31</v>
      </c>
      <c r="T2183" t="s">
        <v>35</v>
      </c>
      <c r="U2183">
        <f>IF(IFERROR(VLOOKUP(BBDD_Usiarios_Netflix[[#This Row],[Identificador Usuario]],A2184:$A$5870,1,FALSE),0)&lt;&gt;0,1,0)</f>
        <v>0</v>
      </c>
      <c r="V2183" s="6" t="str">
        <f>IF(BBDD_Usiarios_Netflix[[#This Row],[Duración Plan]]="12 Meses",LEFT(BBDD_Usiarios_Netflix[[#This Row],[Duración Plan]],2),LEFT(BBDD_Usiarios_Netflix[[#This Row],[Duración Plan]],1))</f>
        <v>6</v>
      </c>
      <c r="W21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84" spans="1:23" x14ac:dyDescent="0.25">
      <c r="A2184">
        <v>2183</v>
      </c>
      <c r="B2184" t="s">
        <v>23</v>
      </c>
      <c r="C2184">
        <v>10</v>
      </c>
      <c r="D2184" s="3">
        <v>9</v>
      </c>
      <c r="E2184" s="3">
        <v>11</v>
      </c>
      <c r="F2184">
        <v>23</v>
      </c>
      <c r="G2184" s="1">
        <f>DATEVALUE(_xlfn.CONCAT(BBDD_Usiarios_Netflix[[#This Row],[Día Suscripción]],"/",BBDD_Usiarios_Netflix[[#This Row],[Mes Suscripción]],"/",BBDD_Usiarios_Netflix[[#This Row],[Año Suscripción]]))</f>
        <v>45239</v>
      </c>
      <c r="H2184" s="1">
        <v>10</v>
      </c>
      <c r="I2184" s="1">
        <v>7</v>
      </c>
      <c r="J2184" s="1">
        <v>24</v>
      </c>
      <c r="K2184" s="1" t="str">
        <f>TEXT(BBDD_Usiarios_Netflix[[#This Row],[Fecha Suscripción]],"dddd")</f>
        <v>jueves</v>
      </c>
      <c r="L2184" s="1">
        <f>DATEVALUE(_xlfn.CONCAT(BBDD_Usiarios_Netflix[[#This Row],[Día Último Pago]],"/",BBDD_Usiarios_Netflix[[#This Row],[Mes Último Pago]],"/",BBDD_Usiarios_Netflix[[#This Row],[Año Último Pago]]))</f>
        <v>45483</v>
      </c>
      <c r="M2184" s="4">
        <f>DATEDIF(BBDD_Usiarios_Netflix[[#This Row],[Fecha Suscripción]],BBDD_Usiarios_Netflix[[#This Row],[Fecha Último Pago]],"M")+1</f>
        <v>9</v>
      </c>
      <c r="N2184" s="4">
        <f>BBDD_Usiarios_Netflix[[#This Row],[Ingresos Mensuales]]*BBDD_Usiarios_Netflix[[#This Row],[Meses contratados]]</f>
        <v>90</v>
      </c>
      <c r="O2184" t="s">
        <v>40</v>
      </c>
      <c r="P2184" t="str">
        <f>IF(BBDD_Usiarios_Netflix[[#This Row],[País]]="","Desconocido",BBDD_Usiarios_Netflix[[#This Row],[País]])</f>
        <v>Italia</v>
      </c>
      <c r="Q2184">
        <v>49</v>
      </c>
      <c r="R2184" t="s">
        <v>30</v>
      </c>
      <c r="S2184" t="s">
        <v>34</v>
      </c>
      <c r="T2184" t="s">
        <v>38</v>
      </c>
      <c r="U2184">
        <f>IF(IFERROR(VLOOKUP(BBDD_Usiarios_Netflix[[#This Row],[Identificador Usuario]],A2185:$A$5870,1,FALSE),0)&lt;&gt;0,1,0)</f>
        <v>0</v>
      </c>
      <c r="V2184" s="6" t="str">
        <f>IF(BBDD_Usiarios_Netflix[[#This Row],[Duración Plan]]="12 Meses",LEFT(BBDD_Usiarios_Netflix[[#This Row],[Duración Plan]],2),LEFT(BBDD_Usiarios_Netflix[[#This Row],[Duración Plan]],1))</f>
        <v>3</v>
      </c>
      <c r="W21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85" spans="1:23" x14ac:dyDescent="0.25">
      <c r="A2185">
        <v>2184</v>
      </c>
      <c r="B2185" t="s">
        <v>32</v>
      </c>
      <c r="C2185">
        <v>12</v>
      </c>
      <c r="D2185" s="3">
        <v>6</v>
      </c>
      <c r="E2185" s="3">
        <v>11</v>
      </c>
      <c r="F2185">
        <v>23</v>
      </c>
      <c r="G2185" s="1">
        <f>DATEVALUE(_xlfn.CONCAT(BBDD_Usiarios_Netflix[[#This Row],[Día Suscripción]],"/",BBDD_Usiarios_Netflix[[#This Row],[Mes Suscripción]],"/",BBDD_Usiarios_Netflix[[#This Row],[Año Suscripción]]))</f>
        <v>45236</v>
      </c>
      <c r="H2185" s="1">
        <v>11</v>
      </c>
      <c r="I2185" s="1">
        <v>7</v>
      </c>
      <c r="J2185" s="1">
        <v>24</v>
      </c>
      <c r="K2185" s="1" t="str">
        <f>TEXT(BBDD_Usiarios_Netflix[[#This Row],[Fecha Suscripción]],"dddd")</f>
        <v>lunes</v>
      </c>
      <c r="L2185" s="1">
        <f>DATEVALUE(_xlfn.CONCAT(BBDD_Usiarios_Netflix[[#This Row],[Día Último Pago]],"/",BBDD_Usiarios_Netflix[[#This Row],[Mes Último Pago]],"/",BBDD_Usiarios_Netflix[[#This Row],[Año Último Pago]]))</f>
        <v>45484</v>
      </c>
      <c r="M2185" s="4">
        <f>DATEDIF(BBDD_Usiarios_Netflix[[#This Row],[Fecha Suscripción]],BBDD_Usiarios_Netflix[[#This Row],[Fecha Último Pago]],"M")+1</f>
        <v>9</v>
      </c>
      <c r="N2185" s="4">
        <f>BBDD_Usiarios_Netflix[[#This Row],[Ingresos Mensuales]]*BBDD_Usiarios_Netflix[[#This Row],[Meses contratados]]</f>
        <v>108</v>
      </c>
      <c r="O2185" t="s">
        <v>44</v>
      </c>
      <c r="P2185" t="str">
        <f>IF(BBDD_Usiarios_Netflix[[#This Row],[País]]="","Desconocido",BBDD_Usiarios_Netflix[[#This Row],[País]])</f>
        <v>Desconocido</v>
      </c>
      <c r="Q2185">
        <v>28</v>
      </c>
      <c r="R2185" t="s">
        <v>25</v>
      </c>
      <c r="S2185" t="s">
        <v>31</v>
      </c>
      <c r="T2185" t="s">
        <v>27</v>
      </c>
      <c r="U2185">
        <f>IF(IFERROR(VLOOKUP(BBDD_Usiarios_Netflix[[#This Row],[Identificador Usuario]],A2186:$A$5870,1,FALSE),0)&lt;&gt;0,1,0)</f>
        <v>0</v>
      </c>
      <c r="V2185" s="6" t="str">
        <f>IF(BBDD_Usiarios_Netflix[[#This Row],[Duración Plan]]="12 Meses",LEFT(BBDD_Usiarios_Netflix[[#This Row],[Duración Plan]],2),LEFT(BBDD_Usiarios_Netflix[[#This Row],[Duración Plan]],1))</f>
        <v>1</v>
      </c>
      <c r="W21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86" spans="1:23" x14ac:dyDescent="0.25">
      <c r="A2186">
        <v>2185</v>
      </c>
      <c r="B2186" t="s">
        <v>28</v>
      </c>
      <c r="C2186">
        <v>14</v>
      </c>
      <c r="D2186" s="3">
        <v>3</v>
      </c>
      <c r="E2186" s="3">
        <v>11</v>
      </c>
      <c r="F2186">
        <v>23</v>
      </c>
      <c r="G2186" s="1">
        <f>DATEVALUE(_xlfn.CONCAT(BBDD_Usiarios_Netflix[[#This Row],[Día Suscripción]],"/",BBDD_Usiarios_Netflix[[#This Row],[Mes Suscripción]],"/",BBDD_Usiarios_Netflix[[#This Row],[Año Suscripción]]))</f>
        <v>45233</v>
      </c>
      <c r="H2186" s="1">
        <v>8</v>
      </c>
      <c r="I2186" s="1">
        <v>7</v>
      </c>
      <c r="J2186" s="1">
        <v>24</v>
      </c>
      <c r="K2186" s="1" t="str">
        <f>TEXT(BBDD_Usiarios_Netflix[[#This Row],[Fecha Suscripción]],"dddd")</f>
        <v>viernes</v>
      </c>
      <c r="L2186" s="1">
        <f>DATEVALUE(_xlfn.CONCAT(BBDD_Usiarios_Netflix[[#This Row],[Día Último Pago]],"/",BBDD_Usiarios_Netflix[[#This Row],[Mes Último Pago]],"/",BBDD_Usiarios_Netflix[[#This Row],[Año Último Pago]]))</f>
        <v>45481</v>
      </c>
      <c r="M2186" s="4">
        <f>DATEDIF(BBDD_Usiarios_Netflix[[#This Row],[Fecha Suscripción]],BBDD_Usiarios_Netflix[[#This Row],[Fecha Último Pago]],"M")+1</f>
        <v>9</v>
      </c>
      <c r="N2186" s="4">
        <f>BBDD_Usiarios_Netflix[[#This Row],[Ingresos Mensuales]]*BBDD_Usiarios_Netflix[[#This Row],[Meses contratados]]</f>
        <v>126</v>
      </c>
      <c r="O2186" t="s">
        <v>40</v>
      </c>
      <c r="P2186" t="str">
        <f>IF(BBDD_Usiarios_Netflix[[#This Row],[País]]="","Desconocido",BBDD_Usiarios_Netflix[[#This Row],[País]])</f>
        <v>Italia</v>
      </c>
      <c r="Q2186">
        <v>33</v>
      </c>
      <c r="R2186" t="s">
        <v>25</v>
      </c>
      <c r="S2186" t="s">
        <v>34</v>
      </c>
      <c r="T2186" t="s">
        <v>41</v>
      </c>
      <c r="U2186">
        <f>IF(IFERROR(VLOOKUP(BBDD_Usiarios_Netflix[[#This Row],[Identificador Usuario]],A2187:$A$5870,1,FALSE),0)&lt;&gt;0,1,0)</f>
        <v>0</v>
      </c>
      <c r="V2186" s="6" t="str">
        <f>IF(BBDD_Usiarios_Netflix[[#This Row],[Duración Plan]]="12 Meses",LEFT(BBDD_Usiarios_Netflix[[#This Row],[Duración Plan]],2),LEFT(BBDD_Usiarios_Netflix[[#This Row],[Duración Plan]],1))</f>
        <v>12</v>
      </c>
      <c r="W21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87" spans="1:23" x14ac:dyDescent="0.25">
      <c r="A2187">
        <v>2186</v>
      </c>
      <c r="B2187" t="s">
        <v>23</v>
      </c>
      <c r="C2187">
        <v>10</v>
      </c>
      <c r="D2187" s="3">
        <v>27</v>
      </c>
      <c r="E2187" s="3">
        <v>10</v>
      </c>
      <c r="F2187">
        <v>23</v>
      </c>
      <c r="G2187" s="1">
        <f>DATEVALUE(_xlfn.CONCAT(BBDD_Usiarios_Netflix[[#This Row],[Día Suscripción]],"/",BBDD_Usiarios_Netflix[[#This Row],[Mes Suscripción]],"/",BBDD_Usiarios_Netflix[[#This Row],[Año Suscripción]]))</f>
        <v>45226</v>
      </c>
      <c r="H2187" s="1">
        <v>11</v>
      </c>
      <c r="I2187" s="1">
        <v>7</v>
      </c>
      <c r="J2187" s="1">
        <v>24</v>
      </c>
      <c r="K2187" s="1" t="str">
        <f>TEXT(BBDD_Usiarios_Netflix[[#This Row],[Fecha Suscripción]],"dddd")</f>
        <v>viernes</v>
      </c>
      <c r="L2187" s="1">
        <f>DATEVALUE(_xlfn.CONCAT(BBDD_Usiarios_Netflix[[#This Row],[Día Último Pago]],"/",BBDD_Usiarios_Netflix[[#This Row],[Mes Último Pago]],"/",BBDD_Usiarios_Netflix[[#This Row],[Año Último Pago]]))</f>
        <v>45484</v>
      </c>
      <c r="M2187" s="4">
        <f>DATEDIF(BBDD_Usiarios_Netflix[[#This Row],[Fecha Suscripción]],BBDD_Usiarios_Netflix[[#This Row],[Fecha Último Pago]],"M")+1</f>
        <v>9</v>
      </c>
      <c r="N2187" s="4">
        <f>BBDD_Usiarios_Netflix[[#This Row],[Ingresos Mensuales]]*BBDD_Usiarios_Netflix[[#This Row],[Meses contratados]]</f>
        <v>90</v>
      </c>
      <c r="O2187" t="s">
        <v>39</v>
      </c>
      <c r="P2187" t="str">
        <f>IF(BBDD_Usiarios_Netflix[[#This Row],[País]]="","Desconocido",BBDD_Usiarios_Netflix[[#This Row],[País]])</f>
        <v>Canadá</v>
      </c>
      <c r="Q2187">
        <v>38</v>
      </c>
      <c r="R2187" t="s">
        <v>25</v>
      </c>
      <c r="S2187" t="s">
        <v>34</v>
      </c>
      <c r="T2187" t="s">
        <v>41</v>
      </c>
      <c r="U2187">
        <f>IF(IFERROR(VLOOKUP(BBDD_Usiarios_Netflix[[#This Row],[Identificador Usuario]],A2188:$A$5870,1,FALSE),0)&lt;&gt;0,1,0)</f>
        <v>0</v>
      </c>
      <c r="V2187" s="6" t="str">
        <f>IF(BBDD_Usiarios_Netflix[[#This Row],[Duración Plan]]="12 Meses",LEFT(BBDD_Usiarios_Netflix[[#This Row],[Duración Plan]],2),LEFT(BBDD_Usiarios_Netflix[[#This Row],[Duración Plan]],1))</f>
        <v>12</v>
      </c>
      <c r="W21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88" spans="1:23" x14ac:dyDescent="0.25">
      <c r="A2188">
        <v>2187</v>
      </c>
      <c r="B2188" t="s">
        <v>28</v>
      </c>
      <c r="C2188">
        <v>14</v>
      </c>
      <c r="D2188" s="3">
        <v>28</v>
      </c>
      <c r="E2188" s="3">
        <v>10</v>
      </c>
      <c r="F2188">
        <v>23</v>
      </c>
      <c r="G2188" s="1">
        <f>DATEVALUE(_xlfn.CONCAT(BBDD_Usiarios_Netflix[[#This Row],[Día Suscripción]],"/",BBDD_Usiarios_Netflix[[#This Row],[Mes Suscripción]],"/",BBDD_Usiarios_Netflix[[#This Row],[Año Suscripción]]))</f>
        <v>45227</v>
      </c>
      <c r="H2188" s="1">
        <v>10</v>
      </c>
      <c r="I2188" s="1">
        <v>7</v>
      </c>
      <c r="J2188" s="1">
        <v>24</v>
      </c>
      <c r="K2188" s="1" t="str">
        <f>TEXT(BBDD_Usiarios_Netflix[[#This Row],[Fecha Suscripción]],"dddd")</f>
        <v>sábado</v>
      </c>
      <c r="L2188" s="1">
        <f>DATEVALUE(_xlfn.CONCAT(BBDD_Usiarios_Netflix[[#This Row],[Día Último Pago]],"/",BBDD_Usiarios_Netflix[[#This Row],[Mes Último Pago]],"/",BBDD_Usiarios_Netflix[[#This Row],[Año Último Pago]]))</f>
        <v>45483</v>
      </c>
      <c r="M2188" s="4">
        <f>DATEDIF(BBDD_Usiarios_Netflix[[#This Row],[Fecha Suscripción]],BBDD_Usiarios_Netflix[[#This Row],[Fecha Último Pago]],"M")+1</f>
        <v>9</v>
      </c>
      <c r="N2188" s="4">
        <f>BBDD_Usiarios_Netflix[[#This Row],[Ingresos Mensuales]]*BBDD_Usiarios_Netflix[[#This Row],[Meses contratados]]</f>
        <v>126</v>
      </c>
      <c r="O2188" t="s">
        <v>45</v>
      </c>
      <c r="P2188" t="str">
        <f>IF(BBDD_Usiarios_Netflix[[#This Row],[País]]="","Desconocido",BBDD_Usiarios_Netflix[[#This Row],[País]])</f>
        <v>España</v>
      </c>
      <c r="Q2188">
        <v>44</v>
      </c>
      <c r="R2188" t="s">
        <v>25</v>
      </c>
      <c r="S2188" t="s">
        <v>31</v>
      </c>
      <c r="T2188" t="s">
        <v>35</v>
      </c>
      <c r="U2188">
        <f>IF(IFERROR(VLOOKUP(BBDD_Usiarios_Netflix[[#This Row],[Identificador Usuario]],A2189:$A$5870,1,FALSE),0)&lt;&gt;0,1,0)</f>
        <v>0</v>
      </c>
      <c r="V2188" s="6" t="str">
        <f>IF(BBDD_Usiarios_Netflix[[#This Row],[Duración Plan]]="12 Meses",LEFT(BBDD_Usiarios_Netflix[[#This Row],[Duración Plan]],2),LEFT(BBDD_Usiarios_Netflix[[#This Row],[Duración Plan]],1))</f>
        <v>6</v>
      </c>
      <c r="W21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189" spans="1:23" x14ac:dyDescent="0.25">
      <c r="A2189">
        <v>2188</v>
      </c>
      <c r="B2189" t="s">
        <v>32</v>
      </c>
      <c r="C2189">
        <v>12</v>
      </c>
      <c r="D2189" s="3">
        <v>18</v>
      </c>
      <c r="E2189" s="3">
        <v>10</v>
      </c>
      <c r="F2189">
        <v>23</v>
      </c>
      <c r="G2189" s="1">
        <f>DATEVALUE(_xlfn.CONCAT(BBDD_Usiarios_Netflix[[#This Row],[Día Suscripción]],"/",BBDD_Usiarios_Netflix[[#This Row],[Mes Suscripción]],"/",BBDD_Usiarios_Netflix[[#This Row],[Año Suscripción]]))</f>
        <v>45217</v>
      </c>
      <c r="H2189" s="1">
        <v>10</v>
      </c>
      <c r="I2189" s="1">
        <v>7</v>
      </c>
      <c r="J2189" s="1">
        <v>24</v>
      </c>
      <c r="K2189" s="1" t="str">
        <f>TEXT(BBDD_Usiarios_Netflix[[#This Row],[Fecha Suscripción]],"dddd")</f>
        <v>miércoles</v>
      </c>
      <c r="L2189" s="1">
        <f>DATEVALUE(_xlfn.CONCAT(BBDD_Usiarios_Netflix[[#This Row],[Día Último Pago]],"/",BBDD_Usiarios_Netflix[[#This Row],[Mes Último Pago]],"/",BBDD_Usiarios_Netflix[[#This Row],[Año Último Pago]]))</f>
        <v>45483</v>
      </c>
      <c r="M2189" s="4">
        <f>DATEDIF(BBDD_Usiarios_Netflix[[#This Row],[Fecha Suscripción]],BBDD_Usiarios_Netflix[[#This Row],[Fecha Último Pago]],"M")+1</f>
        <v>9</v>
      </c>
      <c r="N2189" s="4">
        <f>BBDD_Usiarios_Netflix[[#This Row],[Ingresos Mensuales]]*BBDD_Usiarios_Netflix[[#This Row],[Meses contratados]]</f>
        <v>108</v>
      </c>
      <c r="O2189" t="s">
        <v>29</v>
      </c>
      <c r="P2189" t="str">
        <f>IF(BBDD_Usiarios_Netflix[[#This Row],[País]]="","Desconocido",BBDD_Usiarios_Netflix[[#This Row],[País]])</f>
        <v>EEUU</v>
      </c>
      <c r="Q2189">
        <v>34</v>
      </c>
      <c r="R2189" t="s">
        <v>30</v>
      </c>
      <c r="S2189" t="s">
        <v>36</v>
      </c>
      <c r="T2189" t="s">
        <v>27</v>
      </c>
      <c r="U2189">
        <f>IF(IFERROR(VLOOKUP(BBDD_Usiarios_Netflix[[#This Row],[Identificador Usuario]],A2190:$A$5870,1,FALSE),0)&lt;&gt;0,1,0)</f>
        <v>0</v>
      </c>
      <c r="V2189" s="6" t="str">
        <f>IF(BBDD_Usiarios_Netflix[[#This Row],[Duración Plan]]="12 Meses",LEFT(BBDD_Usiarios_Netflix[[#This Row],[Duración Plan]],2),LEFT(BBDD_Usiarios_Netflix[[#This Row],[Duración Plan]],1))</f>
        <v>1</v>
      </c>
      <c r="W21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90" spans="1:23" x14ac:dyDescent="0.25">
      <c r="A2190">
        <v>2189</v>
      </c>
      <c r="B2190" t="s">
        <v>23</v>
      </c>
      <c r="C2190">
        <v>10</v>
      </c>
      <c r="D2190" s="3">
        <v>4</v>
      </c>
      <c r="E2190" s="3">
        <v>10</v>
      </c>
      <c r="F2190">
        <v>23</v>
      </c>
      <c r="G2190" s="1">
        <f>DATEVALUE(_xlfn.CONCAT(BBDD_Usiarios_Netflix[[#This Row],[Día Suscripción]],"/",BBDD_Usiarios_Netflix[[#This Row],[Mes Suscripción]],"/",BBDD_Usiarios_Netflix[[#This Row],[Año Suscripción]]))</f>
        <v>45203</v>
      </c>
      <c r="H2190" s="1">
        <v>9</v>
      </c>
      <c r="I2190" s="1">
        <v>7</v>
      </c>
      <c r="J2190" s="1">
        <v>24</v>
      </c>
      <c r="K2190" s="1" t="str">
        <f>TEXT(BBDD_Usiarios_Netflix[[#This Row],[Fecha Suscripción]],"dddd")</f>
        <v>miércoles</v>
      </c>
      <c r="L2190" s="1">
        <f>DATEVALUE(_xlfn.CONCAT(BBDD_Usiarios_Netflix[[#This Row],[Día Último Pago]],"/",BBDD_Usiarios_Netflix[[#This Row],[Mes Último Pago]],"/",BBDD_Usiarios_Netflix[[#This Row],[Año Último Pago]]))</f>
        <v>45482</v>
      </c>
      <c r="M2190" s="4">
        <f>DATEDIF(BBDD_Usiarios_Netflix[[#This Row],[Fecha Suscripción]],BBDD_Usiarios_Netflix[[#This Row],[Fecha Último Pago]],"M")+1</f>
        <v>10</v>
      </c>
      <c r="N2190" s="4">
        <f>BBDD_Usiarios_Netflix[[#This Row],[Ingresos Mensuales]]*BBDD_Usiarios_Netflix[[#This Row],[Meses contratados]]</f>
        <v>100</v>
      </c>
      <c r="O2190" t="s">
        <v>24</v>
      </c>
      <c r="P2190" t="str">
        <f>IF(BBDD_Usiarios_Netflix[[#This Row],[País]]="","Desconocido",BBDD_Usiarios_Netflix[[#This Row],[País]])</f>
        <v>Australia</v>
      </c>
      <c r="Q2190">
        <v>35</v>
      </c>
      <c r="R2190" t="s">
        <v>25</v>
      </c>
      <c r="S2190" t="s">
        <v>36</v>
      </c>
      <c r="T2190" t="s">
        <v>27</v>
      </c>
      <c r="U2190">
        <f>IF(IFERROR(VLOOKUP(BBDD_Usiarios_Netflix[[#This Row],[Identificador Usuario]],A2191:$A$5870,1,FALSE),0)&lt;&gt;0,1,0)</f>
        <v>0</v>
      </c>
      <c r="V2190" s="6" t="str">
        <f>IF(BBDD_Usiarios_Netflix[[#This Row],[Duración Plan]]="12 Meses",LEFT(BBDD_Usiarios_Netflix[[#This Row],[Duración Plan]],2),LEFT(BBDD_Usiarios_Netflix[[#This Row],[Duración Plan]],1))</f>
        <v>1</v>
      </c>
      <c r="W21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91" spans="1:23" x14ac:dyDescent="0.25">
      <c r="A2191">
        <v>2190</v>
      </c>
      <c r="B2191" t="s">
        <v>32</v>
      </c>
      <c r="C2191">
        <v>12</v>
      </c>
      <c r="D2191" s="3">
        <v>29</v>
      </c>
      <c r="E2191" s="3">
        <v>9</v>
      </c>
      <c r="F2191">
        <v>23</v>
      </c>
      <c r="G2191" s="1">
        <f>DATEVALUE(_xlfn.CONCAT(BBDD_Usiarios_Netflix[[#This Row],[Día Suscripción]],"/",BBDD_Usiarios_Netflix[[#This Row],[Mes Suscripción]],"/",BBDD_Usiarios_Netflix[[#This Row],[Año Suscripción]]))</f>
        <v>45198</v>
      </c>
      <c r="H2191" s="1">
        <v>10</v>
      </c>
      <c r="I2191" s="1">
        <v>7</v>
      </c>
      <c r="J2191" s="1">
        <v>24</v>
      </c>
      <c r="K2191" s="1" t="str">
        <f>TEXT(BBDD_Usiarios_Netflix[[#This Row],[Fecha Suscripción]],"dddd")</f>
        <v>viernes</v>
      </c>
      <c r="L2191" s="1">
        <f>DATEVALUE(_xlfn.CONCAT(BBDD_Usiarios_Netflix[[#This Row],[Día Último Pago]],"/",BBDD_Usiarios_Netflix[[#This Row],[Mes Último Pago]],"/",BBDD_Usiarios_Netflix[[#This Row],[Año Último Pago]]))</f>
        <v>45483</v>
      </c>
      <c r="M2191" s="4">
        <f>DATEDIF(BBDD_Usiarios_Netflix[[#This Row],[Fecha Suscripción]],BBDD_Usiarios_Netflix[[#This Row],[Fecha Último Pago]],"M")+1</f>
        <v>10</v>
      </c>
      <c r="N2191" s="4">
        <f>BBDD_Usiarios_Netflix[[#This Row],[Ingresos Mensuales]]*BBDD_Usiarios_Netflix[[#This Row],[Meses contratados]]</f>
        <v>120</v>
      </c>
      <c r="O2191" t="s">
        <v>24</v>
      </c>
      <c r="P2191" t="str">
        <f>IF(BBDD_Usiarios_Netflix[[#This Row],[País]]="","Desconocido",BBDD_Usiarios_Netflix[[#This Row],[País]])</f>
        <v>Australia</v>
      </c>
      <c r="Q2191">
        <v>47</v>
      </c>
      <c r="R2191" t="s">
        <v>25</v>
      </c>
      <c r="S2191" t="s">
        <v>31</v>
      </c>
      <c r="T2191" t="s">
        <v>27</v>
      </c>
      <c r="U2191">
        <f>IF(IFERROR(VLOOKUP(BBDD_Usiarios_Netflix[[#This Row],[Identificador Usuario]],A2192:$A$5870,1,FALSE),0)&lt;&gt;0,1,0)</f>
        <v>0</v>
      </c>
      <c r="V2191" s="6" t="str">
        <f>IF(BBDD_Usiarios_Netflix[[#This Row],[Duración Plan]]="12 Meses",LEFT(BBDD_Usiarios_Netflix[[#This Row],[Duración Plan]],2),LEFT(BBDD_Usiarios_Netflix[[#This Row],[Duración Plan]],1))</f>
        <v>1</v>
      </c>
      <c r="W21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92" spans="1:23" x14ac:dyDescent="0.25">
      <c r="A2192">
        <v>2191</v>
      </c>
      <c r="B2192" t="s">
        <v>28</v>
      </c>
      <c r="C2192">
        <v>14</v>
      </c>
      <c r="D2192" s="3">
        <v>29</v>
      </c>
      <c r="E2192" s="3">
        <v>9</v>
      </c>
      <c r="F2192">
        <v>23</v>
      </c>
      <c r="G2192" s="1">
        <f>DATEVALUE(_xlfn.CONCAT(BBDD_Usiarios_Netflix[[#This Row],[Día Suscripción]],"/",BBDD_Usiarios_Netflix[[#This Row],[Mes Suscripción]],"/",BBDD_Usiarios_Netflix[[#This Row],[Año Suscripción]]))</f>
        <v>45198</v>
      </c>
      <c r="H2192" s="1">
        <v>10</v>
      </c>
      <c r="I2192" s="1">
        <v>7</v>
      </c>
      <c r="J2192" s="1">
        <v>24</v>
      </c>
      <c r="K2192" s="1" t="str">
        <f>TEXT(BBDD_Usiarios_Netflix[[#This Row],[Fecha Suscripción]],"dddd")</f>
        <v>viernes</v>
      </c>
      <c r="L2192" s="1">
        <f>DATEVALUE(_xlfn.CONCAT(BBDD_Usiarios_Netflix[[#This Row],[Día Último Pago]],"/",BBDD_Usiarios_Netflix[[#This Row],[Mes Último Pago]],"/",BBDD_Usiarios_Netflix[[#This Row],[Año Último Pago]]))</f>
        <v>45483</v>
      </c>
      <c r="M2192" s="4">
        <f>DATEDIF(BBDD_Usiarios_Netflix[[#This Row],[Fecha Suscripción]],BBDD_Usiarios_Netflix[[#This Row],[Fecha Último Pago]],"M")+1</f>
        <v>10</v>
      </c>
      <c r="N2192" s="4">
        <f>BBDD_Usiarios_Netflix[[#This Row],[Ingresos Mensuales]]*BBDD_Usiarios_Netflix[[#This Row],[Meses contratados]]</f>
        <v>140</v>
      </c>
      <c r="O2192" t="s">
        <v>44</v>
      </c>
      <c r="P2192" t="str">
        <f>IF(BBDD_Usiarios_Netflix[[#This Row],[País]]="","Desconocido",BBDD_Usiarios_Netflix[[#This Row],[País]])</f>
        <v>Desconocido</v>
      </c>
      <c r="Q2192">
        <v>30</v>
      </c>
      <c r="R2192" t="s">
        <v>25</v>
      </c>
      <c r="S2192" t="s">
        <v>26</v>
      </c>
      <c r="T2192" t="s">
        <v>41</v>
      </c>
      <c r="U2192">
        <f>IF(IFERROR(VLOOKUP(BBDD_Usiarios_Netflix[[#This Row],[Identificador Usuario]],A2193:$A$5870,1,FALSE),0)&lt;&gt;0,1,0)</f>
        <v>0</v>
      </c>
      <c r="V2192" s="6" t="str">
        <f>IF(BBDD_Usiarios_Netflix[[#This Row],[Duración Plan]]="12 Meses",LEFT(BBDD_Usiarios_Netflix[[#This Row],[Duración Plan]],2),LEFT(BBDD_Usiarios_Netflix[[#This Row],[Duración Plan]],1))</f>
        <v>12</v>
      </c>
      <c r="W21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93" spans="1:23" x14ac:dyDescent="0.25">
      <c r="A2193">
        <v>2192</v>
      </c>
      <c r="B2193" t="s">
        <v>23</v>
      </c>
      <c r="C2193">
        <v>10</v>
      </c>
      <c r="D2193" s="3">
        <v>23</v>
      </c>
      <c r="E2193" s="3">
        <v>9</v>
      </c>
      <c r="F2193">
        <v>23</v>
      </c>
      <c r="G2193" s="1">
        <f>DATEVALUE(_xlfn.CONCAT(BBDD_Usiarios_Netflix[[#This Row],[Día Suscripción]],"/",BBDD_Usiarios_Netflix[[#This Row],[Mes Suscripción]],"/",BBDD_Usiarios_Netflix[[#This Row],[Año Suscripción]]))</f>
        <v>45192</v>
      </c>
      <c r="H2193" s="1">
        <v>10</v>
      </c>
      <c r="I2193" s="1">
        <v>7</v>
      </c>
      <c r="J2193" s="1">
        <v>24</v>
      </c>
      <c r="K2193" s="1" t="str">
        <f>TEXT(BBDD_Usiarios_Netflix[[#This Row],[Fecha Suscripción]],"dddd")</f>
        <v>sábado</v>
      </c>
      <c r="L2193" s="1">
        <f>DATEVALUE(_xlfn.CONCAT(BBDD_Usiarios_Netflix[[#This Row],[Día Último Pago]],"/",BBDD_Usiarios_Netflix[[#This Row],[Mes Último Pago]],"/",BBDD_Usiarios_Netflix[[#This Row],[Año Último Pago]]))</f>
        <v>45483</v>
      </c>
      <c r="M2193" s="4">
        <f>DATEDIF(BBDD_Usiarios_Netflix[[#This Row],[Fecha Suscripción]],BBDD_Usiarios_Netflix[[#This Row],[Fecha Último Pago]],"M")+1</f>
        <v>10</v>
      </c>
      <c r="N2193" s="4">
        <f>BBDD_Usiarios_Netflix[[#This Row],[Ingresos Mensuales]]*BBDD_Usiarios_Netflix[[#This Row],[Meses contratados]]</f>
        <v>100</v>
      </c>
      <c r="O2193" t="s">
        <v>29</v>
      </c>
      <c r="P2193" t="str">
        <f>IF(BBDD_Usiarios_Netflix[[#This Row],[País]]="","Desconocido",BBDD_Usiarios_Netflix[[#This Row],[País]])</f>
        <v>EEUU</v>
      </c>
      <c r="Q2193">
        <v>50</v>
      </c>
      <c r="R2193" t="s">
        <v>30</v>
      </c>
      <c r="S2193" t="s">
        <v>34</v>
      </c>
      <c r="T2193" t="s">
        <v>38</v>
      </c>
      <c r="U2193">
        <f>IF(IFERROR(VLOOKUP(BBDD_Usiarios_Netflix[[#This Row],[Identificador Usuario]],A2194:$A$5870,1,FALSE),0)&lt;&gt;0,1,0)</f>
        <v>0</v>
      </c>
      <c r="V2193" s="6" t="str">
        <f>IF(BBDD_Usiarios_Netflix[[#This Row],[Duración Plan]]="12 Meses",LEFT(BBDD_Usiarios_Netflix[[#This Row],[Duración Plan]],2),LEFT(BBDD_Usiarios_Netflix[[#This Row],[Duración Plan]],1))</f>
        <v>3</v>
      </c>
      <c r="W21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194" spans="1:23" x14ac:dyDescent="0.25">
      <c r="A2194">
        <v>2193</v>
      </c>
      <c r="B2194" t="s">
        <v>32</v>
      </c>
      <c r="C2194">
        <v>12</v>
      </c>
      <c r="D2194" s="3">
        <v>17</v>
      </c>
      <c r="E2194" s="3">
        <v>9</v>
      </c>
      <c r="F2194">
        <v>23</v>
      </c>
      <c r="G2194" s="1">
        <f>DATEVALUE(_xlfn.CONCAT(BBDD_Usiarios_Netflix[[#This Row],[Día Suscripción]],"/",BBDD_Usiarios_Netflix[[#This Row],[Mes Suscripción]],"/",BBDD_Usiarios_Netflix[[#This Row],[Año Suscripción]]))</f>
        <v>45186</v>
      </c>
      <c r="H2194" s="1">
        <v>9</v>
      </c>
      <c r="I2194" s="1">
        <v>7</v>
      </c>
      <c r="J2194" s="1">
        <v>24</v>
      </c>
      <c r="K2194" s="1" t="str">
        <f>TEXT(BBDD_Usiarios_Netflix[[#This Row],[Fecha Suscripción]],"dddd")</f>
        <v>domingo</v>
      </c>
      <c r="L2194" s="1">
        <f>DATEVALUE(_xlfn.CONCAT(BBDD_Usiarios_Netflix[[#This Row],[Día Último Pago]],"/",BBDD_Usiarios_Netflix[[#This Row],[Mes Último Pago]],"/",BBDD_Usiarios_Netflix[[#This Row],[Año Último Pago]]))</f>
        <v>45482</v>
      </c>
      <c r="M2194" s="4">
        <f>DATEDIF(BBDD_Usiarios_Netflix[[#This Row],[Fecha Suscripción]],BBDD_Usiarios_Netflix[[#This Row],[Fecha Último Pago]],"M")+1</f>
        <v>10</v>
      </c>
      <c r="N2194" s="4">
        <f>BBDD_Usiarios_Netflix[[#This Row],[Ingresos Mensuales]]*BBDD_Usiarios_Netflix[[#This Row],[Meses contratados]]</f>
        <v>120</v>
      </c>
      <c r="O2194" t="s">
        <v>42</v>
      </c>
      <c r="P2194" t="str">
        <f>IF(BBDD_Usiarios_Netflix[[#This Row],[País]]="","Desconocido",BBDD_Usiarios_Netflix[[#This Row],[País]])</f>
        <v>Reino Unido</v>
      </c>
      <c r="Q2194">
        <v>32</v>
      </c>
      <c r="R2194" t="s">
        <v>25</v>
      </c>
      <c r="S2194" t="s">
        <v>36</v>
      </c>
      <c r="T2194" t="s">
        <v>27</v>
      </c>
      <c r="U2194">
        <f>IF(IFERROR(VLOOKUP(BBDD_Usiarios_Netflix[[#This Row],[Identificador Usuario]],A2195:$A$5870,1,FALSE),0)&lt;&gt;0,1,0)</f>
        <v>0</v>
      </c>
      <c r="V2194" s="6" t="str">
        <f>IF(BBDD_Usiarios_Netflix[[#This Row],[Duración Plan]]="12 Meses",LEFT(BBDD_Usiarios_Netflix[[#This Row],[Duración Plan]],2),LEFT(BBDD_Usiarios_Netflix[[#This Row],[Duración Plan]],1))</f>
        <v>1</v>
      </c>
      <c r="W21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95" spans="1:23" x14ac:dyDescent="0.25">
      <c r="A2195">
        <v>2194</v>
      </c>
      <c r="B2195" t="s">
        <v>28</v>
      </c>
      <c r="C2195">
        <v>14</v>
      </c>
      <c r="D2195" s="3">
        <v>12</v>
      </c>
      <c r="E2195" s="3">
        <v>9</v>
      </c>
      <c r="F2195">
        <v>23</v>
      </c>
      <c r="G2195" s="1">
        <f>DATEVALUE(_xlfn.CONCAT(BBDD_Usiarios_Netflix[[#This Row],[Día Suscripción]],"/",BBDD_Usiarios_Netflix[[#This Row],[Mes Suscripción]],"/",BBDD_Usiarios_Netflix[[#This Row],[Año Suscripción]]))</f>
        <v>45181</v>
      </c>
      <c r="H2195" s="1">
        <v>12</v>
      </c>
      <c r="I2195" s="1">
        <v>7</v>
      </c>
      <c r="J2195" s="1">
        <v>24</v>
      </c>
      <c r="K2195" s="1" t="str">
        <f>TEXT(BBDD_Usiarios_Netflix[[#This Row],[Fecha Suscripción]],"dddd")</f>
        <v>martes</v>
      </c>
      <c r="L2195" s="1">
        <f>DATEVALUE(_xlfn.CONCAT(BBDD_Usiarios_Netflix[[#This Row],[Día Último Pago]],"/",BBDD_Usiarios_Netflix[[#This Row],[Mes Último Pago]],"/",BBDD_Usiarios_Netflix[[#This Row],[Año Último Pago]]))</f>
        <v>45485</v>
      </c>
      <c r="M2195" s="4">
        <f>DATEDIF(BBDD_Usiarios_Netflix[[#This Row],[Fecha Suscripción]],BBDD_Usiarios_Netflix[[#This Row],[Fecha Último Pago]],"M")+1</f>
        <v>11</v>
      </c>
      <c r="N2195" s="4">
        <f>BBDD_Usiarios_Netflix[[#This Row],[Ingresos Mensuales]]*BBDD_Usiarios_Netflix[[#This Row],[Meses contratados]]</f>
        <v>154</v>
      </c>
      <c r="O2195" t="s">
        <v>40</v>
      </c>
      <c r="P2195" t="str">
        <f>IF(BBDD_Usiarios_Netflix[[#This Row],[País]]="","Desconocido",BBDD_Usiarios_Netflix[[#This Row],[País]])</f>
        <v>Italia</v>
      </c>
      <c r="Q2195">
        <v>36</v>
      </c>
      <c r="R2195" t="s">
        <v>30</v>
      </c>
      <c r="S2195" t="s">
        <v>34</v>
      </c>
      <c r="T2195" t="s">
        <v>41</v>
      </c>
      <c r="U2195">
        <f>IF(IFERROR(VLOOKUP(BBDD_Usiarios_Netflix[[#This Row],[Identificador Usuario]],A2196:$A$5870,1,FALSE),0)&lt;&gt;0,1,0)</f>
        <v>0</v>
      </c>
      <c r="V2195" s="6" t="str">
        <f>IF(BBDD_Usiarios_Netflix[[#This Row],[Duración Plan]]="12 Meses",LEFT(BBDD_Usiarios_Netflix[[#This Row],[Duración Plan]],2),LEFT(BBDD_Usiarios_Netflix[[#This Row],[Duración Plan]],1))</f>
        <v>12</v>
      </c>
      <c r="W21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96" spans="1:23" x14ac:dyDescent="0.25">
      <c r="A2196">
        <v>2195</v>
      </c>
      <c r="B2196" t="s">
        <v>23</v>
      </c>
      <c r="C2196">
        <v>10</v>
      </c>
      <c r="D2196" s="3">
        <v>16</v>
      </c>
      <c r="E2196" s="3">
        <v>8</v>
      </c>
      <c r="F2196">
        <v>23</v>
      </c>
      <c r="G2196" s="1">
        <f>DATEVALUE(_xlfn.CONCAT(BBDD_Usiarios_Netflix[[#This Row],[Día Suscripción]],"/",BBDD_Usiarios_Netflix[[#This Row],[Mes Suscripción]],"/",BBDD_Usiarios_Netflix[[#This Row],[Año Suscripción]]))</f>
        <v>45154</v>
      </c>
      <c r="H2196" s="1">
        <v>10</v>
      </c>
      <c r="I2196" s="1">
        <v>7</v>
      </c>
      <c r="J2196" s="1">
        <v>24</v>
      </c>
      <c r="K2196" s="1" t="str">
        <f>TEXT(BBDD_Usiarios_Netflix[[#This Row],[Fecha Suscripción]],"dddd")</f>
        <v>miércoles</v>
      </c>
      <c r="L2196" s="1">
        <f>DATEVALUE(_xlfn.CONCAT(BBDD_Usiarios_Netflix[[#This Row],[Día Último Pago]],"/",BBDD_Usiarios_Netflix[[#This Row],[Mes Último Pago]],"/",BBDD_Usiarios_Netflix[[#This Row],[Año Último Pago]]))</f>
        <v>45483</v>
      </c>
      <c r="M2196" s="4">
        <f>DATEDIF(BBDD_Usiarios_Netflix[[#This Row],[Fecha Suscripción]],BBDD_Usiarios_Netflix[[#This Row],[Fecha Último Pago]],"M")+1</f>
        <v>11</v>
      </c>
      <c r="N2196" s="4">
        <f>BBDD_Usiarios_Netflix[[#This Row],[Ingresos Mensuales]]*BBDD_Usiarios_Netflix[[#This Row],[Meses contratados]]</f>
        <v>110</v>
      </c>
      <c r="O2196" t="s">
        <v>45</v>
      </c>
      <c r="P2196" t="str">
        <f>IF(BBDD_Usiarios_Netflix[[#This Row],[País]]="","Desconocido",BBDD_Usiarios_Netflix[[#This Row],[País]])</f>
        <v>España</v>
      </c>
      <c r="Q2196">
        <v>40</v>
      </c>
      <c r="R2196" t="s">
        <v>30</v>
      </c>
      <c r="S2196" t="s">
        <v>34</v>
      </c>
      <c r="T2196" t="s">
        <v>41</v>
      </c>
      <c r="U2196">
        <f>IF(IFERROR(VLOOKUP(BBDD_Usiarios_Netflix[[#This Row],[Identificador Usuario]],A2197:$A$5870,1,FALSE),0)&lt;&gt;0,1,0)</f>
        <v>0</v>
      </c>
      <c r="V2196" s="6" t="str">
        <f>IF(BBDD_Usiarios_Netflix[[#This Row],[Duración Plan]]="12 Meses",LEFT(BBDD_Usiarios_Netflix[[#This Row],[Duración Plan]],2),LEFT(BBDD_Usiarios_Netflix[[#This Row],[Duración Plan]],1))</f>
        <v>12</v>
      </c>
      <c r="W21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197" spans="1:23" x14ac:dyDescent="0.25">
      <c r="A2197">
        <v>2196</v>
      </c>
      <c r="B2197" t="s">
        <v>28</v>
      </c>
      <c r="C2197">
        <v>14</v>
      </c>
      <c r="D2197" s="3">
        <v>16</v>
      </c>
      <c r="E2197" s="3">
        <v>8</v>
      </c>
      <c r="F2197">
        <v>23</v>
      </c>
      <c r="G2197" s="1">
        <f>DATEVALUE(_xlfn.CONCAT(BBDD_Usiarios_Netflix[[#This Row],[Día Suscripción]],"/",BBDD_Usiarios_Netflix[[#This Row],[Mes Suscripción]],"/",BBDD_Usiarios_Netflix[[#This Row],[Año Suscripción]]))</f>
        <v>45154</v>
      </c>
      <c r="H2197" s="1">
        <v>9</v>
      </c>
      <c r="I2197" s="1">
        <v>7</v>
      </c>
      <c r="J2197" s="1">
        <v>24</v>
      </c>
      <c r="K2197" s="1" t="str">
        <f>TEXT(BBDD_Usiarios_Netflix[[#This Row],[Fecha Suscripción]],"dddd")</f>
        <v>miércoles</v>
      </c>
      <c r="L2197" s="1">
        <f>DATEVALUE(_xlfn.CONCAT(BBDD_Usiarios_Netflix[[#This Row],[Día Último Pago]],"/",BBDD_Usiarios_Netflix[[#This Row],[Mes Último Pago]],"/",BBDD_Usiarios_Netflix[[#This Row],[Año Último Pago]]))</f>
        <v>45482</v>
      </c>
      <c r="M2197" s="4">
        <f>DATEDIF(BBDD_Usiarios_Netflix[[#This Row],[Fecha Suscripción]],BBDD_Usiarios_Netflix[[#This Row],[Fecha Último Pago]],"M")+1</f>
        <v>11</v>
      </c>
      <c r="N2197" s="4">
        <f>BBDD_Usiarios_Netflix[[#This Row],[Ingresos Mensuales]]*BBDD_Usiarios_Netflix[[#This Row],[Meses contratados]]</f>
        <v>154</v>
      </c>
      <c r="O2197" t="s">
        <v>45</v>
      </c>
      <c r="P2197" t="str">
        <f>IF(BBDD_Usiarios_Netflix[[#This Row],[País]]="","Desconocido",BBDD_Usiarios_Netflix[[#This Row],[País]])</f>
        <v>España</v>
      </c>
      <c r="Q2197">
        <v>39</v>
      </c>
      <c r="R2197" t="s">
        <v>25</v>
      </c>
      <c r="S2197" t="s">
        <v>26</v>
      </c>
      <c r="T2197" t="s">
        <v>27</v>
      </c>
      <c r="U2197">
        <f>IF(IFERROR(VLOOKUP(BBDD_Usiarios_Netflix[[#This Row],[Identificador Usuario]],A2198:$A$5870,1,FALSE),0)&lt;&gt;0,1,0)</f>
        <v>0</v>
      </c>
      <c r="V2197" s="6" t="str">
        <f>IF(BBDD_Usiarios_Netflix[[#This Row],[Duración Plan]]="12 Meses",LEFT(BBDD_Usiarios_Netflix[[#This Row],[Duración Plan]],2),LEFT(BBDD_Usiarios_Netflix[[#This Row],[Duración Plan]],1))</f>
        <v>1</v>
      </c>
      <c r="W21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98" spans="1:23" x14ac:dyDescent="0.25">
      <c r="A2198">
        <v>2197</v>
      </c>
      <c r="B2198" t="s">
        <v>23</v>
      </c>
      <c r="C2198">
        <v>10</v>
      </c>
      <c r="D2198" s="3">
        <v>13</v>
      </c>
      <c r="E2198" s="3">
        <v>8</v>
      </c>
      <c r="F2198">
        <v>23</v>
      </c>
      <c r="G2198" s="1">
        <f>DATEVALUE(_xlfn.CONCAT(BBDD_Usiarios_Netflix[[#This Row],[Día Suscripción]],"/",BBDD_Usiarios_Netflix[[#This Row],[Mes Suscripción]],"/",BBDD_Usiarios_Netflix[[#This Row],[Año Suscripción]]))</f>
        <v>45151</v>
      </c>
      <c r="H2198" s="1">
        <v>10</v>
      </c>
      <c r="I2198" s="1">
        <v>7</v>
      </c>
      <c r="J2198" s="1">
        <v>24</v>
      </c>
      <c r="K2198" s="1" t="str">
        <f>TEXT(BBDD_Usiarios_Netflix[[#This Row],[Fecha Suscripción]],"dddd")</f>
        <v>domingo</v>
      </c>
      <c r="L2198" s="1">
        <f>DATEVALUE(_xlfn.CONCAT(BBDD_Usiarios_Netflix[[#This Row],[Día Último Pago]],"/",BBDD_Usiarios_Netflix[[#This Row],[Mes Último Pago]],"/",BBDD_Usiarios_Netflix[[#This Row],[Año Último Pago]]))</f>
        <v>45483</v>
      </c>
      <c r="M2198" s="4">
        <f>DATEDIF(BBDD_Usiarios_Netflix[[#This Row],[Fecha Suscripción]],BBDD_Usiarios_Netflix[[#This Row],[Fecha Último Pago]],"M")+1</f>
        <v>11</v>
      </c>
      <c r="N2198" s="4">
        <f>BBDD_Usiarios_Netflix[[#This Row],[Ingresos Mensuales]]*BBDD_Usiarios_Netflix[[#This Row],[Meses contratados]]</f>
        <v>110</v>
      </c>
      <c r="O2198" t="s">
        <v>44</v>
      </c>
      <c r="P2198" t="str">
        <f>IF(BBDD_Usiarios_Netflix[[#This Row],[País]]="","Desconocido",BBDD_Usiarios_Netflix[[#This Row],[País]])</f>
        <v>Desconocido</v>
      </c>
      <c r="Q2198">
        <v>28</v>
      </c>
      <c r="R2198" t="s">
        <v>25</v>
      </c>
      <c r="S2198" t="s">
        <v>26</v>
      </c>
      <c r="T2198" t="s">
        <v>27</v>
      </c>
      <c r="U2198">
        <f>IF(IFERROR(VLOOKUP(BBDD_Usiarios_Netflix[[#This Row],[Identificador Usuario]],A2199:$A$5870,1,FALSE),0)&lt;&gt;0,1,0)</f>
        <v>0</v>
      </c>
      <c r="V2198" s="6" t="str">
        <f>IF(BBDD_Usiarios_Netflix[[#This Row],[Duración Plan]]="12 Meses",LEFT(BBDD_Usiarios_Netflix[[#This Row],[Duración Plan]],2),LEFT(BBDD_Usiarios_Netflix[[#This Row],[Duración Plan]],1))</f>
        <v>1</v>
      </c>
      <c r="W21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199" spans="1:23" x14ac:dyDescent="0.25">
      <c r="A2199">
        <v>2198</v>
      </c>
      <c r="B2199" t="s">
        <v>32</v>
      </c>
      <c r="C2199">
        <v>12</v>
      </c>
      <c r="D2199" s="3">
        <v>12</v>
      </c>
      <c r="E2199" s="3">
        <v>8</v>
      </c>
      <c r="F2199">
        <v>23</v>
      </c>
      <c r="G2199" s="1">
        <f>DATEVALUE(_xlfn.CONCAT(BBDD_Usiarios_Netflix[[#This Row],[Día Suscripción]],"/",BBDD_Usiarios_Netflix[[#This Row],[Mes Suscripción]],"/",BBDD_Usiarios_Netflix[[#This Row],[Año Suscripción]]))</f>
        <v>45150</v>
      </c>
      <c r="H2199" s="1">
        <v>11</v>
      </c>
      <c r="I2199" s="1">
        <v>7</v>
      </c>
      <c r="J2199" s="1">
        <v>24</v>
      </c>
      <c r="K2199" s="1" t="str">
        <f>TEXT(BBDD_Usiarios_Netflix[[#This Row],[Fecha Suscripción]],"dddd")</f>
        <v>sábado</v>
      </c>
      <c r="L2199" s="1">
        <f>DATEVALUE(_xlfn.CONCAT(BBDD_Usiarios_Netflix[[#This Row],[Día Último Pago]],"/",BBDD_Usiarios_Netflix[[#This Row],[Mes Último Pago]],"/",BBDD_Usiarios_Netflix[[#This Row],[Año Último Pago]]))</f>
        <v>45484</v>
      </c>
      <c r="M2199" s="4">
        <f>DATEDIF(BBDD_Usiarios_Netflix[[#This Row],[Fecha Suscripción]],BBDD_Usiarios_Netflix[[#This Row],[Fecha Último Pago]],"M")+1</f>
        <v>11</v>
      </c>
      <c r="N2199" s="4">
        <f>BBDD_Usiarios_Netflix[[#This Row],[Ingresos Mensuales]]*BBDD_Usiarios_Netflix[[#This Row],[Meses contratados]]</f>
        <v>132</v>
      </c>
      <c r="O2199" t="s">
        <v>29</v>
      </c>
      <c r="P2199" t="str">
        <f>IF(BBDD_Usiarios_Netflix[[#This Row],[País]]="","Desconocido",BBDD_Usiarios_Netflix[[#This Row],[País]])</f>
        <v>EEUU</v>
      </c>
      <c r="Q2199">
        <v>29</v>
      </c>
      <c r="R2199" t="s">
        <v>30</v>
      </c>
      <c r="S2199" t="s">
        <v>34</v>
      </c>
      <c r="T2199" t="s">
        <v>35</v>
      </c>
      <c r="U2199">
        <f>IF(IFERROR(VLOOKUP(BBDD_Usiarios_Netflix[[#This Row],[Identificador Usuario]],A2200:$A$5870,1,FALSE),0)&lt;&gt;0,1,0)</f>
        <v>0</v>
      </c>
      <c r="V2199" s="6" t="str">
        <f>IF(BBDD_Usiarios_Netflix[[#This Row],[Duración Plan]]="12 Meses",LEFT(BBDD_Usiarios_Netflix[[#This Row],[Duración Plan]],2),LEFT(BBDD_Usiarios_Netflix[[#This Row],[Duración Plan]],1))</f>
        <v>6</v>
      </c>
      <c r="W21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00" spans="1:23" x14ac:dyDescent="0.25">
      <c r="A2200">
        <v>2199</v>
      </c>
      <c r="B2200" t="s">
        <v>32</v>
      </c>
      <c r="C2200">
        <v>12</v>
      </c>
      <c r="D2200" s="3">
        <v>13</v>
      </c>
      <c r="E2200" s="3">
        <v>8</v>
      </c>
      <c r="F2200">
        <v>23</v>
      </c>
      <c r="G2200" s="1">
        <f>DATEVALUE(_xlfn.CONCAT(BBDD_Usiarios_Netflix[[#This Row],[Día Suscripción]],"/",BBDD_Usiarios_Netflix[[#This Row],[Mes Suscripción]],"/",BBDD_Usiarios_Netflix[[#This Row],[Año Suscripción]]))</f>
        <v>45151</v>
      </c>
      <c r="H2200" s="1">
        <v>9</v>
      </c>
      <c r="I2200" s="1">
        <v>7</v>
      </c>
      <c r="J2200" s="1">
        <v>24</v>
      </c>
      <c r="K2200" s="1" t="str">
        <f>TEXT(BBDD_Usiarios_Netflix[[#This Row],[Fecha Suscripción]],"dddd")</f>
        <v>domingo</v>
      </c>
      <c r="L2200" s="1">
        <f>DATEVALUE(_xlfn.CONCAT(BBDD_Usiarios_Netflix[[#This Row],[Día Último Pago]],"/",BBDD_Usiarios_Netflix[[#This Row],[Mes Último Pago]],"/",BBDD_Usiarios_Netflix[[#This Row],[Año Último Pago]]))</f>
        <v>45482</v>
      </c>
      <c r="M2200" s="4">
        <f>DATEDIF(BBDD_Usiarios_Netflix[[#This Row],[Fecha Suscripción]],BBDD_Usiarios_Netflix[[#This Row],[Fecha Último Pago]],"M")+1</f>
        <v>11</v>
      </c>
      <c r="N2200" s="4">
        <f>BBDD_Usiarios_Netflix[[#This Row],[Ingresos Mensuales]]*BBDD_Usiarios_Netflix[[#This Row],[Meses contratados]]</f>
        <v>132</v>
      </c>
      <c r="O2200" t="s">
        <v>45</v>
      </c>
      <c r="P2200" t="str">
        <f>IF(BBDD_Usiarios_Netflix[[#This Row],[País]]="","Desconocido",BBDD_Usiarios_Netflix[[#This Row],[País]])</f>
        <v>España</v>
      </c>
      <c r="Q2200">
        <v>49</v>
      </c>
      <c r="R2200" t="s">
        <v>25</v>
      </c>
      <c r="S2200" t="s">
        <v>31</v>
      </c>
      <c r="T2200" t="s">
        <v>41</v>
      </c>
      <c r="U2200">
        <f>IF(IFERROR(VLOOKUP(BBDD_Usiarios_Netflix[[#This Row],[Identificador Usuario]],A2201:$A$5870,1,FALSE),0)&lt;&gt;0,1,0)</f>
        <v>0</v>
      </c>
      <c r="V2200" s="6" t="str">
        <f>IF(BBDD_Usiarios_Netflix[[#This Row],[Duración Plan]]="12 Meses",LEFT(BBDD_Usiarios_Netflix[[#This Row],[Duración Plan]],2),LEFT(BBDD_Usiarios_Netflix[[#This Row],[Duración Plan]],1))</f>
        <v>12</v>
      </c>
      <c r="W22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01" spans="1:23" x14ac:dyDescent="0.25">
      <c r="A2201">
        <v>2200</v>
      </c>
      <c r="B2201" t="s">
        <v>23</v>
      </c>
      <c r="C2201">
        <v>10</v>
      </c>
      <c r="D2201" s="3">
        <v>30</v>
      </c>
      <c r="E2201" s="3">
        <v>7</v>
      </c>
      <c r="F2201">
        <v>23</v>
      </c>
      <c r="G2201" s="1">
        <f>DATEVALUE(_xlfn.CONCAT(BBDD_Usiarios_Netflix[[#This Row],[Día Suscripción]],"/",BBDD_Usiarios_Netflix[[#This Row],[Mes Suscripción]],"/",BBDD_Usiarios_Netflix[[#This Row],[Año Suscripción]]))</f>
        <v>45137</v>
      </c>
      <c r="H2201" s="1">
        <v>12</v>
      </c>
      <c r="I2201" s="1">
        <v>7</v>
      </c>
      <c r="J2201" s="1">
        <v>24</v>
      </c>
      <c r="K2201" s="1" t="str">
        <f>TEXT(BBDD_Usiarios_Netflix[[#This Row],[Fecha Suscripción]],"dddd")</f>
        <v>domingo</v>
      </c>
      <c r="L2201" s="1">
        <f>DATEVALUE(_xlfn.CONCAT(BBDD_Usiarios_Netflix[[#This Row],[Día Último Pago]],"/",BBDD_Usiarios_Netflix[[#This Row],[Mes Último Pago]],"/",BBDD_Usiarios_Netflix[[#This Row],[Año Último Pago]]))</f>
        <v>45485</v>
      </c>
      <c r="M2201" s="4">
        <f>DATEDIF(BBDD_Usiarios_Netflix[[#This Row],[Fecha Suscripción]],BBDD_Usiarios_Netflix[[#This Row],[Fecha Último Pago]],"M")+1</f>
        <v>12</v>
      </c>
      <c r="N2201" s="4">
        <f>BBDD_Usiarios_Netflix[[#This Row],[Ingresos Mensuales]]*BBDD_Usiarios_Netflix[[#This Row],[Meses contratados]]</f>
        <v>120</v>
      </c>
      <c r="O2201" t="s">
        <v>43</v>
      </c>
      <c r="P2201" t="str">
        <f>IF(BBDD_Usiarios_Netflix[[#This Row],[País]]="","Desconocido",BBDD_Usiarios_Netflix[[#This Row],[País]])</f>
        <v>Alemania</v>
      </c>
      <c r="Q2201">
        <v>40</v>
      </c>
      <c r="R2201" t="s">
        <v>25</v>
      </c>
      <c r="S2201" t="s">
        <v>36</v>
      </c>
      <c r="T2201" t="s">
        <v>41</v>
      </c>
      <c r="U2201">
        <f>IF(IFERROR(VLOOKUP(BBDD_Usiarios_Netflix[[#This Row],[Identificador Usuario]],A2202:$A$5870,1,FALSE),0)&lt;&gt;0,1,0)</f>
        <v>0</v>
      </c>
      <c r="V2201" s="6" t="str">
        <f>IF(BBDD_Usiarios_Netflix[[#This Row],[Duración Plan]]="12 Meses",LEFT(BBDD_Usiarios_Netflix[[#This Row],[Duración Plan]],2),LEFT(BBDD_Usiarios_Netflix[[#This Row],[Duración Plan]],1))</f>
        <v>12</v>
      </c>
      <c r="W22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02" spans="1:23" x14ac:dyDescent="0.25">
      <c r="A2202">
        <v>2201</v>
      </c>
      <c r="B2202" t="s">
        <v>28</v>
      </c>
      <c r="C2202">
        <v>14</v>
      </c>
      <c r="D2202" s="3">
        <v>25</v>
      </c>
      <c r="E2202" s="3">
        <v>7</v>
      </c>
      <c r="F2202">
        <v>23</v>
      </c>
      <c r="G2202" s="1">
        <f>DATEVALUE(_xlfn.CONCAT(BBDD_Usiarios_Netflix[[#This Row],[Día Suscripción]],"/",BBDD_Usiarios_Netflix[[#This Row],[Mes Suscripción]],"/",BBDD_Usiarios_Netflix[[#This Row],[Año Suscripción]]))</f>
        <v>45132</v>
      </c>
      <c r="H2202" s="1">
        <v>10</v>
      </c>
      <c r="I2202" s="1">
        <v>7</v>
      </c>
      <c r="J2202" s="1">
        <v>24</v>
      </c>
      <c r="K2202" s="1" t="str">
        <f>TEXT(BBDD_Usiarios_Netflix[[#This Row],[Fecha Suscripción]],"dddd")</f>
        <v>martes</v>
      </c>
      <c r="L2202" s="1">
        <f>DATEVALUE(_xlfn.CONCAT(BBDD_Usiarios_Netflix[[#This Row],[Día Último Pago]],"/",BBDD_Usiarios_Netflix[[#This Row],[Mes Último Pago]],"/",BBDD_Usiarios_Netflix[[#This Row],[Año Último Pago]]))</f>
        <v>45483</v>
      </c>
      <c r="M2202" s="4">
        <f>DATEDIF(BBDD_Usiarios_Netflix[[#This Row],[Fecha Suscripción]],BBDD_Usiarios_Netflix[[#This Row],[Fecha Último Pago]],"M")+1</f>
        <v>12</v>
      </c>
      <c r="N2202" s="4">
        <f>BBDD_Usiarios_Netflix[[#This Row],[Ingresos Mensuales]]*BBDD_Usiarios_Netflix[[#This Row],[Meses contratados]]</f>
        <v>168</v>
      </c>
      <c r="O2202" t="s">
        <v>33</v>
      </c>
      <c r="P2202" t="str">
        <f>IF(BBDD_Usiarios_Netflix[[#This Row],[País]]="","Desconocido",BBDD_Usiarios_Netflix[[#This Row],[País]])</f>
        <v>Francia</v>
      </c>
      <c r="Q2202">
        <v>29</v>
      </c>
      <c r="R2202" t="s">
        <v>25</v>
      </c>
      <c r="S2202" t="s">
        <v>36</v>
      </c>
      <c r="T2202" t="s">
        <v>27</v>
      </c>
      <c r="U2202">
        <f>IF(IFERROR(VLOOKUP(BBDD_Usiarios_Netflix[[#This Row],[Identificador Usuario]],A2203:$A$5870,1,FALSE),0)&lt;&gt;0,1,0)</f>
        <v>0</v>
      </c>
      <c r="V2202" s="6" t="str">
        <f>IF(BBDD_Usiarios_Netflix[[#This Row],[Duración Plan]]="12 Meses",LEFT(BBDD_Usiarios_Netflix[[#This Row],[Duración Plan]],2),LEFT(BBDD_Usiarios_Netflix[[#This Row],[Duración Plan]],1))</f>
        <v>1</v>
      </c>
      <c r="W22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03" spans="1:23" x14ac:dyDescent="0.25">
      <c r="A2203">
        <v>2202</v>
      </c>
      <c r="B2203" t="s">
        <v>23</v>
      </c>
      <c r="C2203">
        <v>10</v>
      </c>
      <c r="D2203" s="3">
        <v>25</v>
      </c>
      <c r="E2203" s="3">
        <v>7</v>
      </c>
      <c r="F2203">
        <v>23</v>
      </c>
      <c r="G2203" s="1">
        <f>DATEVALUE(_xlfn.CONCAT(BBDD_Usiarios_Netflix[[#This Row],[Día Suscripción]],"/",BBDD_Usiarios_Netflix[[#This Row],[Mes Suscripción]],"/",BBDD_Usiarios_Netflix[[#This Row],[Año Suscripción]]))</f>
        <v>45132</v>
      </c>
      <c r="H2203" s="1">
        <v>11</v>
      </c>
      <c r="I2203" s="1">
        <v>7</v>
      </c>
      <c r="J2203" s="1">
        <v>24</v>
      </c>
      <c r="K2203" s="1" t="str">
        <f>TEXT(BBDD_Usiarios_Netflix[[#This Row],[Fecha Suscripción]],"dddd")</f>
        <v>martes</v>
      </c>
      <c r="L2203" s="1">
        <f>DATEVALUE(_xlfn.CONCAT(BBDD_Usiarios_Netflix[[#This Row],[Día Último Pago]],"/",BBDD_Usiarios_Netflix[[#This Row],[Mes Último Pago]],"/",BBDD_Usiarios_Netflix[[#This Row],[Año Último Pago]]))</f>
        <v>45484</v>
      </c>
      <c r="M2203" s="4">
        <f>DATEDIF(BBDD_Usiarios_Netflix[[#This Row],[Fecha Suscripción]],BBDD_Usiarios_Netflix[[#This Row],[Fecha Último Pago]],"M")+1</f>
        <v>12</v>
      </c>
      <c r="N2203" s="4">
        <f>BBDD_Usiarios_Netflix[[#This Row],[Ingresos Mensuales]]*BBDD_Usiarios_Netflix[[#This Row],[Meses contratados]]</f>
        <v>120</v>
      </c>
      <c r="O2203" t="s">
        <v>42</v>
      </c>
      <c r="P2203" t="str">
        <f>IF(BBDD_Usiarios_Netflix[[#This Row],[País]]="","Desconocido",BBDD_Usiarios_Netflix[[#This Row],[País]])</f>
        <v>Reino Unido</v>
      </c>
      <c r="Q2203">
        <v>35</v>
      </c>
      <c r="R2203" t="s">
        <v>30</v>
      </c>
      <c r="S2203" t="s">
        <v>31</v>
      </c>
      <c r="T2203" t="s">
        <v>27</v>
      </c>
      <c r="U2203">
        <f>IF(IFERROR(VLOOKUP(BBDD_Usiarios_Netflix[[#This Row],[Identificador Usuario]],A2204:$A$5870,1,FALSE),0)&lt;&gt;0,1,0)</f>
        <v>0</v>
      </c>
      <c r="V2203" s="6" t="str">
        <f>IF(BBDD_Usiarios_Netflix[[#This Row],[Duración Plan]]="12 Meses",LEFT(BBDD_Usiarios_Netflix[[#This Row],[Duración Plan]],2),LEFT(BBDD_Usiarios_Netflix[[#This Row],[Duración Plan]],1))</f>
        <v>1</v>
      </c>
      <c r="W22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04" spans="1:23" x14ac:dyDescent="0.25">
      <c r="A2204">
        <v>2203</v>
      </c>
      <c r="B2204" t="s">
        <v>32</v>
      </c>
      <c r="C2204">
        <v>12</v>
      </c>
      <c r="D2204" s="3">
        <v>26</v>
      </c>
      <c r="E2204" s="3">
        <v>7</v>
      </c>
      <c r="F2204">
        <v>23</v>
      </c>
      <c r="G2204" s="1">
        <f>DATEVALUE(_xlfn.CONCAT(BBDD_Usiarios_Netflix[[#This Row],[Día Suscripción]],"/",BBDD_Usiarios_Netflix[[#This Row],[Mes Suscripción]],"/",BBDD_Usiarios_Netflix[[#This Row],[Año Suscripción]]))</f>
        <v>45133</v>
      </c>
      <c r="H2204" s="1">
        <v>10</v>
      </c>
      <c r="I2204" s="1">
        <v>7</v>
      </c>
      <c r="J2204" s="1">
        <v>24</v>
      </c>
      <c r="K2204" s="1" t="str">
        <f>TEXT(BBDD_Usiarios_Netflix[[#This Row],[Fecha Suscripción]],"dddd")</f>
        <v>miércoles</v>
      </c>
      <c r="L2204" s="1">
        <f>DATEVALUE(_xlfn.CONCAT(BBDD_Usiarios_Netflix[[#This Row],[Día Último Pago]],"/",BBDD_Usiarios_Netflix[[#This Row],[Mes Último Pago]],"/",BBDD_Usiarios_Netflix[[#This Row],[Año Último Pago]]))</f>
        <v>45483</v>
      </c>
      <c r="M2204" s="4">
        <f>DATEDIF(BBDD_Usiarios_Netflix[[#This Row],[Fecha Suscripción]],BBDD_Usiarios_Netflix[[#This Row],[Fecha Último Pago]],"M")+1</f>
        <v>12</v>
      </c>
      <c r="N2204" s="4">
        <f>BBDD_Usiarios_Netflix[[#This Row],[Ingresos Mensuales]]*BBDD_Usiarios_Netflix[[#This Row],[Meses contratados]]</f>
        <v>144</v>
      </c>
      <c r="O2204" t="s">
        <v>43</v>
      </c>
      <c r="P2204" t="str">
        <f>IF(BBDD_Usiarios_Netflix[[#This Row],[País]]="","Desconocido",BBDD_Usiarios_Netflix[[#This Row],[País]])</f>
        <v>Alemania</v>
      </c>
      <c r="Q2204">
        <v>44</v>
      </c>
      <c r="R2204" t="s">
        <v>25</v>
      </c>
      <c r="S2204" t="s">
        <v>26</v>
      </c>
      <c r="T2204" t="s">
        <v>27</v>
      </c>
      <c r="U2204">
        <f>IF(IFERROR(VLOOKUP(BBDD_Usiarios_Netflix[[#This Row],[Identificador Usuario]],A2205:$A$5870,1,FALSE),0)&lt;&gt;0,1,0)</f>
        <v>0</v>
      </c>
      <c r="V2204" s="6" t="str">
        <f>IF(BBDD_Usiarios_Netflix[[#This Row],[Duración Plan]]="12 Meses",LEFT(BBDD_Usiarios_Netflix[[#This Row],[Duración Plan]],2),LEFT(BBDD_Usiarios_Netflix[[#This Row],[Duración Plan]],1))</f>
        <v>1</v>
      </c>
      <c r="W22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05" spans="1:23" x14ac:dyDescent="0.25">
      <c r="A2205">
        <v>2204</v>
      </c>
      <c r="B2205" t="s">
        <v>28</v>
      </c>
      <c r="C2205">
        <v>14</v>
      </c>
      <c r="D2205" s="3">
        <v>25</v>
      </c>
      <c r="E2205" s="3">
        <v>7</v>
      </c>
      <c r="F2205">
        <v>23</v>
      </c>
      <c r="G2205" s="1">
        <f>DATEVALUE(_xlfn.CONCAT(BBDD_Usiarios_Netflix[[#This Row],[Día Suscripción]],"/",BBDD_Usiarios_Netflix[[#This Row],[Mes Suscripción]],"/",BBDD_Usiarios_Netflix[[#This Row],[Año Suscripción]]))</f>
        <v>45132</v>
      </c>
      <c r="H2205" s="1">
        <v>13</v>
      </c>
      <c r="I2205" s="1">
        <v>7</v>
      </c>
      <c r="J2205" s="1">
        <v>24</v>
      </c>
      <c r="K2205" s="1" t="str">
        <f>TEXT(BBDD_Usiarios_Netflix[[#This Row],[Fecha Suscripción]],"dddd")</f>
        <v>martes</v>
      </c>
      <c r="L2205" s="1">
        <f>DATEVALUE(_xlfn.CONCAT(BBDD_Usiarios_Netflix[[#This Row],[Día Último Pago]],"/",BBDD_Usiarios_Netflix[[#This Row],[Mes Último Pago]],"/",BBDD_Usiarios_Netflix[[#This Row],[Año Último Pago]]))</f>
        <v>45486</v>
      </c>
      <c r="M2205" s="4">
        <f>DATEDIF(BBDD_Usiarios_Netflix[[#This Row],[Fecha Suscripción]],BBDD_Usiarios_Netflix[[#This Row],[Fecha Último Pago]],"M")+1</f>
        <v>12</v>
      </c>
      <c r="N2205" s="4">
        <f>BBDD_Usiarios_Netflix[[#This Row],[Ingresos Mensuales]]*BBDD_Usiarios_Netflix[[#This Row],[Meses contratados]]</f>
        <v>168</v>
      </c>
      <c r="O2205" t="s">
        <v>44</v>
      </c>
      <c r="P2205" t="str">
        <f>IF(BBDD_Usiarios_Netflix[[#This Row],[País]]="","Desconocido",BBDD_Usiarios_Netflix[[#This Row],[País]])</f>
        <v>Desconocido</v>
      </c>
      <c r="Q2205">
        <v>39</v>
      </c>
      <c r="R2205" t="s">
        <v>25</v>
      </c>
      <c r="S2205" t="s">
        <v>34</v>
      </c>
      <c r="T2205" t="s">
        <v>27</v>
      </c>
      <c r="U2205">
        <f>IF(IFERROR(VLOOKUP(BBDD_Usiarios_Netflix[[#This Row],[Identificador Usuario]],A2206:$A$5870,1,FALSE),0)&lt;&gt;0,1,0)</f>
        <v>0</v>
      </c>
      <c r="V2205" s="6" t="str">
        <f>IF(BBDD_Usiarios_Netflix[[#This Row],[Duración Plan]]="12 Meses",LEFT(BBDD_Usiarios_Netflix[[#This Row],[Duración Plan]],2),LEFT(BBDD_Usiarios_Netflix[[#This Row],[Duración Plan]],1))</f>
        <v>1</v>
      </c>
      <c r="W22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06" spans="1:23" x14ac:dyDescent="0.25">
      <c r="A2206">
        <v>2205</v>
      </c>
      <c r="B2206" t="s">
        <v>23</v>
      </c>
      <c r="C2206">
        <v>10</v>
      </c>
      <c r="D2206" s="3">
        <v>23</v>
      </c>
      <c r="E2206" s="3">
        <v>7</v>
      </c>
      <c r="F2206">
        <v>23</v>
      </c>
      <c r="G2206" s="1">
        <f>DATEVALUE(_xlfn.CONCAT(BBDD_Usiarios_Netflix[[#This Row],[Día Suscripción]],"/",BBDD_Usiarios_Netflix[[#This Row],[Mes Suscripción]],"/",BBDD_Usiarios_Netflix[[#This Row],[Año Suscripción]]))</f>
        <v>45130</v>
      </c>
      <c r="H2206" s="1">
        <v>9</v>
      </c>
      <c r="I2206" s="1">
        <v>7</v>
      </c>
      <c r="J2206" s="1">
        <v>24</v>
      </c>
      <c r="K2206" s="1" t="str">
        <f>TEXT(BBDD_Usiarios_Netflix[[#This Row],[Fecha Suscripción]],"dddd")</f>
        <v>domingo</v>
      </c>
      <c r="L2206" s="1">
        <f>DATEVALUE(_xlfn.CONCAT(BBDD_Usiarios_Netflix[[#This Row],[Día Último Pago]],"/",BBDD_Usiarios_Netflix[[#This Row],[Mes Último Pago]],"/",BBDD_Usiarios_Netflix[[#This Row],[Año Último Pago]]))</f>
        <v>45482</v>
      </c>
      <c r="M2206" s="4">
        <f>DATEDIF(BBDD_Usiarios_Netflix[[#This Row],[Fecha Suscripción]],BBDD_Usiarios_Netflix[[#This Row],[Fecha Último Pago]],"M")+1</f>
        <v>12</v>
      </c>
      <c r="N2206" s="4">
        <f>BBDD_Usiarios_Netflix[[#This Row],[Ingresos Mensuales]]*BBDD_Usiarios_Netflix[[#This Row],[Meses contratados]]</f>
        <v>120</v>
      </c>
      <c r="O2206" t="s">
        <v>45</v>
      </c>
      <c r="P2206" t="str">
        <f>IF(BBDD_Usiarios_Netflix[[#This Row],[País]]="","Desconocido",BBDD_Usiarios_Netflix[[#This Row],[País]])</f>
        <v>España</v>
      </c>
      <c r="Q2206">
        <v>27</v>
      </c>
      <c r="R2206" t="s">
        <v>25</v>
      </c>
      <c r="S2206" t="s">
        <v>34</v>
      </c>
      <c r="T2206" t="s">
        <v>41</v>
      </c>
      <c r="U2206">
        <f>IF(IFERROR(VLOOKUP(BBDD_Usiarios_Netflix[[#This Row],[Identificador Usuario]],A2207:$A$5870,1,FALSE),0)&lt;&gt;0,1,0)</f>
        <v>0</v>
      </c>
      <c r="V2206" s="6" t="str">
        <f>IF(BBDD_Usiarios_Netflix[[#This Row],[Duración Plan]]="12 Meses",LEFT(BBDD_Usiarios_Netflix[[#This Row],[Duración Plan]],2),LEFT(BBDD_Usiarios_Netflix[[#This Row],[Duración Plan]],1))</f>
        <v>12</v>
      </c>
      <c r="W22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07" spans="1:23" x14ac:dyDescent="0.25">
      <c r="A2207">
        <v>2206</v>
      </c>
      <c r="B2207" t="s">
        <v>28</v>
      </c>
      <c r="C2207">
        <v>14</v>
      </c>
      <c r="D2207" s="3">
        <v>18</v>
      </c>
      <c r="E2207" s="3">
        <v>7</v>
      </c>
      <c r="F2207">
        <v>23</v>
      </c>
      <c r="G2207" s="1">
        <f>DATEVALUE(_xlfn.CONCAT(BBDD_Usiarios_Netflix[[#This Row],[Día Suscripción]],"/",BBDD_Usiarios_Netflix[[#This Row],[Mes Suscripción]],"/",BBDD_Usiarios_Netflix[[#This Row],[Año Suscripción]]))</f>
        <v>45125</v>
      </c>
      <c r="H2207" s="1">
        <v>11</v>
      </c>
      <c r="I2207" s="1">
        <v>7</v>
      </c>
      <c r="J2207" s="1">
        <v>24</v>
      </c>
      <c r="K2207" s="1" t="str">
        <f>TEXT(BBDD_Usiarios_Netflix[[#This Row],[Fecha Suscripción]],"dddd")</f>
        <v>martes</v>
      </c>
      <c r="L2207" s="1">
        <f>DATEVALUE(_xlfn.CONCAT(BBDD_Usiarios_Netflix[[#This Row],[Día Último Pago]],"/",BBDD_Usiarios_Netflix[[#This Row],[Mes Último Pago]],"/",BBDD_Usiarios_Netflix[[#This Row],[Año Último Pago]]))</f>
        <v>45484</v>
      </c>
      <c r="M2207" s="4">
        <f>DATEDIF(BBDD_Usiarios_Netflix[[#This Row],[Fecha Suscripción]],BBDD_Usiarios_Netflix[[#This Row],[Fecha Último Pago]],"M")+1</f>
        <v>12</v>
      </c>
      <c r="N2207" s="4">
        <f>BBDD_Usiarios_Netflix[[#This Row],[Ingresos Mensuales]]*BBDD_Usiarios_Netflix[[#This Row],[Meses contratados]]</f>
        <v>168</v>
      </c>
      <c r="O2207" t="s">
        <v>24</v>
      </c>
      <c r="P2207" t="str">
        <f>IF(BBDD_Usiarios_Netflix[[#This Row],[País]]="","Desconocido",BBDD_Usiarios_Netflix[[#This Row],[País]])</f>
        <v>Australia</v>
      </c>
      <c r="Q2207">
        <v>31</v>
      </c>
      <c r="R2207" t="s">
        <v>25</v>
      </c>
      <c r="S2207" t="s">
        <v>34</v>
      </c>
      <c r="T2207" t="s">
        <v>27</v>
      </c>
      <c r="U2207">
        <f>IF(IFERROR(VLOOKUP(BBDD_Usiarios_Netflix[[#This Row],[Identificador Usuario]],A2208:$A$5870,1,FALSE),0)&lt;&gt;0,1,0)</f>
        <v>0</v>
      </c>
      <c r="V2207" s="6" t="str">
        <f>IF(BBDD_Usiarios_Netflix[[#This Row],[Duración Plan]]="12 Meses",LEFT(BBDD_Usiarios_Netflix[[#This Row],[Duración Plan]],2),LEFT(BBDD_Usiarios_Netflix[[#This Row],[Duración Plan]],1))</f>
        <v>1</v>
      </c>
      <c r="W22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08" spans="1:23" x14ac:dyDescent="0.25">
      <c r="A2208">
        <v>2207</v>
      </c>
      <c r="B2208" t="s">
        <v>23</v>
      </c>
      <c r="C2208">
        <v>10</v>
      </c>
      <c r="D2208" s="3">
        <v>13</v>
      </c>
      <c r="E2208" s="3">
        <v>7</v>
      </c>
      <c r="F2208">
        <v>23</v>
      </c>
      <c r="G2208" s="1">
        <f>DATEVALUE(_xlfn.CONCAT(BBDD_Usiarios_Netflix[[#This Row],[Día Suscripción]],"/",BBDD_Usiarios_Netflix[[#This Row],[Mes Suscripción]],"/",BBDD_Usiarios_Netflix[[#This Row],[Año Suscripción]]))</f>
        <v>45120</v>
      </c>
      <c r="H2208" s="1">
        <v>10</v>
      </c>
      <c r="I2208" s="1">
        <v>7</v>
      </c>
      <c r="J2208" s="1">
        <v>24</v>
      </c>
      <c r="K2208" s="1" t="str">
        <f>TEXT(BBDD_Usiarios_Netflix[[#This Row],[Fecha Suscripción]],"dddd")</f>
        <v>jueves</v>
      </c>
      <c r="L2208" s="1">
        <f>DATEVALUE(_xlfn.CONCAT(BBDD_Usiarios_Netflix[[#This Row],[Día Último Pago]],"/",BBDD_Usiarios_Netflix[[#This Row],[Mes Último Pago]],"/",BBDD_Usiarios_Netflix[[#This Row],[Año Último Pago]]))</f>
        <v>45483</v>
      </c>
      <c r="M2208" s="4">
        <f>DATEDIF(BBDD_Usiarios_Netflix[[#This Row],[Fecha Suscripción]],BBDD_Usiarios_Netflix[[#This Row],[Fecha Último Pago]],"M")+1</f>
        <v>12</v>
      </c>
      <c r="N2208" s="4">
        <f>BBDD_Usiarios_Netflix[[#This Row],[Ingresos Mensuales]]*BBDD_Usiarios_Netflix[[#This Row],[Meses contratados]]</f>
        <v>120</v>
      </c>
      <c r="O2208" t="s">
        <v>29</v>
      </c>
      <c r="P2208" t="str">
        <f>IF(BBDD_Usiarios_Netflix[[#This Row],[País]]="","Desconocido",BBDD_Usiarios_Netflix[[#This Row],[País]])</f>
        <v>EEUU</v>
      </c>
      <c r="Q2208">
        <v>39</v>
      </c>
      <c r="R2208" t="s">
        <v>30</v>
      </c>
      <c r="S2208" t="s">
        <v>36</v>
      </c>
      <c r="T2208" t="s">
        <v>27</v>
      </c>
      <c r="U2208">
        <f>IF(IFERROR(VLOOKUP(BBDD_Usiarios_Netflix[[#This Row],[Identificador Usuario]],A2209:$A$5870,1,FALSE),0)&lt;&gt;0,1,0)</f>
        <v>0</v>
      </c>
      <c r="V2208" s="6" t="str">
        <f>IF(BBDD_Usiarios_Netflix[[#This Row],[Duración Plan]]="12 Meses",LEFT(BBDD_Usiarios_Netflix[[#This Row],[Duración Plan]],2),LEFT(BBDD_Usiarios_Netflix[[#This Row],[Duración Plan]],1))</f>
        <v>1</v>
      </c>
      <c r="W22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09" spans="1:23" x14ac:dyDescent="0.25">
      <c r="A2209">
        <v>2208</v>
      </c>
      <c r="B2209" t="s">
        <v>32</v>
      </c>
      <c r="C2209">
        <v>12</v>
      </c>
      <c r="D2209" s="3">
        <v>13</v>
      </c>
      <c r="E2209" s="3">
        <v>7</v>
      </c>
      <c r="F2209">
        <v>23</v>
      </c>
      <c r="G2209" s="1">
        <f>DATEVALUE(_xlfn.CONCAT(BBDD_Usiarios_Netflix[[#This Row],[Día Suscripción]],"/",BBDD_Usiarios_Netflix[[#This Row],[Mes Suscripción]],"/",BBDD_Usiarios_Netflix[[#This Row],[Año Suscripción]]))</f>
        <v>45120</v>
      </c>
      <c r="H2209" s="1">
        <v>12</v>
      </c>
      <c r="I2209" s="1">
        <v>7</v>
      </c>
      <c r="J2209" s="1">
        <v>24</v>
      </c>
      <c r="K2209" s="1" t="str">
        <f>TEXT(BBDD_Usiarios_Netflix[[#This Row],[Fecha Suscripción]],"dddd")</f>
        <v>jueves</v>
      </c>
      <c r="L2209" s="1">
        <f>DATEVALUE(_xlfn.CONCAT(BBDD_Usiarios_Netflix[[#This Row],[Día Último Pago]],"/",BBDD_Usiarios_Netflix[[#This Row],[Mes Último Pago]],"/",BBDD_Usiarios_Netflix[[#This Row],[Año Último Pago]]))</f>
        <v>45485</v>
      </c>
      <c r="M2209" s="4">
        <f>DATEDIF(BBDD_Usiarios_Netflix[[#This Row],[Fecha Suscripción]],BBDD_Usiarios_Netflix[[#This Row],[Fecha Último Pago]],"M")+1</f>
        <v>12</v>
      </c>
      <c r="N2209" s="4">
        <f>BBDD_Usiarios_Netflix[[#This Row],[Ingresos Mensuales]]*BBDD_Usiarios_Netflix[[#This Row],[Meses contratados]]</f>
        <v>144</v>
      </c>
      <c r="O2209" t="s">
        <v>24</v>
      </c>
      <c r="P2209" t="str">
        <f>IF(BBDD_Usiarios_Netflix[[#This Row],[País]]="","Desconocido",BBDD_Usiarios_Netflix[[#This Row],[País]])</f>
        <v>Australia</v>
      </c>
      <c r="Q2209">
        <v>44</v>
      </c>
      <c r="R2209" t="s">
        <v>25</v>
      </c>
      <c r="S2209" t="s">
        <v>36</v>
      </c>
      <c r="T2209" t="s">
        <v>27</v>
      </c>
      <c r="U2209">
        <f>IF(IFERROR(VLOOKUP(BBDD_Usiarios_Netflix[[#This Row],[Identificador Usuario]],A2210:$A$5870,1,FALSE),0)&lt;&gt;0,1,0)</f>
        <v>0</v>
      </c>
      <c r="V2209" s="6" t="str">
        <f>IF(BBDD_Usiarios_Netflix[[#This Row],[Duración Plan]]="12 Meses",LEFT(BBDD_Usiarios_Netflix[[#This Row],[Duración Plan]],2),LEFT(BBDD_Usiarios_Netflix[[#This Row],[Duración Plan]],1))</f>
        <v>1</v>
      </c>
      <c r="W22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10" spans="1:23" x14ac:dyDescent="0.25">
      <c r="A2210">
        <v>2209</v>
      </c>
      <c r="B2210" t="s">
        <v>32</v>
      </c>
      <c r="C2210">
        <v>12</v>
      </c>
      <c r="D2210" s="3">
        <v>13</v>
      </c>
      <c r="E2210" s="3">
        <v>7</v>
      </c>
      <c r="F2210">
        <v>23</v>
      </c>
      <c r="G2210" s="1">
        <f>DATEVALUE(_xlfn.CONCAT(BBDD_Usiarios_Netflix[[#This Row],[Día Suscripción]],"/",BBDD_Usiarios_Netflix[[#This Row],[Mes Suscripción]],"/",BBDD_Usiarios_Netflix[[#This Row],[Año Suscripción]]))</f>
        <v>45120</v>
      </c>
      <c r="H2210" s="1">
        <v>9</v>
      </c>
      <c r="I2210" s="1">
        <v>7</v>
      </c>
      <c r="J2210" s="1">
        <v>24</v>
      </c>
      <c r="K2210" s="1" t="str">
        <f>TEXT(BBDD_Usiarios_Netflix[[#This Row],[Fecha Suscripción]],"dddd")</f>
        <v>jueves</v>
      </c>
      <c r="L2210" s="1">
        <f>DATEVALUE(_xlfn.CONCAT(BBDD_Usiarios_Netflix[[#This Row],[Día Último Pago]],"/",BBDD_Usiarios_Netflix[[#This Row],[Mes Último Pago]],"/",BBDD_Usiarios_Netflix[[#This Row],[Año Último Pago]]))</f>
        <v>45482</v>
      </c>
      <c r="M2210" s="4">
        <f>DATEDIF(BBDD_Usiarios_Netflix[[#This Row],[Fecha Suscripción]],BBDD_Usiarios_Netflix[[#This Row],[Fecha Último Pago]],"M")+1</f>
        <v>12</v>
      </c>
      <c r="N2210" s="4">
        <f>BBDD_Usiarios_Netflix[[#This Row],[Ingresos Mensuales]]*BBDD_Usiarios_Netflix[[#This Row],[Meses contratados]]</f>
        <v>144</v>
      </c>
      <c r="O2210" t="s">
        <v>24</v>
      </c>
      <c r="P2210" t="str">
        <f>IF(BBDD_Usiarios_Netflix[[#This Row],[País]]="","Desconocido",BBDD_Usiarios_Netflix[[#This Row],[País]])</f>
        <v>Australia</v>
      </c>
      <c r="Q2210">
        <v>48</v>
      </c>
      <c r="R2210" t="s">
        <v>30</v>
      </c>
      <c r="S2210" t="s">
        <v>31</v>
      </c>
      <c r="T2210" t="s">
        <v>35</v>
      </c>
      <c r="U2210">
        <f>IF(IFERROR(VLOOKUP(BBDD_Usiarios_Netflix[[#This Row],[Identificador Usuario]],A2211:$A$5870,1,FALSE),0)&lt;&gt;0,1,0)</f>
        <v>0</v>
      </c>
      <c r="V2210" s="6" t="str">
        <f>IF(BBDD_Usiarios_Netflix[[#This Row],[Duración Plan]]="12 Meses",LEFT(BBDD_Usiarios_Netflix[[#This Row],[Duración Plan]],2),LEFT(BBDD_Usiarios_Netflix[[#This Row],[Duración Plan]],1))</f>
        <v>6</v>
      </c>
      <c r="W22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11" spans="1:23" x14ac:dyDescent="0.25">
      <c r="A2211">
        <v>2210</v>
      </c>
      <c r="B2211" t="s">
        <v>23</v>
      </c>
      <c r="C2211">
        <v>10</v>
      </c>
      <c r="D2211" s="3">
        <v>13</v>
      </c>
      <c r="E2211" s="3">
        <v>7</v>
      </c>
      <c r="F2211">
        <v>23</v>
      </c>
      <c r="G2211" s="1">
        <f>DATEVALUE(_xlfn.CONCAT(BBDD_Usiarios_Netflix[[#This Row],[Día Suscripción]],"/",BBDD_Usiarios_Netflix[[#This Row],[Mes Suscripción]],"/",BBDD_Usiarios_Netflix[[#This Row],[Año Suscripción]]))</f>
        <v>45120</v>
      </c>
      <c r="H2211" s="1">
        <v>11</v>
      </c>
      <c r="I2211" s="1">
        <v>7</v>
      </c>
      <c r="J2211" s="1">
        <v>24</v>
      </c>
      <c r="K2211" s="1" t="str">
        <f>TEXT(BBDD_Usiarios_Netflix[[#This Row],[Fecha Suscripción]],"dddd")</f>
        <v>jueves</v>
      </c>
      <c r="L2211" s="1">
        <f>DATEVALUE(_xlfn.CONCAT(BBDD_Usiarios_Netflix[[#This Row],[Día Último Pago]],"/",BBDD_Usiarios_Netflix[[#This Row],[Mes Último Pago]],"/",BBDD_Usiarios_Netflix[[#This Row],[Año Último Pago]]))</f>
        <v>45484</v>
      </c>
      <c r="M2211" s="4">
        <f>DATEDIF(BBDD_Usiarios_Netflix[[#This Row],[Fecha Suscripción]],BBDD_Usiarios_Netflix[[#This Row],[Fecha Último Pago]],"M")+1</f>
        <v>12</v>
      </c>
      <c r="N2211" s="4">
        <f>BBDD_Usiarios_Netflix[[#This Row],[Ingresos Mensuales]]*BBDD_Usiarios_Netflix[[#This Row],[Meses contratados]]</f>
        <v>120</v>
      </c>
      <c r="O2211" t="s">
        <v>42</v>
      </c>
      <c r="P2211" t="str">
        <f>IF(BBDD_Usiarios_Netflix[[#This Row],[País]]="","Desconocido",BBDD_Usiarios_Netflix[[#This Row],[País]])</f>
        <v>Reino Unido</v>
      </c>
      <c r="Q2211">
        <v>27</v>
      </c>
      <c r="R2211" t="s">
        <v>25</v>
      </c>
      <c r="S2211" t="s">
        <v>26</v>
      </c>
      <c r="T2211" t="s">
        <v>27</v>
      </c>
      <c r="U2211">
        <f>IF(IFERROR(VLOOKUP(BBDD_Usiarios_Netflix[[#This Row],[Identificador Usuario]],A2212:$A$5870,1,FALSE),0)&lt;&gt;0,1,0)</f>
        <v>0</v>
      </c>
      <c r="V2211" s="6" t="str">
        <f>IF(BBDD_Usiarios_Netflix[[#This Row],[Duración Plan]]="12 Meses",LEFT(BBDD_Usiarios_Netflix[[#This Row],[Duración Plan]],2),LEFT(BBDD_Usiarios_Netflix[[#This Row],[Duración Plan]],1))</f>
        <v>1</v>
      </c>
      <c r="W22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12" spans="1:23" x14ac:dyDescent="0.25">
      <c r="A2212">
        <v>2211</v>
      </c>
      <c r="B2212" t="s">
        <v>28</v>
      </c>
      <c r="C2212">
        <v>14</v>
      </c>
      <c r="D2212" s="3">
        <v>13</v>
      </c>
      <c r="E2212" s="3">
        <v>7</v>
      </c>
      <c r="F2212">
        <v>23</v>
      </c>
      <c r="G2212" s="1">
        <f>DATEVALUE(_xlfn.CONCAT(BBDD_Usiarios_Netflix[[#This Row],[Día Suscripción]],"/",BBDD_Usiarios_Netflix[[#This Row],[Mes Suscripción]],"/",BBDD_Usiarios_Netflix[[#This Row],[Año Suscripción]]))</f>
        <v>45120</v>
      </c>
      <c r="H2212" s="1">
        <v>9</v>
      </c>
      <c r="I2212" s="1">
        <v>7</v>
      </c>
      <c r="J2212" s="1">
        <v>24</v>
      </c>
      <c r="K2212" s="1" t="str">
        <f>TEXT(BBDD_Usiarios_Netflix[[#This Row],[Fecha Suscripción]],"dddd")</f>
        <v>jueves</v>
      </c>
      <c r="L2212" s="1">
        <f>DATEVALUE(_xlfn.CONCAT(BBDD_Usiarios_Netflix[[#This Row],[Día Último Pago]],"/",BBDD_Usiarios_Netflix[[#This Row],[Mes Último Pago]],"/",BBDD_Usiarios_Netflix[[#This Row],[Año Último Pago]]))</f>
        <v>45482</v>
      </c>
      <c r="M2212" s="4">
        <f>DATEDIF(BBDD_Usiarios_Netflix[[#This Row],[Fecha Suscripción]],BBDD_Usiarios_Netflix[[#This Row],[Fecha Último Pago]],"M")+1</f>
        <v>12</v>
      </c>
      <c r="N2212" s="4">
        <f>BBDD_Usiarios_Netflix[[#This Row],[Ingresos Mensuales]]*BBDD_Usiarios_Netflix[[#This Row],[Meses contratados]]</f>
        <v>168</v>
      </c>
      <c r="O2212" t="s">
        <v>39</v>
      </c>
      <c r="P2212" t="str">
        <f>IF(BBDD_Usiarios_Netflix[[#This Row],[País]]="","Desconocido",BBDD_Usiarios_Netflix[[#This Row],[País]])</f>
        <v>Canadá</v>
      </c>
      <c r="Q2212">
        <v>27</v>
      </c>
      <c r="R2212" t="s">
        <v>25</v>
      </c>
      <c r="S2212" t="s">
        <v>36</v>
      </c>
      <c r="T2212" t="s">
        <v>35</v>
      </c>
      <c r="U2212">
        <f>IF(IFERROR(VLOOKUP(BBDD_Usiarios_Netflix[[#This Row],[Identificador Usuario]],A2213:$A$5870,1,FALSE),0)&lt;&gt;0,1,0)</f>
        <v>0</v>
      </c>
      <c r="V2212" s="6" t="str">
        <f>IF(BBDD_Usiarios_Netflix[[#This Row],[Duración Plan]]="12 Meses",LEFT(BBDD_Usiarios_Netflix[[#This Row],[Duración Plan]],2),LEFT(BBDD_Usiarios_Netflix[[#This Row],[Duración Plan]],1))</f>
        <v>6</v>
      </c>
      <c r="W22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13" spans="1:23" x14ac:dyDescent="0.25">
      <c r="A2213">
        <v>2212</v>
      </c>
      <c r="B2213" t="s">
        <v>23</v>
      </c>
      <c r="C2213">
        <v>10</v>
      </c>
      <c r="D2213" s="3">
        <v>14</v>
      </c>
      <c r="E2213" s="3">
        <v>7</v>
      </c>
      <c r="F2213">
        <v>23</v>
      </c>
      <c r="G2213" s="1">
        <f>DATEVALUE(_xlfn.CONCAT(BBDD_Usiarios_Netflix[[#This Row],[Día Suscripción]],"/",BBDD_Usiarios_Netflix[[#This Row],[Mes Suscripción]],"/",BBDD_Usiarios_Netflix[[#This Row],[Año Suscripción]]))</f>
        <v>45121</v>
      </c>
      <c r="H2213" s="1">
        <v>11</v>
      </c>
      <c r="I2213" s="1">
        <v>7</v>
      </c>
      <c r="J2213" s="1">
        <v>24</v>
      </c>
      <c r="K2213" s="1" t="str">
        <f>TEXT(BBDD_Usiarios_Netflix[[#This Row],[Fecha Suscripción]],"dddd")</f>
        <v>viernes</v>
      </c>
      <c r="L2213" s="1">
        <f>DATEVALUE(_xlfn.CONCAT(BBDD_Usiarios_Netflix[[#This Row],[Día Último Pago]],"/",BBDD_Usiarios_Netflix[[#This Row],[Mes Último Pago]],"/",BBDD_Usiarios_Netflix[[#This Row],[Año Último Pago]]))</f>
        <v>45484</v>
      </c>
      <c r="M2213" s="4">
        <f>DATEDIF(BBDD_Usiarios_Netflix[[#This Row],[Fecha Suscripción]],BBDD_Usiarios_Netflix[[#This Row],[Fecha Último Pago]],"M")+1</f>
        <v>12</v>
      </c>
      <c r="N2213" s="4">
        <f>BBDD_Usiarios_Netflix[[#This Row],[Ingresos Mensuales]]*BBDD_Usiarios_Netflix[[#This Row],[Meses contratados]]</f>
        <v>120</v>
      </c>
      <c r="O2213" t="s">
        <v>24</v>
      </c>
      <c r="P2213" t="str">
        <f>IF(BBDD_Usiarios_Netflix[[#This Row],[País]]="","Desconocido",BBDD_Usiarios_Netflix[[#This Row],[País]])</f>
        <v>Australia</v>
      </c>
      <c r="Q2213">
        <v>41</v>
      </c>
      <c r="R2213" t="s">
        <v>25</v>
      </c>
      <c r="S2213" t="s">
        <v>34</v>
      </c>
      <c r="T2213" t="s">
        <v>35</v>
      </c>
      <c r="U2213">
        <f>IF(IFERROR(VLOOKUP(BBDD_Usiarios_Netflix[[#This Row],[Identificador Usuario]],A2214:$A$5870,1,FALSE),0)&lt;&gt;0,1,0)</f>
        <v>0</v>
      </c>
      <c r="V2213" s="6" t="str">
        <f>IF(BBDD_Usiarios_Netflix[[#This Row],[Duración Plan]]="12 Meses",LEFT(BBDD_Usiarios_Netflix[[#This Row],[Duración Plan]],2),LEFT(BBDD_Usiarios_Netflix[[#This Row],[Duración Plan]],1))</f>
        <v>6</v>
      </c>
      <c r="W22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14" spans="1:23" x14ac:dyDescent="0.25">
      <c r="A2214">
        <v>2213</v>
      </c>
      <c r="B2214" t="s">
        <v>32</v>
      </c>
      <c r="C2214">
        <v>12</v>
      </c>
      <c r="D2214" s="3">
        <v>15</v>
      </c>
      <c r="E2214" s="3">
        <v>7</v>
      </c>
      <c r="F2214">
        <v>23</v>
      </c>
      <c r="G2214" s="1">
        <f>DATEVALUE(_xlfn.CONCAT(BBDD_Usiarios_Netflix[[#This Row],[Día Suscripción]],"/",BBDD_Usiarios_Netflix[[#This Row],[Mes Suscripción]],"/",BBDD_Usiarios_Netflix[[#This Row],[Año Suscripción]]))</f>
        <v>45122</v>
      </c>
      <c r="H2214" s="1">
        <v>9</v>
      </c>
      <c r="I2214" s="1">
        <v>7</v>
      </c>
      <c r="J2214" s="1">
        <v>24</v>
      </c>
      <c r="K2214" s="1" t="str">
        <f>TEXT(BBDD_Usiarios_Netflix[[#This Row],[Fecha Suscripción]],"dddd")</f>
        <v>sábado</v>
      </c>
      <c r="L2214" s="1">
        <f>DATEVALUE(_xlfn.CONCAT(BBDD_Usiarios_Netflix[[#This Row],[Día Último Pago]],"/",BBDD_Usiarios_Netflix[[#This Row],[Mes Último Pago]],"/",BBDD_Usiarios_Netflix[[#This Row],[Año Último Pago]]))</f>
        <v>45482</v>
      </c>
      <c r="M2214" s="4">
        <f>DATEDIF(BBDD_Usiarios_Netflix[[#This Row],[Fecha Suscripción]],BBDD_Usiarios_Netflix[[#This Row],[Fecha Último Pago]],"M")+1</f>
        <v>12</v>
      </c>
      <c r="N2214" s="4">
        <f>BBDD_Usiarios_Netflix[[#This Row],[Ingresos Mensuales]]*BBDD_Usiarios_Netflix[[#This Row],[Meses contratados]]</f>
        <v>144</v>
      </c>
      <c r="O2214" t="s">
        <v>33</v>
      </c>
      <c r="P2214" t="str">
        <f>IF(BBDD_Usiarios_Netflix[[#This Row],[País]]="","Desconocido",BBDD_Usiarios_Netflix[[#This Row],[País]])</f>
        <v>Francia</v>
      </c>
      <c r="Q2214">
        <v>44</v>
      </c>
      <c r="R2214" t="s">
        <v>30</v>
      </c>
      <c r="S2214" t="s">
        <v>31</v>
      </c>
      <c r="T2214" t="s">
        <v>27</v>
      </c>
      <c r="U2214">
        <f>IF(IFERROR(VLOOKUP(BBDD_Usiarios_Netflix[[#This Row],[Identificador Usuario]],A2215:$A$5870,1,FALSE),0)&lt;&gt;0,1,0)</f>
        <v>0</v>
      </c>
      <c r="V2214" s="6" t="str">
        <f>IF(BBDD_Usiarios_Netflix[[#This Row],[Duración Plan]]="12 Meses",LEFT(BBDD_Usiarios_Netflix[[#This Row],[Duración Plan]],2),LEFT(BBDD_Usiarios_Netflix[[#This Row],[Duración Plan]],1))</f>
        <v>1</v>
      </c>
      <c r="W22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15" spans="1:23" x14ac:dyDescent="0.25">
      <c r="A2215">
        <v>2214</v>
      </c>
      <c r="B2215" t="s">
        <v>28</v>
      </c>
      <c r="C2215">
        <v>14</v>
      </c>
      <c r="D2215" s="3">
        <v>16</v>
      </c>
      <c r="E2215" s="3">
        <v>7</v>
      </c>
      <c r="F2215">
        <v>23</v>
      </c>
      <c r="G2215" s="1">
        <f>DATEVALUE(_xlfn.CONCAT(BBDD_Usiarios_Netflix[[#This Row],[Día Suscripción]],"/",BBDD_Usiarios_Netflix[[#This Row],[Mes Suscripción]],"/",BBDD_Usiarios_Netflix[[#This Row],[Año Suscripción]]))</f>
        <v>45123</v>
      </c>
      <c r="H2215" s="1">
        <v>12</v>
      </c>
      <c r="I2215" s="1">
        <v>7</v>
      </c>
      <c r="J2215" s="1">
        <v>24</v>
      </c>
      <c r="K2215" s="1" t="str">
        <f>TEXT(BBDD_Usiarios_Netflix[[#This Row],[Fecha Suscripción]],"dddd")</f>
        <v>domingo</v>
      </c>
      <c r="L2215" s="1">
        <f>DATEVALUE(_xlfn.CONCAT(BBDD_Usiarios_Netflix[[#This Row],[Día Último Pago]],"/",BBDD_Usiarios_Netflix[[#This Row],[Mes Último Pago]],"/",BBDD_Usiarios_Netflix[[#This Row],[Año Último Pago]]))</f>
        <v>45485</v>
      </c>
      <c r="M2215" s="4">
        <f>DATEDIF(BBDD_Usiarios_Netflix[[#This Row],[Fecha Suscripción]],BBDD_Usiarios_Netflix[[#This Row],[Fecha Último Pago]],"M")+1</f>
        <v>12</v>
      </c>
      <c r="N2215" s="4">
        <f>BBDD_Usiarios_Netflix[[#This Row],[Ingresos Mensuales]]*BBDD_Usiarios_Netflix[[#This Row],[Meses contratados]]</f>
        <v>168</v>
      </c>
      <c r="O2215" t="s">
        <v>43</v>
      </c>
      <c r="P2215" t="str">
        <f>IF(BBDD_Usiarios_Netflix[[#This Row],[País]]="","Desconocido",BBDD_Usiarios_Netflix[[#This Row],[País]])</f>
        <v>Alemania</v>
      </c>
      <c r="Q2215">
        <v>29</v>
      </c>
      <c r="R2215" t="s">
        <v>30</v>
      </c>
      <c r="S2215" t="s">
        <v>31</v>
      </c>
      <c r="T2215" t="s">
        <v>38</v>
      </c>
      <c r="U2215">
        <f>IF(IFERROR(VLOOKUP(BBDD_Usiarios_Netflix[[#This Row],[Identificador Usuario]],A2216:$A$5870,1,FALSE),0)&lt;&gt;0,1,0)</f>
        <v>0</v>
      </c>
      <c r="V2215" s="6" t="str">
        <f>IF(BBDD_Usiarios_Netflix[[#This Row],[Duración Plan]]="12 Meses",LEFT(BBDD_Usiarios_Netflix[[#This Row],[Duración Plan]],2),LEFT(BBDD_Usiarios_Netflix[[#This Row],[Duración Plan]],1))</f>
        <v>3</v>
      </c>
      <c r="W22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16" spans="1:23" x14ac:dyDescent="0.25">
      <c r="A2216">
        <v>2215</v>
      </c>
      <c r="B2216" t="s">
        <v>23</v>
      </c>
      <c r="C2216">
        <v>10</v>
      </c>
      <c r="D2216" s="3">
        <v>18</v>
      </c>
      <c r="E2216" s="3">
        <v>7</v>
      </c>
      <c r="F2216">
        <v>23</v>
      </c>
      <c r="G2216" s="1">
        <f>DATEVALUE(_xlfn.CONCAT(BBDD_Usiarios_Netflix[[#This Row],[Día Suscripción]],"/",BBDD_Usiarios_Netflix[[#This Row],[Mes Suscripción]],"/",BBDD_Usiarios_Netflix[[#This Row],[Año Suscripción]]))</f>
        <v>45125</v>
      </c>
      <c r="H2216" s="1">
        <v>9</v>
      </c>
      <c r="I2216" s="1">
        <v>7</v>
      </c>
      <c r="J2216" s="1">
        <v>24</v>
      </c>
      <c r="K2216" s="1" t="str">
        <f>TEXT(BBDD_Usiarios_Netflix[[#This Row],[Fecha Suscripción]],"dddd")</f>
        <v>martes</v>
      </c>
      <c r="L2216" s="1">
        <f>DATEVALUE(_xlfn.CONCAT(BBDD_Usiarios_Netflix[[#This Row],[Día Último Pago]],"/",BBDD_Usiarios_Netflix[[#This Row],[Mes Último Pago]],"/",BBDD_Usiarios_Netflix[[#This Row],[Año Último Pago]]))</f>
        <v>45482</v>
      </c>
      <c r="M2216" s="4">
        <f>DATEDIF(BBDD_Usiarios_Netflix[[#This Row],[Fecha Suscripción]],BBDD_Usiarios_Netflix[[#This Row],[Fecha Último Pago]],"M")+1</f>
        <v>12</v>
      </c>
      <c r="N2216" s="4">
        <f>BBDD_Usiarios_Netflix[[#This Row],[Ingresos Mensuales]]*BBDD_Usiarios_Netflix[[#This Row],[Meses contratados]]</f>
        <v>120</v>
      </c>
      <c r="O2216" t="s">
        <v>45</v>
      </c>
      <c r="P2216" t="str">
        <f>IF(BBDD_Usiarios_Netflix[[#This Row],[País]]="","Desconocido",BBDD_Usiarios_Netflix[[#This Row],[País]])</f>
        <v>España</v>
      </c>
      <c r="Q2216">
        <v>42</v>
      </c>
      <c r="R2216" t="s">
        <v>30</v>
      </c>
      <c r="S2216" t="s">
        <v>26</v>
      </c>
      <c r="T2216" t="s">
        <v>27</v>
      </c>
      <c r="U2216">
        <f>IF(IFERROR(VLOOKUP(BBDD_Usiarios_Netflix[[#This Row],[Identificador Usuario]],A2217:$A$5870,1,FALSE),0)&lt;&gt;0,1,0)</f>
        <v>0</v>
      </c>
      <c r="V2216" s="6" t="str">
        <f>IF(BBDD_Usiarios_Netflix[[#This Row],[Duración Plan]]="12 Meses",LEFT(BBDD_Usiarios_Netflix[[#This Row],[Duración Plan]],2),LEFT(BBDD_Usiarios_Netflix[[#This Row],[Duración Plan]],1))</f>
        <v>1</v>
      </c>
      <c r="W22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17" spans="1:23" x14ac:dyDescent="0.25">
      <c r="A2217">
        <v>2216</v>
      </c>
      <c r="B2217" t="s">
        <v>28</v>
      </c>
      <c r="C2217">
        <v>14</v>
      </c>
      <c r="D2217" s="3">
        <v>21</v>
      </c>
      <c r="E2217" s="3">
        <v>7</v>
      </c>
      <c r="F2217">
        <v>23</v>
      </c>
      <c r="G2217" s="1">
        <f>DATEVALUE(_xlfn.CONCAT(BBDD_Usiarios_Netflix[[#This Row],[Día Suscripción]],"/",BBDD_Usiarios_Netflix[[#This Row],[Mes Suscripción]],"/",BBDD_Usiarios_Netflix[[#This Row],[Año Suscripción]]))</f>
        <v>45128</v>
      </c>
      <c r="H2217" s="1">
        <v>11</v>
      </c>
      <c r="I2217" s="1">
        <v>7</v>
      </c>
      <c r="J2217" s="1">
        <v>24</v>
      </c>
      <c r="K2217" s="1" t="str">
        <f>TEXT(BBDD_Usiarios_Netflix[[#This Row],[Fecha Suscripción]],"dddd")</f>
        <v>viernes</v>
      </c>
      <c r="L2217" s="1">
        <f>DATEVALUE(_xlfn.CONCAT(BBDD_Usiarios_Netflix[[#This Row],[Día Último Pago]],"/",BBDD_Usiarios_Netflix[[#This Row],[Mes Último Pago]],"/",BBDD_Usiarios_Netflix[[#This Row],[Año Último Pago]]))</f>
        <v>45484</v>
      </c>
      <c r="M2217" s="4">
        <f>DATEDIF(BBDD_Usiarios_Netflix[[#This Row],[Fecha Suscripción]],BBDD_Usiarios_Netflix[[#This Row],[Fecha Último Pago]],"M")+1</f>
        <v>12</v>
      </c>
      <c r="N2217" s="4">
        <f>BBDD_Usiarios_Netflix[[#This Row],[Ingresos Mensuales]]*BBDD_Usiarios_Netflix[[#This Row],[Meses contratados]]</f>
        <v>168</v>
      </c>
      <c r="O2217" t="s">
        <v>39</v>
      </c>
      <c r="P2217" t="str">
        <f>IF(BBDD_Usiarios_Netflix[[#This Row],[País]]="","Desconocido",BBDD_Usiarios_Netflix[[#This Row],[País]])</f>
        <v>Canadá</v>
      </c>
      <c r="Q2217">
        <v>45</v>
      </c>
      <c r="R2217" t="s">
        <v>30</v>
      </c>
      <c r="S2217" t="s">
        <v>34</v>
      </c>
      <c r="T2217" t="s">
        <v>27</v>
      </c>
      <c r="U2217">
        <f>IF(IFERROR(VLOOKUP(BBDD_Usiarios_Netflix[[#This Row],[Identificador Usuario]],A2218:$A$5870,1,FALSE),0)&lt;&gt;0,1,0)</f>
        <v>0</v>
      </c>
      <c r="V2217" s="6" t="str">
        <f>IF(BBDD_Usiarios_Netflix[[#This Row],[Duración Plan]]="12 Meses",LEFT(BBDD_Usiarios_Netflix[[#This Row],[Duración Plan]],2),LEFT(BBDD_Usiarios_Netflix[[#This Row],[Duración Plan]],1))</f>
        <v>1</v>
      </c>
      <c r="W22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18" spans="1:23" x14ac:dyDescent="0.25">
      <c r="A2218">
        <v>2217</v>
      </c>
      <c r="B2218" t="s">
        <v>23</v>
      </c>
      <c r="C2218">
        <v>10</v>
      </c>
      <c r="D2218" s="3">
        <v>24</v>
      </c>
      <c r="E2218" s="3">
        <v>7</v>
      </c>
      <c r="F2218">
        <v>23</v>
      </c>
      <c r="G2218" s="1">
        <f>DATEVALUE(_xlfn.CONCAT(BBDD_Usiarios_Netflix[[#This Row],[Día Suscripción]],"/",BBDD_Usiarios_Netflix[[#This Row],[Mes Suscripción]],"/",BBDD_Usiarios_Netflix[[#This Row],[Año Suscripción]]))</f>
        <v>45131</v>
      </c>
      <c r="H2218" s="1">
        <v>9</v>
      </c>
      <c r="I2218" s="1">
        <v>7</v>
      </c>
      <c r="J2218" s="1">
        <v>24</v>
      </c>
      <c r="K2218" s="1" t="str">
        <f>TEXT(BBDD_Usiarios_Netflix[[#This Row],[Fecha Suscripción]],"dddd")</f>
        <v>lunes</v>
      </c>
      <c r="L2218" s="1">
        <f>DATEVALUE(_xlfn.CONCAT(BBDD_Usiarios_Netflix[[#This Row],[Día Último Pago]],"/",BBDD_Usiarios_Netflix[[#This Row],[Mes Último Pago]],"/",BBDD_Usiarios_Netflix[[#This Row],[Año Último Pago]]))</f>
        <v>45482</v>
      </c>
      <c r="M2218" s="4">
        <f>DATEDIF(BBDD_Usiarios_Netflix[[#This Row],[Fecha Suscripción]],BBDD_Usiarios_Netflix[[#This Row],[Fecha Último Pago]],"M")+1</f>
        <v>12</v>
      </c>
      <c r="N2218" s="4">
        <f>BBDD_Usiarios_Netflix[[#This Row],[Ingresos Mensuales]]*BBDD_Usiarios_Netflix[[#This Row],[Meses contratados]]</f>
        <v>120</v>
      </c>
      <c r="O2218" t="s">
        <v>39</v>
      </c>
      <c r="P2218" t="str">
        <f>IF(BBDD_Usiarios_Netflix[[#This Row],[País]]="","Desconocido",BBDD_Usiarios_Netflix[[#This Row],[País]])</f>
        <v>Canadá</v>
      </c>
      <c r="Q2218">
        <v>39</v>
      </c>
      <c r="R2218" t="s">
        <v>30</v>
      </c>
      <c r="S2218" t="s">
        <v>31</v>
      </c>
      <c r="T2218" t="s">
        <v>41</v>
      </c>
      <c r="U2218">
        <f>IF(IFERROR(VLOOKUP(BBDD_Usiarios_Netflix[[#This Row],[Identificador Usuario]],A2219:$A$5870,1,FALSE),0)&lt;&gt;0,1,0)</f>
        <v>0</v>
      </c>
      <c r="V2218" s="6" t="str">
        <f>IF(BBDD_Usiarios_Netflix[[#This Row],[Duración Plan]]="12 Meses",LEFT(BBDD_Usiarios_Netflix[[#This Row],[Duración Plan]],2),LEFT(BBDD_Usiarios_Netflix[[#This Row],[Duración Plan]],1))</f>
        <v>12</v>
      </c>
      <c r="W22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19" spans="1:23" x14ac:dyDescent="0.25">
      <c r="A2219">
        <v>2218</v>
      </c>
      <c r="B2219" t="s">
        <v>32</v>
      </c>
      <c r="C2219">
        <v>12</v>
      </c>
      <c r="D2219" s="3">
        <v>29</v>
      </c>
      <c r="E2219" s="3">
        <v>7</v>
      </c>
      <c r="F2219">
        <v>23</v>
      </c>
      <c r="G2219" s="1">
        <f>DATEVALUE(_xlfn.CONCAT(BBDD_Usiarios_Netflix[[#This Row],[Día Suscripción]],"/",BBDD_Usiarios_Netflix[[#This Row],[Mes Suscripción]],"/",BBDD_Usiarios_Netflix[[#This Row],[Año Suscripción]]))</f>
        <v>45136</v>
      </c>
      <c r="H2219" s="1">
        <v>12</v>
      </c>
      <c r="I2219" s="1">
        <v>7</v>
      </c>
      <c r="J2219" s="1">
        <v>24</v>
      </c>
      <c r="K2219" s="1" t="str">
        <f>TEXT(BBDD_Usiarios_Netflix[[#This Row],[Fecha Suscripción]],"dddd")</f>
        <v>sábado</v>
      </c>
      <c r="L2219" s="1">
        <f>DATEVALUE(_xlfn.CONCAT(BBDD_Usiarios_Netflix[[#This Row],[Día Último Pago]],"/",BBDD_Usiarios_Netflix[[#This Row],[Mes Último Pago]],"/",BBDD_Usiarios_Netflix[[#This Row],[Año Último Pago]]))</f>
        <v>45485</v>
      </c>
      <c r="M2219" s="4">
        <f>DATEDIF(BBDD_Usiarios_Netflix[[#This Row],[Fecha Suscripción]],BBDD_Usiarios_Netflix[[#This Row],[Fecha Último Pago]],"M")+1</f>
        <v>12</v>
      </c>
      <c r="N2219" s="4">
        <f>BBDD_Usiarios_Netflix[[#This Row],[Ingresos Mensuales]]*BBDD_Usiarios_Netflix[[#This Row],[Meses contratados]]</f>
        <v>144</v>
      </c>
      <c r="O2219" t="s">
        <v>37</v>
      </c>
      <c r="P2219" t="str">
        <f>IF(BBDD_Usiarios_Netflix[[#This Row],[País]]="","Desconocido",BBDD_Usiarios_Netflix[[#This Row],[País]])</f>
        <v>Brasil</v>
      </c>
      <c r="Q2219">
        <v>41</v>
      </c>
      <c r="R2219" t="s">
        <v>30</v>
      </c>
      <c r="S2219" t="s">
        <v>31</v>
      </c>
      <c r="T2219" t="s">
        <v>35</v>
      </c>
      <c r="U2219">
        <f>IF(IFERROR(VLOOKUP(BBDD_Usiarios_Netflix[[#This Row],[Identificador Usuario]],A2220:$A$5870,1,FALSE),0)&lt;&gt;0,1,0)</f>
        <v>0</v>
      </c>
      <c r="V2219" s="6" t="str">
        <f>IF(BBDD_Usiarios_Netflix[[#This Row],[Duración Plan]]="12 Meses",LEFT(BBDD_Usiarios_Netflix[[#This Row],[Duración Plan]],2),LEFT(BBDD_Usiarios_Netflix[[#This Row],[Duración Plan]],1))</f>
        <v>6</v>
      </c>
      <c r="W22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20" spans="1:23" x14ac:dyDescent="0.25">
      <c r="A2220">
        <v>2219</v>
      </c>
      <c r="B2220" t="s">
        <v>32</v>
      </c>
      <c r="C2220">
        <v>12</v>
      </c>
      <c r="D2220" s="3">
        <v>6</v>
      </c>
      <c r="E2220" s="3">
        <v>8</v>
      </c>
      <c r="F2220">
        <v>23</v>
      </c>
      <c r="G2220" s="1">
        <f>DATEVALUE(_xlfn.CONCAT(BBDD_Usiarios_Netflix[[#This Row],[Día Suscripción]],"/",BBDD_Usiarios_Netflix[[#This Row],[Mes Suscripción]],"/",BBDD_Usiarios_Netflix[[#This Row],[Año Suscripción]]))</f>
        <v>45144</v>
      </c>
      <c r="H2220" s="1">
        <v>10</v>
      </c>
      <c r="I2220" s="1">
        <v>7</v>
      </c>
      <c r="J2220" s="1">
        <v>24</v>
      </c>
      <c r="K2220" s="1" t="str">
        <f>TEXT(BBDD_Usiarios_Netflix[[#This Row],[Fecha Suscripción]],"dddd")</f>
        <v>domingo</v>
      </c>
      <c r="L2220" s="1">
        <f>DATEVALUE(_xlfn.CONCAT(BBDD_Usiarios_Netflix[[#This Row],[Día Último Pago]],"/",BBDD_Usiarios_Netflix[[#This Row],[Mes Último Pago]],"/",BBDD_Usiarios_Netflix[[#This Row],[Año Último Pago]]))</f>
        <v>45483</v>
      </c>
      <c r="M2220" s="4">
        <f>DATEDIF(BBDD_Usiarios_Netflix[[#This Row],[Fecha Suscripción]],BBDD_Usiarios_Netflix[[#This Row],[Fecha Último Pago]],"M")+1</f>
        <v>12</v>
      </c>
      <c r="N2220" s="4">
        <f>BBDD_Usiarios_Netflix[[#This Row],[Ingresos Mensuales]]*BBDD_Usiarios_Netflix[[#This Row],[Meses contratados]]</f>
        <v>144</v>
      </c>
      <c r="O2220" t="s">
        <v>42</v>
      </c>
      <c r="P2220" t="str">
        <f>IF(BBDD_Usiarios_Netflix[[#This Row],[País]]="","Desconocido",BBDD_Usiarios_Netflix[[#This Row],[País]])</f>
        <v>Reino Unido</v>
      </c>
      <c r="Q2220">
        <v>41</v>
      </c>
      <c r="R2220" t="s">
        <v>30</v>
      </c>
      <c r="S2220" t="s">
        <v>36</v>
      </c>
      <c r="T2220" t="s">
        <v>27</v>
      </c>
      <c r="U2220">
        <f>IF(IFERROR(VLOOKUP(BBDD_Usiarios_Netflix[[#This Row],[Identificador Usuario]],A2221:$A$5870,1,FALSE),0)&lt;&gt;0,1,0)</f>
        <v>0</v>
      </c>
      <c r="V2220" s="6" t="str">
        <f>IF(BBDD_Usiarios_Netflix[[#This Row],[Duración Plan]]="12 Meses",LEFT(BBDD_Usiarios_Netflix[[#This Row],[Duración Plan]],2),LEFT(BBDD_Usiarios_Netflix[[#This Row],[Duración Plan]],1))</f>
        <v>1</v>
      </c>
      <c r="W22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21" spans="1:23" x14ac:dyDescent="0.25">
      <c r="A2221">
        <v>2220</v>
      </c>
      <c r="B2221" t="s">
        <v>23</v>
      </c>
      <c r="C2221">
        <v>10</v>
      </c>
      <c r="D2221" s="3">
        <v>11</v>
      </c>
      <c r="E2221" s="3">
        <v>8</v>
      </c>
      <c r="F2221">
        <v>23</v>
      </c>
      <c r="G2221" s="1">
        <f>DATEVALUE(_xlfn.CONCAT(BBDD_Usiarios_Netflix[[#This Row],[Día Suscripción]],"/",BBDD_Usiarios_Netflix[[#This Row],[Mes Suscripción]],"/",BBDD_Usiarios_Netflix[[#This Row],[Año Suscripción]]))</f>
        <v>45149</v>
      </c>
      <c r="H2221" s="1">
        <v>11</v>
      </c>
      <c r="I2221" s="1">
        <v>7</v>
      </c>
      <c r="J2221" s="1">
        <v>24</v>
      </c>
      <c r="K2221" s="1" t="str">
        <f>TEXT(BBDD_Usiarios_Netflix[[#This Row],[Fecha Suscripción]],"dddd")</f>
        <v>viernes</v>
      </c>
      <c r="L2221" s="1">
        <f>DATEVALUE(_xlfn.CONCAT(BBDD_Usiarios_Netflix[[#This Row],[Día Último Pago]],"/",BBDD_Usiarios_Netflix[[#This Row],[Mes Último Pago]],"/",BBDD_Usiarios_Netflix[[#This Row],[Año Último Pago]]))</f>
        <v>45484</v>
      </c>
      <c r="M2221" s="4">
        <f>DATEDIF(BBDD_Usiarios_Netflix[[#This Row],[Fecha Suscripción]],BBDD_Usiarios_Netflix[[#This Row],[Fecha Último Pago]],"M")+1</f>
        <v>12</v>
      </c>
      <c r="N2221" s="4">
        <f>BBDD_Usiarios_Netflix[[#This Row],[Ingresos Mensuales]]*BBDD_Usiarios_Netflix[[#This Row],[Meses contratados]]</f>
        <v>120</v>
      </c>
      <c r="O2221" t="s">
        <v>43</v>
      </c>
      <c r="P2221" t="str">
        <f>IF(BBDD_Usiarios_Netflix[[#This Row],[País]]="","Desconocido",BBDD_Usiarios_Netflix[[#This Row],[País]])</f>
        <v>Alemania</v>
      </c>
      <c r="Q2221">
        <v>41</v>
      </c>
      <c r="R2221" t="s">
        <v>25</v>
      </c>
      <c r="S2221" t="s">
        <v>26</v>
      </c>
      <c r="T2221" t="s">
        <v>27</v>
      </c>
      <c r="U2221">
        <f>IF(IFERROR(VLOOKUP(BBDD_Usiarios_Netflix[[#This Row],[Identificador Usuario]],A2222:$A$5870,1,FALSE),0)&lt;&gt;0,1,0)</f>
        <v>0</v>
      </c>
      <c r="V2221" s="6" t="str">
        <f>IF(BBDD_Usiarios_Netflix[[#This Row],[Duración Plan]]="12 Meses",LEFT(BBDD_Usiarios_Netflix[[#This Row],[Duración Plan]],2),LEFT(BBDD_Usiarios_Netflix[[#This Row],[Duración Plan]],1))</f>
        <v>1</v>
      </c>
      <c r="W22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22" spans="1:23" x14ac:dyDescent="0.25">
      <c r="A2222">
        <v>2221</v>
      </c>
      <c r="B2222" t="s">
        <v>28</v>
      </c>
      <c r="C2222">
        <v>14</v>
      </c>
      <c r="D2222" s="3">
        <v>16</v>
      </c>
      <c r="E2222" s="3">
        <v>8</v>
      </c>
      <c r="F2222">
        <v>23</v>
      </c>
      <c r="G2222" s="1">
        <f>DATEVALUE(_xlfn.CONCAT(BBDD_Usiarios_Netflix[[#This Row],[Día Suscripción]],"/",BBDD_Usiarios_Netflix[[#This Row],[Mes Suscripción]],"/",BBDD_Usiarios_Netflix[[#This Row],[Año Suscripción]]))</f>
        <v>45154</v>
      </c>
      <c r="H2222" s="1">
        <v>9</v>
      </c>
      <c r="I2222" s="1">
        <v>7</v>
      </c>
      <c r="J2222" s="1">
        <v>24</v>
      </c>
      <c r="K2222" s="1" t="str">
        <f>TEXT(BBDD_Usiarios_Netflix[[#This Row],[Fecha Suscripción]],"dddd")</f>
        <v>miércoles</v>
      </c>
      <c r="L2222" s="1">
        <f>DATEVALUE(_xlfn.CONCAT(BBDD_Usiarios_Netflix[[#This Row],[Día Último Pago]],"/",BBDD_Usiarios_Netflix[[#This Row],[Mes Último Pago]],"/",BBDD_Usiarios_Netflix[[#This Row],[Año Último Pago]]))</f>
        <v>45482</v>
      </c>
      <c r="M2222" s="4">
        <f>DATEDIF(BBDD_Usiarios_Netflix[[#This Row],[Fecha Suscripción]],BBDD_Usiarios_Netflix[[#This Row],[Fecha Último Pago]],"M")+1</f>
        <v>11</v>
      </c>
      <c r="N2222" s="4">
        <f>BBDD_Usiarios_Netflix[[#This Row],[Ingresos Mensuales]]*BBDD_Usiarios_Netflix[[#This Row],[Meses contratados]]</f>
        <v>154</v>
      </c>
      <c r="O2222" t="s">
        <v>37</v>
      </c>
      <c r="P2222" t="str">
        <f>IF(BBDD_Usiarios_Netflix[[#This Row],[País]]="","Desconocido",BBDD_Usiarios_Netflix[[#This Row],[País]])</f>
        <v>Brasil</v>
      </c>
      <c r="Q2222">
        <v>47</v>
      </c>
      <c r="R2222" t="s">
        <v>30</v>
      </c>
      <c r="S2222" t="s">
        <v>34</v>
      </c>
      <c r="T2222" t="s">
        <v>27</v>
      </c>
      <c r="U2222">
        <f>IF(IFERROR(VLOOKUP(BBDD_Usiarios_Netflix[[#This Row],[Identificador Usuario]],A2223:$A$5870,1,FALSE),0)&lt;&gt;0,1,0)</f>
        <v>0</v>
      </c>
      <c r="V2222" s="6" t="str">
        <f>IF(BBDD_Usiarios_Netflix[[#This Row],[Duración Plan]]="12 Meses",LEFT(BBDD_Usiarios_Netflix[[#This Row],[Duración Plan]],2),LEFT(BBDD_Usiarios_Netflix[[#This Row],[Duración Plan]],1))</f>
        <v>1</v>
      </c>
      <c r="W22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23" spans="1:23" x14ac:dyDescent="0.25">
      <c r="A2223">
        <v>2222</v>
      </c>
      <c r="B2223" t="s">
        <v>23</v>
      </c>
      <c r="C2223">
        <v>10</v>
      </c>
      <c r="D2223" s="3">
        <v>21</v>
      </c>
      <c r="E2223" s="3">
        <v>8</v>
      </c>
      <c r="F2223">
        <v>23</v>
      </c>
      <c r="G2223" s="1">
        <f>DATEVALUE(_xlfn.CONCAT(BBDD_Usiarios_Netflix[[#This Row],[Día Suscripción]],"/",BBDD_Usiarios_Netflix[[#This Row],[Mes Suscripción]],"/",BBDD_Usiarios_Netflix[[#This Row],[Año Suscripción]]))</f>
        <v>45159</v>
      </c>
      <c r="H2223" s="1">
        <v>13</v>
      </c>
      <c r="I2223" s="1">
        <v>7</v>
      </c>
      <c r="J2223" s="1">
        <v>24</v>
      </c>
      <c r="K2223" s="1" t="str">
        <f>TEXT(BBDD_Usiarios_Netflix[[#This Row],[Fecha Suscripción]],"dddd")</f>
        <v>lunes</v>
      </c>
      <c r="L2223" s="1">
        <f>DATEVALUE(_xlfn.CONCAT(BBDD_Usiarios_Netflix[[#This Row],[Día Último Pago]],"/",BBDD_Usiarios_Netflix[[#This Row],[Mes Último Pago]],"/",BBDD_Usiarios_Netflix[[#This Row],[Año Último Pago]]))</f>
        <v>45486</v>
      </c>
      <c r="M2223" s="4">
        <f>DATEDIF(BBDD_Usiarios_Netflix[[#This Row],[Fecha Suscripción]],BBDD_Usiarios_Netflix[[#This Row],[Fecha Último Pago]],"M")+1</f>
        <v>11</v>
      </c>
      <c r="N2223" s="4">
        <f>BBDD_Usiarios_Netflix[[#This Row],[Ingresos Mensuales]]*BBDD_Usiarios_Netflix[[#This Row],[Meses contratados]]</f>
        <v>110</v>
      </c>
      <c r="O2223" t="s">
        <v>43</v>
      </c>
      <c r="P2223" t="str">
        <f>IF(BBDD_Usiarios_Netflix[[#This Row],[País]]="","Desconocido",BBDD_Usiarios_Netflix[[#This Row],[País]])</f>
        <v>Alemania</v>
      </c>
      <c r="Q2223">
        <v>49</v>
      </c>
      <c r="R2223" t="s">
        <v>30</v>
      </c>
      <c r="S2223" t="s">
        <v>26</v>
      </c>
      <c r="T2223" t="s">
        <v>41</v>
      </c>
      <c r="U2223">
        <f>IF(IFERROR(VLOOKUP(BBDD_Usiarios_Netflix[[#This Row],[Identificador Usuario]],A2224:$A$5870,1,FALSE),0)&lt;&gt;0,1,0)</f>
        <v>0</v>
      </c>
      <c r="V2223" s="6" t="str">
        <f>IF(BBDD_Usiarios_Netflix[[#This Row],[Duración Plan]]="12 Meses",LEFT(BBDD_Usiarios_Netflix[[#This Row],[Duración Plan]],2),LEFT(BBDD_Usiarios_Netflix[[#This Row],[Duración Plan]],1))</f>
        <v>12</v>
      </c>
      <c r="W22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24" spans="1:23" x14ac:dyDescent="0.25">
      <c r="A2224">
        <v>2223</v>
      </c>
      <c r="B2224" t="s">
        <v>32</v>
      </c>
      <c r="C2224">
        <v>12</v>
      </c>
      <c r="D2224" s="3">
        <v>22</v>
      </c>
      <c r="E2224" s="3">
        <v>8</v>
      </c>
      <c r="F2224">
        <v>23</v>
      </c>
      <c r="G2224" s="1">
        <f>DATEVALUE(_xlfn.CONCAT(BBDD_Usiarios_Netflix[[#This Row],[Día Suscripción]],"/",BBDD_Usiarios_Netflix[[#This Row],[Mes Suscripción]],"/",BBDD_Usiarios_Netflix[[#This Row],[Año Suscripción]]))</f>
        <v>45160</v>
      </c>
      <c r="H2224" s="1">
        <v>10</v>
      </c>
      <c r="I2224" s="1">
        <v>7</v>
      </c>
      <c r="J2224" s="1">
        <v>24</v>
      </c>
      <c r="K2224" s="1" t="str">
        <f>TEXT(BBDD_Usiarios_Netflix[[#This Row],[Fecha Suscripción]],"dddd")</f>
        <v>martes</v>
      </c>
      <c r="L2224" s="1">
        <f>DATEVALUE(_xlfn.CONCAT(BBDD_Usiarios_Netflix[[#This Row],[Día Último Pago]],"/",BBDD_Usiarios_Netflix[[#This Row],[Mes Último Pago]],"/",BBDD_Usiarios_Netflix[[#This Row],[Año Último Pago]]))</f>
        <v>45483</v>
      </c>
      <c r="M2224" s="4">
        <f>DATEDIF(BBDD_Usiarios_Netflix[[#This Row],[Fecha Suscripción]],BBDD_Usiarios_Netflix[[#This Row],[Fecha Último Pago]],"M")+1</f>
        <v>11</v>
      </c>
      <c r="N2224" s="4">
        <f>BBDD_Usiarios_Netflix[[#This Row],[Ingresos Mensuales]]*BBDD_Usiarios_Netflix[[#This Row],[Meses contratados]]</f>
        <v>132</v>
      </c>
      <c r="O2224" t="s">
        <v>44</v>
      </c>
      <c r="P2224" t="str">
        <f>IF(BBDD_Usiarios_Netflix[[#This Row],[País]]="","Desconocido",BBDD_Usiarios_Netflix[[#This Row],[País]])</f>
        <v>Desconocido</v>
      </c>
      <c r="Q2224">
        <v>29</v>
      </c>
      <c r="R2224" t="s">
        <v>25</v>
      </c>
      <c r="S2224" t="s">
        <v>36</v>
      </c>
      <c r="T2224" t="s">
        <v>38</v>
      </c>
      <c r="U2224">
        <f>IF(IFERROR(VLOOKUP(BBDD_Usiarios_Netflix[[#This Row],[Identificador Usuario]],A2225:$A$5870,1,FALSE),0)&lt;&gt;0,1,0)</f>
        <v>0</v>
      </c>
      <c r="V2224" s="6" t="str">
        <f>IF(BBDD_Usiarios_Netflix[[#This Row],[Duración Plan]]="12 Meses",LEFT(BBDD_Usiarios_Netflix[[#This Row],[Duración Plan]],2),LEFT(BBDD_Usiarios_Netflix[[#This Row],[Duración Plan]],1))</f>
        <v>3</v>
      </c>
      <c r="W22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25" spans="1:23" x14ac:dyDescent="0.25">
      <c r="A2225">
        <v>2224</v>
      </c>
      <c r="B2225" t="s">
        <v>28</v>
      </c>
      <c r="C2225">
        <v>14</v>
      </c>
      <c r="D2225" s="3">
        <v>24</v>
      </c>
      <c r="E2225" s="3">
        <v>8</v>
      </c>
      <c r="F2225">
        <v>23</v>
      </c>
      <c r="G2225" s="1">
        <f>DATEVALUE(_xlfn.CONCAT(BBDD_Usiarios_Netflix[[#This Row],[Día Suscripción]],"/",BBDD_Usiarios_Netflix[[#This Row],[Mes Suscripción]],"/",BBDD_Usiarios_Netflix[[#This Row],[Año Suscripción]]))</f>
        <v>45162</v>
      </c>
      <c r="H2225" s="1">
        <v>10</v>
      </c>
      <c r="I2225" s="1">
        <v>7</v>
      </c>
      <c r="J2225" s="1">
        <v>24</v>
      </c>
      <c r="K2225" s="1" t="str">
        <f>TEXT(BBDD_Usiarios_Netflix[[#This Row],[Fecha Suscripción]],"dddd")</f>
        <v>jueves</v>
      </c>
      <c r="L2225" s="1">
        <f>DATEVALUE(_xlfn.CONCAT(BBDD_Usiarios_Netflix[[#This Row],[Día Último Pago]],"/",BBDD_Usiarios_Netflix[[#This Row],[Mes Último Pago]],"/",BBDD_Usiarios_Netflix[[#This Row],[Año Último Pago]]))</f>
        <v>45483</v>
      </c>
      <c r="M2225" s="4">
        <f>DATEDIF(BBDD_Usiarios_Netflix[[#This Row],[Fecha Suscripción]],BBDD_Usiarios_Netflix[[#This Row],[Fecha Último Pago]],"M")+1</f>
        <v>11</v>
      </c>
      <c r="N2225" s="4">
        <f>BBDD_Usiarios_Netflix[[#This Row],[Ingresos Mensuales]]*BBDD_Usiarios_Netflix[[#This Row],[Meses contratados]]</f>
        <v>154</v>
      </c>
      <c r="O2225" t="s">
        <v>37</v>
      </c>
      <c r="P2225" t="str">
        <f>IF(BBDD_Usiarios_Netflix[[#This Row],[País]]="","Desconocido",BBDD_Usiarios_Netflix[[#This Row],[País]])</f>
        <v>Brasil</v>
      </c>
      <c r="Q2225">
        <v>33</v>
      </c>
      <c r="R2225" t="s">
        <v>25</v>
      </c>
      <c r="S2225" t="s">
        <v>31</v>
      </c>
      <c r="T2225" t="s">
        <v>35</v>
      </c>
      <c r="U2225">
        <f>IF(IFERROR(VLOOKUP(BBDD_Usiarios_Netflix[[#This Row],[Identificador Usuario]],A2226:$A$5870,1,FALSE),0)&lt;&gt;0,1,0)</f>
        <v>0</v>
      </c>
      <c r="V2225" s="6" t="str">
        <f>IF(BBDD_Usiarios_Netflix[[#This Row],[Duración Plan]]="12 Meses",LEFT(BBDD_Usiarios_Netflix[[#This Row],[Duración Plan]],2),LEFT(BBDD_Usiarios_Netflix[[#This Row],[Duración Plan]],1))</f>
        <v>6</v>
      </c>
      <c r="W22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26" spans="1:23" x14ac:dyDescent="0.25">
      <c r="A2226">
        <v>2225</v>
      </c>
      <c r="B2226" t="s">
        <v>23</v>
      </c>
      <c r="C2226">
        <v>10</v>
      </c>
      <c r="D2226" s="3">
        <v>2</v>
      </c>
      <c r="E2226" s="3">
        <v>9</v>
      </c>
      <c r="F2226">
        <v>23</v>
      </c>
      <c r="G2226" s="1">
        <f>DATEVALUE(_xlfn.CONCAT(BBDD_Usiarios_Netflix[[#This Row],[Día Suscripción]],"/",BBDD_Usiarios_Netflix[[#This Row],[Mes Suscripción]],"/",BBDD_Usiarios_Netflix[[#This Row],[Año Suscripción]]))</f>
        <v>45171</v>
      </c>
      <c r="H2226" s="1">
        <v>12</v>
      </c>
      <c r="I2226" s="1">
        <v>7</v>
      </c>
      <c r="J2226" s="1">
        <v>24</v>
      </c>
      <c r="K2226" s="1" t="str">
        <f>TEXT(BBDD_Usiarios_Netflix[[#This Row],[Fecha Suscripción]],"dddd")</f>
        <v>sábado</v>
      </c>
      <c r="L2226" s="1">
        <f>DATEVALUE(_xlfn.CONCAT(BBDD_Usiarios_Netflix[[#This Row],[Día Último Pago]],"/",BBDD_Usiarios_Netflix[[#This Row],[Mes Último Pago]],"/",BBDD_Usiarios_Netflix[[#This Row],[Año Último Pago]]))</f>
        <v>45485</v>
      </c>
      <c r="M2226" s="4">
        <f>DATEDIF(BBDD_Usiarios_Netflix[[#This Row],[Fecha Suscripción]],BBDD_Usiarios_Netflix[[#This Row],[Fecha Último Pago]],"M")+1</f>
        <v>11</v>
      </c>
      <c r="N2226" s="4">
        <f>BBDD_Usiarios_Netflix[[#This Row],[Ingresos Mensuales]]*BBDD_Usiarios_Netflix[[#This Row],[Meses contratados]]</f>
        <v>110</v>
      </c>
      <c r="O2226" t="s">
        <v>45</v>
      </c>
      <c r="P2226" t="str">
        <f>IF(BBDD_Usiarios_Netflix[[#This Row],[País]]="","Desconocido",BBDD_Usiarios_Netflix[[#This Row],[País]])</f>
        <v>España</v>
      </c>
      <c r="Q2226">
        <v>45</v>
      </c>
      <c r="R2226" t="s">
        <v>30</v>
      </c>
      <c r="S2226" t="s">
        <v>34</v>
      </c>
      <c r="T2226" t="s">
        <v>35</v>
      </c>
      <c r="U2226">
        <f>IF(IFERROR(VLOOKUP(BBDD_Usiarios_Netflix[[#This Row],[Identificador Usuario]],A2227:$A$5870,1,FALSE),0)&lt;&gt;0,1,0)</f>
        <v>0</v>
      </c>
      <c r="V2226" s="6" t="str">
        <f>IF(BBDD_Usiarios_Netflix[[#This Row],[Duración Plan]]="12 Meses",LEFT(BBDD_Usiarios_Netflix[[#This Row],[Duración Plan]],2),LEFT(BBDD_Usiarios_Netflix[[#This Row],[Duración Plan]],1))</f>
        <v>6</v>
      </c>
      <c r="W22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27" spans="1:23" x14ac:dyDescent="0.25">
      <c r="A2227">
        <v>2226</v>
      </c>
      <c r="B2227" t="s">
        <v>28</v>
      </c>
      <c r="C2227">
        <v>14</v>
      </c>
      <c r="D2227" s="3">
        <v>6</v>
      </c>
      <c r="E2227" s="3">
        <v>9</v>
      </c>
      <c r="F2227">
        <v>23</v>
      </c>
      <c r="G2227" s="1">
        <f>DATEVALUE(_xlfn.CONCAT(BBDD_Usiarios_Netflix[[#This Row],[Día Suscripción]],"/",BBDD_Usiarios_Netflix[[#This Row],[Mes Suscripción]],"/",BBDD_Usiarios_Netflix[[#This Row],[Año Suscripción]]))</f>
        <v>45175</v>
      </c>
      <c r="H2227" s="1">
        <v>13</v>
      </c>
      <c r="I2227" s="1">
        <v>7</v>
      </c>
      <c r="J2227" s="1">
        <v>24</v>
      </c>
      <c r="K2227" s="1" t="str">
        <f>TEXT(BBDD_Usiarios_Netflix[[#This Row],[Fecha Suscripción]],"dddd")</f>
        <v>miércoles</v>
      </c>
      <c r="L2227" s="1">
        <f>DATEVALUE(_xlfn.CONCAT(BBDD_Usiarios_Netflix[[#This Row],[Día Último Pago]],"/",BBDD_Usiarios_Netflix[[#This Row],[Mes Último Pago]],"/",BBDD_Usiarios_Netflix[[#This Row],[Año Último Pago]]))</f>
        <v>45486</v>
      </c>
      <c r="M2227" s="4">
        <f>DATEDIF(BBDD_Usiarios_Netflix[[#This Row],[Fecha Suscripción]],BBDD_Usiarios_Netflix[[#This Row],[Fecha Último Pago]],"M")+1</f>
        <v>11</v>
      </c>
      <c r="N2227" s="4">
        <f>BBDD_Usiarios_Netflix[[#This Row],[Ingresos Mensuales]]*BBDD_Usiarios_Netflix[[#This Row],[Meses contratados]]</f>
        <v>154</v>
      </c>
      <c r="O2227" t="s">
        <v>40</v>
      </c>
      <c r="P2227" t="str">
        <f>IF(BBDD_Usiarios_Netflix[[#This Row],[País]]="","Desconocido",BBDD_Usiarios_Netflix[[#This Row],[País]])</f>
        <v>Italia</v>
      </c>
      <c r="Q2227">
        <v>41</v>
      </c>
      <c r="R2227" t="s">
        <v>30</v>
      </c>
      <c r="S2227" t="s">
        <v>36</v>
      </c>
      <c r="T2227" t="s">
        <v>38</v>
      </c>
      <c r="U2227">
        <f>IF(IFERROR(VLOOKUP(BBDD_Usiarios_Netflix[[#This Row],[Identificador Usuario]],A2228:$A$5870,1,FALSE),0)&lt;&gt;0,1,0)</f>
        <v>0</v>
      </c>
      <c r="V2227" s="6" t="str">
        <f>IF(BBDD_Usiarios_Netflix[[#This Row],[Duración Plan]]="12 Meses",LEFT(BBDD_Usiarios_Netflix[[#This Row],[Duración Plan]],2),LEFT(BBDD_Usiarios_Netflix[[#This Row],[Duración Plan]],1))</f>
        <v>3</v>
      </c>
      <c r="W22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28" spans="1:23" x14ac:dyDescent="0.25">
      <c r="A2228">
        <v>2227</v>
      </c>
      <c r="B2228" t="s">
        <v>23</v>
      </c>
      <c r="C2228">
        <v>10</v>
      </c>
      <c r="D2228" s="3">
        <v>11</v>
      </c>
      <c r="E2228" s="3">
        <v>9</v>
      </c>
      <c r="F2228">
        <v>23</v>
      </c>
      <c r="G2228" s="1">
        <f>DATEVALUE(_xlfn.CONCAT(BBDD_Usiarios_Netflix[[#This Row],[Día Suscripción]],"/",BBDD_Usiarios_Netflix[[#This Row],[Mes Suscripción]],"/",BBDD_Usiarios_Netflix[[#This Row],[Año Suscripción]]))</f>
        <v>45180</v>
      </c>
      <c r="H2228" s="1">
        <v>10</v>
      </c>
      <c r="I2228" s="1">
        <v>7</v>
      </c>
      <c r="J2228" s="1">
        <v>24</v>
      </c>
      <c r="K2228" s="1" t="str">
        <f>TEXT(BBDD_Usiarios_Netflix[[#This Row],[Fecha Suscripción]],"dddd")</f>
        <v>lunes</v>
      </c>
      <c r="L2228" s="1">
        <f>DATEVALUE(_xlfn.CONCAT(BBDD_Usiarios_Netflix[[#This Row],[Día Último Pago]],"/",BBDD_Usiarios_Netflix[[#This Row],[Mes Último Pago]],"/",BBDD_Usiarios_Netflix[[#This Row],[Año Último Pago]]))</f>
        <v>45483</v>
      </c>
      <c r="M2228" s="4">
        <f>DATEDIF(BBDD_Usiarios_Netflix[[#This Row],[Fecha Suscripción]],BBDD_Usiarios_Netflix[[#This Row],[Fecha Último Pago]],"M")+1</f>
        <v>10</v>
      </c>
      <c r="N2228" s="4">
        <f>BBDD_Usiarios_Netflix[[#This Row],[Ingresos Mensuales]]*BBDD_Usiarios_Netflix[[#This Row],[Meses contratados]]</f>
        <v>100</v>
      </c>
      <c r="O2228" t="s">
        <v>29</v>
      </c>
      <c r="P2228" t="str">
        <f>IF(BBDD_Usiarios_Netflix[[#This Row],[País]]="","Desconocido",BBDD_Usiarios_Netflix[[#This Row],[País]])</f>
        <v>EEUU</v>
      </c>
      <c r="Q2228">
        <v>31</v>
      </c>
      <c r="R2228" t="s">
        <v>25</v>
      </c>
      <c r="S2228" t="s">
        <v>36</v>
      </c>
      <c r="T2228" t="s">
        <v>27</v>
      </c>
      <c r="U2228">
        <f>IF(IFERROR(VLOOKUP(BBDD_Usiarios_Netflix[[#This Row],[Identificador Usuario]],A2229:$A$5870,1,FALSE),0)&lt;&gt;0,1,0)</f>
        <v>0</v>
      </c>
      <c r="V2228" s="6" t="str">
        <f>IF(BBDD_Usiarios_Netflix[[#This Row],[Duración Plan]]="12 Meses",LEFT(BBDD_Usiarios_Netflix[[#This Row],[Duración Plan]],2),LEFT(BBDD_Usiarios_Netflix[[#This Row],[Duración Plan]],1))</f>
        <v>1</v>
      </c>
      <c r="W22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29" spans="1:23" x14ac:dyDescent="0.25">
      <c r="A2229">
        <v>2228</v>
      </c>
      <c r="B2229" t="s">
        <v>32</v>
      </c>
      <c r="C2229">
        <v>12</v>
      </c>
      <c r="D2229" s="3">
        <v>16</v>
      </c>
      <c r="E2229" s="3">
        <v>9</v>
      </c>
      <c r="F2229">
        <v>23</v>
      </c>
      <c r="G2229" s="1">
        <f>DATEVALUE(_xlfn.CONCAT(BBDD_Usiarios_Netflix[[#This Row],[Día Suscripción]],"/",BBDD_Usiarios_Netflix[[#This Row],[Mes Suscripción]],"/",BBDD_Usiarios_Netflix[[#This Row],[Año Suscripción]]))</f>
        <v>45185</v>
      </c>
      <c r="H2229" s="1">
        <v>10</v>
      </c>
      <c r="I2229" s="1">
        <v>7</v>
      </c>
      <c r="J2229" s="1">
        <v>24</v>
      </c>
      <c r="K2229" s="1" t="str">
        <f>TEXT(BBDD_Usiarios_Netflix[[#This Row],[Fecha Suscripción]],"dddd")</f>
        <v>sábado</v>
      </c>
      <c r="L2229" s="1">
        <f>DATEVALUE(_xlfn.CONCAT(BBDD_Usiarios_Netflix[[#This Row],[Día Último Pago]],"/",BBDD_Usiarios_Netflix[[#This Row],[Mes Último Pago]],"/",BBDD_Usiarios_Netflix[[#This Row],[Año Último Pago]]))</f>
        <v>45483</v>
      </c>
      <c r="M2229" s="4">
        <f>DATEDIF(BBDD_Usiarios_Netflix[[#This Row],[Fecha Suscripción]],BBDD_Usiarios_Netflix[[#This Row],[Fecha Último Pago]],"M")+1</f>
        <v>10</v>
      </c>
      <c r="N2229" s="4">
        <f>BBDD_Usiarios_Netflix[[#This Row],[Ingresos Mensuales]]*BBDD_Usiarios_Netflix[[#This Row],[Meses contratados]]</f>
        <v>120</v>
      </c>
      <c r="O2229" t="s">
        <v>39</v>
      </c>
      <c r="P2229" t="str">
        <f>IF(BBDD_Usiarios_Netflix[[#This Row],[País]]="","Desconocido",BBDD_Usiarios_Netflix[[#This Row],[País]])</f>
        <v>Canadá</v>
      </c>
      <c r="Q2229">
        <v>51</v>
      </c>
      <c r="R2229" t="s">
        <v>25</v>
      </c>
      <c r="S2229" t="s">
        <v>31</v>
      </c>
      <c r="T2229" t="s">
        <v>27</v>
      </c>
      <c r="U2229">
        <f>IF(IFERROR(VLOOKUP(BBDD_Usiarios_Netflix[[#This Row],[Identificador Usuario]],A2230:$A$5870,1,FALSE),0)&lt;&gt;0,1,0)</f>
        <v>0</v>
      </c>
      <c r="V2229" s="6" t="str">
        <f>IF(BBDD_Usiarios_Netflix[[#This Row],[Duración Plan]]="12 Meses",LEFT(BBDD_Usiarios_Netflix[[#This Row],[Duración Plan]],2),LEFT(BBDD_Usiarios_Netflix[[#This Row],[Duración Plan]],1))</f>
        <v>1</v>
      </c>
      <c r="W22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30" spans="1:23" x14ac:dyDescent="0.25">
      <c r="A2230">
        <v>2229</v>
      </c>
      <c r="B2230" t="s">
        <v>32</v>
      </c>
      <c r="C2230">
        <v>12</v>
      </c>
      <c r="D2230" s="3">
        <v>22</v>
      </c>
      <c r="E2230" s="3">
        <v>9</v>
      </c>
      <c r="F2230">
        <v>23</v>
      </c>
      <c r="G2230" s="1">
        <f>DATEVALUE(_xlfn.CONCAT(BBDD_Usiarios_Netflix[[#This Row],[Día Suscripción]],"/",BBDD_Usiarios_Netflix[[#This Row],[Mes Suscripción]],"/",BBDD_Usiarios_Netflix[[#This Row],[Año Suscripción]]))</f>
        <v>45191</v>
      </c>
      <c r="H2230" s="1">
        <v>12</v>
      </c>
      <c r="I2230" s="1">
        <v>7</v>
      </c>
      <c r="J2230" s="1">
        <v>24</v>
      </c>
      <c r="K2230" s="1" t="str">
        <f>TEXT(BBDD_Usiarios_Netflix[[#This Row],[Fecha Suscripción]],"dddd")</f>
        <v>viernes</v>
      </c>
      <c r="L2230" s="1">
        <f>DATEVALUE(_xlfn.CONCAT(BBDD_Usiarios_Netflix[[#This Row],[Día Último Pago]],"/",BBDD_Usiarios_Netflix[[#This Row],[Mes Último Pago]],"/",BBDD_Usiarios_Netflix[[#This Row],[Año Último Pago]]))</f>
        <v>45485</v>
      </c>
      <c r="M2230" s="4">
        <f>DATEDIF(BBDD_Usiarios_Netflix[[#This Row],[Fecha Suscripción]],BBDD_Usiarios_Netflix[[#This Row],[Fecha Último Pago]],"M")+1</f>
        <v>10</v>
      </c>
      <c r="N2230" s="4">
        <f>BBDD_Usiarios_Netflix[[#This Row],[Ingresos Mensuales]]*BBDD_Usiarios_Netflix[[#This Row],[Meses contratados]]</f>
        <v>120</v>
      </c>
      <c r="O2230" t="s">
        <v>39</v>
      </c>
      <c r="P2230" t="str">
        <f>IF(BBDD_Usiarios_Netflix[[#This Row],[País]]="","Desconocido",BBDD_Usiarios_Netflix[[#This Row],[País]])</f>
        <v>Canadá</v>
      </c>
      <c r="Q2230">
        <v>43</v>
      </c>
      <c r="R2230" t="s">
        <v>30</v>
      </c>
      <c r="S2230" t="s">
        <v>26</v>
      </c>
      <c r="T2230" t="s">
        <v>41</v>
      </c>
      <c r="U2230">
        <f>IF(IFERROR(VLOOKUP(BBDD_Usiarios_Netflix[[#This Row],[Identificador Usuario]],A2231:$A$5870,1,FALSE),0)&lt;&gt;0,1,0)</f>
        <v>0</v>
      </c>
      <c r="V2230" s="6" t="str">
        <f>IF(BBDD_Usiarios_Netflix[[#This Row],[Duración Plan]]="12 Meses",LEFT(BBDD_Usiarios_Netflix[[#This Row],[Duración Plan]],2),LEFT(BBDD_Usiarios_Netflix[[#This Row],[Duración Plan]],1))</f>
        <v>12</v>
      </c>
      <c r="W22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31" spans="1:23" x14ac:dyDescent="0.25">
      <c r="A2231">
        <v>2230</v>
      </c>
      <c r="B2231" t="s">
        <v>23</v>
      </c>
      <c r="C2231">
        <v>10</v>
      </c>
      <c r="D2231" s="3">
        <v>26</v>
      </c>
      <c r="E2231" s="3">
        <v>9</v>
      </c>
      <c r="F2231">
        <v>23</v>
      </c>
      <c r="G2231" s="1">
        <f>DATEVALUE(_xlfn.CONCAT(BBDD_Usiarios_Netflix[[#This Row],[Día Suscripción]],"/",BBDD_Usiarios_Netflix[[#This Row],[Mes Suscripción]],"/",BBDD_Usiarios_Netflix[[#This Row],[Año Suscripción]]))</f>
        <v>45195</v>
      </c>
      <c r="H2231" s="1">
        <v>12</v>
      </c>
      <c r="I2231" s="1">
        <v>7</v>
      </c>
      <c r="J2231" s="1">
        <v>24</v>
      </c>
      <c r="K2231" s="1" t="str">
        <f>TEXT(BBDD_Usiarios_Netflix[[#This Row],[Fecha Suscripción]],"dddd")</f>
        <v>martes</v>
      </c>
      <c r="L2231" s="1">
        <f>DATEVALUE(_xlfn.CONCAT(BBDD_Usiarios_Netflix[[#This Row],[Día Último Pago]],"/",BBDD_Usiarios_Netflix[[#This Row],[Mes Último Pago]],"/",BBDD_Usiarios_Netflix[[#This Row],[Año Último Pago]]))</f>
        <v>45485</v>
      </c>
      <c r="M2231" s="4">
        <f>DATEDIF(BBDD_Usiarios_Netflix[[#This Row],[Fecha Suscripción]],BBDD_Usiarios_Netflix[[#This Row],[Fecha Último Pago]],"M")+1</f>
        <v>10</v>
      </c>
      <c r="N2231" s="4">
        <f>BBDD_Usiarios_Netflix[[#This Row],[Ingresos Mensuales]]*BBDD_Usiarios_Netflix[[#This Row],[Meses contratados]]</f>
        <v>100</v>
      </c>
      <c r="O2231" t="s">
        <v>44</v>
      </c>
      <c r="P2231" t="str">
        <f>IF(BBDD_Usiarios_Netflix[[#This Row],[País]]="","Desconocido",BBDD_Usiarios_Netflix[[#This Row],[País]])</f>
        <v>Desconocido</v>
      </c>
      <c r="Q2231">
        <v>33</v>
      </c>
      <c r="R2231" t="s">
        <v>30</v>
      </c>
      <c r="S2231" t="s">
        <v>36</v>
      </c>
      <c r="T2231" t="s">
        <v>35</v>
      </c>
      <c r="U2231">
        <f>IF(IFERROR(VLOOKUP(BBDD_Usiarios_Netflix[[#This Row],[Identificador Usuario]],A2232:$A$5870,1,FALSE),0)&lt;&gt;0,1,0)</f>
        <v>0</v>
      </c>
      <c r="V2231" s="6" t="str">
        <f>IF(BBDD_Usiarios_Netflix[[#This Row],[Duración Plan]]="12 Meses",LEFT(BBDD_Usiarios_Netflix[[#This Row],[Duración Plan]],2),LEFT(BBDD_Usiarios_Netflix[[#This Row],[Duración Plan]],1))</f>
        <v>6</v>
      </c>
      <c r="W22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32" spans="1:23" x14ac:dyDescent="0.25">
      <c r="A2232">
        <v>2231</v>
      </c>
      <c r="B2232" t="s">
        <v>28</v>
      </c>
      <c r="C2232">
        <v>14</v>
      </c>
      <c r="D2232" s="3">
        <v>2</v>
      </c>
      <c r="E2232" s="3">
        <v>10</v>
      </c>
      <c r="F2232">
        <v>23</v>
      </c>
      <c r="G2232" s="1">
        <f>DATEVALUE(_xlfn.CONCAT(BBDD_Usiarios_Netflix[[#This Row],[Día Suscripción]],"/",BBDD_Usiarios_Netflix[[#This Row],[Mes Suscripción]],"/",BBDD_Usiarios_Netflix[[#This Row],[Año Suscripción]]))</f>
        <v>45201</v>
      </c>
      <c r="H2232" s="1">
        <v>9</v>
      </c>
      <c r="I2232" s="1">
        <v>7</v>
      </c>
      <c r="J2232" s="1">
        <v>24</v>
      </c>
      <c r="K2232" s="1" t="str">
        <f>TEXT(BBDD_Usiarios_Netflix[[#This Row],[Fecha Suscripción]],"dddd")</f>
        <v>lunes</v>
      </c>
      <c r="L2232" s="1">
        <f>DATEVALUE(_xlfn.CONCAT(BBDD_Usiarios_Netflix[[#This Row],[Día Último Pago]],"/",BBDD_Usiarios_Netflix[[#This Row],[Mes Último Pago]],"/",BBDD_Usiarios_Netflix[[#This Row],[Año Último Pago]]))</f>
        <v>45482</v>
      </c>
      <c r="M2232" s="4">
        <f>DATEDIF(BBDD_Usiarios_Netflix[[#This Row],[Fecha Suscripción]],BBDD_Usiarios_Netflix[[#This Row],[Fecha Último Pago]],"M")+1</f>
        <v>10</v>
      </c>
      <c r="N2232" s="4">
        <f>BBDD_Usiarios_Netflix[[#This Row],[Ingresos Mensuales]]*BBDD_Usiarios_Netflix[[#This Row],[Meses contratados]]</f>
        <v>140</v>
      </c>
      <c r="O2232" t="s">
        <v>29</v>
      </c>
      <c r="P2232" t="str">
        <f>IF(BBDD_Usiarios_Netflix[[#This Row],[País]]="","Desconocido",BBDD_Usiarios_Netflix[[#This Row],[País]])</f>
        <v>EEUU</v>
      </c>
      <c r="Q2232">
        <v>47</v>
      </c>
      <c r="R2232" t="s">
        <v>30</v>
      </c>
      <c r="S2232" t="s">
        <v>26</v>
      </c>
      <c r="T2232" t="s">
        <v>27</v>
      </c>
      <c r="U2232">
        <f>IF(IFERROR(VLOOKUP(BBDD_Usiarios_Netflix[[#This Row],[Identificador Usuario]],A2233:$A$5870,1,FALSE),0)&lt;&gt;0,1,0)</f>
        <v>0</v>
      </c>
      <c r="V2232" s="6" t="str">
        <f>IF(BBDD_Usiarios_Netflix[[#This Row],[Duración Plan]]="12 Meses",LEFT(BBDD_Usiarios_Netflix[[#This Row],[Duración Plan]],2),LEFT(BBDD_Usiarios_Netflix[[#This Row],[Duración Plan]],1))</f>
        <v>1</v>
      </c>
      <c r="W22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33" spans="1:23" x14ac:dyDescent="0.25">
      <c r="A2233">
        <v>2232</v>
      </c>
      <c r="B2233" t="s">
        <v>23</v>
      </c>
      <c r="C2233">
        <v>10</v>
      </c>
      <c r="D2233" s="3">
        <v>4</v>
      </c>
      <c r="E2233" s="3">
        <v>10</v>
      </c>
      <c r="F2233">
        <v>23</v>
      </c>
      <c r="G2233" s="1">
        <f>DATEVALUE(_xlfn.CONCAT(BBDD_Usiarios_Netflix[[#This Row],[Día Suscripción]],"/",BBDD_Usiarios_Netflix[[#This Row],[Mes Suscripción]],"/",BBDD_Usiarios_Netflix[[#This Row],[Año Suscripción]]))</f>
        <v>45203</v>
      </c>
      <c r="H2233" s="1">
        <v>10</v>
      </c>
      <c r="I2233" s="1">
        <v>7</v>
      </c>
      <c r="J2233" s="1">
        <v>24</v>
      </c>
      <c r="K2233" s="1" t="str">
        <f>TEXT(BBDD_Usiarios_Netflix[[#This Row],[Fecha Suscripción]],"dddd")</f>
        <v>miércoles</v>
      </c>
      <c r="L2233" s="1">
        <f>DATEVALUE(_xlfn.CONCAT(BBDD_Usiarios_Netflix[[#This Row],[Día Último Pago]],"/",BBDD_Usiarios_Netflix[[#This Row],[Mes Último Pago]],"/",BBDD_Usiarios_Netflix[[#This Row],[Año Último Pago]]))</f>
        <v>45483</v>
      </c>
      <c r="M2233" s="4">
        <f>DATEDIF(BBDD_Usiarios_Netflix[[#This Row],[Fecha Suscripción]],BBDD_Usiarios_Netflix[[#This Row],[Fecha Último Pago]],"M")+1</f>
        <v>10</v>
      </c>
      <c r="N2233" s="4">
        <f>BBDD_Usiarios_Netflix[[#This Row],[Ingresos Mensuales]]*BBDD_Usiarios_Netflix[[#This Row],[Meses contratados]]</f>
        <v>100</v>
      </c>
      <c r="O2233" t="s">
        <v>37</v>
      </c>
      <c r="P2233" t="str">
        <f>IF(BBDD_Usiarios_Netflix[[#This Row],[País]]="","Desconocido",BBDD_Usiarios_Netflix[[#This Row],[País]])</f>
        <v>Brasil</v>
      </c>
      <c r="Q2233">
        <v>40</v>
      </c>
      <c r="R2233" t="s">
        <v>30</v>
      </c>
      <c r="S2233" t="s">
        <v>36</v>
      </c>
      <c r="T2233" t="s">
        <v>35</v>
      </c>
      <c r="U2233">
        <f>IF(IFERROR(VLOOKUP(BBDD_Usiarios_Netflix[[#This Row],[Identificador Usuario]],A2234:$A$5870,1,FALSE),0)&lt;&gt;0,1,0)</f>
        <v>0</v>
      </c>
      <c r="V2233" s="6" t="str">
        <f>IF(BBDD_Usiarios_Netflix[[#This Row],[Duración Plan]]="12 Meses",LEFT(BBDD_Usiarios_Netflix[[#This Row],[Duración Plan]],2),LEFT(BBDD_Usiarios_Netflix[[#This Row],[Duración Plan]],1))</f>
        <v>6</v>
      </c>
      <c r="W22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34" spans="1:23" x14ac:dyDescent="0.25">
      <c r="A2234">
        <v>2233</v>
      </c>
      <c r="B2234" t="s">
        <v>32</v>
      </c>
      <c r="C2234">
        <v>12</v>
      </c>
      <c r="D2234" s="3">
        <v>9</v>
      </c>
      <c r="E2234" s="3">
        <v>10</v>
      </c>
      <c r="F2234">
        <v>23</v>
      </c>
      <c r="G2234" s="1">
        <f>DATEVALUE(_xlfn.CONCAT(BBDD_Usiarios_Netflix[[#This Row],[Día Suscripción]],"/",BBDD_Usiarios_Netflix[[#This Row],[Mes Suscripción]],"/",BBDD_Usiarios_Netflix[[#This Row],[Año Suscripción]]))</f>
        <v>45208</v>
      </c>
      <c r="H2234" s="1">
        <v>12</v>
      </c>
      <c r="I2234" s="1">
        <v>7</v>
      </c>
      <c r="J2234" s="1">
        <v>24</v>
      </c>
      <c r="K2234" s="1" t="str">
        <f>TEXT(BBDD_Usiarios_Netflix[[#This Row],[Fecha Suscripción]],"dddd")</f>
        <v>lunes</v>
      </c>
      <c r="L2234" s="1">
        <f>DATEVALUE(_xlfn.CONCAT(BBDD_Usiarios_Netflix[[#This Row],[Día Último Pago]],"/",BBDD_Usiarios_Netflix[[#This Row],[Mes Último Pago]],"/",BBDD_Usiarios_Netflix[[#This Row],[Año Último Pago]]))</f>
        <v>45485</v>
      </c>
      <c r="M2234" s="4">
        <f>DATEDIF(BBDD_Usiarios_Netflix[[#This Row],[Fecha Suscripción]],BBDD_Usiarios_Netflix[[#This Row],[Fecha Último Pago]],"M")+1</f>
        <v>10</v>
      </c>
      <c r="N2234" s="4">
        <f>BBDD_Usiarios_Netflix[[#This Row],[Ingresos Mensuales]]*BBDD_Usiarios_Netflix[[#This Row],[Meses contratados]]</f>
        <v>120</v>
      </c>
      <c r="O2234" t="s">
        <v>24</v>
      </c>
      <c r="P2234" t="str">
        <f>IF(BBDD_Usiarios_Netflix[[#This Row],[País]]="","Desconocido",BBDD_Usiarios_Netflix[[#This Row],[País]])</f>
        <v>Australia</v>
      </c>
      <c r="Q2234">
        <v>34</v>
      </c>
      <c r="R2234" t="s">
        <v>30</v>
      </c>
      <c r="S2234" t="s">
        <v>26</v>
      </c>
      <c r="T2234" t="s">
        <v>27</v>
      </c>
      <c r="U2234">
        <f>IF(IFERROR(VLOOKUP(BBDD_Usiarios_Netflix[[#This Row],[Identificador Usuario]],A2235:$A$5870,1,FALSE),0)&lt;&gt;0,1,0)</f>
        <v>0</v>
      </c>
      <c r="V2234" s="6" t="str">
        <f>IF(BBDD_Usiarios_Netflix[[#This Row],[Duración Plan]]="12 Meses",LEFT(BBDD_Usiarios_Netflix[[#This Row],[Duración Plan]],2),LEFT(BBDD_Usiarios_Netflix[[#This Row],[Duración Plan]],1))</f>
        <v>1</v>
      </c>
      <c r="W22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35" spans="1:23" x14ac:dyDescent="0.25">
      <c r="A2235">
        <v>2234</v>
      </c>
      <c r="B2235" t="s">
        <v>28</v>
      </c>
      <c r="C2235">
        <v>14</v>
      </c>
      <c r="D2235" s="3">
        <v>11</v>
      </c>
      <c r="E2235" s="3">
        <v>10</v>
      </c>
      <c r="F2235">
        <v>23</v>
      </c>
      <c r="G2235" s="1">
        <f>DATEVALUE(_xlfn.CONCAT(BBDD_Usiarios_Netflix[[#This Row],[Día Suscripción]],"/",BBDD_Usiarios_Netflix[[#This Row],[Mes Suscripción]],"/",BBDD_Usiarios_Netflix[[#This Row],[Año Suscripción]]))</f>
        <v>45210</v>
      </c>
      <c r="H2235" s="1">
        <v>11</v>
      </c>
      <c r="I2235" s="1">
        <v>7</v>
      </c>
      <c r="J2235" s="1">
        <v>24</v>
      </c>
      <c r="K2235" s="1" t="str">
        <f>TEXT(BBDD_Usiarios_Netflix[[#This Row],[Fecha Suscripción]],"dddd")</f>
        <v>miércoles</v>
      </c>
      <c r="L2235" s="1">
        <f>DATEVALUE(_xlfn.CONCAT(BBDD_Usiarios_Netflix[[#This Row],[Día Último Pago]],"/",BBDD_Usiarios_Netflix[[#This Row],[Mes Último Pago]],"/",BBDD_Usiarios_Netflix[[#This Row],[Año Último Pago]]))</f>
        <v>45484</v>
      </c>
      <c r="M2235" s="4">
        <f>DATEDIF(BBDD_Usiarios_Netflix[[#This Row],[Fecha Suscripción]],BBDD_Usiarios_Netflix[[#This Row],[Fecha Último Pago]],"M")+1</f>
        <v>10</v>
      </c>
      <c r="N2235" s="4">
        <f>BBDD_Usiarios_Netflix[[#This Row],[Ingresos Mensuales]]*BBDD_Usiarios_Netflix[[#This Row],[Meses contratados]]</f>
        <v>140</v>
      </c>
      <c r="O2235" t="s">
        <v>42</v>
      </c>
      <c r="P2235" t="str">
        <f>IF(BBDD_Usiarios_Netflix[[#This Row],[País]]="","Desconocido",BBDD_Usiarios_Netflix[[#This Row],[País]])</f>
        <v>Reino Unido</v>
      </c>
      <c r="Q2235">
        <v>40</v>
      </c>
      <c r="R2235" t="s">
        <v>25</v>
      </c>
      <c r="S2235" t="s">
        <v>31</v>
      </c>
      <c r="T2235" t="s">
        <v>41</v>
      </c>
      <c r="U2235">
        <f>IF(IFERROR(VLOOKUP(BBDD_Usiarios_Netflix[[#This Row],[Identificador Usuario]],A2236:$A$5870,1,FALSE),0)&lt;&gt;0,1,0)</f>
        <v>0</v>
      </c>
      <c r="V2235" s="6" t="str">
        <f>IF(BBDD_Usiarios_Netflix[[#This Row],[Duración Plan]]="12 Meses",LEFT(BBDD_Usiarios_Netflix[[#This Row],[Duración Plan]],2),LEFT(BBDD_Usiarios_Netflix[[#This Row],[Duración Plan]],1))</f>
        <v>12</v>
      </c>
      <c r="W22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36" spans="1:23" x14ac:dyDescent="0.25">
      <c r="A2236">
        <v>2235</v>
      </c>
      <c r="B2236" t="s">
        <v>23</v>
      </c>
      <c r="C2236">
        <v>10</v>
      </c>
      <c r="D2236" s="3">
        <v>15</v>
      </c>
      <c r="E2236" s="3">
        <v>10</v>
      </c>
      <c r="F2236">
        <v>23</v>
      </c>
      <c r="G2236" s="1">
        <f>DATEVALUE(_xlfn.CONCAT(BBDD_Usiarios_Netflix[[#This Row],[Día Suscripción]],"/",BBDD_Usiarios_Netflix[[#This Row],[Mes Suscripción]],"/",BBDD_Usiarios_Netflix[[#This Row],[Año Suscripción]]))</f>
        <v>45214</v>
      </c>
      <c r="H2236" s="1">
        <v>9</v>
      </c>
      <c r="I2236" s="1">
        <v>7</v>
      </c>
      <c r="J2236" s="1">
        <v>24</v>
      </c>
      <c r="K2236" s="1" t="str">
        <f>TEXT(BBDD_Usiarios_Netflix[[#This Row],[Fecha Suscripción]],"dddd")</f>
        <v>domingo</v>
      </c>
      <c r="L2236" s="1">
        <f>DATEVALUE(_xlfn.CONCAT(BBDD_Usiarios_Netflix[[#This Row],[Día Último Pago]],"/",BBDD_Usiarios_Netflix[[#This Row],[Mes Último Pago]],"/",BBDD_Usiarios_Netflix[[#This Row],[Año Último Pago]]))</f>
        <v>45482</v>
      </c>
      <c r="M2236" s="4">
        <f>DATEDIF(BBDD_Usiarios_Netflix[[#This Row],[Fecha Suscripción]],BBDD_Usiarios_Netflix[[#This Row],[Fecha Último Pago]],"M")+1</f>
        <v>9</v>
      </c>
      <c r="N2236" s="4">
        <f>BBDD_Usiarios_Netflix[[#This Row],[Ingresos Mensuales]]*BBDD_Usiarios_Netflix[[#This Row],[Meses contratados]]</f>
        <v>90</v>
      </c>
      <c r="O2236" t="s">
        <v>24</v>
      </c>
      <c r="P2236" t="str">
        <f>IF(BBDD_Usiarios_Netflix[[#This Row],[País]]="","Desconocido",BBDD_Usiarios_Netflix[[#This Row],[País]])</f>
        <v>Australia</v>
      </c>
      <c r="Q2236">
        <v>38</v>
      </c>
      <c r="R2236" t="s">
        <v>25</v>
      </c>
      <c r="S2236" t="s">
        <v>36</v>
      </c>
      <c r="T2236" t="s">
        <v>35</v>
      </c>
      <c r="U2236">
        <f>IF(IFERROR(VLOOKUP(BBDD_Usiarios_Netflix[[#This Row],[Identificador Usuario]],A2237:$A$5870,1,FALSE),0)&lt;&gt;0,1,0)</f>
        <v>0</v>
      </c>
      <c r="V2236" s="6" t="str">
        <f>IF(BBDD_Usiarios_Netflix[[#This Row],[Duración Plan]]="12 Meses",LEFT(BBDD_Usiarios_Netflix[[#This Row],[Duración Plan]],2),LEFT(BBDD_Usiarios_Netflix[[#This Row],[Duración Plan]],1))</f>
        <v>6</v>
      </c>
      <c r="W22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37" spans="1:23" x14ac:dyDescent="0.25">
      <c r="A2237">
        <v>2236</v>
      </c>
      <c r="B2237" t="s">
        <v>28</v>
      </c>
      <c r="C2237">
        <v>14</v>
      </c>
      <c r="D2237" s="3">
        <v>16</v>
      </c>
      <c r="E2237" s="3">
        <v>10</v>
      </c>
      <c r="F2237">
        <v>23</v>
      </c>
      <c r="G2237" s="1">
        <f>DATEVALUE(_xlfn.CONCAT(BBDD_Usiarios_Netflix[[#This Row],[Día Suscripción]],"/",BBDD_Usiarios_Netflix[[#This Row],[Mes Suscripción]],"/",BBDD_Usiarios_Netflix[[#This Row],[Año Suscripción]]))</f>
        <v>45215</v>
      </c>
      <c r="H2237" s="1">
        <v>10</v>
      </c>
      <c r="I2237" s="1">
        <v>7</v>
      </c>
      <c r="J2237" s="1">
        <v>24</v>
      </c>
      <c r="K2237" s="1" t="str">
        <f>TEXT(BBDD_Usiarios_Netflix[[#This Row],[Fecha Suscripción]],"dddd")</f>
        <v>lunes</v>
      </c>
      <c r="L2237" s="1">
        <f>DATEVALUE(_xlfn.CONCAT(BBDD_Usiarios_Netflix[[#This Row],[Día Último Pago]],"/",BBDD_Usiarios_Netflix[[#This Row],[Mes Último Pago]],"/",BBDD_Usiarios_Netflix[[#This Row],[Año Último Pago]]))</f>
        <v>45483</v>
      </c>
      <c r="M2237" s="4">
        <f>DATEDIF(BBDD_Usiarios_Netflix[[#This Row],[Fecha Suscripción]],BBDD_Usiarios_Netflix[[#This Row],[Fecha Último Pago]],"M")+1</f>
        <v>9</v>
      </c>
      <c r="N2237" s="4">
        <f>BBDD_Usiarios_Netflix[[#This Row],[Ingresos Mensuales]]*BBDD_Usiarios_Netflix[[#This Row],[Meses contratados]]</f>
        <v>126</v>
      </c>
      <c r="O2237" t="s">
        <v>39</v>
      </c>
      <c r="P2237" t="str">
        <f>IF(BBDD_Usiarios_Netflix[[#This Row],[País]]="","Desconocido",BBDD_Usiarios_Netflix[[#This Row],[País]])</f>
        <v>Canadá</v>
      </c>
      <c r="Q2237">
        <v>47</v>
      </c>
      <c r="R2237" t="s">
        <v>25</v>
      </c>
      <c r="S2237" t="s">
        <v>34</v>
      </c>
      <c r="T2237" t="s">
        <v>35</v>
      </c>
      <c r="U2237">
        <f>IF(IFERROR(VLOOKUP(BBDD_Usiarios_Netflix[[#This Row],[Identificador Usuario]],A2238:$A$5870,1,FALSE),0)&lt;&gt;0,1,0)</f>
        <v>0</v>
      </c>
      <c r="V2237" s="6" t="str">
        <f>IF(BBDD_Usiarios_Netflix[[#This Row],[Duración Plan]]="12 Meses",LEFT(BBDD_Usiarios_Netflix[[#This Row],[Duración Plan]],2),LEFT(BBDD_Usiarios_Netflix[[#This Row],[Duración Plan]],1))</f>
        <v>6</v>
      </c>
      <c r="W22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38" spans="1:23" x14ac:dyDescent="0.25">
      <c r="A2238">
        <v>2237</v>
      </c>
      <c r="B2238" t="s">
        <v>23</v>
      </c>
      <c r="C2238">
        <v>10</v>
      </c>
      <c r="D2238" s="3">
        <v>18</v>
      </c>
      <c r="E2238" s="3">
        <v>10</v>
      </c>
      <c r="F2238">
        <v>23</v>
      </c>
      <c r="G2238" s="1">
        <f>DATEVALUE(_xlfn.CONCAT(BBDD_Usiarios_Netflix[[#This Row],[Día Suscripción]],"/",BBDD_Usiarios_Netflix[[#This Row],[Mes Suscripción]],"/",BBDD_Usiarios_Netflix[[#This Row],[Año Suscripción]]))</f>
        <v>45217</v>
      </c>
      <c r="H2238" s="1">
        <v>11</v>
      </c>
      <c r="I2238" s="1">
        <v>7</v>
      </c>
      <c r="J2238" s="1">
        <v>24</v>
      </c>
      <c r="K2238" s="1" t="str">
        <f>TEXT(BBDD_Usiarios_Netflix[[#This Row],[Fecha Suscripción]],"dddd")</f>
        <v>miércoles</v>
      </c>
      <c r="L2238" s="1">
        <f>DATEVALUE(_xlfn.CONCAT(BBDD_Usiarios_Netflix[[#This Row],[Día Último Pago]],"/",BBDD_Usiarios_Netflix[[#This Row],[Mes Último Pago]],"/",BBDD_Usiarios_Netflix[[#This Row],[Año Último Pago]]))</f>
        <v>45484</v>
      </c>
      <c r="M2238" s="4">
        <f>DATEDIF(BBDD_Usiarios_Netflix[[#This Row],[Fecha Suscripción]],BBDD_Usiarios_Netflix[[#This Row],[Fecha Último Pago]],"M")+1</f>
        <v>9</v>
      </c>
      <c r="N2238" s="4">
        <f>BBDD_Usiarios_Netflix[[#This Row],[Ingresos Mensuales]]*BBDD_Usiarios_Netflix[[#This Row],[Meses contratados]]</f>
        <v>90</v>
      </c>
      <c r="O2238" t="s">
        <v>45</v>
      </c>
      <c r="P2238" t="str">
        <f>IF(BBDD_Usiarios_Netflix[[#This Row],[País]]="","Desconocido",BBDD_Usiarios_Netflix[[#This Row],[País]])</f>
        <v>España</v>
      </c>
      <c r="Q2238">
        <v>29</v>
      </c>
      <c r="R2238" t="s">
        <v>25</v>
      </c>
      <c r="S2238" t="s">
        <v>34</v>
      </c>
      <c r="T2238" t="s">
        <v>38</v>
      </c>
      <c r="U2238">
        <f>IF(IFERROR(VLOOKUP(BBDD_Usiarios_Netflix[[#This Row],[Identificador Usuario]],A2239:$A$5870,1,FALSE),0)&lt;&gt;0,1,0)</f>
        <v>0</v>
      </c>
      <c r="V2238" s="6" t="str">
        <f>IF(BBDD_Usiarios_Netflix[[#This Row],[Duración Plan]]="12 Meses",LEFT(BBDD_Usiarios_Netflix[[#This Row],[Duración Plan]],2),LEFT(BBDD_Usiarios_Netflix[[#This Row],[Duración Plan]],1))</f>
        <v>3</v>
      </c>
      <c r="W22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39" spans="1:23" x14ac:dyDescent="0.25">
      <c r="A2239">
        <v>2238</v>
      </c>
      <c r="B2239" t="s">
        <v>32</v>
      </c>
      <c r="C2239">
        <v>12</v>
      </c>
      <c r="D2239" s="3">
        <v>21</v>
      </c>
      <c r="E2239" s="3">
        <v>10</v>
      </c>
      <c r="F2239">
        <v>23</v>
      </c>
      <c r="G2239" s="1">
        <f>DATEVALUE(_xlfn.CONCAT(BBDD_Usiarios_Netflix[[#This Row],[Día Suscripción]],"/",BBDD_Usiarios_Netflix[[#This Row],[Mes Suscripción]],"/",BBDD_Usiarios_Netflix[[#This Row],[Año Suscripción]]))</f>
        <v>45220</v>
      </c>
      <c r="H2239" s="1">
        <v>10</v>
      </c>
      <c r="I2239" s="1">
        <v>7</v>
      </c>
      <c r="J2239" s="1">
        <v>24</v>
      </c>
      <c r="K2239" s="1" t="str">
        <f>TEXT(BBDD_Usiarios_Netflix[[#This Row],[Fecha Suscripción]],"dddd")</f>
        <v>sábado</v>
      </c>
      <c r="L2239" s="1">
        <f>DATEVALUE(_xlfn.CONCAT(BBDD_Usiarios_Netflix[[#This Row],[Día Último Pago]],"/",BBDD_Usiarios_Netflix[[#This Row],[Mes Último Pago]],"/",BBDD_Usiarios_Netflix[[#This Row],[Año Último Pago]]))</f>
        <v>45483</v>
      </c>
      <c r="M2239" s="4">
        <f>DATEDIF(BBDD_Usiarios_Netflix[[#This Row],[Fecha Suscripción]],BBDD_Usiarios_Netflix[[#This Row],[Fecha Último Pago]],"M")+1</f>
        <v>9</v>
      </c>
      <c r="N2239" s="4">
        <f>BBDD_Usiarios_Netflix[[#This Row],[Ingresos Mensuales]]*BBDD_Usiarios_Netflix[[#This Row],[Meses contratados]]</f>
        <v>108</v>
      </c>
      <c r="O2239" t="s">
        <v>45</v>
      </c>
      <c r="P2239" t="str">
        <f>IF(BBDD_Usiarios_Netflix[[#This Row],[País]]="","Desconocido",BBDD_Usiarios_Netflix[[#This Row],[País]])</f>
        <v>España</v>
      </c>
      <c r="Q2239">
        <v>49</v>
      </c>
      <c r="R2239" t="s">
        <v>30</v>
      </c>
      <c r="S2239" t="s">
        <v>26</v>
      </c>
      <c r="T2239" t="s">
        <v>38</v>
      </c>
      <c r="U2239">
        <f>IF(IFERROR(VLOOKUP(BBDD_Usiarios_Netflix[[#This Row],[Identificador Usuario]],A2240:$A$5870,1,FALSE),0)&lt;&gt;0,1,0)</f>
        <v>0</v>
      </c>
      <c r="V2239" s="6" t="str">
        <f>IF(BBDD_Usiarios_Netflix[[#This Row],[Duración Plan]]="12 Meses",LEFT(BBDD_Usiarios_Netflix[[#This Row],[Duración Plan]],2),LEFT(BBDD_Usiarios_Netflix[[#This Row],[Duración Plan]],1))</f>
        <v>3</v>
      </c>
      <c r="W22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40" spans="1:23" x14ac:dyDescent="0.25">
      <c r="A2240">
        <v>2239</v>
      </c>
      <c r="B2240" t="s">
        <v>32</v>
      </c>
      <c r="C2240">
        <v>12</v>
      </c>
      <c r="D2240" s="3">
        <v>22</v>
      </c>
      <c r="E2240" s="3">
        <v>10</v>
      </c>
      <c r="F2240">
        <v>23</v>
      </c>
      <c r="G2240" s="1">
        <f>DATEVALUE(_xlfn.CONCAT(BBDD_Usiarios_Netflix[[#This Row],[Día Suscripción]],"/",BBDD_Usiarios_Netflix[[#This Row],[Mes Suscripción]],"/",BBDD_Usiarios_Netflix[[#This Row],[Año Suscripción]]))</f>
        <v>45221</v>
      </c>
      <c r="H2240" s="1">
        <v>8</v>
      </c>
      <c r="I2240" s="1">
        <v>7</v>
      </c>
      <c r="J2240" s="1">
        <v>24</v>
      </c>
      <c r="K2240" s="1" t="str">
        <f>TEXT(BBDD_Usiarios_Netflix[[#This Row],[Fecha Suscripción]],"dddd")</f>
        <v>domingo</v>
      </c>
      <c r="L2240" s="1">
        <f>DATEVALUE(_xlfn.CONCAT(BBDD_Usiarios_Netflix[[#This Row],[Día Último Pago]],"/",BBDD_Usiarios_Netflix[[#This Row],[Mes Último Pago]],"/",BBDD_Usiarios_Netflix[[#This Row],[Año Último Pago]]))</f>
        <v>45481</v>
      </c>
      <c r="M2240" s="4">
        <f>DATEDIF(BBDD_Usiarios_Netflix[[#This Row],[Fecha Suscripción]],BBDD_Usiarios_Netflix[[#This Row],[Fecha Último Pago]],"M")+1</f>
        <v>9</v>
      </c>
      <c r="N2240" s="4">
        <f>BBDD_Usiarios_Netflix[[#This Row],[Ingresos Mensuales]]*BBDD_Usiarios_Netflix[[#This Row],[Meses contratados]]</f>
        <v>108</v>
      </c>
      <c r="O2240" t="s">
        <v>43</v>
      </c>
      <c r="P2240" t="str">
        <f>IF(BBDD_Usiarios_Netflix[[#This Row],[País]]="","Desconocido",BBDD_Usiarios_Netflix[[#This Row],[País]])</f>
        <v>Alemania</v>
      </c>
      <c r="Q2240">
        <v>40</v>
      </c>
      <c r="R2240" t="s">
        <v>25</v>
      </c>
      <c r="S2240" t="s">
        <v>34</v>
      </c>
      <c r="T2240" t="s">
        <v>27</v>
      </c>
      <c r="U2240">
        <f>IF(IFERROR(VLOOKUP(BBDD_Usiarios_Netflix[[#This Row],[Identificador Usuario]],A2241:$A$5870,1,FALSE),0)&lt;&gt;0,1,0)</f>
        <v>0</v>
      </c>
      <c r="V2240" s="6" t="str">
        <f>IF(BBDD_Usiarios_Netflix[[#This Row],[Duración Plan]]="12 Meses",LEFT(BBDD_Usiarios_Netflix[[#This Row],[Duración Plan]],2),LEFT(BBDD_Usiarios_Netflix[[#This Row],[Duración Plan]],1))</f>
        <v>1</v>
      </c>
      <c r="W22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41" spans="1:23" x14ac:dyDescent="0.25">
      <c r="A2241">
        <v>2240</v>
      </c>
      <c r="B2241" t="s">
        <v>23</v>
      </c>
      <c r="C2241">
        <v>10</v>
      </c>
      <c r="D2241" s="3">
        <v>25</v>
      </c>
      <c r="E2241" s="3">
        <v>10</v>
      </c>
      <c r="F2241">
        <v>23</v>
      </c>
      <c r="G2241" s="1">
        <f>DATEVALUE(_xlfn.CONCAT(BBDD_Usiarios_Netflix[[#This Row],[Día Suscripción]],"/",BBDD_Usiarios_Netflix[[#This Row],[Mes Suscripción]],"/",BBDD_Usiarios_Netflix[[#This Row],[Año Suscripción]]))</f>
        <v>45224</v>
      </c>
      <c r="H2241" s="1">
        <v>11</v>
      </c>
      <c r="I2241" s="1">
        <v>7</v>
      </c>
      <c r="J2241" s="1">
        <v>24</v>
      </c>
      <c r="K2241" s="1" t="str">
        <f>TEXT(BBDD_Usiarios_Netflix[[#This Row],[Fecha Suscripción]],"dddd")</f>
        <v>miércoles</v>
      </c>
      <c r="L2241" s="1">
        <f>DATEVALUE(_xlfn.CONCAT(BBDD_Usiarios_Netflix[[#This Row],[Día Último Pago]],"/",BBDD_Usiarios_Netflix[[#This Row],[Mes Último Pago]],"/",BBDD_Usiarios_Netflix[[#This Row],[Año Último Pago]]))</f>
        <v>45484</v>
      </c>
      <c r="M2241" s="4">
        <f>DATEDIF(BBDD_Usiarios_Netflix[[#This Row],[Fecha Suscripción]],BBDD_Usiarios_Netflix[[#This Row],[Fecha Último Pago]],"M")+1</f>
        <v>9</v>
      </c>
      <c r="N2241" s="4">
        <f>BBDD_Usiarios_Netflix[[#This Row],[Ingresos Mensuales]]*BBDD_Usiarios_Netflix[[#This Row],[Meses contratados]]</f>
        <v>90</v>
      </c>
      <c r="O2241" t="s">
        <v>24</v>
      </c>
      <c r="P2241" t="str">
        <f>IF(BBDD_Usiarios_Netflix[[#This Row],[País]]="","Desconocido",BBDD_Usiarios_Netflix[[#This Row],[País]])</f>
        <v>Australia</v>
      </c>
      <c r="Q2241">
        <v>51</v>
      </c>
      <c r="R2241" t="s">
        <v>30</v>
      </c>
      <c r="S2241" t="s">
        <v>36</v>
      </c>
      <c r="T2241" t="s">
        <v>41</v>
      </c>
      <c r="U2241">
        <f>IF(IFERROR(VLOOKUP(BBDD_Usiarios_Netflix[[#This Row],[Identificador Usuario]],A2242:$A$5870,1,FALSE),0)&lt;&gt;0,1,0)</f>
        <v>0</v>
      </c>
      <c r="V2241" s="6" t="str">
        <f>IF(BBDD_Usiarios_Netflix[[#This Row],[Duración Plan]]="12 Meses",LEFT(BBDD_Usiarios_Netflix[[#This Row],[Duración Plan]],2),LEFT(BBDD_Usiarios_Netflix[[#This Row],[Duración Plan]],1))</f>
        <v>12</v>
      </c>
      <c r="W22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42" spans="1:23" x14ac:dyDescent="0.25">
      <c r="A2242">
        <v>2241</v>
      </c>
      <c r="B2242" t="s">
        <v>28</v>
      </c>
      <c r="C2242">
        <v>14</v>
      </c>
      <c r="D2242" s="3">
        <v>29</v>
      </c>
      <c r="E2242" s="3">
        <v>10</v>
      </c>
      <c r="F2242">
        <v>23</v>
      </c>
      <c r="G2242" s="1">
        <f>DATEVALUE(_xlfn.CONCAT(BBDD_Usiarios_Netflix[[#This Row],[Día Suscripción]],"/",BBDD_Usiarios_Netflix[[#This Row],[Mes Suscripción]],"/",BBDD_Usiarios_Netflix[[#This Row],[Año Suscripción]]))</f>
        <v>45228</v>
      </c>
      <c r="H2242" s="1">
        <v>11</v>
      </c>
      <c r="I2242" s="1">
        <v>7</v>
      </c>
      <c r="J2242" s="1">
        <v>24</v>
      </c>
      <c r="K2242" s="1" t="str">
        <f>TEXT(BBDD_Usiarios_Netflix[[#This Row],[Fecha Suscripción]],"dddd")</f>
        <v>domingo</v>
      </c>
      <c r="L2242" s="1">
        <f>DATEVALUE(_xlfn.CONCAT(BBDD_Usiarios_Netflix[[#This Row],[Día Último Pago]],"/",BBDD_Usiarios_Netflix[[#This Row],[Mes Último Pago]],"/",BBDD_Usiarios_Netflix[[#This Row],[Año Último Pago]]))</f>
        <v>45484</v>
      </c>
      <c r="M2242" s="4">
        <f>DATEDIF(BBDD_Usiarios_Netflix[[#This Row],[Fecha Suscripción]],BBDD_Usiarios_Netflix[[#This Row],[Fecha Último Pago]],"M")+1</f>
        <v>9</v>
      </c>
      <c r="N2242" s="4">
        <f>BBDD_Usiarios_Netflix[[#This Row],[Ingresos Mensuales]]*BBDD_Usiarios_Netflix[[#This Row],[Meses contratados]]</f>
        <v>126</v>
      </c>
      <c r="O2242" t="s">
        <v>42</v>
      </c>
      <c r="P2242" t="str">
        <f>IF(BBDD_Usiarios_Netflix[[#This Row],[País]]="","Desconocido",BBDD_Usiarios_Netflix[[#This Row],[País]])</f>
        <v>Reino Unido</v>
      </c>
      <c r="Q2242">
        <v>51</v>
      </c>
      <c r="R2242" t="s">
        <v>30</v>
      </c>
      <c r="S2242" t="s">
        <v>31</v>
      </c>
      <c r="T2242" t="s">
        <v>38</v>
      </c>
      <c r="U2242">
        <f>IF(IFERROR(VLOOKUP(BBDD_Usiarios_Netflix[[#This Row],[Identificador Usuario]],A2243:$A$5870,1,FALSE),0)&lt;&gt;0,1,0)</f>
        <v>0</v>
      </c>
      <c r="V2242" s="6" t="str">
        <f>IF(BBDD_Usiarios_Netflix[[#This Row],[Duración Plan]]="12 Meses",LEFT(BBDD_Usiarios_Netflix[[#This Row],[Duración Plan]],2),LEFT(BBDD_Usiarios_Netflix[[#This Row],[Duración Plan]],1))</f>
        <v>3</v>
      </c>
      <c r="W22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43" spans="1:23" x14ac:dyDescent="0.25">
      <c r="A2243">
        <v>2242</v>
      </c>
      <c r="B2243" t="s">
        <v>23</v>
      </c>
      <c r="C2243">
        <v>10</v>
      </c>
      <c r="D2243" s="3">
        <v>30</v>
      </c>
      <c r="E2243" s="3">
        <v>10</v>
      </c>
      <c r="F2243">
        <v>23</v>
      </c>
      <c r="G2243" s="1">
        <f>DATEVALUE(_xlfn.CONCAT(BBDD_Usiarios_Netflix[[#This Row],[Día Suscripción]],"/",BBDD_Usiarios_Netflix[[#This Row],[Mes Suscripción]],"/",BBDD_Usiarios_Netflix[[#This Row],[Año Suscripción]]))</f>
        <v>45229</v>
      </c>
      <c r="H2243" s="1">
        <v>10</v>
      </c>
      <c r="I2243" s="1">
        <v>7</v>
      </c>
      <c r="J2243" s="1">
        <v>24</v>
      </c>
      <c r="K2243" s="1" t="str">
        <f>TEXT(BBDD_Usiarios_Netflix[[#This Row],[Fecha Suscripción]],"dddd")</f>
        <v>lunes</v>
      </c>
      <c r="L2243" s="1">
        <f>DATEVALUE(_xlfn.CONCAT(BBDD_Usiarios_Netflix[[#This Row],[Día Último Pago]],"/",BBDD_Usiarios_Netflix[[#This Row],[Mes Último Pago]],"/",BBDD_Usiarios_Netflix[[#This Row],[Año Último Pago]]))</f>
        <v>45483</v>
      </c>
      <c r="M2243" s="4">
        <f>DATEDIF(BBDD_Usiarios_Netflix[[#This Row],[Fecha Suscripción]],BBDD_Usiarios_Netflix[[#This Row],[Fecha Último Pago]],"M")+1</f>
        <v>9</v>
      </c>
      <c r="N2243" s="4">
        <f>BBDD_Usiarios_Netflix[[#This Row],[Ingresos Mensuales]]*BBDD_Usiarios_Netflix[[#This Row],[Meses contratados]]</f>
        <v>90</v>
      </c>
      <c r="O2243" t="s">
        <v>33</v>
      </c>
      <c r="P2243" t="str">
        <f>IF(BBDD_Usiarios_Netflix[[#This Row],[País]]="","Desconocido",BBDD_Usiarios_Netflix[[#This Row],[País]])</f>
        <v>Francia</v>
      </c>
      <c r="Q2243">
        <v>50</v>
      </c>
      <c r="R2243" t="s">
        <v>30</v>
      </c>
      <c r="S2243" t="s">
        <v>34</v>
      </c>
      <c r="T2243" t="s">
        <v>27</v>
      </c>
      <c r="U2243">
        <f>IF(IFERROR(VLOOKUP(BBDD_Usiarios_Netflix[[#This Row],[Identificador Usuario]],A2244:$A$5870,1,FALSE),0)&lt;&gt;0,1,0)</f>
        <v>0</v>
      </c>
      <c r="V2243" s="6" t="str">
        <f>IF(BBDD_Usiarios_Netflix[[#This Row],[Duración Plan]]="12 Meses",LEFT(BBDD_Usiarios_Netflix[[#This Row],[Duración Plan]],2),LEFT(BBDD_Usiarios_Netflix[[#This Row],[Duración Plan]],1))</f>
        <v>1</v>
      </c>
      <c r="W22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44" spans="1:23" x14ac:dyDescent="0.25">
      <c r="A2244">
        <v>2243</v>
      </c>
      <c r="B2244" t="s">
        <v>32</v>
      </c>
      <c r="C2244">
        <v>12</v>
      </c>
      <c r="D2244" s="3">
        <v>4</v>
      </c>
      <c r="E2244" s="3">
        <v>11</v>
      </c>
      <c r="F2244">
        <v>23</v>
      </c>
      <c r="G2244" s="1">
        <f>DATEVALUE(_xlfn.CONCAT(BBDD_Usiarios_Netflix[[#This Row],[Día Suscripción]],"/",BBDD_Usiarios_Netflix[[#This Row],[Mes Suscripción]],"/",BBDD_Usiarios_Netflix[[#This Row],[Año Suscripción]]))</f>
        <v>45234</v>
      </c>
      <c r="H2244" s="1">
        <v>9</v>
      </c>
      <c r="I2244" s="1">
        <v>7</v>
      </c>
      <c r="J2244" s="1">
        <v>24</v>
      </c>
      <c r="K2244" s="1" t="str">
        <f>TEXT(BBDD_Usiarios_Netflix[[#This Row],[Fecha Suscripción]],"dddd")</f>
        <v>sábado</v>
      </c>
      <c r="L2244" s="1">
        <f>DATEVALUE(_xlfn.CONCAT(BBDD_Usiarios_Netflix[[#This Row],[Día Último Pago]],"/",BBDD_Usiarios_Netflix[[#This Row],[Mes Último Pago]],"/",BBDD_Usiarios_Netflix[[#This Row],[Año Último Pago]]))</f>
        <v>45482</v>
      </c>
      <c r="M2244" s="4">
        <f>DATEDIF(BBDD_Usiarios_Netflix[[#This Row],[Fecha Suscripción]],BBDD_Usiarios_Netflix[[#This Row],[Fecha Último Pago]],"M")+1</f>
        <v>9</v>
      </c>
      <c r="N2244" s="4">
        <f>BBDD_Usiarios_Netflix[[#This Row],[Ingresos Mensuales]]*BBDD_Usiarios_Netflix[[#This Row],[Meses contratados]]</f>
        <v>108</v>
      </c>
      <c r="O2244" t="s">
        <v>42</v>
      </c>
      <c r="P2244" t="str">
        <f>IF(BBDD_Usiarios_Netflix[[#This Row],[País]]="","Desconocido",BBDD_Usiarios_Netflix[[#This Row],[País]])</f>
        <v>Reino Unido</v>
      </c>
      <c r="Q2244">
        <v>47</v>
      </c>
      <c r="R2244" t="s">
        <v>30</v>
      </c>
      <c r="S2244" t="s">
        <v>36</v>
      </c>
      <c r="T2244" t="s">
        <v>27</v>
      </c>
      <c r="U2244">
        <f>IF(IFERROR(VLOOKUP(BBDD_Usiarios_Netflix[[#This Row],[Identificador Usuario]],A2245:$A$5870,1,FALSE),0)&lt;&gt;0,1,0)</f>
        <v>0</v>
      </c>
      <c r="V2244" s="6" t="str">
        <f>IF(BBDD_Usiarios_Netflix[[#This Row],[Duración Plan]]="12 Meses",LEFT(BBDD_Usiarios_Netflix[[#This Row],[Duración Plan]],2),LEFT(BBDD_Usiarios_Netflix[[#This Row],[Duración Plan]],1))</f>
        <v>1</v>
      </c>
      <c r="W22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45" spans="1:23" x14ac:dyDescent="0.25">
      <c r="A2245">
        <v>2244</v>
      </c>
      <c r="B2245" t="s">
        <v>28</v>
      </c>
      <c r="C2245">
        <v>14</v>
      </c>
      <c r="D2245" s="3">
        <v>5</v>
      </c>
      <c r="E2245" s="3">
        <v>11</v>
      </c>
      <c r="F2245">
        <v>23</v>
      </c>
      <c r="G2245" s="1">
        <f>DATEVALUE(_xlfn.CONCAT(BBDD_Usiarios_Netflix[[#This Row],[Día Suscripción]],"/",BBDD_Usiarios_Netflix[[#This Row],[Mes Suscripción]],"/",BBDD_Usiarios_Netflix[[#This Row],[Año Suscripción]]))</f>
        <v>45235</v>
      </c>
      <c r="H2245" s="1">
        <v>12</v>
      </c>
      <c r="I2245" s="1">
        <v>7</v>
      </c>
      <c r="J2245" s="1">
        <v>24</v>
      </c>
      <c r="K2245" s="1" t="str">
        <f>TEXT(BBDD_Usiarios_Netflix[[#This Row],[Fecha Suscripción]],"dddd")</f>
        <v>domingo</v>
      </c>
      <c r="L2245" s="1">
        <f>DATEVALUE(_xlfn.CONCAT(BBDD_Usiarios_Netflix[[#This Row],[Día Último Pago]],"/",BBDD_Usiarios_Netflix[[#This Row],[Mes Último Pago]],"/",BBDD_Usiarios_Netflix[[#This Row],[Año Último Pago]]))</f>
        <v>45485</v>
      </c>
      <c r="M2245" s="4">
        <f>DATEDIF(BBDD_Usiarios_Netflix[[#This Row],[Fecha Suscripción]],BBDD_Usiarios_Netflix[[#This Row],[Fecha Último Pago]],"M")+1</f>
        <v>9</v>
      </c>
      <c r="N2245" s="4">
        <f>BBDD_Usiarios_Netflix[[#This Row],[Ingresos Mensuales]]*BBDD_Usiarios_Netflix[[#This Row],[Meses contratados]]</f>
        <v>126</v>
      </c>
      <c r="O2245" t="s">
        <v>46</v>
      </c>
      <c r="P2245" t="str">
        <f>IF(BBDD_Usiarios_Netflix[[#This Row],[País]]="","Desconocido",BBDD_Usiarios_Netflix[[#This Row],[País]])</f>
        <v>Méjico</v>
      </c>
      <c r="Q2245">
        <v>40</v>
      </c>
      <c r="R2245" t="s">
        <v>25</v>
      </c>
      <c r="S2245" t="s">
        <v>34</v>
      </c>
      <c r="T2245" t="s">
        <v>38</v>
      </c>
      <c r="U2245">
        <f>IF(IFERROR(VLOOKUP(BBDD_Usiarios_Netflix[[#This Row],[Identificador Usuario]],A2246:$A$5870,1,FALSE),0)&lt;&gt;0,1,0)</f>
        <v>0</v>
      </c>
      <c r="V2245" s="6" t="str">
        <f>IF(BBDD_Usiarios_Netflix[[#This Row],[Duración Plan]]="12 Meses",LEFT(BBDD_Usiarios_Netflix[[#This Row],[Duración Plan]],2),LEFT(BBDD_Usiarios_Netflix[[#This Row],[Duración Plan]],1))</f>
        <v>3</v>
      </c>
      <c r="W22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46" spans="1:23" x14ac:dyDescent="0.25">
      <c r="A2246">
        <v>2245</v>
      </c>
      <c r="B2246" t="s">
        <v>23</v>
      </c>
      <c r="C2246">
        <v>10</v>
      </c>
      <c r="D2246" s="3">
        <v>7</v>
      </c>
      <c r="E2246" s="3">
        <v>11</v>
      </c>
      <c r="F2246">
        <v>23</v>
      </c>
      <c r="G2246" s="1">
        <f>DATEVALUE(_xlfn.CONCAT(BBDD_Usiarios_Netflix[[#This Row],[Día Suscripción]],"/",BBDD_Usiarios_Netflix[[#This Row],[Mes Suscripción]],"/",BBDD_Usiarios_Netflix[[#This Row],[Año Suscripción]]))</f>
        <v>45237</v>
      </c>
      <c r="H2246" s="1">
        <v>10</v>
      </c>
      <c r="I2246" s="1">
        <v>7</v>
      </c>
      <c r="J2246" s="1">
        <v>24</v>
      </c>
      <c r="K2246" s="1" t="str">
        <f>TEXT(BBDD_Usiarios_Netflix[[#This Row],[Fecha Suscripción]],"dddd")</f>
        <v>martes</v>
      </c>
      <c r="L2246" s="1">
        <f>DATEVALUE(_xlfn.CONCAT(BBDD_Usiarios_Netflix[[#This Row],[Día Último Pago]],"/",BBDD_Usiarios_Netflix[[#This Row],[Mes Último Pago]],"/",BBDD_Usiarios_Netflix[[#This Row],[Año Último Pago]]))</f>
        <v>45483</v>
      </c>
      <c r="M2246" s="4">
        <f>DATEDIF(BBDD_Usiarios_Netflix[[#This Row],[Fecha Suscripción]],BBDD_Usiarios_Netflix[[#This Row],[Fecha Último Pago]],"M")+1</f>
        <v>9</v>
      </c>
      <c r="N2246" s="4">
        <f>BBDD_Usiarios_Netflix[[#This Row],[Ingresos Mensuales]]*BBDD_Usiarios_Netflix[[#This Row],[Meses contratados]]</f>
        <v>90</v>
      </c>
      <c r="O2246" t="s">
        <v>39</v>
      </c>
      <c r="P2246" t="str">
        <f>IF(BBDD_Usiarios_Netflix[[#This Row],[País]]="","Desconocido",BBDD_Usiarios_Netflix[[#This Row],[País]])</f>
        <v>Canadá</v>
      </c>
      <c r="Q2246">
        <v>35</v>
      </c>
      <c r="R2246" t="s">
        <v>30</v>
      </c>
      <c r="S2246" t="s">
        <v>34</v>
      </c>
      <c r="T2246" t="s">
        <v>27</v>
      </c>
      <c r="U2246">
        <f>IF(IFERROR(VLOOKUP(BBDD_Usiarios_Netflix[[#This Row],[Identificador Usuario]],A2247:$A$5870,1,FALSE),0)&lt;&gt;0,1,0)</f>
        <v>0</v>
      </c>
      <c r="V2246" s="6" t="str">
        <f>IF(BBDD_Usiarios_Netflix[[#This Row],[Duración Plan]]="12 Meses",LEFT(BBDD_Usiarios_Netflix[[#This Row],[Duración Plan]],2),LEFT(BBDD_Usiarios_Netflix[[#This Row],[Duración Plan]],1))</f>
        <v>1</v>
      </c>
      <c r="W22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47" spans="1:23" x14ac:dyDescent="0.25">
      <c r="A2247">
        <v>2246</v>
      </c>
      <c r="B2247" t="s">
        <v>23</v>
      </c>
      <c r="C2247">
        <v>10</v>
      </c>
      <c r="D2247" s="3">
        <v>8</v>
      </c>
      <c r="E2247" s="3">
        <v>11</v>
      </c>
      <c r="F2247">
        <v>23</v>
      </c>
      <c r="G2247" s="1">
        <f>DATEVALUE(_xlfn.CONCAT(BBDD_Usiarios_Netflix[[#This Row],[Día Suscripción]],"/",BBDD_Usiarios_Netflix[[#This Row],[Mes Suscripción]],"/",BBDD_Usiarios_Netflix[[#This Row],[Año Suscripción]]))</f>
        <v>45238</v>
      </c>
      <c r="H2247" s="1">
        <v>10</v>
      </c>
      <c r="I2247" s="1">
        <v>7</v>
      </c>
      <c r="J2247" s="1">
        <v>24</v>
      </c>
      <c r="K2247" s="1" t="str">
        <f>TEXT(BBDD_Usiarios_Netflix[[#This Row],[Fecha Suscripción]],"dddd")</f>
        <v>miércoles</v>
      </c>
      <c r="L2247" s="1">
        <f>DATEVALUE(_xlfn.CONCAT(BBDD_Usiarios_Netflix[[#This Row],[Día Último Pago]],"/",BBDD_Usiarios_Netflix[[#This Row],[Mes Último Pago]],"/",BBDD_Usiarios_Netflix[[#This Row],[Año Último Pago]]))</f>
        <v>45483</v>
      </c>
      <c r="M2247" s="4">
        <f>DATEDIF(BBDD_Usiarios_Netflix[[#This Row],[Fecha Suscripción]],BBDD_Usiarios_Netflix[[#This Row],[Fecha Último Pago]],"M")+1</f>
        <v>9</v>
      </c>
      <c r="N2247" s="4">
        <f>BBDD_Usiarios_Netflix[[#This Row],[Ingresos Mensuales]]*BBDD_Usiarios_Netflix[[#This Row],[Meses contratados]]</f>
        <v>90</v>
      </c>
      <c r="O2247" t="s">
        <v>42</v>
      </c>
      <c r="P2247" t="str">
        <f>IF(BBDD_Usiarios_Netflix[[#This Row],[País]]="","Desconocido",BBDD_Usiarios_Netflix[[#This Row],[País]])</f>
        <v>Reino Unido</v>
      </c>
      <c r="Q2247">
        <v>37</v>
      </c>
      <c r="R2247" t="s">
        <v>30</v>
      </c>
      <c r="S2247" t="s">
        <v>34</v>
      </c>
      <c r="T2247" t="s">
        <v>27</v>
      </c>
      <c r="U2247">
        <f>IF(IFERROR(VLOOKUP(BBDD_Usiarios_Netflix[[#This Row],[Identificador Usuario]],A2248:$A$5870,1,FALSE),0)&lt;&gt;0,1,0)</f>
        <v>0</v>
      </c>
      <c r="V2247" s="6" t="str">
        <f>IF(BBDD_Usiarios_Netflix[[#This Row],[Duración Plan]]="12 Meses",LEFT(BBDD_Usiarios_Netflix[[#This Row],[Duración Plan]],2),LEFT(BBDD_Usiarios_Netflix[[#This Row],[Duración Plan]],1))</f>
        <v>1</v>
      </c>
      <c r="W22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48" spans="1:23" x14ac:dyDescent="0.25">
      <c r="A2248">
        <v>2247</v>
      </c>
      <c r="B2248" t="s">
        <v>23</v>
      </c>
      <c r="C2248">
        <v>10</v>
      </c>
      <c r="D2248" s="3">
        <v>9</v>
      </c>
      <c r="E2248" s="3">
        <v>11</v>
      </c>
      <c r="F2248">
        <v>23</v>
      </c>
      <c r="G2248" s="1">
        <f>DATEVALUE(_xlfn.CONCAT(BBDD_Usiarios_Netflix[[#This Row],[Día Suscripción]],"/",BBDD_Usiarios_Netflix[[#This Row],[Mes Suscripción]],"/",BBDD_Usiarios_Netflix[[#This Row],[Año Suscripción]]))</f>
        <v>45239</v>
      </c>
      <c r="H2248" s="1">
        <v>10</v>
      </c>
      <c r="I2248" s="1">
        <v>7</v>
      </c>
      <c r="J2248" s="1">
        <v>24</v>
      </c>
      <c r="K2248" s="1" t="str">
        <f>TEXT(BBDD_Usiarios_Netflix[[#This Row],[Fecha Suscripción]],"dddd")</f>
        <v>jueves</v>
      </c>
      <c r="L2248" s="1">
        <f>DATEVALUE(_xlfn.CONCAT(BBDD_Usiarios_Netflix[[#This Row],[Día Último Pago]],"/",BBDD_Usiarios_Netflix[[#This Row],[Mes Último Pago]],"/",BBDD_Usiarios_Netflix[[#This Row],[Año Último Pago]]))</f>
        <v>45483</v>
      </c>
      <c r="M2248" s="4">
        <f>DATEDIF(BBDD_Usiarios_Netflix[[#This Row],[Fecha Suscripción]],BBDD_Usiarios_Netflix[[#This Row],[Fecha Último Pago]],"M")+1</f>
        <v>9</v>
      </c>
      <c r="N2248" s="4">
        <f>BBDD_Usiarios_Netflix[[#This Row],[Ingresos Mensuales]]*BBDD_Usiarios_Netflix[[#This Row],[Meses contratados]]</f>
        <v>90</v>
      </c>
      <c r="O2248" t="s">
        <v>45</v>
      </c>
      <c r="P2248" t="str">
        <f>IF(BBDD_Usiarios_Netflix[[#This Row],[País]]="","Desconocido",BBDD_Usiarios_Netflix[[#This Row],[País]])</f>
        <v>España</v>
      </c>
      <c r="Q2248">
        <v>30</v>
      </c>
      <c r="R2248" t="s">
        <v>25</v>
      </c>
      <c r="S2248" t="s">
        <v>31</v>
      </c>
      <c r="T2248" t="s">
        <v>38</v>
      </c>
      <c r="U2248">
        <f>IF(IFERROR(VLOOKUP(BBDD_Usiarios_Netflix[[#This Row],[Identificador Usuario]],A2249:$A$5870,1,FALSE),0)&lt;&gt;0,1,0)</f>
        <v>0</v>
      </c>
      <c r="V2248" s="6" t="str">
        <f>IF(BBDD_Usiarios_Netflix[[#This Row],[Duración Plan]]="12 Meses",LEFT(BBDD_Usiarios_Netflix[[#This Row],[Duración Plan]],2),LEFT(BBDD_Usiarios_Netflix[[#This Row],[Duración Plan]],1))</f>
        <v>3</v>
      </c>
      <c r="W22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49" spans="1:23" x14ac:dyDescent="0.25">
      <c r="A2249">
        <v>2248</v>
      </c>
      <c r="B2249" t="s">
        <v>32</v>
      </c>
      <c r="C2249">
        <v>12</v>
      </c>
      <c r="D2249" s="3">
        <v>10</v>
      </c>
      <c r="E2249" s="3">
        <v>11</v>
      </c>
      <c r="F2249">
        <v>23</v>
      </c>
      <c r="G2249" s="1">
        <f>DATEVALUE(_xlfn.CONCAT(BBDD_Usiarios_Netflix[[#This Row],[Día Suscripción]],"/",BBDD_Usiarios_Netflix[[#This Row],[Mes Suscripción]],"/",BBDD_Usiarios_Netflix[[#This Row],[Año Suscripción]]))</f>
        <v>45240</v>
      </c>
      <c r="H2249" s="1">
        <v>11</v>
      </c>
      <c r="I2249" s="1">
        <v>7</v>
      </c>
      <c r="J2249" s="1">
        <v>24</v>
      </c>
      <c r="K2249" s="1" t="str">
        <f>TEXT(BBDD_Usiarios_Netflix[[#This Row],[Fecha Suscripción]],"dddd")</f>
        <v>viernes</v>
      </c>
      <c r="L2249" s="1">
        <f>DATEVALUE(_xlfn.CONCAT(BBDD_Usiarios_Netflix[[#This Row],[Día Último Pago]],"/",BBDD_Usiarios_Netflix[[#This Row],[Mes Último Pago]],"/",BBDD_Usiarios_Netflix[[#This Row],[Año Último Pago]]))</f>
        <v>45484</v>
      </c>
      <c r="M2249" s="4">
        <f>DATEDIF(BBDD_Usiarios_Netflix[[#This Row],[Fecha Suscripción]],BBDD_Usiarios_Netflix[[#This Row],[Fecha Último Pago]],"M")+1</f>
        <v>9</v>
      </c>
      <c r="N2249" s="4">
        <f>BBDD_Usiarios_Netflix[[#This Row],[Ingresos Mensuales]]*BBDD_Usiarios_Netflix[[#This Row],[Meses contratados]]</f>
        <v>108</v>
      </c>
      <c r="O2249" t="s">
        <v>40</v>
      </c>
      <c r="P2249" t="str">
        <f>IF(BBDD_Usiarios_Netflix[[#This Row],[País]]="","Desconocido",BBDD_Usiarios_Netflix[[#This Row],[País]])</f>
        <v>Italia</v>
      </c>
      <c r="Q2249">
        <v>47</v>
      </c>
      <c r="R2249" t="s">
        <v>30</v>
      </c>
      <c r="S2249" t="s">
        <v>31</v>
      </c>
      <c r="T2249" t="s">
        <v>41</v>
      </c>
      <c r="U2249">
        <f>IF(IFERROR(VLOOKUP(BBDD_Usiarios_Netflix[[#This Row],[Identificador Usuario]],A2250:$A$5870,1,FALSE),0)&lt;&gt;0,1,0)</f>
        <v>0</v>
      </c>
      <c r="V2249" s="6" t="str">
        <f>IF(BBDD_Usiarios_Netflix[[#This Row],[Duración Plan]]="12 Meses",LEFT(BBDD_Usiarios_Netflix[[#This Row],[Duración Plan]],2),LEFT(BBDD_Usiarios_Netflix[[#This Row],[Duración Plan]],1))</f>
        <v>12</v>
      </c>
      <c r="W22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50" spans="1:23" x14ac:dyDescent="0.25">
      <c r="A2250">
        <v>2249</v>
      </c>
      <c r="B2250" t="s">
        <v>28</v>
      </c>
      <c r="C2250">
        <v>14</v>
      </c>
      <c r="D2250" s="3">
        <v>11</v>
      </c>
      <c r="E2250" s="3">
        <v>11</v>
      </c>
      <c r="F2250">
        <v>23</v>
      </c>
      <c r="G2250" s="1">
        <f>DATEVALUE(_xlfn.CONCAT(BBDD_Usiarios_Netflix[[#This Row],[Día Suscripción]],"/",BBDD_Usiarios_Netflix[[#This Row],[Mes Suscripción]],"/",BBDD_Usiarios_Netflix[[#This Row],[Año Suscripción]]))</f>
        <v>45241</v>
      </c>
      <c r="H2250" s="1">
        <v>10</v>
      </c>
      <c r="I2250" s="1">
        <v>7</v>
      </c>
      <c r="J2250" s="1">
        <v>24</v>
      </c>
      <c r="K2250" s="1" t="str">
        <f>TEXT(BBDD_Usiarios_Netflix[[#This Row],[Fecha Suscripción]],"dddd")</f>
        <v>sábado</v>
      </c>
      <c r="L2250" s="1">
        <f>DATEVALUE(_xlfn.CONCAT(BBDD_Usiarios_Netflix[[#This Row],[Día Último Pago]],"/",BBDD_Usiarios_Netflix[[#This Row],[Mes Último Pago]],"/",BBDD_Usiarios_Netflix[[#This Row],[Año Último Pago]]))</f>
        <v>45483</v>
      </c>
      <c r="M2250" s="4">
        <f>DATEDIF(BBDD_Usiarios_Netflix[[#This Row],[Fecha Suscripción]],BBDD_Usiarios_Netflix[[#This Row],[Fecha Último Pago]],"M")+1</f>
        <v>8</v>
      </c>
      <c r="N2250" s="4">
        <f>BBDD_Usiarios_Netflix[[#This Row],[Ingresos Mensuales]]*BBDD_Usiarios_Netflix[[#This Row],[Meses contratados]]</f>
        <v>112</v>
      </c>
      <c r="O2250" t="s">
        <v>24</v>
      </c>
      <c r="P2250" t="str">
        <f>IF(BBDD_Usiarios_Netflix[[#This Row],[País]]="","Desconocido",BBDD_Usiarios_Netflix[[#This Row],[País]])</f>
        <v>Australia</v>
      </c>
      <c r="Q2250">
        <v>35</v>
      </c>
      <c r="R2250" t="s">
        <v>25</v>
      </c>
      <c r="S2250" t="s">
        <v>26</v>
      </c>
      <c r="T2250" t="s">
        <v>35</v>
      </c>
      <c r="U2250">
        <f>IF(IFERROR(VLOOKUP(BBDD_Usiarios_Netflix[[#This Row],[Identificador Usuario]],A2251:$A$5870,1,FALSE),0)&lt;&gt;0,1,0)</f>
        <v>0</v>
      </c>
      <c r="V2250" s="6" t="str">
        <f>IF(BBDD_Usiarios_Netflix[[#This Row],[Duración Plan]]="12 Meses",LEFT(BBDD_Usiarios_Netflix[[#This Row],[Duración Plan]],2),LEFT(BBDD_Usiarios_Netflix[[#This Row],[Duración Plan]],1))</f>
        <v>6</v>
      </c>
      <c r="W22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51" spans="1:23" x14ac:dyDescent="0.25">
      <c r="A2251">
        <v>2250</v>
      </c>
      <c r="B2251" t="s">
        <v>23</v>
      </c>
      <c r="C2251">
        <v>10</v>
      </c>
      <c r="D2251" s="3">
        <v>10</v>
      </c>
      <c r="E2251" s="3">
        <v>11</v>
      </c>
      <c r="F2251">
        <v>23</v>
      </c>
      <c r="G2251" s="1">
        <f>DATEVALUE(_xlfn.CONCAT(BBDD_Usiarios_Netflix[[#This Row],[Día Suscripción]],"/",BBDD_Usiarios_Netflix[[#This Row],[Mes Suscripción]],"/",BBDD_Usiarios_Netflix[[#This Row],[Año Suscripción]]))</f>
        <v>45240</v>
      </c>
      <c r="H2251" s="1">
        <v>11</v>
      </c>
      <c r="I2251" s="1">
        <v>7</v>
      </c>
      <c r="J2251" s="1">
        <v>24</v>
      </c>
      <c r="K2251" s="1" t="str">
        <f>TEXT(BBDD_Usiarios_Netflix[[#This Row],[Fecha Suscripción]],"dddd")</f>
        <v>viernes</v>
      </c>
      <c r="L2251" s="1">
        <f>DATEVALUE(_xlfn.CONCAT(BBDD_Usiarios_Netflix[[#This Row],[Día Último Pago]],"/",BBDD_Usiarios_Netflix[[#This Row],[Mes Último Pago]],"/",BBDD_Usiarios_Netflix[[#This Row],[Año Último Pago]]))</f>
        <v>45484</v>
      </c>
      <c r="M2251" s="4">
        <f>DATEDIF(BBDD_Usiarios_Netflix[[#This Row],[Fecha Suscripción]],BBDD_Usiarios_Netflix[[#This Row],[Fecha Último Pago]],"M")+1</f>
        <v>9</v>
      </c>
      <c r="N2251" s="4">
        <f>BBDD_Usiarios_Netflix[[#This Row],[Ingresos Mensuales]]*BBDD_Usiarios_Netflix[[#This Row],[Meses contratados]]</f>
        <v>90</v>
      </c>
      <c r="O2251" t="s">
        <v>39</v>
      </c>
      <c r="P2251" t="str">
        <f>IF(BBDD_Usiarios_Netflix[[#This Row],[País]]="","Desconocido",BBDD_Usiarios_Netflix[[#This Row],[País]])</f>
        <v>Canadá</v>
      </c>
      <c r="Q2251">
        <v>33</v>
      </c>
      <c r="R2251" t="s">
        <v>25</v>
      </c>
      <c r="S2251" t="s">
        <v>31</v>
      </c>
      <c r="T2251" t="s">
        <v>35</v>
      </c>
      <c r="U2251">
        <f>IF(IFERROR(VLOOKUP(BBDD_Usiarios_Netflix[[#This Row],[Identificador Usuario]],A2252:$A$5870,1,FALSE),0)&lt;&gt;0,1,0)</f>
        <v>0</v>
      </c>
      <c r="V2251" s="6" t="str">
        <f>IF(BBDD_Usiarios_Netflix[[#This Row],[Duración Plan]]="12 Meses",LEFT(BBDD_Usiarios_Netflix[[#This Row],[Duración Plan]],2),LEFT(BBDD_Usiarios_Netflix[[#This Row],[Duración Plan]],1))</f>
        <v>6</v>
      </c>
      <c r="W22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52" spans="1:23" x14ac:dyDescent="0.25">
      <c r="A2252">
        <v>2251</v>
      </c>
      <c r="B2252" t="s">
        <v>23</v>
      </c>
      <c r="C2252">
        <v>10</v>
      </c>
      <c r="D2252" s="3">
        <v>10</v>
      </c>
      <c r="E2252" s="3">
        <v>11</v>
      </c>
      <c r="F2252">
        <v>23</v>
      </c>
      <c r="G2252" s="1">
        <f>DATEVALUE(_xlfn.CONCAT(BBDD_Usiarios_Netflix[[#This Row],[Día Suscripción]],"/",BBDD_Usiarios_Netflix[[#This Row],[Mes Suscripción]],"/",BBDD_Usiarios_Netflix[[#This Row],[Año Suscripción]]))</f>
        <v>45240</v>
      </c>
      <c r="H2252" s="1">
        <v>9</v>
      </c>
      <c r="I2252" s="1">
        <v>7</v>
      </c>
      <c r="J2252" s="1">
        <v>24</v>
      </c>
      <c r="K2252" s="1" t="str">
        <f>TEXT(BBDD_Usiarios_Netflix[[#This Row],[Fecha Suscripción]],"dddd")</f>
        <v>viernes</v>
      </c>
      <c r="L2252" s="1">
        <f>DATEVALUE(_xlfn.CONCAT(BBDD_Usiarios_Netflix[[#This Row],[Día Último Pago]],"/",BBDD_Usiarios_Netflix[[#This Row],[Mes Último Pago]],"/",BBDD_Usiarios_Netflix[[#This Row],[Año Último Pago]]))</f>
        <v>45482</v>
      </c>
      <c r="M2252" s="4">
        <f>DATEDIF(BBDD_Usiarios_Netflix[[#This Row],[Fecha Suscripción]],BBDD_Usiarios_Netflix[[#This Row],[Fecha Último Pago]],"M")+1</f>
        <v>8</v>
      </c>
      <c r="N2252" s="4">
        <f>BBDD_Usiarios_Netflix[[#This Row],[Ingresos Mensuales]]*BBDD_Usiarios_Netflix[[#This Row],[Meses contratados]]</f>
        <v>80</v>
      </c>
      <c r="O2252" t="s">
        <v>29</v>
      </c>
      <c r="P2252" t="str">
        <f>IF(BBDD_Usiarios_Netflix[[#This Row],[País]]="","Desconocido",BBDD_Usiarios_Netflix[[#This Row],[País]])</f>
        <v>EEUU</v>
      </c>
      <c r="Q2252">
        <v>51</v>
      </c>
      <c r="R2252" t="s">
        <v>30</v>
      </c>
      <c r="S2252" t="s">
        <v>36</v>
      </c>
      <c r="T2252" t="s">
        <v>27</v>
      </c>
      <c r="U2252">
        <f>IF(IFERROR(VLOOKUP(BBDD_Usiarios_Netflix[[#This Row],[Identificador Usuario]],A2253:$A$5870,1,FALSE),0)&lt;&gt;0,1,0)</f>
        <v>0</v>
      </c>
      <c r="V2252" s="6" t="str">
        <f>IF(BBDD_Usiarios_Netflix[[#This Row],[Duración Plan]]="12 Meses",LEFT(BBDD_Usiarios_Netflix[[#This Row],[Duración Plan]],2),LEFT(BBDD_Usiarios_Netflix[[#This Row],[Duración Plan]],1))</f>
        <v>1</v>
      </c>
      <c r="W22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53" spans="1:23" x14ac:dyDescent="0.25">
      <c r="A2253">
        <v>2252</v>
      </c>
      <c r="B2253" t="s">
        <v>28</v>
      </c>
      <c r="C2253">
        <v>14</v>
      </c>
      <c r="D2253" s="3">
        <v>11</v>
      </c>
      <c r="E2253" s="3">
        <v>11</v>
      </c>
      <c r="F2253">
        <v>23</v>
      </c>
      <c r="G2253" s="1">
        <f>DATEVALUE(_xlfn.CONCAT(BBDD_Usiarios_Netflix[[#This Row],[Día Suscripción]],"/",BBDD_Usiarios_Netflix[[#This Row],[Mes Suscripción]],"/",BBDD_Usiarios_Netflix[[#This Row],[Año Suscripción]]))</f>
        <v>45241</v>
      </c>
      <c r="H2253" s="1">
        <v>11</v>
      </c>
      <c r="I2253" s="1">
        <v>7</v>
      </c>
      <c r="J2253" s="1">
        <v>24</v>
      </c>
      <c r="K2253" s="1" t="str">
        <f>TEXT(BBDD_Usiarios_Netflix[[#This Row],[Fecha Suscripción]],"dddd")</f>
        <v>sábado</v>
      </c>
      <c r="L2253" s="1">
        <f>DATEVALUE(_xlfn.CONCAT(BBDD_Usiarios_Netflix[[#This Row],[Día Último Pago]],"/",BBDD_Usiarios_Netflix[[#This Row],[Mes Último Pago]],"/",BBDD_Usiarios_Netflix[[#This Row],[Año Último Pago]]))</f>
        <v>45484</v>
      </c>
      <c r="M2253" s="4">
        <f>DATEDIF(BBDD_Usiarios_Netflix[[#This Row],[Fecha Suscripción]],BBDD_Usiarios_Netflix[[#This Row],[Fecha Último Pago]],"M")+1</f>
        <v>9</v>
      </c>
      <c r="N2253" s="4">
        <f>BBDD_Usiarios_Netflix[[#This Row],[Ingresos Mensuales]]*BBDD_Usiarios_Netflix[[#This Row],[Meses contratados]]</f>
        <v>126</v>
      </c>
      <c r="O2253" t="s">
        <v>29</v>
      </c>
      <c r="P2253" t="str">
        <f>IF(BBDD_Usiarios_Netflix[[#This Row],[País]]="","Desconocido",BBDD_Usiarios_Netflix[[#This Row],[País]])</f>
        <v>EEUU</v>
      </c>
      <c r="Q2253">
        <v>31</v>
      </c>
      <c r="R2253" t="s">
        <v>30</v>
      </c>
      <c r="S2253" t="s">
        <v>31</v>
      </c>
      <c r="T2253" t="s">
        <v>41</v>
      </c>
      <c r="U2253">
        <f>IF(IFERROR(VLOOKUP(BBDD_Usiarios_Netflix[[#This Row],[Identificador Usuario]],A2254:$A$5870,1,FALSE),0)&lt;&gt;0,1,0)</f>
        <v>0</v>
      </c>
      <c r="V2253" s="6" t="str">
        <f>IF(BBDD_Usiarios_Netflix[[#This Row],[Duración Plan]]="12 Meses",LEFT(BBDD_Usiarios_Netflix[[#This Row],[Duración Plan]],2),LEFT(BBDD_Usiarios_Netflix[[#This Row],[Duración Plan]],1))</f>
        <v>12</v>
      </c>
      <c r="W22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54" spans="1:23" x14ac:dyDescent="0.25">
      <c r="A2254">
        <v>2253</v>
      </c>
      <c r="B2254" t="s">
        <v>32</v>
      </c>
      <c r="C2254">
        <v>12</v>
      </c>
      <c r="D2254" s="3">
        <v>7</v>
      </c>
      <c r="E2254" s="3">
        <v>11</v>
      </c>
      <c r="F2254">
        <v>23</v>
      </c>
      <c r="G2254" s="1">
        <f>DATEVALUE(_xlfn.CONCAT(BBDD_Usiarios_Netflix[[#This Row],[Día Suscripción]],"/",BBDD_Usiarios_Netflix[[#This Row],[Mes Suscripción]],"/",BBDD_Usiarios_Netflix[[#This Row],[Año Suscripción]]))</f>
        <v>45237</v>
      </c>
      <c r="H2254" s="1">
        <v>11</v>
      </c>
      <c r="I2254" s="1">
        <v>7</v>
      </c>
      <c r="J2254" s="1">
        <v>24</v>
      </c>
      <c r="K2254" s="1" t="str">
        <f>TEXT(BBDD_Usiarios_Netflix[[#This Row],[Fecha Suscripción]],"dddd")</f>
        <v>martes</v>
      </c>
      <c r="L2254" s="1">
        <f>DATEVALUE(_xlfn.CONCAT(BBDD_Usiarios_Netflix[[#This Row],[Día Último Pago]],"/",BBDD_Usiarios_Netflix[[#This Row],[Mes Último Pago]],"/",BBDD_Usiarios_Netflix[[#This Row],[Año Último Pago]]))</f>
        <v>45484</v>
      </c>
      <c r="M2254" s="4">
        <f>DATEDIF(BBDD_Usiarios_Netflix[[#This Row],[Fecha Suscripción]],BBDD_Usiarios_Netflix[[#This Row],[Fecha Último Pago]],"M")+1</f>
        <v>9</v>
      </c>
      <c r="N2254" s="4">
        <f>BBDD_Usiarios_Netflix[[#This Row],[Ingresos Mensuales]]*BBDD_Usiarios_Netflix[[#This Row],[Meses contratados]]</f>
        <v>108</v>
      </c>
      <c r="O2254" t="s">
        <v>29</v>
      </c>
      <c r="P2254" t="str">
        <f>IF(BBDD_Usiarios_Netflix[[#This Row],[País]]="","Desconocido",BBDD_Usiarios_Netflix[[#This Row],[País]])</f>
        <v>EEUU</v>
      </c>
      <c r="Q2254">
        <v>48</v>
      </c>
      <c r="R2254" t="s">
        <v>30</v>
      </c>
      <c r="S2254" t="s">
        <v>36</v>
      </c>
      <c r="T2254" t="s">
        <v>27</v>
      </c>
      <c r="U2254">
        <f>IF(IFERROR(VLOOKUP(BBDD_Usiarios_Netflix[[#This Row],[Identificador Usuario]],A2255:$A$5870,1,FALSE),0)&lt;&gt;0,1,0)</f>
        <v>0</v>
      </c>
      <c r="V2254" s="6" t="str">
        <f>IF(BBDD_Usiarios_Netflix[[#This Row],[Duración Plan]]="12 Meses",LEFT(BBDD_Usiarios_Netflix[[#This Row],[Duración Plan]],2),LEFT(BBDD_Usiarios_Netflix[[#This Row],[Duración Plan]],1))</f>
        <v>1</v>
      </c>
      <c r="W22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55" spans="1:23" x14ac:dyDescent="0.25">
      <c r="A2255">
        <v>2254</v>
      </c>
      <c r="B2255" t="s">
        <v>32</v>
      </c>
      <c r="C2255">
        <v>12</v>
      </c>
      <c r="D2255" s="3">
        <v>4</v>
      </c>
      <c r="E2255" s="3">
        <v>11</v>
      </c>
      <c r="F2255">
        <v>23</v>
      </c>
      <c r="G2255" s="1">
        <f>DATEVALUE(_xlfn.CONCAT(BBDD_Usiarios_Netflix[[#This Row],[Día Suscripción]],"/",BBDD_Usiarios_Netflix[[#This Row],[Mes Suscripción]],"/",BBDD_Usiarios_Netflix[[#This Row],[Año Suscripción]]))</f>
        <v>45234</v>
      </c>
      <c r="H2255" s="1">
        <v>11</v>
      </c>
      <c r="I2255" s="1">
        <v>7</v>
      </c>
      <c r="J2255" s="1">
        <v>24</v>
      </c>
      <c r="K2255" s="1" t="str">
        <f>TEXT(BBDD_Usiarios_Netflix[[#This Row],[Fecha Suscripción]],"dddd")</f>
        <v>sábado</v>
      </c>
      <c r="L2255" s="1">
        <f>DATEVALUE(_xlfn.CONCAT(BBDD_Usiarios_Netflix[[#This Row],[Día Último Pago]],"/",BBDD_Usiarios_Netflix[[#This Row],[Mes Último Pago]],"/",BBDD_Usiarios_Netflix[[#This Row],[Año Último Pago]]))</f>
        <v>45484</v>
      </c>
      <c r="M2255" s="4">
        <f>DATEDIF(BBDD_Usiarios_Netflix[[#This Row],[Fecha Suscripción]],BBDD_Usiarios_Netflix[[#This Row],[Fecha Último Pago]],"M")+1</f>
        <v>9</v>
      </c>
      <c r="N2255" s="4">
        <f>BBDD_Usiarios_Netflix[[#This Row],[Ingresos Mensuales]]*BBDD_Usiarios_Netflix[[#This Row],[Meses contratados]]</f>
        <v>108</v>
      </c>
      <c r="O2255" t="s">
        <v>24</v>
      </c>
      <c r="P2255" t="str">
        <f>IF(BBDD_Usiarios_Netflix[[#This Row],[País]]="","Desconocido",BBDD_Usiarios_Netflix[[#This Row],[País]])</f>
        <v>Australia</v>
      </c>
      <c r="Q2255">
        <v>40</v>
      </c>
      <c r="R2255" t="s">
        <v>25</v>
      </c>
      <c r="S2255" t="s">
        <v>36</v>
      </c>
      <c r="T2255" t="s">
        <v>27</v>
      </c>
      <c r="U2255">
        <f>IF(IFERROR(VLOOKUP(BBDD_Usiarios_Netflix[[#This Row],[Identificador Usuario]],A2256:$A$5870,1,FALSE),0)&lt;&gt;0,1,0)</f>
        <v>0</v>
      </c>
      <c r="V2255" s="6" t="str">
        <f>IF(BBDD_Usiarios_Netflix[[#This Row],[Duración Plan]]="12 Meses",LEFT(BBDD_Usiarios_Netflix[[#This Row],[Duración Plan]],2),LEFT(BBDD_Usiarios_Netflix[[#This Row],[Duración Plan]],1))</f>
        <v>1</v>
      </c>
      <c r="W22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56" spans="1:23" x14ac:dyDescent="0.25">
      <c r="A2256">
        <v>2255</v>
      </c>
      <c r="B2256" t="s">
        <v>23</v>
      </c>
      <c r="C2256">
        <v>10</v>
      </c>
      <c r="D2256" s="3">
        <v>31</v>
      </c>
      <c r="E2256" s="3">
        <v>10</v>
      </c>
      <c r="F2256">
        <v>23</v>
      </c>
      <c r="G2256" s="1">
        <f>DATEVALUE(_xlfn.CONCAT(BBDD_Usiarios_Netflix[[#This Row],[Día Suscripción]],"/",BBDD_Usiarios_Netflix[[#This Row],[Mes Suscripción]],"/",BBDD_Usiarios_Netflix[[#This Row],[Año Suscripción]]))</f>
        <v>45230</v>
      </c>
      <c r="H2256" s="1">
        <v>9</v>
      </c>
      <c r="I2256" s="1">
        <v>7</v>
      </c>
      <c r="J2256" s="1">
        <v>24</v>
      </c>
      <c r="K2256" s="1" t="str">
        <f>TEXT(BBDD_Usiarios_Netflix[[#This Row],[Fecha Suscripción]],"dddd")</f>
        <v>martes</v>
      </c>
      <c r="L2256" s="1">
        <f>DATEVALUE(_xlfn.CONCAT(BBDD_Usiarios_Netflix[[#This Row],[Día Último Pago]],"/",BBDD_Usiarios_Netflix[[#This Row],[Mes Último Pago]],"/",BBDD_Usiarios_Netflix[[#This Row],[Año Último Pago]]))</f>
        <v>45482</v>
      </c>
      <c r="M2256" s="4">
        <f>DATEDIF(BBDD_Usiarios_Netflix[[#This Row],[Fecha Suscripción]],BBDD_Usiarios_Netflix[[#This Row],[Fecha Último Pago]],"M")+1</f>
        <v>9</v>
      </c>
      <c r="N2256" s="4">
        <f>BBDD_Usiarios_Netflix[[#This Row],[Ingresos Mensuales]]*BBDD_Usiarios_Netflix[[#This Row],[Meses contratados]]</f>
        <v>90</v>
      </c>
      <c r="O2256" t="s">
        <v>42</v>
      </c>
      <c r="P2256" t="str">
        <f>IF(BBDD_Usiarios_Netflix[[#This Row],[País]]="","Desconocido",BBDD_Usiarios_Netflix[[#This Row],[País]])</f>
        <v>Reino Unido</v>
      </c>
      <c r="Q2256">
        <v>41</v>
      </c>
      <c r="R2256" t="s">
        <v>30</v>
      </c>
      <c r="S2256" t="s">
        <v>36</v>
      </c>
      <c r="T2256" t="s">
        <v>35</v>
      </c>
      <c r="U2256">
        <f>IF(IFERROR(VLOOKUP(BBDD_Usiarios_Netflix[[#This Row],[Identificador Usuario]],A2257:$A$5870,1,FALSE),0)&lt;&gt;0,1,0)</f>
        <v>0</v>
      </c>
      <c r="V2256" s="6" t="str">
        <f>IF(BBDD_Usiarios_Netflix[[#This Row],[Duración Plan]]="12 Meses",LEFT(BBDD_Usiarios_Netflix[[#This Row],[Duración Plan]],2),LEFT(BBDD_Usiarios_Netflix[[#This Row],[Duración Plan]],1))</f>
        <v>6</v>
      </c>
      <c r="W22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57" spans="1:23" x14ac:dyDescent="0.25">
      <c r="A2257">
        <v>2256</v>
      </c>
      <c r="B2257" t="s">
        <v>28</v>
      </c>
      <c r="C2257">
        <v>14</v>
      </c>
      <c r="D2257" s="3">
        <v>29</v>
      </c>
      <c r="E2257" s="3">
        <v>10</v>
      </c>
      <c r="F2257">
        <v>23</v>
      </c>
      <c r="G2257" s="1">
        <f>DATEVALUE(_xlfn.CONCAT(BBDD_Usiarios_Netflix[[#This Row],[Día Suscripción]],"/",BBDD_Usiarios_Netflix[[#This Row],[Mes Suscripción]],"/",BBDD_Usiarios_Netflix[[#This Row],[Año Suscripción]]))</f>
        <v>45228</v>
      </c>
      <c r="H2257" s="1">
        <v>11</v>
      </c>
      <c r="I2257" s="1">
        <v>7</v>
      </c>
      <c r="J2257" s="1">
        <v>24</v>
      </c>
      <c r="K2257" s="1" t="str">
        <f>TEXT(BBDD_Usiarios_Netflix[[#This Row],[Fecha Suscripción]],"dddd")</f>
        <v>domingo</v>
      </c>
      <c r="L2257" s="1">
        <f>DATEVALUE(_xlfn.CONCAT(BBDD_Usiarios_Netflix[[#This Row],[Día Último Pago]],"/",BBDD_Usiarios_Netflix[[#This Row],[Mes Último Pago]],"/",BBDD_Usiarios_Netflix[[#This Row],[Año Último Pago]]))</f>
        <v>45484</v>
      </c>
      <c r="M2257" s="4">
        <f>DATEDIF(BBDD_Usiarios_Netflix[[#This Row],[Fecha Suscripción]],BBDD_Usiarios_Netflix[[#This Row],[Fecha Último Pago]],"M")+1</f>
        <v>9</v>
      </c>
      <c r="N2257" s="4">
        <f>BBDD_Usiarios_Netflix[[#This Row],[Ingresos Mensuales]]*BBDD_Usiarios_Netflix[[#This Row],[Meses contratados]]</f>
        <v>126</v>
      </c>
      <c r="O2257" t="s">
        <v>39</v>
      </c>
      <c r="P2257" t="str">
        <f>IF(BBDD_Usiarios_Netflix[[#This Row],[País]]="","Desconocido",BBDD_Usiarios_Netflix[[#This Row],[País]])</f>
        <v>Canadá</v>
      </c>
      <c r="Q2257">
        <v>41</v>
      </c>
      <c r="R2257" t="s">
        <v>25</v>
      </c>
      <c r="S2257" t="s">
        <v>36</v>
      </c>
      <c r="T2257" t="s">
        <v>35</v>
      </c>
      <c r="U2257">
        <f>IF(IFERROR(VLOOKUP(BBDD_Usiarios_Netflix[[#This Row],[Identificador Usuario]],A2258:$A$5870,1,FALSE),0)&lt;&gt;0,1,0)</f>
        <v>0</v>
      </c>
      <c r="V2257" s="6" t="str">
        <f>IF(BBDD_Usiarios_Netflix[[#This Row],[Duración Plan]]="12 Meses",LEFT(BBDD_Usiarios_Netflix[[#This Row],[Duración Plan]],2),LEFT(BBDD_Usiarios_Netflix[[#This Row],[Duración Plan]],1))</f>
        <v>6</v>
      </c>
      <c r="W22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58" spans="1:23" x14ac:dyDescent="0.25">
      <c r="A2258">
        <v>2257</v>
      </c>
      <c r="B2258" t="s">
        <v>32</v>
      </c>
      <c r="C2258">
        <v>12</v>
      </c>
      <c r="D2258" s="3">
        <v>20</v>
      </c>
      <c r="E2258" s="3">
        <v>10</v>
      </c>
      <c r="F2258">
        <v>23</v>
      </c>
      <c r="G2258" s="1">
        <f>DATEVALUE(_xlfn.CONCAT(BBDD_Usiarios_Netflix[[#This Row],[Día Suscripción]],"/",BBDD_Usiarios_Netflix[[#This Row],[Mes Suscripción]],"/",BBDD_Usiarios_Netflix[[#This Row],[Año Suscripción]]))</f>
        <v>45219</v>
      </c>
      <c r="H2258" s="1">
        <v>10</v>
      </c>
      <c r="I2258" s="1">
        <v>7</v>
      </c>
      <c r="J2258" s="1">
        <v>24</v>
      </c>
      <c r="K2258" s="1" t="str">
        <f>TEXT(BBDD_Usiarios_Netflix[[#This Row],[Fecha Suscripción]],"dddd")</f>
        <v>viernes</v>
      </c>
      <c r="L2258" s="1">
        <f>DATEVALUE(_xlfn.CONCAT(BBDD_Usiarios_Netflix[[#This Row],[Día Último Pago]],"/",BBDD_Usiarios_Netflix[[#This Row],[Mes Último Pago]],"/",BBDD_Usiarios_Netflix[[#This Row],[Año Último Pago]]))</f>
        <v>45483</v>
      </c>
      <c r="M2258" s="4">
        <f>DATEDIF(BBDD_Usiarios_Netflix[[#This Row],[Fecha Suscripción]],BBDD_Usiarios_Netflix[[#This Row],[Fecha Último Pago]],"M")+1</f>
        <v>9</v>
      </c>
      <c r="N2258" s="4">
        <f>BBDD_Usiarios_Netflix[[#This Row],[Ingresos Mensuales]]*BBDD_Usiarios_Netflix[[#This Row],[Meses contratados]]</f>
        <v>108</v>
      </c>
      <c r="O2258" t="s">
        <v>24</v>
      </c>
      <c r="P2258" t="str">
        <f>IF(BBDD_Usiarios_Netflix[[#This Row],[País]]="","Desconocido",BBDD_Usiarios_Netflix[[#This Row],[País]])</f>
        <v>Australia</v>
      </c>
      <c r="Q2258">
        <v>28</v>
      </c>
      <c r="R2258" t="s">
        <v>30</v>
      </c>
      <c r="S2258" t="s">
        <v>36</v>
      </c>
      <c r="T2258" t="s">
        <v>41</v>
      </c>
      <c r="U2258">
        <f>IF(IFERROR(VLOOKUP(BBDD_Usiarios_Netflix[[#This Row],[Identificador Usuario]],A2259:$A$5870,1,FALSE),0)&lt;&gt;0,1,0)</f>
        <v>0</v>
      </c>
      <c r="V2258" s="6" t="str">
        <f>IF(BBDD_Usiarios_Netflix[[#This Row],[Duración Plan]]="12 Meses",LEFT(BBDD_Usiarios_Netflix[[#This Row],[Duración Plan]],2),LEFT(BBDD_Usiarios_Netflix[[#This Row],[Duración Plan]],1))</f>
        <v>12</v>
      </c>
      <c r="W22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59" spans="1:23" x14ac:dyDescent="0.25">
      <c r="A2259">
        <v>2258</v>
      </c>
      <c r="B2259" t="s">
        <v>23</v>
      </c>
      <c r="C2259">
        <v>10</v>
      </c>
      <c r="D2259" s="3">
        <v>14</v>
      </c>
      <c r="E2259" s="3">
        <v>10</v>
      </c>
      <c r="F2259">
        <v>23</v>
      </c>
      <c r="G2259" s="1">
        <f>DATEVALUE(_xlfn.CONCAT(BBDD_Usiarios_Netflix[[#This Row],[Día Suscripción]],"/",BBDD_Usiarios_Netflix[[#This Row],[Mes Suscripción]],"/",BBDD_Usiarios_Netflix[[#This Row],[Año Suscripción]]))</f>
        <v>45213</v>
      </c>
      <c r="H2259" s="1">
        <v>11</v>
      </c>
      <c r="I2259" s="1">
        <v>7</v>
      </c>
      <c r="J2259" s="1">
        <v>24</v>
      </c>
      <c r="K2259" s="1" t="str">
        <f>TEXT(BBDD_Usiarios_Netflix[[#This Row],[Fecha Suscripción]],"dddd")</f>
        <v>sábado</v>
      </c>
      <c r="L2259" s="1">
        <f>DATEVALUE(_xlfn.CONCAT(BBDD_Usiarios_Netflix[[#This Row],[Día Último Pago]],"/",BBDD_Usiarios_Netflix[[#This Row],[Mes Último Pago]],"/",BBDD_Usiarios_Netflix[[#This Row],[Año Último Pago]]))</f>
        <v>45484</v>
      </c>
      <c r="M2259" s="4">
        <f>DATEDIF(BBDD_Usiarios_Netflix[[#This Row],[Fecha Suscripción]],BBDD_Usiarios_Netflix[[#This Row],[Fecha Último Pago]],"M")+1</f>
        <v>9</v>
      </c>
      <c r="N2259" s="4">
        <f>BBDD_Usiarios_Netflix[[#This Row],[Ingresos Mensuales]]*BBDD_Usiarios_Netflix[[#This Row],[Meses contratados]]</f>
        <v>90</v>
      </c>
      <c r="O2259" t="s">
        <v>33</v>
      </c>
      <c r="P2259" t="str">
        <f>IF(BBDD_Usiarios_Netflix[[#This Row],[País]]="","Desconocido",BBDD_Usiarios_Netflix[[#This Row],[País]])</f>
        <v>Francia</v>
      </c>
      <c r="Q2259">
        <v>45</v>
      </c>
      <c r="R2259" t="s">
        <v>30</v>
      </c>
      <c r="S2259" t="s">
        <v>36</v>
      </c>
      <c r="T2259" t="s">
        <v>27</v>
      </c>
      <c r="U2259">
        <f>IF(IFERROR(VLOOKUP(BBDD_Usiarios_Netflix[[#This Row],[Identificador Usuario]],A2260:$A$5870,1,FALSE),0)&lt;&gt;0,1,0)</f>
        <v>0</v>
      </c>
      <c r="V2259" s="6" t="str">
        <f>IF(BBDD_Usiarios_Netflix[[#This Row],[Duración Plan]]="12 Meses",LEFT(BBDD_Usiarios_Netflix[[#This Row],[Duración Plan]],2),LEFT(BBDD_Usiarios_Netflix[[#This Row],[Duración Plan]],1))</f>
        <v>1</v>
      </c>
      <c r="W22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60" spans="1:23" x14ac:dyDescent="0.25">
      <c r="A2260">
        <v>2259</v>
      </c>
      <c r="B2260" t="s">
        <v>32</v>
      </c>
      <c r="C2260">
        <v>12</v>
      </c>
      <c r="D2260" s="3">
        <v>12</v>
      </c>
      <c r="E2260" s="3">
        <v>10</v>
      </c>
      <c r="F2260">
        <v>23</v>
      </c>
      <c r="G2260" s="1">
        <f>DATEVALUE(_xlfn.CONCAT(BBDD_Usiarios_Netflix[[#This Row],[Día Suscripción]],"/",BBDD_Usiarios_Netflix[[#This Row],[Mes Suscripción]],"/",BBDD_Usiarios_Netflix[[#This Row],[Año Suscripción]]))</f>
        <v>45211</v>
      </c>
      <c r="H2260" s="1">
        <v>10</v>
      </c>
      <c r="I2260" s="1">
        <v>7</v>
      </c>
      <c r="J2260" s="1">
        <v>24</v>
      </c>
      <c r="K2260" s="1" t="str">
        <f>TEXT(BBDD_Usiarios_Netflix[[#This Row],[Fecha Suscripción]],"dddd")</f>
        <v>jueves</v>
      </c>
      <c r="L2260" s="1">
        <f>DATEVALUE(_xlfn.CONCAT(BBDD_Usiarios_Netflix[[#This Row],[Día Último Pago]],"/",BBDD_Usiarios_Netflix[[#This Row],[Mes Último Pago]],"/",BBDD_Usiarios_Netflix[[#This Row],[Año Último Pago]]))</f>
        <v>45483</v>
      </c>
      <c r="M2260" s="4">
        <f>DATEDIF(BBDD_Usiarios_Netflix[[#This Row],[Fecha Suscripción]],BBDD_Usiarios_Netflix[[#This Row],[Fecha Último Pago]],"M")+1</f>
        <v>9</v>
      </c>
      <c r="N2260" s="4">
        <f>BBDD_Usiarios_Netflix[[#This Row],[Ingresos Mensuales]]*BBDD_Usiarios_Netflix[[#This Row],[Meses contratados]]</f>
        <v>108</v>
      </c>
      <c r="O2260" t="s">
        <v>24</v>
      </c>
      <c r="P2260" t="str">
        <f>IF(BBDD_Usiarios_Netflix[[#This Row],[País]]="","Desconocido",BBDD_Usiarios_Netflix[[#This Row],[País]])</f>
        <v>Australia</v>
      </c>
      <c r="Q2260">
        <v>32</v>
      </c>
      <c r="R2260" t="s">
        <v>30</v>
      </c>
      <c r="S2260" t="s">
        <v>36</v>
      </c>
      <c r="T2260" t="s">
        <v>41</v>
      </c>
      <c r="U2260">
        <f>IF(IFERROR(VLOOKUP(BBDD_Usiarios_Netflix[[#This Row],[Identificador Usuario]],A2261:$A$5870,1,FALSE),0)&lt;&gt;0,1,0)</f>
        <v>0</v>
      </c>
      <c r="V2260" s="6" t="str">
        <f>IF(BBDD_Usiarios_Netflix[[#This Row],[Duración Plan]]="12 Meses",LEFT(BBDD_Usiarios_Netflix[[#This Row],[Duración Plan]],2),LEFT(BBDD_Usiarios_Netflix[[#This Row],[Duración Plan]],1))</f>
        <v>12</v>
      </c>
      <c r="W22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61" spans="1:23" x14ac:dyDescent="0.25">
      <c r="A2261">
        <v>2260</v>
      </c>
      <c r="B2261" t="s">
        <v>28</v>
      </c>
      <c r="C2261">
        <v>14</v>
      </c>
      <c r="D2261" s="3">
        <v>1</v>
      </c>
      <c r="E2261" s="3">
        <v>10</v>
      </c>
      <c r="F2261">
        <v>23</v>
      </c>
      <c r="G2261" s="1">
        <f>DATEVALUE(_xlfn.CONCAT(BBDD_Usiarios_Netflix[[#This Row],[Día Suscripción]],"/",BBDD_Usiarios_Netflix[[#This Row],[Mes Suscripción]],"/",BBDD_Usiarios_Netflix[[#This Row],[Año Suscripción]]))</f>
        <v>45200</v>
      </c>
      <c r="H2261" s="1">
        <v>11</v>
      </c>
      <c r="I2261" s="1">
        <v>7</v>
      </c>
      <c r="J2261" s="1">
        <v>24</v>
      </c>
      <c r="K2261" s="1" t="str">
        <f>TEXT(BBDD_Usiarios_Netflix[[#This Row],[Fecha Suscripción]],"dddd")</f>
        <v>domingo</v>
      </c>
      <c r="L2261" s="1">
        <f>DATEVALUE(_xlfn.CONCAT(BBDD_Usiarios_Netflix[[#This Row],[Día Último Pago]],"/",BBDD_Usiarios_Netflix[[#This Row],[Mes Último Pago]],"/",BBDD_Usiarios_Netflix[[#This Row],[Año Último Pago]]))</f>
        <v>45484</v>
      </c>
      <c r="M2261" s="4">
        <f>DATEDIF(BBDD_Usiarios_Netflix[[#This Row],[Fecha Suscripción]],BBDD_Usiarios_Netflix[[#This Row],[Fecha Último Pago]],"M")+1</f>
        <v>10</v>
      </c>
      <c r="N2261" s="4">
        <f>BBDD_Usiarios_Netflix[[#This Row],[Ingresos Mensuales]]*BBDD_Usiarios_Netflix[[#This Row],[Meses contratados]]</f>
        <v>140</v>
      </c>
      <c r="O2261" t="s">
        <v>29</v>
      </c>
      <c r="P2261" t="str">
        <f>IF(BBDD_Usiarios_Netflix[[#This Row],[País]]="","Desconocido",BBDD_Usiarios_Netflix[[#This Row],[País]])</f>
        <v>EEUU</v>
      </c>
      <c r="Q2261">
        <v>31</v>
      </c>
      <c r="R2261" t="s">
        <v>25</v>
      </c>
      <c r="S2261" t="s">
        <v>31</v>
      </c>
      <c r="T2261" t="s">
        <v>35</v>
      </c>
      <c r="U2261">
        <f>IF(IFERROR(VLOOKUP(BBDD_Usiarios_Netflix[[#This Row],[Identificador Usuario]],A2262:$A$5870,1,FALSE),0)&lt;&gt;0,1,0)</f>
        <v>0</v>
      </c>
      <c r="V2261" s="6" t="str">
        <f>IF(BBDD_Usiarios_Netflix[[#This Row],[Duración Plan]]="12 Meses",LEFT(BBDD_Usiarios_Netflix[[#This Row],[Duración Plan]],2),LEFT(BBDD_Usiarios_Netflix[[#This Row],[Duración Plan]],1))</f>
        <v>6</v>
      </c>
      <c r="W22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62" spans="1:23" x14ac:dyDescent="0.25">
      <c r="A2262">
        <v>2261</v>
      </c>
      <c r="B2262" t="s">
        <v>23</v>
      </c>
      <c r="C2262">
        <v>10</v>
      </c>
      <c r="D2262" s="3">
        <v>25</v>
      </c>
      <c r="E2262" s="3">
        <v>9</v>
      </c>
      <c r="F2262">
        <v>23</v>
      </c>
      <c r="G2262" s="1">
        <f>DATEVALUE(_xlfn.CONCAT(BBDD_Usiarios_Netflix[[#This Row],[Día Suscripción]],"/",BBDD_Usiarios_Netflix[[#This Row],[Mes Suscripción]],"/",BBDD_Usiarios_Netflix[[#This Row],[Año Suscripción]]))</f>
        <v>45194</v>
      </c>
      <c r="H2262" s="1">
        <v>10</v>
      </c>
      <c r="I2262" s="1">
        <v>7</v>
      </c>
      <c r="J2262" s="1">
        <v>24</v>
      </c>
      <c r="K2262" s="1" t="str">
        <f>TEXT(BBDD_Usiarios_Netflix[[#This Row],[Fecha Suscripción]],"dddd")</f>
        <v>lunes</v>
      </c>
      <c r="L2262" s="1">
        <f>DATEVALUE(_xlfn.CONCAT(BBDD_Usiarios_Netflix[[#This Row],[Día Último Pago]],"/",BBDD_Usiarios_Netflix[[#This Row],[Mes Último Pago]],"/",BBDD_Usiarios_Netflix[[#This Row],[Año Último Pago]]))</f>
        <v>45483</v>
      </c>
      <c r="M2262" s="4">
        <f>DATEDIF(BBDD_Usiarios_Netflix[[#This Row],[Fecha Suscripción]],BBDD_Usiarios_Netflix[[#This Row],[Fecha Último Pago]],"M")+1</f>
        <v>10</v>
      </c>
      <c r="N2262" s="4">
        <f>BBDD_Usiarios_Netflix[[#This Row],[Ingresos Mensuales]]*BBDD_Usiarios_Netflix[[#This Row],[Meses contratados]]</f>
        <v>100</v>
      </c>
      <c r="O2262" t="s">
        <v>33</v>
      </c>
      <c r="P2262" t="str">
        <f>IF(BBDD_Usiarios_Netflix[[#This Row],[País]]="","Desconocido",BBDD_Usiarios_Netflix[[#This Row],[País]])</f>
        <v>Francia</v>
      </c>
      <c r="Q2262">
        <v>40</v>
      </c>
      <c r="R2262" t="s">
        <v>30</v>
      </c>
      <c r="S2262" t="s">
        <v>31</v>
      </c>
      <c r="T2262" t="s">
        <v>41</v>
      </c>
      <c r="U2262">
        <f>IF(IFERROR(VLOOKUP(BBDD_Usiarios_Netflix[[#This Row],[Identificador Usuario]],A2263:$A$5870,1,FALSE),0)&lt;&gt;0,1,0)</f>
        <v>0</v>
      </c>
      <c r="V2262" s="6" t="str">
        <f>IF(BBDD_Usiarios_Netflix[[#This Row],[Duración Plan]]="12 Meses",LEFT(BBDD_Usiarios_Netflix[[#This Row],[Duración Plan]],2),LEFT(BBDD_Usiarios_Netflix[[#This Row],[Duración Plan]],1))</f>
        <v>12</v>
      </c>
      <c r="W22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63" spans="1:23" x14ac:dyDescent="0.25">
      <c r="A2263">
        <v>2262</v>
      </c>
      <c r="B2263" t="s">
        <v>28</v>
      </c>
      <c r="C2263">
        <v>14</v>
      </c>
      <c r="D2263" s="3">
        <v>23</v>
      </c>
      <c r="E2263" s="3">
        <v>9</v>
      </c>
      <c r="F2263">
        <v>23</v>
      </c>
      <c r="G2263" s="1">
        <f>DATEVALUE(_xlfn.CONCAT(BBDD_Usiarios_Netflix[[#This Row],[Día Suscripción]],"/",BBDD_Usiarios_Netflix[[#This Row],[Mes Suscripción]],"/",BBDD_Usiarios_Netflix[[#This Row],[Año Suscripción]]))</f>
        <v>45192</v>
      </c>
      <c r="H2263" s="1">
        <v>10</v>
      </c>
      <c r="I2263" s="1">
        <v>7</v>
      </c>
      <c r="J2263" s="1">
        <v>24</v>
      </c>
      <c r="K2263" s="1" t="str">
        <f>TEXT(BBDD_Usiarios_Netflix[[#This Row],[Fecha Suscripción]],"dddd")</f>
        <v>sábado</v>
      </c>
      <c r="L2263" s="1">
        <f>DATEVALUE(_xlfn.CONCAT(BBDD_Usiarios_Netflix[[#This Row],[Día Último Pago]],"/",BBDD_Usiarios_Netflix[[#This Row],[Mes Último Pago]],"/",BBDD_Usiarios_Netflix[[#This Row],[Año Último Pago]]))</f>
        <v>45483</v>
      </c>
      <c r="M2263" s="4">
        <f>DATEDIF(BBDD_Usiarios_Netflix[[#This Row],[Fecha Suscripción]],BBDD_Usiarios_Netflix[[#This Row],[Fecha Último Pago]],"M")+1</f>
        <v>10</v>
      </c>
      <c r="N2263" s="4">
        <f>BBDD_Usiarios_Netflix[[#This Row],[Ingresos Mensuales]]*BBDD_Usiarios_Netflix[[#This Row],[Meses contratados]]</f>
        <v>140</v>
      </c>
      <c r="O2263" t="s">
        <v>24</v>
      </c>
      <c r="P2263" t="str">
        <f>IF(BBDD_Usiarios_Netflix[[#This Row],[País]]="","Desconocido",BBDD_Usiarios_Netflix[[#This Row],[País]])</f>
        <v>Australia</v>
      </c>
      <c r="Q2263">
        <v>40</v>
      </c>
      <c r="R2263" t="s">
        <v>30</v>
      </c>
      <c r="S2263" t="s">
        <v>26</v>
      </c>
      <c r="T2263" t="s">
        <v>41</v>
      </c>
      <c r="U2263">
        <f>IF(IFERROR(VLOOKUP(BBDD_Usiarios_Netflix[[#This Row],[Identificador Usuario]],A2264:$A$5870,1,FALSE),0)&lt;&gt;0,1,0)</f>
        <v>0</v>
      </c>
      <c r="V2263" s="6" t="str">
        <f>IF(BBDD_Usiarios_Netflix[[#This Row],[Duración Plan]]="12 Meses",LEFT(BBDD_Usiarios_Netflix[[#This Row],[Duración Plan]],2),LEFT(BBDD_Usiarios_Netflix[[#This Row],[Duración Plan]],1))</f>
        <v>12</v>
      </c>
      <c r="W22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64" spans="1:23" x14ac:dyDescent="0.25">
      <c r="A2264">
        <v>2263</v>
      </c>
      <c r="B2264" t="s">
        <v>32</v>
      </c>
      <c r="C2264">
        <v>12</v>
      </c>
      <c r="D2264" s="3">
        <v>19</v>
      </c>
      <c r="E2264" s="3">
        <v>9</v>
      </c>
      <c r="F2264">
        <v>23</v>
      </c>
      <c r="G2264" s="1">
        <f>DATEVALUE(_xlfn.CONCAT(BBDD_Usiarios_Netflix[[#This Row],[Día Suscripción]],"/",BBDD_Usiarios_Netflix[[#This Row],[Mes Suscripción]],"/",BBDD_Usiarios_Netflix[[#This Row],[Año Suscripción]]))</f>
        <v>45188</v>
      </c>
      <c r="H2264" s="1">
        <v>9</v>
      </c>
      <c r="I2264" s="1">
        <v>7</v>
      </c>
      <c r="J2264" s="1">
        <v>24</v>
      </c>
      <c r="K2264" s="1" t="str">
        <f>TEXT(BBDD_Usiarios_Netflix[[#This Row],[Fecha Suscripción]],"dddd")</f>
        <v>martes</v>
      </c>
      <c r="L2264" s="1">
        <f>DATEVALUE(_xlfn.CONCAT(BBDD_Usiarios_Netflix[[#This Row],[Día Último Pago]],"/",BBDD_Usiarios_Netflix[[#This Row],[Mes Último Pago]],"/",BBDD_Usiarios_Netflix[[#This Row],[Año Último Pago]]))</f>
        <v>45482</v>
      </c>
      <c r="M2264" s="4">
        <f>DATEDIF(BBDD_Usiarios_Netflix[[#This Row],[Fecha Suscripción]],BBDD_Usiarios_Netflix[[#This Row],[Fecha Último Pago]],"M")+1</f>
        <v>10</v>
      </c>
      <c r="N2264" s="4">
        <f>BBDD_Usiarios_Netflix[[#This Row],[Ingresos Mensuales]]*BBDD_Usiarios_Netflix[[#This Row],[Meses contratados]]</f>
        <v>120</v>
      </c>
      <c r="O2264" t="s">
        <v>29</v>
      </c>
      <c r="P2264" t="str">
        <f>IF(BBDD_Usiarios_Netflix[[#This Row],[País]]="","Desconocido",BBDD_Usiarios_Netflix[[#This Row],[País]])</f>
        <v>EEUU</v>
      </c>
      <c r="Q2264">
        <v>50</v>
      </c>
      <c r="R2264" t="s">
        <v>25</v>
      </c>
      <c r="S2264" t="s">
        <v>31</v>
      </c>
      <c r="T2264" t="s">
        <v>35</v>
      </c>
      <c r="U2264">
        <f>IF(IFERROR(VLOOKUP(BBDD_Usiarios_Netflix[[#This Row],[Identificador Usuario]],A2265:$A$5870,1,FALSE),0)&lt;&gt;0,1,0)</f>
        <v>0</v>
      </c>
      <c r="V2264" s="6" t="str">
        <f>IF(BBDD_Usiarios_Netflix[[#This Row],[Duración Plan]]="12 Meses",LEFT(BBDD_Usiarios_Netflix[[#This Row],[Duración Plan]],2),LEFT(BBDD_Usiarios_Netflix[[#This Row],[Duración Plan]],1))</f>
        <v>6</v>
      </c>
      <c r="W22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65" spans="1:23" x14ac:dyDescent="0.25">
      <c r="A2265">
        <v>2264</v>
      </c>
      <c r="B2265" t="s">
        <v>23</v>
      </c>
      <c r="C2265">
        <v>10</v>
      </c>
      <c r="D2265" s="3">
        <v>2</v>
      </c>
      <c r="E2265" s="3">
        <v>9</v>
      </c>
      <c r="F2265">
        <v>23</v>
      </c>
      <c r="G2265" s="1">
        <f>DATEVALUE(_xlfn.CONCAT(BBDD_Usiarios_Netflix[[#This Row],[Día Suscripción]],"/",BBDD_Usiarios_Netflix[[#This Row],[Mes Suscripción]],"/",BBDD_Usiarios_Netflix[[#This Row],[Año Suscripción]]))</f>
        <v>45171</v>
      </c>
      <c r="H2265" s="1">
        <v>12</v>
      </c>
      <c r="I2265" s="1">
        <v>7</v>
      </c>
      <c r="J2265" s="1">
        <v>24</v>
      </c>
      <c r="K2265" s="1" t="str">
        <f>TEXT(BBDD_Usiarios_Netflix[[#This Row],[Fecha Suscripción]],"dddd")</f>
        <v>sábado</v>
      </c>
      <c r="L2265" s="1">
        <f>DATEVALUE(_xlfn.CONCAT(BBDD_Usiarios_Netflix[[#This Row],[Día Último Pago]],"/",BBDD_Usiarios_Netflix[[#This Row],[Mes Último Pago]],"/",BBDD_Usiarios_Netflix[[#This Row],[Año Último Pago]]))</f>
        <v>45485</v>
      </c>
      <c r="M2265" s="4">
        <f>DATEDIF(BBDD_Usiarios_Netflix[[#This Row],[Fecha Suscripción]],BBDD_Usiarios_Netflix[[#This Row],[Fecha Último Pago]],"M")+1</f>
        <v>11</v>
      </c>
      <c r="N2265" s="4">
        <f>BBDD_Usiarios_Netflix[[#This Row],[Ingresos Mensuales]]*BBDD_Usiarios_Netflix[[#This Row],[Meses contratados]]</f>
        <v>110</v>
      </c>
      <c r="O2265" t="s">
        <v>40</v>
      </c>
      <c r="P2265" t="str">
        <f>IF(BBDD_Usiarios_Netflix[[#This Row],[País]]="","Desconocido",BBDD_Usiarios_Netflix[[#This Row],[País]])</f>
        <v>Italia</v>
      </c>
      <c r="Q2265">
        <v>41</v>
      </c>
      <c r="R2265" t="s">
        <v>25</v>
      </c>
      <c r="S2265" t="s">
        <v>26</v>
      </c>
      <c r="T2265" t="s">
        <v>35</v>
      </c>
      <c r="U2265">
        <f>IF(IFERROR(VLOOKUP(BBDD_Usiarios_Netflix[[#This Row],[Identificador Usuario]],A2266:$A$5870,1,FALSE),0)&lt;&gt;0,1,0)</f>
        <v>0</v>
      </c>
      <c r="V2265" s="6" t="str">
        <f>IF(BBDD_Usiarios_Netflix[[#This Row],[Duración Plan]]="12 Meses",LEFT(BBDD_Usiarios_Netflix[[#This Row],[Duración Plan]],2),LEFT(BBDD_Usiarios_Netflix[[#This Row],[Duración Plan]],1))</f>
        <v>6</v>
      </c>
      <c r="W22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66" spans="1:23" x14ac:dyDescent="0.25">
      <c r="A2266">
        <v>2265</v>
      </c>
      <c r="B2266" t="s">
        <v>32</v>
      </c>
      <c r="C2266">
        <v>12</v>
      </c>
      <c r="D2266" s="3">
        <v>30</v>
      </c>
      <c r="E2266" s="3">
        <v>8</v>
      </c>
      <c r="F2266">
        <v>23</v>
      </c>
      <c r="G2266" s="1">
        <f>DATEVALUE(_xlfn.CONCAT(BBDD_Usiarios_Netflix[[#This Row],[Día Suscripción]],"/",BBDD_Usiarios_Netflix[[#This Row],[Mes Suscripción]],"/",BBDD_Usiarios_Netflix[[#This Row],[Año Suscripción]]))</f>
        <v>45168</v>
      </c>
      <c r="H2266" s="1">
        <v>10</v>
      </c>
      <c r="I2266" s="1">
        <v>7</v>
      </c>
      <c r="J2266" s="1">
        <v>24</v>
      </c>
      <c r="K2266" s="1" t="str">
        <f>TEXT(BBDD_Usiarios_Netflix[[#This Row],[Fecha Suscripción]],"dddd")</f>
        <v>miércoles</v>
      </c>
      <c r="L2266" s="1">
        <f>DATEVALUE(_xlfn.CONCAT(BBDD_Usiarios_Netflix[[#This Row],[Día Último Pago]],"/",BBDD_Usiarios_Netflix[[#This Row],[Mes Último Pago]],"/",BBDD_Usiarios_Netflix[[#This Row],[Año Último Pago]]))</f>
        <v>45483</v>
      </c>
      <c r="M2266" s="4">
        <f>DATEDIF(BBDD_Usiarios_Netflix[[#This Row],[Fecha Suscripción]],BBDD_Usiarios_Netflix[[#This Row],[Fecha Último Pago]],"M")+1</f>
        <v>11</v>
      </c>
      <c r="N2266" s="4">
        <f>BBDD_Usiarios_Netflix[[#This Row],[Ingresos Mensuales]]*BBDD_Usiarios_Netflix[[#This Row],[Meses contratados]]</f>
        <v>132</v>
      </c>
      <c r="O2266" t="s">
        <v>40</v>
      </c>
      <c r="P2266" t="str">
        <f>IF(BBDD_Usiarios_Netflix[[#This Row],[País]]="","Desconocido",BBDD_Usiarios_Netflix[[#This Row],[País]])</f>
        <v>Italia</v>
      </c>
      <c r="Q2266">
        <v>43</v>
      </c>
      <c r="R2266" t="s">
        <v>25</v>
      </c>
      <c r="S2266" t="s">
        <v>31</v>
      </c>
      <c r="T2266" t="s">
        <v>35</v>
      </c>
      <c r="U2266">
        <f>IF(IFERROR(VLOOKUP(BBDD_Usiarios_Netflix[[#This Row],[Identificador Usuario]],A2267:$A$5870,1,FALSE),0)&lt;&gt;0,1,0)</f>
        <v>0</v>
      </c>
      <c r="V2266" s="6" t="str">
        <f>IF(BBDD_Usiarios_Netflix[[#This Row],[Duración Plan]]="12 Meses",LEFT(BBDD_Usiarios_Netflix[[#This Row],[Duración Plan]],2),LEFT(BBDD_Usiarios_Netflix[[#This Row],[Duración Plan]],1))</f>
        <v>6</v>
      </c>
      <c r="W22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67" spans="1:23" x14ac:dyDescent="0.25">
      <c r="A2267">
        <v>2266</v>
      </c>
      <c r="B2267" t="s">
        <v>28</v>
      </c>
      <c r="C2267">
        <v>14</v>
      </c>
      <c r="D2267" s="3">
        <v>16</v>
      </c>
      <c r="E2267" s="3">
        <v>8</v>
      </c>
      <c r="F2267">
        <v>23</v>
      </c>
      <c r="G2267" s="1">
        <f>DATEVALUE(_xlfn.CONCAT(BBDD_Usiarios_Netflix[[#This Row],[Día Suscripción]],"/",BBDD_Usiarios_Netflix[[#This Row],[Mes Suscripción]],"/",BBDD_Usiarios_Netflix[[#This Row],[Año Suscripción]]))</f>
        <v>45154</v>
      </c>
      <c r="H2267" s="1">
        <v>9</v>
      </c>
      <c r="I2267" s="1">
        <v>7</v>
      </c>
      <c r="J2267" s="1">
        <v>24</v>
      </c>
      <c r="K2267" s="1" t="str">
        <f>TEXT(BBDD_Usiarios_Netflix[[#This Row],[Fecha Suscripción]],"dddd")</f>
        <v>miércoles</v>
      </c>
      <c r="L2267" s="1">
        <f>DATEVALUE(_xlfn.CONCAT(BBDD_Usiarios_Netflix[[#This Row],[Día Último Pago]],"/",BBDD_Usiarios_Netflix[[#This Row],[Mes Último Pago]],"/",BBDD_Usiarios_Netflix[[#This Row],[Año Último Pago]]))</f>
        <v>45482</v>
      </c>
      <c r="M2267" s="4">
        <f>DATEDIF(BBDD_Usiarios_Netflix[[#This Row],[Fecha Suscripción]],BBDD_Usiarios_Netflix[[#This Row],[Fecha Último Pago]],"M")+1</f>
        <v>11</v>
      </c>
      <c r="N2267" s="4">
        <f>BBDD_Usiarios_Netflix[[#This Row],[Ingresos Mensuales]]*BBDD_Usiarios_Netflix[[#This Row],[Meses contratados]]</f>
        <v>154</v>
      </c>
      <c r="O2267" t="s">
        <v>42</v>
      </c>
      <c r="P2267" t="str">
        <f>IF(BBDD_Usiarios_Netflix[[#This Row],[País]]="","Desconocido",BBDD_Usiarios_Netflix[[#This Row],[País]])</f>
        <v>Reino Unido</v>
      </c>
      <c r="Q2267">
        <v>43</v>
      </c>
      <c r="R2267" t="s">
        <v>25</v>
      </c>
      <c r="S2267" t="s">
        <v>31</v>
      </c>
      <c r="T2267" t="s">
        <v>27</v>
      </c>
      <c r="U2267">
        <f>IF(IFERROR(VLOOKUP(BBDD_Usiarios_Netflix[[#This Row],[Identificador Usuario]],A2268:$A$5870,1,FALSE),0)&lt;&gt;0,1,0)</f>
        <v>0</v>
      </c>
      <c r="V2267" s="6" t="str">
        <f>IF(BBDD_Usiarios_Netflix[[#This Row],[Duración Plan]]="12 Meses",LEFT(BBDD_Usiarios_Netflix[[#This Row],[Duración Plan]],2),LEFT(BBDD_Usiarios_Netflix[[#This Row],[Duración Plan]],1))</f>
        <v>1</v>
      </c>
      <c r="W22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68" spans="1:23" x14ac:dyDescent="0.25">
      <c r="A2268">
        <v>2267</v>
      </c>
      <c r="B2268" t="s">
        <v>23</v>
      </c>
      <c r="C2268">
        <v>10</v>
      </c>
      <c r="D2268" s="3">
        <v>15</v>
      </c>
      <c r="E2268" s="3">
        <v>8</v>
      </c>
      <c r="F2268">
        <v>23</v>
      </c>
      <c r="G2268" s="1">
        <f>DATEVALUE(_xlfn.CONCAT(BBDD_Usiarios_Netflix[[#This Row],[Día Suscripción]],"/",BBDD_Usiarios_Netflix[[#This Row],[Mes Suscripción]],"/",BBDD_Usiarios_Netflix[[#This Row],[Año Suscripción]]))</f>
        <v>45153</v>
      </c>
      <c r="H2268" s="1">
        <v>10</v>
      </c>
      <c r="I2268" s="1">
        <v>7</v>
      </c>
      <c r="J2268" s="1">
        <v>24</v>
      </c>
      <c r="K2268" s="1" t="str">
        <f>TEXT(BBDD_Usiarios_Netflix[[#This Row],[Fecha Suscripción]],"dddd")</f>
        <v>martes</v>
      </c>
      <c r="L2268" s="1">
        <f>DATEVALUE(_xlfn.CONCAT(BBDD_Usiarios_Netflix[[#This Row],[Día Último Pago]],"/",BBDD_Usiarios_Netflix[[#This Row],[Mes Último Pago]],"/",BBDD_Usiarios_Netflix[[#This Row],[Año Último Pago]]))</f>
        <v>45483</v>
      </c>
      <c r="M2268" s="4">
        <f>DATEDIF(BBDD_Usiarios_Netflix[[#This Row],[Fecha Suscripción]],BBDD_Usiarios_Netflix[[#This Row],[Fecha Último Pago]],"M")+1</f>
        <v>11</v>
      </c>
      <c r="N2268" s="4">
        <f>BBDD_Usiarios_Netflix[[#This Row],[Ingresos Mensuales]]*BBDD_Usiarios_Netflix[[#This Row],[Meses contratados]]</f>
        <v>110</v>
      </c>
      <c r="O2268" t="s">
        <v>33</v>
      </c>
      <c r="P2268" t="str">
        <f>IF(BBDD_Usiarios_Netflix[[#This Row],[País]]="","Desconocido",BBDD_Usiarios_Netflix[[#This Row],[País]])</f>
        <v>Francia</v>
      </c>
      <c r="Q2268">
        <v>36</v>
      </c>
      <c r="R2268" t="s">
        <v>30</v>
      </c>
      <c r="S2268" t="s">
        <v>26</v>
      </c>
      <c r="T2268" t="s">
        <v>35</v>
      </c>
      <c r="U2268">
        <f>IF(IFERROR(VLOOKUP(BBDD_Usiarios_Netflix[[#This Row],[Identificador Usuario]],A2269:$A$5870,1,FALSE),0)&lt;&gt;0,1,0)</f>
        <v>0</v>
      </c>
      <c r="V2268" s="6" t="str">
        <f>IF(BBDD_Usiarios_Netflix[[#This Row],[Duración Plan]]="12 Meses",LEFT(BBDD_Usiarios_Netflix[[#This Row],[Duración Plan]],2),LEFT(BBDD_Usiarios_Netflix[[#This Row],[Duración Plan]],1))</f>
        <v>6</v>
      </c>
      <c r="W22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69" spans="1:23" x14ac:dyDescent="0.25">
      <c r="A2269">
        <v>2268</v>
      </c>
      <c r="B2269" t="s">
        <v>32</v>
      </c>
      <c r="C2269">
        <v>12</v>
      </c>
      <c r="D2269" s="3">
        <v>16</v>
      </c>
      <c r="E2269" s="3">
        <v>8</v>
      </c>
      <c r="F2269">
        <v>23</v>
      </c>
      <c r="G2269" s="1">
        <f>DATEVALUE(_xlfn.CONCAT(BBDD_Usiarios_Netflix[[#This Row],[Día Suscripción]],"/",BBDD_Usiarios_Netflix[[#This Row],[Mes Suscripción]],"/",BBDD_Usiarios_Netflix[[#This Row],[Año Suscripción]]))</f>
        <v>45154</v>
      </c>
      <c r="H2269" s="1">
        <v>11</v>
      </c>
      <c r="I2269" s="1">
        <v>7</v>
      </c>
      <c r="J2269" s="1">
        <v>24</v>
      </c>
      <c r="K2269" s="1" t="str">
        <f>TEXT(BBDD_Usiarios_Netflix[[#This Row],[Fecha Suscripción]],"dddd")</f>
        <v>miércoles</v>
      </c>
      <c r="L2269" s="1">
        <f>DATEVALUE(_xlfn.CONCAT(BBDD_Usiarios_Netflix[[#This Row],[Día Último Pago]],"/",BBDD_Usiarios_Netflix[[#This Row],[Mes Último Pago]],"/",BBDD_Usiarios_Netflix[[#This Row],[Año Último Pago]]))</f>
        <v>45484</v>
      </c>
      <c r="M2269" s="4">
        <f>DATEDIF(BBDD_Usiarios_Netflix[[#This Row],[Fecha Suscripción]],BBDD_Usiarios_Netflix[[#This Row],[Fecha Último Pago]],"M")+1</f>
        <v>11</v>
      </c>
      <c r="N2269" s="4">
        <f>BBDD_Usiarios_Netflix[[#This Row],[Ingresos Mensuales]]*BBDD_Usiarios_Netflix[[#This Row],[Meses contratados]]</f>
        <v>132</v>
      </c>
      <c r="O2269" t="s">
        <v>29</v>
      </c>
      <c r="P2269" t="str">
        <f>IF(BBDD_Usiarios_Netflix[[#This Row],[País]]="","Desconocido",BBDD_Usiarios_Netflix[[#This Row],[País]])</f>
        <v>EEUU</v>
      </c>
      <c r="Q2269">
        <v>48</v>
      </c>
      <c r="R2269" t="s">
        <v>25</v>
      </c>
      <c r="S2269" t="s">
        <v>34</v>
      </c>
      <c r="T2269" t="s">
        <v>35</v>
      </c>
      <c r="U2269">
        <f>IF(IFERROR(VLOOKUP(BBDD_Usiarios_Netflix[[#This Row],[Identificador Usuario]],A2270:$A$5870,1,FALSE),0)&lt;&gt;0,1,0)</f>
        <v>0</v>
      </c>
      <c r="V2269" s="6" t="str">
        <f>IF(BBDD_Usiarios_Netflix[[#This Row],[Duración Plan]]="12 Meses",LEFT(BBDD_Usiarios_Netflix[[#This Row],[Duración Plan]],2),LEFT(BBDD_Usiarios_Netflix[[#This Row],[Duración Plan]],1))</f>
        <v>6</v>
      </c>
      <c r="W22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70" spans="1:23" x14ac:dyDescent="0.25">
      <c r="A2270">
        <v>2269</v>
      </c>
      <c r="B2270" t="s">
        <v>28</v>
      </c>
      <c r="C2270">
        <v>14</v>
      </c>
      <c r="D2270" s="3">
        <v>1</v>
      </c>
      <c r="E2270" s="3">
        <v>8</v>
      </c>
      <c r="F2270">
        <v>23</v>
      </c>
      <c r="G2270" s="1">
        <f>DATEVALUE(_xlfn.CONCAT(BBDD_Usiarios_Netflix[[#This Row],[Día Suscripción]],"/",BBDD_Usiarios_Netflix[[#This Row],[Mes Suscripción]],"/",BBDD_Usiarios_Netflix[[#This Row],[Año Suscripción]]))</f>
        <v>45139</v>
      </c>
      <c r="H2270" s="1">
        <v>10</v>
      </c>
      <c r="I2270" s="1">
        <v>7</v>
      </c>
      <c r="J2270" s="1">
        <v>24</v>
      </c>
      <c r="K2270" s="1" t="str">
        <f>TEXT(BBDD_Usiarios_Netflix[[#This Row],[Fecha Suscripción]],"dddd")</f>
        <v>martes</v>
      </c>
      <c r="L2270" s="1">
        <f>DATEVALUE(_xlfn.CONCAT(BBDD_Usiarios_Netflix[[#This Row],[Día Último Pago]],"/",BBDD_Usiarios_Netflix[[#This Row],[Mes Último Pago]],"/",BBDD_Usiarios_Netflix[[#This Row],[Año Último Pago]]))</f>
        <v>45483</v>
      </c>
      <c r="M2270" s="4">
        <f>DATEDIF(BBDD_Usiarios_Netflix[[#This Row],[Fecha Suscripción]],BBDD_Usiarios_Netflix[[#This Row],[Fecha Último Pago]],"M")+1</f>
        <v>12</v>
      </c>
      <c r="N2270" s="4">
        <f>BBDD_Usiarios_Netflix[[#This Row],[Ingresos Mensuales]]*BBDD_Usiarios_Netflix[[#This Row],[Meses contratados]]</f>
        <v>168</v>
      </c>
      <c r="O2270" t="s">
        <v>29</v>
      </c>
      <c r="P2270" t="str">
        <f>IF(BBDD_Usiarios_Netflix[[#This Row],[País]]="","Desconocido",BBDD_Usiarios_Netflix[[#This Row],[País]])</f>
        <v>EEUU</v>
      </c>
      <c r="Q2270">
        <v>33</v>
      </c>
      <c r="R2270" t="s">
        <v>30</v>
      </c>
      <c r="S2270" t="s">
        <v>26</v>
      </c>
      <c r="T2270" t="s">
        <v>27</v>
      </c>
      <c r="U2270">
        <f>IF(IFERROR(VLOOKUP(BBDD_Usiarios_Netflix[[#This Row],[Identificador Usuario]],A2271:$A$5870,1,FALSE),0)&lt;&gt;0,1,0)</f>
        <v>0</v>
      </c>
      <c r="V2270" s="6" t="str">
        <f>IF(BBDD_Usiarios_Netflix[[#This Row],[Duración Plan]]="12 Meses",LEFT(BBDD_Usiarios_Netflix[[#This Row],[Duración Plan]],2),LEFT(BBDD_Usiarios_Netflix[[#This Row],[Duración Plan]],1))</f>
        <v>1</v>
      </c>
      <c r="W22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71" spans="1:23" x14ac:dyDescent="0.25">
      <c r="A2271">
        <v>2270</v>
      </c>
      <c r="B2271" t="s">
        <v>23</v>
      </c>
      <c r="C2271">
        <v>10</v>
      </c>
      <c r="D2271" s="3">
        <v>27</v>
      </c>
      <c r="E2271" s="3">
        <v>7</v>
      </c>
      <c r="F2271">
        <v>23</v>
      </c>
      <c r="G2271" s="1">
        <f>DATEVALUE(_xlfn.CONCAT(BBDD_Usiarios_Netflix[[#This Row],[Día Suscripción]],"/",BBDD_Usiarios_Netflix[[#This Row],[Mes Suscripción]],"/",BBDD_Usiarios_Netflix[[#This Row],[Año Suscripción]]))</f>
        <v>45134</v>
      </c>
      <c r="H2271" s="1">
        <v>14</v>
      </c>
      <c r="I2271" s="1">
        <v>7</v>
      </c>
      <c r="J2271" s="1">
        <v>24</v>
      </c>
      <c r="K2271" s="1" t="str">
        <f>TEXT(BBDD_Usiarios_Netflix[[#This Row],[Fecha Suscripción]],"dddd")</f>
        <v>jueves</v>
      </c>
      <c r="L2271" s="1">
        <f>DATEVALUE(_xlfn.CONCAT(BBDD_Usiarios_Netflix[[#This Row],[Día Último Pago]],"/",BBDD_Usiarios_Netflix[[#This Row],[Mes Último Pago]],"/",BBDD_Usiarios_Netflix[[#This Row],[Año Último Pago]]))</f>
        <v>45487</v>
      </c>
      <c r="M2271" s="4">
        <f>DATEDIF(BBDD_Usiarios_Netflix[[#This Row],[Fecha Suscripción]],BBDD_Usiarios_Netflix[[#This Row],[Fecha Último Pago]],"M")+1</f>
        <v>12</v>
      </c>
      <c r="N2271" s="4">
        <f>BBDD_Usiarios_Netflix[[#This Row],[Ingresos Mensuales]]*BBDD_Usiarios_Netflix[[#This Row],[Meses contratados]]</f>
        <v>120</v>
      </c>
      <c r="O2271" t="s">
        <v>33</v>
      </c>
      <c r="P2271" t="str">
        <f>IF(BBDD_Usiarios_Netflix[[#This Row],[País]]="","Desconocido",BBDD_Usiarios_Netflix[[#This Row],[País]])</f>
        <v>Francia</v>
      </c>
      <c r="Q2271">
        <v>30</v>
      </c>
      <c r="R2271" t="s">
        <v>30</v>
      </c>
      <c r="S2271" t="s">
        <v>34</v>
      </c>
      <c r="T2271" t="s">
        <v>38</v>
      </c>
      <c r="U2271">
        <f>IF(IFERROR(VLOOKUP(BBDD_Usiarios_Netflix[[#This Row],[Identificador Usuario]],A2272:$A$5870,1,FALSE),0)&lt;&gt;0,1,0)</f>
        <v>0</v>
      </c>
      <c r="V2271" s="6" t="str">
        <f>IF(BBDD_Usiarios_Netflix[[#This Row],[Duración Plan]]="12 Meses",LEFT(BBDD_Usiarios_Netflix[[#This Row],[Duración Plan]],2),LEFT(BBDD_Usiarios_Netflix[[#This Row],[Duración Plan]],1))</f>
        <v>3</v>
      </c>
      <c r="W22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72" spans="1:23" x14ac:dyDescent="0.25">
      <c r="A2272">
        <v>2271</v>
      </c>
      <c r="B2272" t="s">
        <v>28</v>
      </c>
      <c r="C2272">
        <v>14</v>
      </c>
      <c r="D2272" s="3">
        <v>26</v>
      </c>
      <c r="E2272" s="3">
        <v>7</v>
      </c>
      <c r="F2272">
        <v>23</v>
      </c>
      <c r="G2272" s="1">
        <f>DATEVALUE(_xlfn.CONCAT(BBDD_Usiarios_Netflix[[#This Row],[Día Suscripción]],"/",BBDD_Usiarios_Netflix[[#This Row],[Mes Suscripción]],"/",BBDD_Usiarios_Netflix[[#This Row],[Año Suscripción]]))</f>
        <v>45133</v>
      </c>
      <c r="H2272" s="1">
        <v>10</v>
      </c>
      <c r="I2272" s="1">
        <v>7</v>
      </c>
      <c r="J2272" s="1">
        <v>24</v>
      </c>
      <c r="K2272" s="1" t="str">
        <f>TEXT(BBDD_Usiarios_Netflix[[#This Row],[Fecha Suscripción]],"dddd")</f>
        <v>miércoles</v>
      </c>
      <c r="L2272" s="1">
        <f>DATEVALUE(_xlfn.CONCAT(BBDD_Usiarios_Netflix[[#This Row],[Día Último Pago]],"/",BBDD_Usiarios_Netflix[[#This Row],[Mes Último Pago]],"/",BBDD_Usiarios_Netflix[[#This Row],[Año Último Pago]]))</f>
        <v>45483</v>
      </c>
      <c r="M2272" s="4">
        <f>DATEDIF(BBDD_Usiarios_Netflix[[#This Row],[Fecha Suscripción]],BBDD_Usiarios_Netflix[[#This Row],[Fecha Último Pago]],"M")+1</f>
        <v>12</v>
      </c>
      <c r="N2272" s="4">
        <f>BBDD_Usiarios_Netflix[[#This Row],[Ingresos Mensuales]]*BBDD_Usiarios_Netflix[[#This Row],[Meses contratados]]</f>
        <v>168</v>
      </c>
      <c r="O2272" t="s">
        <v>37</v>
      </c>
      <c r="P2272" t="str">
        <f>IF(BBDD_Usiarios_Netflix[[#This Row],[País]]="","Desconocido",BBDD_Usiarios_Netflix[[#This Row],[País]])</f>
        <v>Brasil</v>
      </c>
      <c r="Q2272">
        <v>37</v>
      </c>
      <c r="R2272" t="s">
        <v>30</v>
      </c>
      <c r="S2272" t="s">
        <v>36</v>
      </c>
      <c r="T2272" t="s">
        <v>27</v>
      </c>
      <c r="U2272">
        <f>IF(IFERROR(VLOOKUP(BBDD_Usiarios_Netflix[[#This Row],[Identificador Usuario]],A2273:$A$5870,1,FALSE),0)&lt;&gt;0,1,0)</f>
        <v>0</v>
      </c>
      <c r="V2272" s="6" t="str">
        <f>IF(BBDD_Usiarios_Netflix[[#This Row],[Duración Plan]]="12 Meses",LEFT(BBDD_Usiarios_Netflix[[#This Row],[Duración Plan]],2),LEFT(BBDD_Usiarios_Netflix[[#This Row],[Duración Plan]],1))</f>
        <v>1</v>
      </c>
      <c r="W22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73" spans="1:23" x14ac:dyDescent="0.25">
      <c r="A2273">
        <v>2272</v>
      </c>
      <c r="B2273" t="s">
        <v>23</v>
      </c>
      <c r="C2273">
        <v>10</v>
      </c>
      <c r="D2273" s="3">
        <v>26</v>
      </c>
      <c r="E2273" s="3">
        <v>7</v>
      </c>
      <c r="F2273">
        <v>23</v>
      </c>
      <c r="G2273" s="1">
        <f>DATEVALUE(_xlfn.CONCAT(BBDD_Usiarios_Netflix[[#This Row],[Día Suscripción]],"/",BBDD_Usiarios_Netflix[[#This Row],[Mes Suscripción]],"/",BBDD_Usiarios_Netflix[[#This Row],[Año Suscripción]]))</f>
        <v>45133</v>
      </c>
      <c r="H2273" s="1">
        <v>11</v>
      </c>
      <c r="I2273" s="1">
        <v>7</v>
      </c>
      <c r="J2273" s="1">
        <v>24</v>
      </c>
      <c r="K2273" s="1" t="str">
        <f>TEXT(BBDD_Usiarios_Netflix[[#This Row],[Fecha Suscripción]],"dddd")</f>
        <v>miércoles</v>
      </c>
      <c r="L2273" s="1">
        <f>DATEVALUE(_xlfn.CONCAT(BBDD_Usiarios_Netflix[[#This Row],[Día Último Pago]],"/",BBDD_Usiarios_Netflix[[#This Row],[Mes Último Pago]],"/",BBDD_Usiarios_Netflix[[#This Row],[Año Último Pago]]))</f>
        <v>45484</v>
      </c>
      <c r="M2273" s="4">
        <f>DATEDIF(BBDD_Usiarios_Netflix[[#This Row],[Fecha Suscripción]],BBDD_Usiarios_Netflix[[#This Row],[Fecha Último Pago]],"M")+1</f>
        <v>12</v>
      </c>
      <c r="N2273" s="4">
        <f>BBDD_Usiarios_Netflix[[#This Row],[Ingresos Mensuales]]*BBDD_Usiarios_Netflix[[#This Row],[Meses contratados]]</f>
        <v>120</v>
      </c>
      <c r="O2273" t="s">
        <v>24</v>
      </c>
      <c r="P2273" t="str">
        <f>IF(BBDD_Usiarios_Netflix[[#This Row],[País]]="","Desconocido",BBDD_Usiarios_Netflix[[#This Row],[País]])</f>
        <v>Australia</v>
      </c>
      <c r="Q2273">
        <v>49</v>
      </c>
      <c r="R2273" t="s">
        <v>25</v>
      </c>
      <c r="S2273" t="s">
        <v>34</v>
      </c>
      <c r="T2273" t="s">
        <v>41</v>
      </c>
      <c r="U2273">
        <f>IF(IFERROR(VLOOKUP(BBDD_Usiarios_Netflix[[#This Row],[Identificador Usuario]],A2274:$A$5870,1,FALSE),0)&lt;&gt;0,1,0)</f>
        <v>0</v>
      </c>
      <c r="V2273" s="6" t="str">
        <f>IF(BBDD_Usiarios_Netflix[[#This Row],[Duración Plan]]="12 Meses",LEFT(BBDD_Usiarios_Netflix[[#This Row],[Duración Plan]],2),LEFT(BBDD_Usiarios_Netflix[[#This Row],[Duración Plan]],1))</f>
        <v>12</v>
      </c>
      <c r="W22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74" spans="1:23" x14ac:dyDescent="0.25">
      <c r="A2274">
        <v>2273</v>
      </c>
      <c r="B2274" t="s">
        <v>32</v>
      </c>
      <c r="C2274">
        <v>12</v>
      </c>
      <c r="D2274" s="3">
        <v>27</v>
      </c>
      <c r="E2274" s="3">
        <v>7</v>
      </c>
      <c r="F2274">
        <v>23</v>
      </c>
      <c r="G2274" s="1">
        <f>DATEVALUE(_xlfn.CONCAT(BBDD_Usiarios_Netflix[[#This Row],[Día Suscripción]],"/",BBDD_Usiarios_Netflix[[#This Row],[Mes Suscripción]],"/",BBDD_Usiarios_Netflix[[#This Row],[Año Suscripción]]))</f>
        <v>45134</v>
      </c>
      <c r="H2274" s="1">
        <v>11</v>
      </c>
      <c r="I2274" s="1">
        <v>7</v>
      </c>
      <c r="J2274" s="1">
        <v>24</v>
      </c>
      <c r="K2274" s="1" t="str">
        <f>TEXT(BBDD_Usiarios_Netflix[[#This Row],[Fecha Suscripción]],"dddd")</f>
        <v>jueves</v>
      </c>
      <c r="L2274" s="1">
        <f>DATEVALUE(_xlfn.CONCAT(BBDD_Usiarios_Netflix[[#This Row],[Día Último Pago]],"/",BBDD_Usiarios_Netflix[[#This Row],[Mes Último Pago]],"/",BBDD_Usiarios_Netflix[[#This Row],[Año Último Pago]]))</f>
        <v>45484</v>
      </c>
      <c r="M2274" s="4">
        <f>DATEDIF(BBDD_Usiarios_Netflix[[#This Row],[Fecha Suscripción]],BBDD_Usiarios_Netflix[[#This Row],[Fecha Último Pago]],"M")+1</f>
        <v>12</v>
      </c>
      <c r="N2274" s="4">
        <f>BBDD_Usiarios_Netflix[[#This Row],[Ingresos Mensuales]]*BBDD_Usiarios_Netflix[[#This Row],[Meses contratados]]</f>
        <v>144</v>
      </c>
      <c r="O2274" t="s">
        <v>29</v>
      </c>
      <c r="P2274" t="str">
        <f>IF(BBDD_Usiarios_Netflix[[#This Row],[País]]="","Desconocido",BBDD_Usiarios_Netflix[[#This Row],[País]])</f>
        <v>EEUU</v>
      </c>
      <c r="Q2274">
        <v>47</v>
      </c>
      <c r="R2274" t="s">
        <v>30</v>
      </c>
      <c r="S2274" t="s">
        <v>26</v>
      </c>
      <c r="T2274" t="s">
        <v>35</v>
      </c>
      <c r="U2274">
        <f>IF(IFERROR(VLOOKUP(BBDD_Usiarios_Netflix[[#This Row],[Identificador Usuario]],A2275:$A$5870,1,FALSE),0)&lt;&gt;0,1,0)</f>
        <v>0</v>
      </c>
      <c r="V2274" s="6" t="str">
        <f>IF(BBDD_Usiarios_Netflix[[#This Row],[Duración Plan]]="12 Meses",LEFT(BBDD_Usiarios_Netflix[[#This Row],[Duración Plan]],2),LEFT(BBDD_Usiarios_Netflix[[#This Row],[Duración Plan]],1))</f>
        <v>6</v>
      </c>
      <c r="W22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75" spans="1:23" x14ac:dyDescent="0.25">
      <c r="A2275">
        <v>2274</v>
      </c>
      <c r="B2275" t="s">
        <v>32</v>
      </c>
      <c r="C2275">
        <v>12</v>
      </c>
      <c r="D2275" s="3">
        <v>26</v>
      </c>
      <c r="E2275" s="3">
        <v>7</v>
      </c>
      <c r="F2275">
        <v>23</v>
      </c>
      <c r="G2275" s="1">
        <f>DATEVALUE(_xlfn.CONCAT(BBDD_Usiarios_Netflix[[#This Row],[Día Suscripción]],"/",BBDD_Usiarios_Netflix[[#This Row],[Mes Suscripción]],"/",BBDD_Usiarios_Netflix[[#This Row],[Año Suscripción]]))</f>
        <v>45133</v>
      </c>
      <c r="H2275" s="1">
        <v>13</v>
      </c>
      <c r="I2275" s="1">
        <v>7</v>
      </c>
      <c r="J2275" s="1">
        <v>24</v>
      </c>
      <c r="K2275" s="1" t="str">
        <f>TEXT(BBDD_Usiarios_Netflix[[#This Row],[Fecha Suscripción]],"dddd")</f>
        <v>miércoles</v>
      </c>
      <c r="L2275" s="1">
        <f>DATEVALUE(_xlfn.CONCAT(BBDD_Usiarios_Netflix[[#This Row],[Día Último Pago]],"/",BBDD_Usiarios_Netflix[[#This Row],[Mes Último Pago]],"/",BBDD_Usiarios_Netflix[[#This Row],[Año Último Pago]]))</f>
        <v>45486</v>
      </c>
      <c r="M2275" s="4">
        <f>DATEDIF(BBDD_Usiarios_Netflix[[#This Row],[Fecha Suscripción]],BBDD_Usiarios_Netflix[[#This Row],[Fecha Último Pago]],"M")+1</f>
        <v>12</v>
      </c>
      <c r="N2275" s="4">
        <f>BBDD_Usiarios_Netflix[[#This Row],[Ingresos Mensuales]]*BBDD_Usiarios_Netflix[[#This Row],[Meses contratados]]</f>
        <v>144</v>
      </c>
      <c r="O2275" t="s">
        <v>42</v>
      </c>
      <c r="P2275" t="str">
        <f>IF(BBDD_Usiarios_Netflix[[#This Row],[País]]="","Desconocido",BBDD_Usiarios_Netflix[[#This Row],[País]])</f>
        <v>Reino Unido</v>
      </c>
      <c r="Q2275">
        <v>45</v>
      </c>
      <c r="R2275" t="s">
        <v>30</v>
      </c>
      <c r="S2275" t="s">
        <v>31</v>
      </c>
      <c r="T2275" t="s">
        <v>27</v>
      </c>
      <c r="U2275">
        <f>IF(IFERROR(VLOOKUP(BBDD_Usiarios_Netflix[[#This Row],[Identificador Usuario]],A2276:$A$5870,1,FALSE),0)&lt;&gt;0,1,0)</f>
        <v>0</v>
      </c>
      <c r="V2275" s="6" t="str">
        <f>IF(BBDD_Usiarios_Netflix[[#This Row],[Duración Plan]]="12 Meses",LEFT(BBDD_Usiarios_Netflix[[#This Row],[Duración Plan]],2),LEFT(BBDD_Usiarios_Netflix[[#This Row],[Duración Plan]],1))</f>
        <v>1</v>
      </c>
      <c r="W22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76" spans="1:23" x14ac:dyDescent="0.25">
      <c r="A2276">
        <v>2275</v>
      </c>
      <c r="B2276" t="s">
        <v>23</v>
      </c>
      <c r="C2276">
        <v>10</v>
      </c>
      <c r="D2276" s="3">
        <v>23</v>
      </c>
      <c r="E2276" s="3">
        <v>7</v>
      </c>
      <c r="F2276">
        <v>23</v>
      </c>
      <c r="G2276" s="1">
        <f>DATEVALUE(_xlfn.CONCAT(BBDD_Usiarios_Netflix[[#This Row],[Día Suscripción]],"/",BBDD_Usiarios_Netflix[[#This Row],[Mes Suscripción]],"/",BBDD_Usiarios_Netflix[[#This Row],[Año Suscripción]]))</f>
        <v>45130</v>
      </c>
      <c r="H2276" s="1">
        <v>9</v>
      </c>
      <c r="I2276" s="1">
        <v>7</v>
      </c>
      <c r="J2276" s="1">
        <v>24</v>
      </c>
      <c r="K2276" s="1" t="str">
        <f>TEXT(BBDD_Usiarios_Netflix[[#This Row],[Fecha Suscripción]],"dddd")</f>
        <v>domingo</v>
      </c>
      <c r="L2276" s="1">
        <f>DATEVALUE(_xlfn.CONCAT(BBDD_Usiarios_Netflix[[#This Row],[Día Último Pago]],"/",BBDD_Usiarios_Netflix[[#This Row],[Mes Último Pago]],"/",BBDD_Usiarios_Netflix[[#This Row],[Año Último Pago]]))</f>
        <v>45482</v>
      </c>
      <c r="M2276" s="4">
        <f>DATEDIF(BBDD_Usiarios_Netflix[[#This Row],[Fecha Suscripción]],BBDD_Usiarios_Netflix[[#This Row],[Fecha Último Pago]],"M")+1</f>
        <v>12</v>
      </c>
      <c r="N2276" s="4">
        <f>BBDD_Usiarios_Netflix[[#This Row],[Ingresos Mensuales]]*BBDD_Usiarios_Netflix[[#This Row],[Meses contratados]]</f>
        <v>120</v>
      </c>
      <c r="O2276" t="s">
        <v>29</v>
      </c>
      <c r="P2276" t="str">
        <f>IF(BBDD_Usiarios_Netflix[[#This Row],[País]]="","Desconocido",BBDD_Usiarios_Netflix[[#This Row],[País]])</f>
        <v>EEUU</v>
      </c>
      <c r="Q2276">
        <v>50</v>
      </c>
      <c r="R2276" t="s">
        <v>25</v>
      </c>
      <c r="S2276" t="s">
        <v>34</v>
      </c>
      <c r="T2276" t="s">
        <v>27</v>
      </c>
      <c r="U2276">
        <f>IF(IFERROR(VLOOKUP(BBDD_Usiarios_Netflix[[#This Row],[Identificador Usuario]],A2277:$A$5870,1,FALSE),0)&lt;&gt;0,1,0)</f>
        <v>0</v>
      </c>
      <c r="V2276" s="6" t="str">
        <f>IF(BBDD_Usiarios_Netflix[[#This Row],[Duración Plan]]="12 Meses",LEFT(BBDD_Usiarios_Netflix[[#This Row],[Duración Plan]],2),LEFT(BBDD_Usiarios_Netflix[[#This Row],[Duración Plan]],1))</f>
        <v>1</v>
      </c>
      <c r="W22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77" spans="1:23" x14ac:dyDescent="0.25">
      <c r="A2277">
        <v>2276</v>
      </c>
      <c r="B2277" t="s">
        <v>28</v>
      </c>
      <c r="C2277">
        <v>14</v>
      </c>
      <c r="D2277" s="3">
        <v>20</v>
      </c>
      <c r="E2277" s="3">
        <v>7</v>
      </c>
      <c r="F2277">
        <v>23</v>
      </c>
      <c r="G2277" s="1">
        <f>DATEVALUE(_xlfn.CONCAT(BBDD_Usiarios_Netflix[[#This Row],[Día Suscripción]],"/",BBDD_Usiarios_Netflix[[#This Row],[Mes Suscripción]],"/",BBDD_Usiarios_Netflix[[#This Row],[Año Suscripción]]))</f>
        <v>45127</v>
      </c>
      <c r="H2277" s="1">
        <v>11</v>
      </c>
      <c r="I2277" s="1">
        <v>7</v>
      </c>
      <c r="J2277" s="1">
        <v>24</v>
      </c>
      <c r="K2277" s="1" t="str">
        <f>TEXT(BBDD_Usiarios_Netflix[[#This Row],[Fecha Suscripción]],"dddd")</f>
        <v>jueves</v>
      </c>
      <c r="L2277" s="1">
        <f>DATEVALUE(_xlfn.CONCAT(BBDD_Usiarios_Netflix[[#This Row],[Día Último Pago]],"/",BBDD_Usiarios_Netflix[[#This Row],[Mes Último Pago]],"/",BBDD_Usiarios_Netflix[[#This Row],[Año Último Pago]]))</f>
        <v>45484</v>
      </c>
      <c r="M2277" s="4">
        <f>DATEDIF(BBDD_Usiarios_Netflix[[#This Row],[Fecha Suscripción]],BBDD_Usiarios_Netflix[[#This Row],[Fecha Último Pago]],"M")+1</f>
        <v>12</v>
      </c>
      <c r="N2277" s="4">
        <f>BBDD_Usiarios_Netflix[[#This Row],[Ingresos Mensuales]]*BBDD_Usiarios_Netflix[[#This Row],[Meses contratados]]</f>
        <v>168</v>
      </c>
      <c r="O2277" t="s">
        <v>24</v>
      </c>
      <c r="P2277" t="str">
        <f>IF(BBDD_Usiarios_Netflix[[#This Row],[País]]="","Desconocido",BBDD_Usiarios_Netflix[[#This Row],[País]])</f>
        <v>Australia</v>
      </c>
      <c r="Q2277">
        <v>36</v>
      </c>
      <c r="R2277" t="s">
        <v>25</v>
      </c>
      <c r="S2277" t="s">
        <v>26</v>
      </c>
      <c r="T2277" t="s">
        <v>27</v>
      </c>
      <c r="U2277">
        <f>IF(IFERROR(VLOOKUP(BBDD_Usiarios_Netflix[[#This Row],[Identificador Usuario]],A2278:$A$5870,1,FALSE),0)&lt;&gt;0,1,0)</f>
        <v>0</v>
      </c>
      <c r="V2277" s="6" t="str">
        <f>IF(BBDD_Usiarios_Netflix[[#This Row],[Duración Plan]]="12 Meses",LEFT(BBDD_Usiarios_Netflix[[#This Row],[Duración Plan]],2),LEFT(BBDD_Usiarios_Netflix[[#This Row],[Duración Plan]],1))</f>
        <v>1</v>
      </c>
      <c r="W22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78" spans="1:23" x14ac:dyDescent="0.25">
      <c r="A2278">
        <v>2277</v>
      </c>
      <c r="B2278" t="s">
        <v>23</v>
      </c>
      <c r="C2278">
        <v>10</v>
      </c>
      <c r="D2278" s="3">
        <v>14</v>
      </c>
      <c r="E2278" s="3">
        <v>7</v>
      </c>
      <c r="F2278">
        <v>23</v>
      </c>
      <c r="G2278" s="1">
        <f>DATEVALUE(_xlfn.CONCAT(BBDD_Usiarios_Netflix[[#This Row],[Día Suscripción]],"/",BBDD_Usiarios_Netflix[[#This Row],[Mes Suscripción]],"/",BBDD_Usiarios_Netflix[[#This Row],[Año Suscripción]]))</f>
        <v>45121</v>
      </c>
      <c r="H2278" s="1">
        <v>10</v>
      </c>
      <c r="I2278" s="1">
        <v>7</v>
      </c>
      <c r="J2278" s="1">
        <v>24</v>
      </c>
      <c r="K2278" s="1" t="str">
        <f>TEXT(BBDD_Usiarios_Netflix[[#This Row],[Fecha Suscripción]],"dddd")</f>
        <v>viernes</v>
      </c>
      <c r="L2278" s="1">
        <f>DATEVALUE(_xlfn.CONCAT(BBDD_Usiarios_Netflix[[#This Row],[Día Último Pago]],"/",BBDD_Usiarios_Netflix[[#This Row],[Mes Último Pago]],"/",BBDD_Usiarios_Netflix[[#This Row],[Año Último Pago]]))</f>
        <v>45483</v>
      </c>
      <c r="M2278" s="4">
        <f>DATEDIF(BBDD_Usiarios_Netflix[[#This Row],[Fecha Suscripción]],BBDD_Usiarios_Netflix[[#This Row],[Fecha Último Pago]],"M")+1</f>
        <v>12</v>
      </c>
      <c r="N2278" s="4">
        <f>BBDD_Usiarios_Netflix[[#This Row],[Ingresos Mensuales]]*BBDD_Usiarios_Netflix[[#This Row],[Meses contratados]]</f>
        <v>120</v>
      </c>
      <c r="O2278" t="s">
        <v>43</v>
      </c>
      <c r="P2278" t="str">
        <f>IF(BBDD_Usiarios_Netflix[[#This Row],[País]]="","Desconocido",BBDD_Usiarios_Netflix[[#This Row],[País]])</f>
        <v>Alemania</v>
      </c>
      <c r="Q2278">
        <v>37</v>
      </c>
      <c r="R2278" t="s">
        <v>25</v>
      </c>
      <c r="S2278" t="s">
        <v>34</v>
      </c>
      <c r="T2278" t="s">
        <v>27</v>
      </c>
      <c r="U2278">
        <f>IF(IFERROR(VLOOKUP(BBDD_Usiarios_Netflix[[#This Row],[Identificador Usuario]],A2279:$A$5870,1,FALSE),0)&lt;&gt;0,1,0)</f>
        <v>0</v>
      </c>
      <c r="V2278" s="6" t="str">
        <f>IF(BBDD_Usiarios_Netflix[[#This Row],[Duración Plan]]="12 Meses",LEFT(BBDD_Usiarios_Netflix[[#This Row],[Duración Plan]],2),LEFT(BBDD_Usiarios_Netflix[[#This Row],[Duración Plan]],1))</f>
        <v>1</v>
      </c>
      <c r="W22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79" spans="1:23" x14ac:dyDescent="0.25">
      <c r="A2279">
        <v>2278</v>
      </c>
      <c r="B2279" t="s">
        <v>32</v>
      </c>
      <c r="C2279">
        <v>12</v>
      </c>
      <c r="D2279" s="3">
        <v>14</v>
      </c>
      <c r="E2279" s="3">
        <v>7</v>
      </c>
      <c r="F2279">
        <v>23</v>
      </c>
      <c r="G2279" s="1">
        <f>DATEVALUE(_xlfn.CONCAT(BBDD_Usiarios_Netflix[[#This Row],[Día Suscripción]],"/",BBDD_Usiarios_Netflix[[#This Row],[Mes Suscripción]],"/",BBDD_Usiarios_Netflix[[#This Row],[Año Suscripción]]))</f>
        <v>45121</v>
      </c>
      <c r="H2279" s="1">
        <v>12</v>
      </c>
      <c r="I2279" s="1">
        <v>7</v>
      </c>
      <c r="J2279" s="1">
        <v>24</v>
      </c>
      <c r="K2279" s="1" t="str">
        <f>TEXT(BBDD_Usiarios_Netflix[[#This Row],[Fecha Suscripción]],"dddd")</f>
        <v>viernes</v>
      </c>
      <c r="L2279" s="1">
        <f>DATEVALUE(_xlfn.CONCAT(BBDD_Usiarios_Netflix[[#This Row],[Día Último Pago]],"/",BBDD_Usiarios_Netflix[[#This Row],[Mes Último Pago]],"/",BBDD_Usiarios_Netflix[[#This Row],[Año Último Pago]]))</f>
        <v>45485</v>
      </c>
      <c r="M2279" s="4">
        <f>DATEDIF(BBDD_Usiarios_Netflix[[#This Row],[Fecha Suscripción]],BBDD_Usiarios_Netflix[[#This Row],[Fecha Último Pago]],"M")+1</f>
        <v>12</v>
      </c>
      <c r="N2279" s="4">
        <f>BBDD_Usiarios_Netflix[[#This Row],[Ingresos Mensuales]]*BBDD_Usiarios_Netflix[[#This Row],[Meses contratados]]</f>
        <v>144</v>
      </c>
      <c r="O2279" t="s">
        <v>29</v>
      </c>
      <c r="P2279" t="str">
        <f>IF(BBDD_Usiarios_Netflix[[#This Row],[País]]="","Desconocido",BBDD_Usiarios_Netflix[[#This Row],[País]])</f>
        <v>EEUU</v>
      </c>
      <c r="Q2279">
        <v>38</v>
      </c>
      <c r="R2279" t="s">
        <v>30</v>
      </c>
      <c r="S2279" t="s">
        <v>31</v>
      </c>
      <c r="T2279" t="s">
        <v>41</v>
      </c>
      <c r="U2279">
        <f>IF(IFERROR(VLOOKUP(BBDD_Usiarios_Netflix[[#This Row],[Identificador Usuario]],A2280:$A$5870,1,FALSE),0)&lt;&gt;0,1,0)</f>
        <v>0</v>
      </c>
      <c r="V2279" s="6" t="str">
        <f>IF(BBDD_Usiarios_Netflix[[#This Row],[Duración Plan]]="12 Meses",LEFT(BBDD_Usiarios_Netflix[[#This Row],[Duración Plan]],2),LEFT(BBDD_Usiarios_Netflix[[#This Row],[Duración Plan]],1))</f>
        <v>12</v>
      </c>
      <c r="W22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80" spans="1:23" x14ac:dyDescent="0.25">
      <c r="A2280">
        <v>2279</v>
      </c>
      <c r="B2280" t="s">
        <v>28</v>
      </c>
      <c r="C2280">
        <v>14</v>
      </c>
      <c r="D2280" s="3">
        <v>14</v>
      </c>
      <c r="E2280" s="3">
        <v>7</v>
      </c>
      <c r="F2280">
        <v>23</v>
      </c>
      <c r="G2280" s="1">
        <f>DATEVALUE(_xlfn.CONCAT(BBDD_Usiarios_Netflix[[#This Row],[Día Suscripción]],"/",BBDD_Usiarios_Netflix[[#This Row],[Mes Suscripción]],"/",BBDD_Usiarios_Netflix[[#This Row],[Año Suscripción]]))</f>
        <v>45121</v>
      </c>
      <c r="H2280" s="1">
        <v>10</v>
      </c>
      <c r="I2280" s="1">
        <v>7</v>
      </c>
      <c r="J2280" s="1">
        <v>24</v>
      </c>
      <c r="K2280" s="1" t="str">
        <f>TEXT(BBDD_Usiarios_Netflix[[#This Row],[Fecha Suscripción]],"dddd")</f>
        <v>viernes</v>
      </c>
      <c r="L2280" s="1">
        <f>DATEVALUE(_xlfn.CONCAT(BBDD_Usiarios_Netflix[[#This Row],[Día Último Pago]],"/",BBDD_Usiarios_Netflix[[#This Row],[Mes Último Pago]],"/",BBDD_Usiarios_Netflix[[#This Row],[Año Último Pago]]))</f>
        <v>45483</v>
      </c>
      <c r="M2280" s="4">
        <f>DATEDIF(BBDD_Usiarios_Netflix[[#This Row],[Fecha Suscripción]],BBDD_Usiarios_Netflix[[#This Row],[Fecha Último Pago]],"M")+1</f>
        <v>12</v>
      </c>
      <c r="N2280" s="4">
        <f>BBDD_Usiarios_Netflix[[#This Row],[Ingresos Mensuales]]*BBDD_Usiarios_Netflix[[#This Row],[Meses contratados]]</f>
        <v>168</v>
      </c>
      <c r="O2280" t="s">
        <v>24</v>
      </c>
      <c r="P2280" t="str">
        <f>IF(BBDD_Usiarios_Netflix[[#This Row],[País]]="","Desconocido",BBDD_Usiarios_Netflix[[#This Row],[País]])</f>
        <v>Australia</v>
      </c>
      <c r="Q2280">
        <v>40</v>
      </c>
      <c r="R2280" t="s">
        <v>25</v>
      </c>
      <c r="S2280" t="s">
        <v>34</v>
      </c>
      <c r="T2280" t="s">
        <v>27</v>
      </c>
      <c r="U2280">
        <f>IF(IFERROR(VLOOKUP(BBDD_Usiarios_Netflix[[#This Row],[Identificador Usuario]],A2281:$A$5870,1,FALSE),0)&lt;&gt;0,1,0)</f>
        <v>0</v>
      </c>
      <c r="V2280" s="6" t="str">
        <f>IF(BBDD_Usiarios_Netflix[[#This Row],[Duración Plan]]="12 Meses",LEFT(BBDD_Usiarios_Netflix[[#This Row],[Duración Plan]],2),LEFT(BBDD_Usiarios_Netflix[[#This Row],[Duración Plan]],1))</f>
        <v>1</v>
      </c>
      <c r="W22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81" spans="1:23" x14ac:dyDescent="0.25">
      <c r="A2281">
        <v>2280</v>
      </c>
      <c r="B2281" t="s">
        <v>23</v>
      </c>
      <c r="C2281">
        <v>10</v>
      </c>
      <c r="D2281" s="3">
        <v>13</v>
      </c>
      <c r="E2281" s="3">
        <v>7</v>
      </c>
      <c r="F2281">
        <v>23</v>
      </c>
      <c r="G2281" s="1">
        <f>DATEVALUE(_xlfn.CONCAT(BBDD_Usiarios_Netflix[[#This Row],[Día Suscripción]],"/",BBDD_Usiarios_Netflix[[#This Row],[Mes Suscripción]],"/",BBDD_Usiarios_Netflix[[#This Row],[Año Suscripción]]))</f>
        <v>45120</v>
      </c>
      <c r="H2281" s="1">
        <v>12</v>
      </c>
      <c r="I2281" s="1">
        <v>7</v>
      </c>
      <c r="J2281" s="1">
        <v>24</v>
      </c>
      <c r="K2281" s="1" t="str">
        <f>TEXT(BBDD_Usiarios_Netflix[[#This Row],[Fecha Suscripción]],"dddd")</f>
        <v>jueves</v>
      </c>
      <c r="L2281" s="1">
        <f>DATEVALUE(_xlfn.CONCAT(BBDD_Usiarios_Netflix[[#This Row],[Día Último Pago]],"/",BBDD_Usiarios_Netflix[[#This Row],[Mes Último Pago]],"/",BBDD_Usiarios_Netflix[[#This Row],[Año Último Pago]]))</f>
        <v>45485</v>
      </c>
      <c r="M2281" s="4">
        <f>DATEDIF(BBDD_Usiarios_Netflix[[#This Row],[Fecha Suscripción]],BBDD_Usiarios_Netflix[[#This Row],[Fecha Último Pago]],"M")+1</f>
        <v>12</v>
      </c>
      <c r="N2281" s="4">
        <f>BBDD_Usiarios_Netflix[[#This Row],[Ingresos Mensuales]]*BBDD_Usiarios_Netflix[[#This Row],[Meses contratados]]</f>
        <v>120</v>
      </c>
      <c r="O2281" t="s">
        <v>29</v>
      </c>
      <c r="P2281" t="str">
        <f>IF(BBDD_Usiarios_Netflix[[#This Row],[País]]="","Desconocido",BBDD_Usiarios_Netflix[[#This Row],[País]])</f>
        <v>EEUU</v>
      </c>
      <c r="Q2281">
        <v>38</v>
      </c>
      <c r="R2281" t="s">
        <v>30</v>
      </c>
      <c r="S2281" t="s">
        <v>34</v>
      </c>
      <c r="T2281" t="s">
        <v>27</v>
      </c>
      <c r="U2281">
        <f>IF(IFERROR(VLOOKUP(BBDD_Usiarios_Netflix[[#This Row],[Identificador Usuario]],A2282:$A$5870,1,FALSE),0)&lt;&gt;0,1,0)</f>
        <v>0</v>
      </c>
      <c r="V2281" s="6" t="str">
        <f>IF(BBDD_Usiarios_Netflix[[#This Row],[Duración Plan]]="12 Meses",LEFT(BBDD_Usiarios_Netflix[[#This Row],[Duración Plan]],2),LEFT(BBDD_Usiarios_Netflix[[#This Row],[Duración Plan]],1))</f>
        <v>1</v>
      </c>
      <c r="W22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82" spans="1:23" x14ac:dyDescent="0.25">
      <c r="A2282">
        <v>2281</v>
      </c>
      <c r="B2282" t="s">
        <v>28</v>
      </c>
      <c r="C2282">
        <v>14</v>
      </c>
      <c r="D2282" s="3">
        <v>14</v>
      </c>
      <c r="E2282" s="3">
        <v>7</v>
      </c>
      <c r="F2282">
        <v>23</v>
      </c>
      <c r="G2282" s="1">
        <f>DATEVALUE(_xlfn.CONCAT(BBDD_Usiarios_Netflix[[#This Row],[Día Suscripción]],"/",BBDD_Usiarios_Netflix[[#This Row],[Mes Suscripción]],"/",BBDD_Usiarios_Netflix[[#This Row],[Año Suscripción]]))</f>
        <v>45121</v>
      </c>
      <c r="H2282" s="1">
        <v>10</v>
      </c>
      <c r="I2282" s="1">
        <v>7</v>
      </c>
      <c r="J2282" s="1">
        <v>24</v>
      </c>
      <c r="K2282" s="1" t="str">
        <f>TEXT(BBDD_Usiarios_Netflix[[#This Row],[Fecha Suscripción]],"dddd")</f>
        <v>viernes</v>
      </c>
      <c r="L2282" s="1">
        <f>DATEVALUE(_xlfn.CONCAT(BBDD_Usiarios_Netflix[[#This Row],[Día Último Pago]],"/",BBDD_Usiarios_Netflix[[#This Row],[Mes Último Pago]],"/",BBDD_Usiarios_Netflix[[#This Row],[Año Último Pago]]))</f>
        <v>45483</v>
      </c>
      <c r="M2282" s="4">
        <f>DATEDIF(BBDD_Usiarios_Netflix[[#This Row],[Fecha Suscripción]],BBDD_Usiarios_Netflix[[#This Row],[Fecha Último Pago]],"M")+1</f>
        <v>12</v>
      </c>
      <c r="N2282" s="4">
        <f>BBDD_Usiarios_Netflix[[#This Row],[Ingresos Mensuales]]*BBDD_Usiarios_Netflix[[#This Row],[Meses contratados]]</f>
        <v>168</v>
      </c>
      <c r="O2282" t="s">
        <v>45</v>
      </c>
      <c r="P2282" t="str">
        <f>IF(BBDD_Usiarios_Netflix[[#This Row],[País]]="","Desconocido",BBDD_Usiarios_Netflix[[#This Row],[País]])</f>
        <v>España</v>
      </c>
      <c r="Q2282">
        <v>46</v>
      </c>
      <c r="R2282" t="s">
        <v>30</v>
      </c>
      <c r="S2282" t="s">
        <v>31</v>
      </c>
      <c r="T2282" t="s">
        <v>27</v>
      </c>
      <c r="U2282">
        <f>IF(IFERROR(VLOOKUP(BBDD_Usiarios_Netflix[[#This Row],[Identificador Usuario]],A2283:$A$5870,1,FALSE),0)&lt;&gt;0,1,0)</f>
        <v>0</v>
      </c>
      <c r="V2282" s="6" t="str">
        <f>IF(BBDD_Usiarios_Netflix[[#This Row],[Duración Plan]]="12 Meses",LEFT(BBDD_Usiarios_Netflix[[#This Row],[Duración Plan]],2),LEFT(BBDD_Usiarios_Netflix[[#This Row],[Duración Plan]],1))</f>
        <v>1</v>
      </c>
      <c r="W22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83" spans="1:23" x14ac:dyDescent="0.25">
      <c r="A2283">
        <v>2282</v>
      </c>
      <c r="B2283" t="s">
        <v>23</v>
      </c>
      <c r="C2283">
        <v>10</v>
      </c>
      <c r="D2283" s="3">
        <v>15</v>
      </c>
      <c r="E2283" s="3">
        <v>7</v>
      </c>
      <c r="F2283">
        <v>23</v>
      </c>
      <c r="G2283" s="1">
        <f>DATEVALUE(_xlfn.CONCAT(BBDD_Usiarios_Netflix[[#This Row],[Día Suscripción]],"/",BBDD_Usiarios_Netflix[[#This Row],[Mes Suscripción]],"/",BBDD_Usiarios_Netflix[[#This Row],[Año Suscripción]]))</f>
        <v>45122</v>
      </c>
      <c r="H2283" s="1">
        <v>11</v>
      </c>
      <c r="I2283" s="1">
        <v>7</v>
      </c>
      <c r="J2283" s="1">
        <v>24</v>
      </c>
      <c r="K2283" s="1" t="str">
        <f>TEXT(BBDD_Usiarios_Netflix[[#This Row],[Fecha Suscripción]],"dddd")</f>
        <v>sábado</v>
      </c>
      <c r="L2283" s="1">
        <f>DATEVALUE(_xlfn.CONCAT(BBDD_Usiarios_Netflix[[#This Row],[Día Último Pago]],"/",BBDD_Usiarios_Netflix[[#This Row],[Mes Último Pago]],"/",BBDD_Usiarios_Netflix[[#This Row],[Año Último Pago]]))</f>
        <v>45484</v>
      </c>
      <c r="M2283" s="4">
        <f>DATEDIF(BBDD_Usiarios_Netflix[[#This Row],[Fecha Suscripción]],BBDD_Usiarios_Netflix[[#This Row],[Fecha Último Pago]],"M")+1</f>
        <v>12</v>
      </c>
      <c r="N2283" s="4">
        <f>BBDD_Usiarios_Netflix[[#This Row],[Ingresos Mensuales]]*BBDD_Usiarios_Netflix[[#This Row],[Meses contratados]]</f>
        <v>120</v>
      </c>
      <c r="O2283" t="s">
        <v>24</v>
      </c>
      <c r="P2283" t="str">
        <f>IF(BBDD_Usiarios_Netflix[[#This Row],[País]]="","Desconocido",BBDD_Usiarios_Netflix[[#This Row],[País]])</f>
        <v>Australia</v>
      </c>
      <c r="Q2283">
        <v>40</v>
      </c>
      <c r="R2283" t="s">
        <v>30</v>
      </c>
      <c r="S2283" t="s">
        <v>26</v>
      </c>
      <c r="T2283" t="s">
        <v>41</v>
      </c>
      <c r="U2283">
        <f>IF(IFERROR(VLOOKUP(BBDD_Usiarios_Netflix[[#This Row],[Identificador Usuario]],A2284:$A$5870,1,FALSE),0)&lt;&gt;0,1,0)</f>
        <v>0</v>
      </c>
      <c r="V2283" s="6" t="str">
        <f>IF(BBDD_Usiarios_Netflix[[#This Row],[Duración Plan]]="12 Meses",LEFT(BBDD_Usiarios_Netflix[[#This Row],[Duración Plan]],2),LEFT(BBDD_Usiarios_Netflix[[#This Row],[Duración Plan]],1))</f>
        <v>12</v>
      </c>
      <c r="W22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84" spans="1:23" x14ac:dyDescent="0.25">
      <c r="A2284">
        <v>2283</v>
      </c>
      <c r="B2284" t="s">
        <v>32</v>
      </c>
      <c r="C2284">
        <v>12</v>
      </c>
      <c r="D2284" s="3">
        <v>16</v>
      </c>
      <c r="E2284" s="3">
        <v>7</v>
      </c>
      <c r="F2284">
        <v>23</v>
      </c>
      <c r="G2284" s="1">
        <f>DATEVALUE(_xlfn.CONCAT(BBDD_Usiarios_Netflix[[#This Row],[Día Suscripción]],"/",BBDD_Usiarios_Netflix[[#This Row],[Mes Suscripción]],"/",BBDD_Usiarios_Netflix[[#This Row],[Año Suscripción]]))</f>
        <v>45123</v>
      </c>
      <c r="H2284" s="1">
        <v>10</v>
      </c>
      <c r="I2284" s="1">
        <v>7</v>
      </c>
      <c r="J2284" s="1">
        <v>24</v>
      </c>
      <c r="K2284" s="1" t="str">
        <f>TEXT(BBDD_Usiarios_Netflix[[#This Row],[Fecha Suscripción]],"dddd")</f>
        <v>domingo</v>
      </c>
      <c r="L2284" s="1">
        <f>DATEVALUE(_xlfn.CONCAT(BBDD_Usiarios_Netflix[[#This Row],[Día Último Pago]],"/",BBDD_Usiarios_Netflix[[#This Row],[Mes Último Pago]],"/",BBDD_Usiarios_Netflix[[#This Row],[Año Último Pago]]))</f>
        <v>45483</v>
      </c>
      <c r="M2284" s="4">
        <f>DATEDIF(BBDD_Usiarios_Netflix[[#This Row],[Fecha Suscripción]],BBDD_Usiarios_Netflix[[#This Row],[Fecha Último Pago]],"M")+1</f>
        <v>12</v>
      </c>
      <c r="N2284" s="4">
        <f>BBDD_Usiarios_Netflix[[#This Row],[Ingresos Mensuales]]*BBDD_Usiarios_Netflix[[#This Row],[Meses contratados]]</f>
        <v>144</v>
      </c>
      <c r="O2284" t="s">
        <v>42</v>
      </c>
      <c r="P2284" t="str">
        <f>IF(BBDD_Usiarios_Netflix[[#This Row],[País]]="","Desconocido",BBDD_Usiarios_Netflix[[#This Row],[País]])</f>
        <v>Reino Unido</v>
      </c>
      <c r="Q2284">
        <v>34</v>
      </c>
      <c r="R2284" t="s">
        <v>25</v>
      </c>
      <c r="S2284" t="s">
        <v>34</v>
      </c>
      <c r="T2284" t="s">
        <v>27</v>
      </c>
      <c r="U2284">
        <f>IF(IFERROR(VLOOKUP(BBDD_Usiarios_Netflix[[#This Row],[Identificador Usuario]],A2285:$A$5870,1,FALSE),0)&lt;&gt;0,1,0)</f>
        <v>0</v>
      </c>
      <c r="V2284" s="6" t="str">
        <f>IF(BBDD_Usiarios_Netflix[[#This Row],[Duración Plan]]="12 Meses",LEFT(BBDD_Usiarios_Netflix[[#This Row],[Duración Plan]],2),LEFT(BBDD_Usiarios_Netflix[[#This Row],[Duración Plan]],1))</f>
        <v>1</v>
      </c>
      <c r="W22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85" spans="1:23" x14ac:dyDescent="0.25">
      <c r="A2285">
        <v>2284</v>
      </c>
      <c r="B2285" t="s">
        <v>32</v>
      </c>
      <c r="C2285">
        <v>12</v>
      </c>
      <c r="D2285" s="3">
        <v>18</v>
      </c>
      <c r="E2285" s="3">
        <v>7</v>
      </c>
      <c r="F2285">
        <v>23</v>
      </c>
      <c r="G2285" s="1">
        <f>DATEVALUE(_xlfn.CONCAT(BBDD_Usiarios_Netflix[[#This Row],[Día Suscripción]],"/",BBDD_Usiarios_Netflix[[#This Row],[Mes Suscripción]],"/",BBDD_Usiarios_Netflix[[#This Row],[Año Suscripción]]))</f>
        <v>45125</v>
      </c>
      <c r="H2285" s="1">
        <v>12</v>
      </c>
      <c r="I2285" s="1">
        <v>7</v>
      </c>
      <c r="J2285" s="1">
        <v>24</v>
      </c>
      <c r="K2285" s="1" t="str">
        <f>TEXT(BBDD_Usiarios_Netflix[[#This Row],[Fecha Suscripción]],"dddd")</f>
        <v>martes</v>
      </c>
      <c r="L2285" s="1">
        <f>DATEVALUE(_xlfn.CONCAT(BBDD_Usiarios_Netflix[[#This Row],[Día Último Pago]],"/",BBDD_Usiarios_Netflix[[#This Row],[Mes Último Pago]],"/",BBDD_Usiarios_Netflix[[#This Row],[Año Último Pago]]))</f>
        <v>45485</v>
      </c>
      <c r="M2285" s="4">
        <f>DATEDIF(BBDD_Usiarios_Netflix[[#This Row],[Fecha Suscripción]],BBDD_Usiarios_Netflix[[#This Row],[Fecha Último Pago]],"M")+1</f>
        <v>12</v>
      </c>
      <c r="N2285" s="4">
        <f>BBDD_Usiarios_Netflix[[#This Row],[Ingresos Mensuales]]*BBDD_Usiarios_Netflix[[#This Row],[Meses contratados]]</f>
        <v>144</v>
      </c>
      <c r="O2285" t="s">
        <v>42</v>
      </c>
      <c r="P2285" t="str">
        <f>IF(BBDD_Usiarios_Netflix[[#This Row],[País]]="","Desconocido",BBDD_Usiarios_Netflix[[#This Row],[País]])</f>
        <v>Reino Unido</v>
      </c>
      <c r="Q2285">
        <v>39</v>
      </c>
      <c r="R2285" t="s">
        <v>30</v>
      </c>
      <c r="S2285" t="s">
        <v>26</v>
      </c>
      <c r="T2285" t="s">
        <v>41</v>
      </c>
      <c r="U2285">
        <f>IF(IFERROR(VLOOKUP(BBDD_Usiarios_Netflix[[#This Row],[Identificador Usuario]],A2286:$A$5870,1,FALSE),0)&lt;&gt;0,1,0)</f>
        <v>0</v>
      </c>
      <c r="V2285" s="6" t="str">
        <f>IF(BBDD_Usiarios_Netflix[[#This Row],[Duración Plan]]="12 Meses",LEFT(BBDD_Usiarios_Netflix[[#This Row],[Duración Plan]],2),LEFT(BBDD_Usiarios_Netflix[[#This Row],[Duración Plan]],1))</f>
        <v>12</v>
      </c>
      <c r="W22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86" spans="1:23" x14ac:dyDescent="0.25">
      <c r="A2286">
        <v>2285</v>
      </c>
      <c r="B2286" t="s">
        <v>23</v>
      </c>
      <c r="C2286">
        <v>10</v>
      </c>
      <c r="D2286" s="3">
        <v>19</v>
      </c>
      <c r="E2286" s="3">
        <v>7</v>
      </c>
      <c r="F2286">
        <v>23</v>
      </c>
      <c r="G2286" s="1">
        <f>DATEVALUE(_xlfn.CONCAT(BBDD_Usiarios_Netflix[[#This Row],[Día Suscripción]],"/",BBDD_Usiarios_Netflix[[#This Row],[Mes Suscripción]],"/",BBDD_Usiarios_Netflix[[#This Row],[Año Suscripción]]))</f>
        <v>45126</v>
      </c>
      <c r="H2286" s="1">
        <v>10</v>
      </c>
      <c r="I2286" s="1">
        <v>7</v>
      </c>
      <c r="J2286" s="1">
        <v>24</v>
      </c>
      <c r="K2286" s="1" t="str">
        <f>TEXT(BBDD_Usiarios_Netflix[[#This Row],[Fecha Suscripción]],"dddd")</f>
        <v>miércoles</v>
      </c>
      <c r="L2286" s="1">
        <f>DATEVALUE(_xlfn.CONCAT(BBDD_Usiarios_Netflix[[#This Row],[Día Último Pago]],"/",BBDD_Usiarios_Netflix[[#This Row],[Mes Último Pago]],"/",BBDD_Usiarios_Netflix[[#This Row],[Año Último Pago]]))</f>
        <v>45483</v>
      </c>
      <c r="M2286" s="4">
        <f>DATEDIF(BBDD_Usiarios_Netflix[[#This Row],[Fecha Suscripción]],BBDD_Usiarios_Netflix[[#This Row],[Fecha Último Pago]],"M")+1</f>
        <v>12</v>
      </c>
      <c r="N2286" s="4">
        <f>BBDD_Usiarios_Netflix[[#This Row],[Ingresos Mensuales]]*BBDD_Usiarios_Netflix[[#This Row],[Meses contratados]]</f>
        <v>120</v>
      </c>
      <c r="O2286" t="s">
        <v>42</v>
      </c>
      <c r="P2286" t="str">
        <f>IF(BBDD_Usiarios_Netflix[[#This Row],[País]]="","Desconocido",BBDD_Usiarios_Netflix[[#This Row],[País]])</f>
        <v>Reino Unido</v>
      </c>
      <c r="Q2286">
        <v>47</v>
      </c>
      <c r="R2286" t="s">
        <v>25</v>
      </c>
      <c r="S2286" t="s">
        <v>26</v>
      </c>
      <c r="T2286" t="s">
        <v>27</v>
      </c>
      <c r="U2286">
        <f>IF(IFERROR(VLOOKUP(BBDD_Usiarios_Netflix[[#This Row],[Identificador Usuario]],A2287:$A$5870,1,FALSE),0)&lt;&gt;0,1,0)</f>
        <v>0</v>
      </c>
      <c r="V2286" s="6" t="str">
        <f>IF(BBDD_Usiarios_Netflix[[#This Row],[Duración Plan]]="12 Meses",LEFT(BBDD_Usiarios_Netflix[[#This Row],[Duración Plan]],2),LEFT(BBDD_Usiarios_Netflix[[#This Row],[Duración Plan]],1))</f>
        <v>1</v>
      </c>
      <c r="W22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87" spans="1:23" x14ac:dyDescent="0.25">
      <c r="A2287">
        <v>2286</v>
      </c>
      <c r="B2287" t="s">
        <v>28</v>
      </c>
      <c r="C2287">
        <v>14</v>
      </c>
      <c r="D2287" s="3">
        <v>22</v>
      </c>
      <c r="E2287" s="3">
        <v>7</v>
      </c>
      <c r="F2287">
        <v>23</v>
      </c>
      <c r="G2287" s="1">
        <f>DATEVALUE(_xlfn.CONCAT(BBDD_Usiarios_Netflix[[#This Row],[Día Suscripción]],"/",BBDD_Usiarios_Netflix[[#This Row],[Mes Suscripción]],"/",BBDD_Usiarios_Netflix[[#This Row],[Año Suscripción]]))</f>
        <v>45129</v>
      </c>
      <c r="H2287" s="1">
        <v>12</v>
      </c>
      <c r="I2287" s="1">
        <v>7</v>
      </c>
      <c r="J2287" s="1">
        <v>24</v>
      </c>
      <c r="K2287" s="1" t="str">
        <f>TEXT(BBDD_Usiarios_Netflix[[#This Row],[Fecha Suscripción]],"dddd")</f>
        <v>sábado</v>
      </c>
      <c r="L2287" s="1">
        <f>DATEVALUE(_xlfn.CONCAT(BBDD_Usiarios_Netflix[[#This Row],[Día Último Pago]],"/",BBDD_Usiarios_Netflix[[#This Row],[Mes Último Pago]],"/",BBDD_Usiarios_Netflix[[#This Row],[Año Último Pago]]))</f>
        <v>45485</v>
      </c>
      <c r="M2287" s="4">
        <f>DATEDIF(BBDD_Usiarios_Netflix[[#This Row],[Fecha Suscripción]],BBDD_Usiarios_Netflix[[#This Row],[Fecha Último Pago]],"M")+1</f>
        <v>12</v>
      </c>
      <c r="N2287" s="4">
        <f>BBDD_Usiarios_Netflix[[#This Row],[Ingresos Mensuales]]*BBDD_Usiarios_Netflix[[#This Row],[Meses contratados]]</f>
        <v>168</v>
      </c>
      <c r="O2287" t="s">
        <v>40</v>
      </c>
      <c r="P2287" t="str">
        <f>IF(BBDD_Usiarios_Netflix[[#This Row],[País]]="","Desconocido",BBDD_Usiarios_Netflix[[#This Row],[País]])</f>
        <v>Italia</v>
      </c>
      <c r="Q2287">
        <v>41</v>
      </c>
      <c r="R2287" t="s">
        <v>25</v>
      </c>
      <c r="S2287" t="s">
        <v>36</v>
      </c>
      <c r="T2287" t="s">
        <v>27</v>
      </c>
      <c r="U2287">
        <f>IF(IFERROR(VLOOKUP(BBDD_Usiarios_Netflix[[#This Row],[Identificador Usuario]],A2288:$A$5870,1,FALSE),0)&lt;&gt;0,1,0)</f>
        <v>0</v>
      </c>
      <c r="V2287" s="6" t="str">
        <f>IF(BBDD_Usiarios_Netflix[[#This Row],[Duración Plan]]="12 Meses",LEFT(BBDD_Usiarios_Netflix[[#This Row],[Duración Plan]],2),LEFT(BBDD_Usiarios_Netflix[[#This Row],[Duración Plan]],1))</f>
        <v>1</v>
      </c>
      <c r="W22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88" spans="1:23" x14ac:dyDescent="0.25">
      <c r="A2288">
        <v>2287</v>
      </c>
      <c r="B2288" t="s">
        <v>23</v>
      </c>
      <c r="C2288">
        <v>10</v>
      </c>
      <c r="D2288" s="3">
        <v>27</v>
      </c>
      <c r="E2288" s="3">
        <v>7</v>
      </c>
      <c r="F2288">
        <v>23</v>
      </c>
      <c r="G2288" s="1">
        <f>DATEVALUE(_xlfn.CONCAT(BBDD_Usiarios_Netflix[[#This Row],[Día Suscripción]],"/",BBDD_Usiarios_Netflix[[#This Row],[Mes Suscripción]],"/",BBDD_Usiarios_Netflix[[#This Row],[Año Suscripción]]))</f>
        <v>45134</v>
      </c>
      <c r="H2288" s="1">
        <v>9</v>
      </c>
      <c r="I2288" s="1">
        <v>7</v>
      </c>
      <c r="J2288" s="1">
        <v>24</v>
      </c>
      <c r="K2288" s="1" t="str">
        <f>TEXT(BBDD_Usiarios_Netflix[[#This Row],[Fecha Suscripción]],"dddd")</f>
        <v>jueves</v>
      </c>
      <c r="L2288" s="1">
        <f>DATEVALUE(_xlfn.CONCAT(BBDD_Usiarios_Netflix[[#This Row],[Día Último Pago]],"/",BBDD_Usiarios_Netflix[[#This Row],[Mes Último Pago]],"/",BBDD_Usiarios_Netflix[[#This Row],[Año Último Pago]]))</f>
        <v>45482</v>
      </c>
      <c r="M2288" s="4">
        <f>DATEDIF(BBDD_Usiarios_Netflix[[#This Row],[Fecha Suscripción]],BBDD_Usiarios_Netflix[[#This Row],[Fecha Último Pago]],"M")+1</f>
        <v>12</v>
      </c>
      <c r="N2288" s="4">
        <f>BBDD_Usiarios_Netflix[[#This Row],[Ingresos Mensuales]]*BBDD_Usiarios_Netflix[[#This Row],[Meses contratados]]</f>
        <v>120</v>
      </c>
      <c r="O2288" t="s">
        <v>42</v>
      </c>
      <c r="P2288" t="str">
        <f>IF(BBDD_Usiarios_Netflix[[#This Row],[País]]="","Desconocido",BBDD_Usiarios_Netflix[[#This Row],[País]])</f>
        <v>Reino Unido</v>
      </c>
      <c r="Q2288">
        <v>47</v>
      </c>
      <c r="R2288" t="s">
        <v>30</v>
      </c>
      <c r="S2288" t="s">
        <v>31</v>
      </c>
      <c r="T2288" t="s">
        <v>35</v>
      </c>
      <c r="U2288">
        <f>IF(IFERROR(VLOOKUP(BBDD_Usiarios_Netflix[[#This Row],[Identificador Usuario]],A2289:$A$5870,1,FALSE),0)&lt;&gt;0,1,0)</f>
        <v>0</v>
      </c>
      <c r="V2288" s="6" t="str">
        <f>IF(BBDD_Usiarios_Netflix[[#This Row],[Duración Plan]]="12 Meses",LEFT(BBDD_Usiarios_Netflix[[#This Row],[Duración Plan]],2),LEFT(BBDD_Usiarios_Netflix[[#This Row],[Duración Plan]],1))</f>
        <v>6</v>
      </c>
      <c r="W22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89" spans="1:23" x14ac:dyDescent="0.25">
      <c r="A2289">
        <v>2288</v>
      </c>
      <c r="B2289" t="s">
        <v>32</v>
      </c>
      <c r="C2289">
        <v>12</v>
      </c>
      <c r="D2289" s="3">
        <v>2</v>
      </c>
      <c r="E2289" s="3">
        <v>8</v>
      </c>
      <c r="F2289">
        <v>23</v>
      </c>
      <c r="G2289" s="1">
        <f>DATEVALUE(_xlfn.CONCAT(BBDD_Usiarios_Netflix[[#This Row],[Día Suscripción]],"/",BBDD_Usiarios_Netflix[[#This Row],[Mes Suscripción]],"/",BBDD_Usiarios_Netflix[[#This Row],[Año Suscripción]]))</f>
        <v>45140</v>
      </c>
      <c r="H2289" s="1">
        <v>13</v>
      </c>
      <c r="I2289" s="1">
        <v>7</v>
      </c>
      <c r="J2289" s="1">
        <v>24</v>
      </c>
      <c r="K2289" s="1" t="str">
        <f>TEXT(BBDD_Usiarios_Netflix[[#This Row],[Fecha Suscripción]],"dddd")</f>
        <v>miércoles</v>
      </c>
      <c r="L2289" s="1">
        <f>DATEVALUE(_xlfn.CONCAT(BBDD_Usiarios_Netflix[[#This Row],[Día Último Pago]],"/",BBDD_Usiarios_Netflix[[#This Row],[Mes Último Pago]],"/",BBDD_Usiarios_Netflix[[#This Row],[Año Último Pago]]))</f>
        <v>45486</v>
      </c>
      <c r="M2289" s="4">
        <f>DATEDIF(BBDD_Usiarios_Netflix[[#This Row],[Fecha Suscripción]],BBDD_Usiarios_Netflix[[#This Row],[Fecha Último Pago]],"M")+1</f>
        <v>12</v>
      </c>
      <c r="N2289" s="4">
        <f>BBDD_Usiarios_Netflix[[#This Row],[Ingresos Mensuales]]*BBDD_Usiarios_Netflix[[#This Row],[Meses contratados]]</f>
        <v>144</v>
      </c>
      <c r="O2289" t="s">
        <v>43</v>
      </c>
      <c r="P2289" t="str">
        <f>IF(BBDD_Usiarios_Netflix[[#This Row],[País]]="","Desconocido",BBDD_Usiarios_Netflix[[#This Row],[País]])</f>
        <v>Alemania</v>
      </c>
      <c r="Q2289">
        <v>50</v>
      </c>
      <c r="R2289" t="s">
        <v>25</v>
      </c>
      <c r="S2289" t="s">
        <v>26</v>
      </c>
      <c r="T2289" t="s">
        <v>27</v>
      </c>
      <c r="U2289">
        <f>IF(IFERROR(VLOOKUP(BBDD_Usiarios_Netflix[[#This Row],[Identificador Usuario]],A2290:$A$5870,1,FALSE),0)&lt;&gt;0,1,0)</f>
        <v>0</v>
      </c>
      <c r="V2289" s="6" t="str">
        <f>IF(BBDD_Usiarios_Netflix[[#This Row],[Duración Plan]]="12 Meses",LEFT(BBDD_Usiarios_Netflix[[#This Row],[Duración Plan]],2),LEFT(BBDD_Usiarios_Netflix[[#This Row],[Duración Plan]],1))</f>
        <v>1</v>
      </c>
      <c r="W22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90" spans="1:23" x14ac:dyDescent="0.25">
      <c r="A2290">
        <v>2289</v>
      </c>
      <c r="B2290" t="s">
        <v>28</v>
      </c>
      <c r="C2290">
        <v>14</v>
      </c>
      <c r="D2290" s="3">
        <v>10</v>
      </c>
      <c r="E2290" s="3">
        <v>8</v>
      </c>
      <c r="F2290">
        <v>23</v>
      </c>
      <c r="G2290" s="1">
        <f>DATEVALUE(_xlfn.CONCAT(BBDD_Usiarios_Netflix[[#This Row],[Día Suscripción]],"/",BBDD_Usiarios_Netflix[[#This Row],[Mes Suscripción]],"/",BBDD_Usiarios_Netflix[[#This Row],[Año Suscripción]]))</f>
        <v>45148</v>
      </c>
      <c r="H2290" s="1">
        <v>10</v>
      </c>
      <c r="I2290" s="1">
        <v>7</v>
      </c>
      <c r="J2290" s="1">
        <v>24</v>
      </c>
      <c r="K2290" s="1" t="str">
        <f>TEXT(BBDD_Usiarios_Netflix[[#This Row],[Fecha Suscripción]],"dddd")</f>
        <v>jueves</v>
      </c>
      <c r="L2290" s="1">
        <f>DATEVALUE(_xlfn.CONCAT(BBDD_Usiarios_Netflix[[#This Row],[Día Último Pago]],"/",BBDD_Usiarios_Netflix[[#This Row],[Mes Último Pago]],"/",BBDD_Usiarios_Netflix[[#This Row],[Año Último Pago]]))</f>
        <v>45483</v>
      </c>
      <c r="M2290" s="4">
        <f>DATEDIF(BBDD_Usiarios_Netflix[[#This Row],[Fecha Suscripción]],BBDD_Usiarios_Netflix[[#This Row],[Fecha Último Pago]],"M")+1</f>
        <v>12</v>
      </c>
      <c r="N2290" s="4">
        <f>BBDD_Usiarios_Netflix[[#This Row],[Ingresos Mensuales]]*BBDD_Usiarios_Netflix[[#This Row],[Meses contratados]]</f>
        <v>168</v>
      </c>
      <c r="O2290" t="s">
        <v>33</v>
      </c>
      <c r="P2290" t="str">
        <f>IF(BBDD_Usiarios_Netflix[[#This Row],[País]]="","Desconocido",BBDD_Usiarios_Netflix[[#This Row],[País]])</f>
        <v>Francia</v>
      </c>
      <c r="Q2290">
        <v>31</v>
      </c>
      <c r="R2290" t="s">
        <v>25</v>
      </c>
      <c r="S2290" t="s">
        <v>31</v>
      </c>
      <c r="T2290" t="s">
        <v>41</v>
      </c>
      <c r="U2290">
        <f>IF(IFERROR(VLOOKUP(BBDD_Usiarios_Netflix[[#This Row],[Identificador Usuario]],A2291:$A$5870,1,FALSE),0)&lt;&gt;0,1,0)</f>
        <v>0</v>
      </c>
      <c r="V2290" s="6" t="str">
        <f>IF(BBDD_Usiarios_Netflix[[#This Row],[Duración Plan]]="12 Meses",LEFT(BBDD_Usiarios_Netflix[[#This Row],[Duración Plan]],2),LEFT(BBDD_Usiarios_Netflix[[#This Row],[Duración Plan]],1))</f>
        <v>12</v>
      </c>
      <c r="W22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91" spans="1:23" x14ac:dyDescent="0.25">
      <c r="A2291">
        <v>2290</v>
      </c>
      <c r="B2291" t="s">
        <v>23</v>
      </c>
      <c r="C2291">
        <v>10</v>
      </c>
      <c r="D2291" s="3">
        <v>15</v>
      </c>
      <c r="E2291" s="3">
        <v>8</v>
      </c>
      <c r="F2291">
        <v>23</v>
      </c>
      <c r="G2291" s="1">
        <f>DATEVALUE(_xlfn.CONCAT(BBDD_Usiarios_Netflix[[#This Row],[Día Suscripción]],"/",BBDD_Usiarios_Netflix[[#This Row],[Mes Suscripción]],"/",BBDD_Usiarios_Netflix[[#This Row],[Año Suscripción]]))</f>
        <v>45153</v>
      </c>
      <c r="H2291" s="1">
        <v>11</v>
      </c>
      <c r="I2291" s="1">
        <v>7</v>
      </c>
      <c r="J2291" s="1">
        <v>24</v>
      </c>
      <c r="K2291" s="1" t="str">
        <f>TEXT(BBDD_Usiarios_Netflix[[#This Row],[Fecha Suscripción]],"dddd")</f>
        <v>martes</v>
      </c>
      <c r="L2291" s="1">
        <f>DATEVALUE(_xlfn.CONCAT(BBDD_Usiarios_Netflix[[#This Row],[Día Último Pago]],"/",BBDD_Usiarios_Netflix[[#This Row],[Mes Último Pago]],"/",BBDD_Usiarios_Netflix[[#This Row],[Año Último Pago]]))</f>
        <v>45484</v>
      </c>
      <c r="M2291" s="4">
        <f>DATEDIF(BBDD_Usiarios_Netflix[[#This Row],[Fecha Suscripción]],BBDD_Usiarios_Netflix[[#This Row],[Fecha Último Pago]],"M")+1</f>
        <v>11</v>
      </c>
      <c r="N2291" s="4">
        <f>BBDD_Usiarios_Netflix[[#This Row],[Ingresos Mensuales]]*BBDD_Usiarios_Netflix[[#This Row],[Meses contratados]]</f>
        <v>110</v>
      </c>
      <c r="O2291" t="s">
        <v>40</v>
      </c>
      <c r="P2291" t="str">
        <f>IF(BBDD_Usiarios_Netflix[[#This Row],[País]]="","Desconocido",BBDD_Usiarios_Netflix[[#This Row],[País]])</f>
        <v>Italia</v>
      </c>
      <c r="Q2291">
        <v>41</v>
      </c>
      <c r="R2291" t="s">
        <v>25</v>
      </c>
      <c r="S2291" t="s">
        <v>26</v>
      </c>
      <c r="T2291" t="s">
        <v>35</v>
      </c>
      <c r="U2291">
        <f>IF(IFERROR(VLOOKUP(BBDD_Usiarios_Netflix[[#This Row],[Identificador Usuario]],A2292:$A$5870,1,FALSE),0)&lt;&gt;0,1,0)</f>
        <v>0</v>
      </c>
      <c r="V2291" s="6" t="str">
        <f>IF(BBDD_Usiarios_Netflix[[#This Row],[Duración Plan]]="12 Meses",LEFT(BBDD_Usiarios_Netflix[[#This Row],[Duración Plan]],2),LEFT(BBDD_Usiarios_Netflix[[#This Row],[Duración Plan]],1))</f>
        <v>6</v>
      </c>
      <c r="W22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92" spans="1:23" x14ac:dyDescent="0.25">
      <c r="A2292">
        <v>2291</v>
      </c>
      <c r="B2292" t="s">
        <v>28</v>
      </c>
      <c r="C2292">
        <v>14</v>
      </c>
      <c r="D2292" s="3">
        <v>18</v>
      </c>
      <c r="E2292" s="3">
        <v>8</v>
      </c>
      <c r="F2292">
        <v>23</v>
      </c>
      <c r="G2292" s="1">
        <f>DATEVALUE(_xlfn.CONCAT(BBDD_Usiarios_Netflix[[#This Row],[Día Suscripción]],"/",BBDD_Usiarios_Netflix[[#This Row],[Mes Suscripción]],"/",BBDD_Usiarios_Netflix[[#This Row],[Año Suscripción]]))</f>
        <v>45156</v>
      </c>
      <c r="H2292" s="1">
        <v>11</v>
      </c>
      <c r="I2292" s="1">
        <v>7</v>
      </c>
      <c r="J2292" s="1">
        <v>24</v>
      </c>
      <c r="K2292" s="1" t="str">
        <f>TEXT(BBDD_Usiarios_Netflix[[#This Row],[Fecha Suscripción]],"dddd")</f>
        <v>viernes</v>
      </c>
      <c r="L2292" s="1">
        <f>DATEVALUE(_xlfn.CONCAT(BBDD_Usiarios_Netflix[[#This Row],[Día Último Pago]],"/",BBDD_Usiarios_Netflix[[#This Row],[Mes Último Pago]],"/",BBDD_Usiarios_Netflix[[#This Row],[Año Último Pago]]))</f>
        <v>45484</v>
      </c>
      <c r="M2292" s="4">
        <f>DATEDIF(BBDD_Usiarios_Netflix[[#This Row],[Fecha Suscripción]],BBDD_Usiarios_Netflix[[#This Row],[Fecha Último Pago]],"M")+1</f>
        <v>11</v>
      </c>
      <c r="N2292" s="4">
        <f>BBDD_Usiarios_Netflix[[#This Row],[Ingresos Mensuales]]*BBDD_Usiarios_Netflix[[#This Row],[Meses contratados]]</f>
        <v>154</v>
      </c>
      <c r="O2292" t="s">
        <v>40</v>
      </c>
      <c r="P2292" t="str">
        <f>IF(BBDD_Usiarios_Netflix[[#This Row],[País]]="","Desconocido",BBDD_Usiarios_Netflix[[#This Row],[País]])</f>
        <v>Italia</v>
      </c>
      <c r="Q2292">
        <v>31</v>
      </c>
      <c r="R2292" t="s">
        <v>30</v>
      </c>
      <c r="S2292" t="s">
        <v>36</v>
      </c>
      <c r="T2292" t="s">
        <v>27</v>
      </c>
      <c r="U2292">
        <f>IF(IFERROR(VLOOKUP(BBDD_Usiarios_Netflix[[#This Row],[Identificador Usuario]],A2293:$A$5870,1,FALSE),0)&lt;&gt;0,1,0)</f>
        <v>0</v>
      </c>
      <c r="V2292" s="6" t="str">
        <f>IF(BBDD_Usiarios_Netflix[[#This Row],[Duración Plan]]="12 Meses",LEFT(BBDD_Usiarios_Netflix[[#This Row],[Duración Plan]],2),LEFT(BBDD_Usiarios_Netflix[[#This Row],[Duración Plan]],1))</f>
        <v>1</v>
      </c>
      <c r="W22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93" spans="1:23" x14ac:dyDescent="0.25">
      <c r="A2293">
        <v>2292</v>
      </c>
      <c r="B2293" t="s">
        <v>23</v>
      </c>
      <c r="C2293">
        <v>10</v>
      </c>
      <c r="D2293" s="3">
        <v>20</v>
      </c>
      <c r="E2293" s="3">
        <v>8</v>
      </c>
      <c r="F2293">
        <v>23</v>
      </c>
      <c r="G2293" s="1">
        <f>DATEVALUE(_xlfn.CONCAT(BBDD_Usiarios_Netflix[[#This Row],[Día Suscripción]],"/",BBDD_Usiarios_Netflix[[#This Row],[Mes Suscripción]],"/",BBDD_Usiarios_Netflix[[#This Row],[Año Suscripción]]))</f>
        <v>45158</v>
      </c>
      <c r="H2293" s="1">
        <v>14</v>
      </c>
      <c r="I2293" s="1">
        <v>7</v>
      </c>
      <c r="J2293" s="1">
        <v>24</v>
      </c>
      <c r="K2293" s="1" t="str">
        <f>TEXT(BBDD_Usiarios_Netflix[[#This Row],[Fecha Suscripción]],"dddd")</f>
        <v>domingo</v>
      </c>
      <c r="L2293" s="1">
        <f>DATEVALUE(_xlfn.CONCAT(BBDD_Usiarios_Netflix[[#This Row],[Día Último Pago]],"/",BBDD_Usiarios_Netflix[[#This Row],[Mes Último Pago]],"/",BBDD_Usiarios_Netflix[[#This Row],[Año Último Pago]]))</f>
        <v>45487</v>
      </c>
      <c r="M2293" s="4">
        <f>DATEDIF(BBDD_Usiarios_Netflix[[#This Row],[Fecha Suscripción]],BBDD_Usiarios_Netflix[[#This Row],[Fecha Último Pago]],"M")+1</f>
        <v>11</v>
      </c>
      <c r="N2293" s="4">
        <f>BBDD_Usiarios_Netflix[[#This Row],[Ingresos Mensuales]]*BBDD_Usiarios_Netflix[[#This Row],[Meses contratados]]</f>
        <v>110</v>
      </c>
      <c r="O2293" t="s">
        <v>45</v>
      </c>
      <c r="P2293" t="str">
        <f>IF(BBDD_Usiarios_Netflix[[#This Row],[País]]="","Desconocido",BBDD_Usiarios_Netflix[[#This Row],[País]])</f>
        <v>España</v>
      </c>
      <c r="Q2293">
        <v>41</v>
      </c>
      <c r="R2293" t="s">
        <v>30</v>
      </c>
      <c r="S2293" t="s">
        <v>34</v>
      </c>
      <c r="T2293" t="s">
        <v>41</v>
      </c>
      <c r="U2293">
        <f>IF(IFERROR(VLOOKUP(BBDD_Usiarios_Netflix[[#This Row],[Identificador Usuario]],A2294:$A$5870,1,FALSE),0)&lt;&gt;0,1,0)</f>
        <v>0</v>
      </c>
      <c r="V2293" s="6" t="str">
        <f>IF(BBDD_Usiarios_Netflix[[#This Row],[Duración Plan]]="12 Meses",LEFT(BBDD_Usiarios_Netflix[[#This Row],[Duración Plan]],2),LEFT(BBDD_Usiarios_Netflix[[#This Row],[Duración Plan]],1))</f>
        <v>12</v>
      </c>
      <c r="W22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294" spans="1:23" x14ac:dyDescent="0.25">
      <c r="A2294">
        <v>2293</v>
      </c>
      <c r="B2294" t="s">
        <v>32</v>
      </c>
      <c r="C2294">
        <v>12</v>
      </c>
      <c r="D2294" s="3">
        <v>23</v>
      </c>
      <c r="E2294" s="3">
        <v>8</v>
      </c>
      <c r="F2294">
        <v>23</v>
      </c>
      <c r="G2294" s="1">
        <f>DATEVALUE(_xlfn.CONCAT(BBDD_Usiarios_Netflix[[#This Row],[Día Suscripción]],"/",BBDD_Usiarios_Netflix[[#This Row],[Mes Suscripción]],"/",BBDD_Usiarios_Netflix[[#This Row],[Año Suscripción]]))</f>
        <v>45161</v>
      </c>
      <c r="H2294" s="1">
        <v>11</v>
      </c>
      <c r="I2294" s="1">
        <v>7</v>
      </c>
      <c r="J2294" s="1">
        <v>24</v>
      </c>
      <c r="K2294" s="1" t="str">
        <f>TEXT(BBDD_Usiarios_Netflix[[#This Row],[Fecha Suscripción]],"dddd")</f>
        <v>miércoles</v>
      </c>
      <c r="L2294" s="1">
        <f>DATEVALUE(_xlfn.CONCAT(BBDD_Usiarios_Netflix[[#This Row],[Día Último Pago]],"/",BBDD_Usiarios_Netflix[[#This Row],[Mes Último Pago]],"/",BBDD_Usiarios_Netflix[[#This Row],[Año Último Pago]]))</f>
        <v>45484</v>
      </c>
      <c r="M2294" s="4">
        <f>DATEDIF(BBDD_Usiarios_Netflix[[#This Row],[Fecha Suscripción]],BBDD_Usiarios_Netflix[[#This Row],[Fecha Último Pago]],"M")+1</f>
        <v>11</v>
      </c>
      <c r="N2294" s="4">
        <f>BBDD_Usiarios_Netflix[[#This Row],[Ingresos Mensuales]]*BBDD_Usiarios_Netflix[[#This Row],[Meses contratados]]</f>
        <v>132</v>
      </c>
      <c r="O2294" t="s">
        <v>24</v>
      </c>
      <c r="P2294" t="str">
        <f>IF(BBDD_Usiarios_Netflix[[#This Row],[País]]="","Desconocido",BBDD_Usiarios_Netflix[[#This Row],[País]])</f>
        <v>Australia</v>
      </c>
      <c r="Q2294">
        <v>28</v>
      </c>
      <c r="R2294" t="s">
        <v>25</v>
      </c>
      <c r="S2294" t="s">
        <v>31</v>
      </c>
      <c r="T2294" t="s">
        <v>38</v>
      </c>
      <c r="U2294">
        <f>IF(IFERROR(VLOOKUP(BBDD_Usiarios_Netflix[[#This Row],[Identificador Usuario]],A2295:$A$5870,1,FALSE),0)&lt;&gt;0,1,0)</f>
        <v>0</v>
      </c>
      <c r="V2294" s="6" t="str">
        <f>IF(BBDD_Usiarios_Netflix[[#This Row],[Duración Plan]]="12 Meses",LEFT(BBDD_Usiarios_Netflix[[#This Row],[Duración Plan]],2),LEFT(BBDD_Usiarios_Netflix[[#This Row],[Duración Plan]],1))</f>
        <v>3</v>
      </c>
      <c r="W22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295" spans="1:23" x14ac:dyDescent="0.25">
      <c r="A2295">
        <v>2294</v>
      </c>
      <c r="B2295" t="s">
        <v>32</v>
      </c>
      <c r="C2295">
        <v>12</v>
      </c>
      <c r="D2295" s="3">
        <v>24</v>
      </c>
      <c r="E2295" s="3">
        <v>8</v>
      </c>
      <c r="F2295">
        <v>23</v>
      </c>
      <c r="G2295" s="1">
        <f>DATEVALUE(_xlfn.CONCAT(BBDD_Usiarios_Netflix[[#This Row],[Día Suscripción]],"/",BBDD_Usiarios_Netflix[[#This Row],[Mes Suscripción]],"/",BBDD_Usiarios_Netflix[[#This Row],[Año Suscripción]]))</f>
        <v>45162</v>
      </c>
      <c r="H2295" s="1">
        <v>10</v>
      </c>
      <c r="I2295" s="1">
        <v>7</v>
      </c>
      <c r="J2295" s="1">
        <v>24</v>
      </c>
      <c r="K2295" s="1" t="str">
        <f>TEXT(BBDD_Usiarios_Netflix[[#This Row],[Fecha Suscripción]],"dddd")</f>
        <v>jueves</v>
      </c>
      <c r="L2295" s="1">
        <f>DATEVALUE(_xlfn.CONCAT(BBDD_Usiarios_Netflix[[#This Row],[Día Último Pago]],"/",BBDD_Usiarios_Netflix[[#This Row],[Mes Último Pago]],"/",BBDD_Usiarios_Netflix[[#This Row],[Año Último Pago]]))</f>
        <v>45483</v>
      </c>
      <c r="M2295" s="4">
        <f>DATEDIF(BBDD_Usiarios_Netflix[[#This Row],[Fecha Suscripción]],BBDD_Usiarios_Netflix[[#This Row],[Fecha Último Pago]],"M")+1</f>
        <v>11</v>
      </c>
      <c r="N2295" s="4">
        <f>BBDD_Usiarios_Netflix[[#This Row],[Ingresos Mensuales]]*BBDD_Usiarios_Netflix[[#This Row],[Meses contratados]]</f>
        <v>132</v>
      </c>
      <c r="O2295" t="s">
        <v>33</v>
      </c>
      <c r="P2295" t="str">
        <f>IF(BBDD_Usiarios_Netflix[[#This Row],[País]]="","Desconocido",BBDD_Usiarios_Netflix[[#This Row],[País]])</f>
        <v>Francia</v>
      </c>
      <c r="Q2295">
        <v>40</v>
      </c>
      <c r="R2295" t="s">
        <v>30</v>
      </c>
      <c r="S2295" t="s">
        <v>26</v>
      </c>
      <c r="T2295" t="s">
        <v>35</v>
      </c>
      <c r="U2295">
        <f>IF(IFERROR(VLOOKUP(BBDD_Usiarios_Netflix[[#This Row],[Identificador Usuario]],A2296:$A$5870,1,FALSE),0)&lt;&gt;0,1,0)</f>
        <v>0</v>
      </c>
      <c r="V2295" s="6" t="str">
        <f>IF(BBDD_Usiarios_Netflix[[#This Row],[Duración Plan]]="12 Meses",LEFT(BBDD_Usiarios_Netflix[[#This Row],[Duración Plan]],2),LEFT(BBDD_Usiarios_Netflix[[#This Row],[Duración Plan]],1))</f>
        <v>6</v>
      </c>
      <c r="W22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96" spans="1:23" x14ac:dyDescent="0.25">
      <c r="A2296">
        <v>2295</v>
      </c>
      <c r="B2296" t="s">
        <v>23</v>
      </c>
      <c r="C2296">
        <v>10</v>
      </c>
      <c r="D2296" s="3">
        <v>30</v>
      </c>
      <c r="E2296" s="3">
        <v>8</v>
      </c>
      <c r="F2296">
        <v>23</v>
      </c>
      <c r="G2296" s="1">
        <f>DATEVALUE(_xlfn.CONCAT(BBDD_Usiarios_Netflix[[#This Row],[Día Suscripción]],"/",BBDD_Usiarios_Netflix[[#This Row],[Mes Suscripción]],"/",BBDD_Usiarios_Netflix[[#This Row],[Año Suscripción]]))</f>
        <v>45168</v>
      </c>
      <c r="H2296" s="1">
        <v>13</v>
      </c>
      <c r="I2296" s="1">
        <v>7</v>
      </c>
      <c r="J2296" s="1">
        <v>24</v>
      </c>
      <c r="K2296" s="1" t="str">
        <f>TEXT(BBDD_Usiarios_Netflix[[#This Row],[Fecha Suscripción]],"dddd")</f>
        <v>miércoles</v>
      </c>
      <c r="L2296" s="1">
        <f>DATEVALUE(_xlfn.CONCAT(BBDD_Usiarios_Netflix[[#This Row],[Día Último Pago]],"/",BBDD_Usiarios_Netflix[[#This Row],[Mes Último Pago]],"/",BBDD_Usiarios_Netflix[[#This Row],[Año Último Pago]]))</f>
        <v>45486</v>
      </c>
      <c r="M2296" s="4">
        <f>DATEDIF(BBDD_Usiarios_Netflix[[#This Row],[Fecha Suscripción]],BBDD_Usiarios_Netflix[[#This Row],[Fecha Último Pago]],"M")+1</f>
        <v>11</v>
      </c>
      <c r="N2296" s="4">
        <f>BBDD_Usiarios_Netflix[[#This Row],[Ingresos Mensuales]]*BBDD_Usiarios_Netflix[[#This Row],[Meses contratados]]</f>
        <v>110</v>
      </c>
      <c r="O2296" t="s">
        <v>37</v>
      </c>
      <c r="P2296" t="str">
        <f>IF(BBDD_Usiarios_Netflix[[#This Row],[País]]="","Desconocido",BBDD_Usiarios_Netflix[[#This Row],[País]])</f>
        <v>Brasil</v>
      </c>
      <c r="Q2296">
        <v>34</v>
      </c>
      <c r="R2296" t="s">
        <v>30</v>
      </c>
      <c r="S2296" t="s">
        <v>34</v>
      </c>
      <c r="T2296" t="s">
        <v>35</v>
      </c>
      <c r="U2296">
        <f>IF(IFERROR(VLOOKUP(BBDD_Usiarios_Netflix[[#This Row],[Identificador Usuario]],A2297:$A$5870,1,FALSE),0)&lt;&gt;0,1,0)</f>
        <v>0</v>
      </c>
      <c r="V2296" s="6" t="str">
        <f>IF(BBDD_Usiarios_Netflix[[#This Row],[Duración Plan]]="12 Meses",LEFT(BBDD_Usiarios_Netflix[[#This Row],[Duración Plan]],2),LEFT(BBDD_Usiarios_Netflix[[#This Row],[Duración Plan]],1))</f>
        <v>6</v>
      </c>
      <c r="W22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97" spans="1:23" x14ac:dyDescent="0.25">
      <c r="A2297">
        <v>2296</v>
      </c>
      <c r="B2297" t="s">
        <v>28</v>
      </c>
      <c r="C2297">
        <v>14</v>
      </c>
      <c r="D2297" s="3">
        <v>6</v>
      </c>
      <c r="E2297" s="3">
        <v>9</v>
      </c>
      <c r="F2297">
        <v>23</v>
      </c>
      <c r="G2297" s="1">
        <f>DATEVALUE(_xlfn.CONCAT(BBDD_Usiarios_Netflix[[#This Row],[Día Suscripción]],"/",BBDD_Usiarios_Netflix[[#This Row],[Mes Suscripción]],"/",BBDD_Usiarios_Netflix[[#This Row],[Año Suscripción]]))</f>
        <v>45175</v>
      </c>
      <c r="H2297" s="1">
        <v>13</v>
      </c>
      <c r="I2297" s="1">
        <v>7</v>
      </c>
      <c r="J2297" s="1">
        <v>24</v>
      </c>
      <c r="K2297" s="1" t="str">
        <f>TEXT(BBDD_Usiarios_Netflix[[#This Row],[Fecha Suscripción]],"dddd")</f>
        <v>miércoles</v>
      </c>
      <c r="L2297" s="1">
        <f>DATEVALUE(_xlfn.CONCAT(BBDD_Usiarios_Netflix[[#This Row],[Día Último Pago]],"/",BBDD_Usiarios_Netflix[[#This Row],[Mes Último Pago]],"/",BBDD_Usiarios_Netflix[[#This Row],[Año Último Pago]]))</f>
        <v>45486</v>
      </c>
      <c r="M2297" s="4">
        <f>DATEDIF(BBDD_Usiarios_Netflix[[#This Row],[Fecha Suscripción]],BBDD_Usiarios_Netflix[[#This Row],[Fecha Último Pago]],"M")+1</f>
        <v>11</v>
      </c>
      <c r="N2297" s="4">
        <f>BBDD_Usiarios_Netflix[[#This Row],[Ingresos Mensuales]]*BBDD_Usiarios_Netflix[[#This Row],[Meses contratados]]</f>
        <v>154</v>
      </c>
      <c r="O2297" t="s">
        <v>42</v>
      </c>
      <c r="P2297" t="str">
        <f>IF(BBDD_Usiarios_Netflix[[#This Row],[País]]="","Desconocido",BBDD_Usiarios_Netflix[[#This Row],[País]])</f>
        <v>Reino Unido</v>
      </c>
      <c r="Q2297">
        <v>37</v>
      </c>
      <c r="R2297" t="s">
        <v>25</v>
      </c>
      <c r="S2297" t="s">
        <v>26</v>
      </c>
      <c r="T2297" t="s">
        <v>27</v>
      </c>
      <c r="U2297">
        <f>IF(IFERROR(VLOOKUP(BBDD_Usiarios_Netflix[[#This Row],[Identificador Usuario]],A2298:$A$5870,1,FALSE),0)&lt;&gt;0,1,0)</f>
        <v>0</v>
      </c>
      <c r="V2297" s="6" t="str">
        <f>IF(BBDD_Usiarios_Netflix[[#This Row],[Duración Plan]]="12 Meses",LEFT(BBDD_Usiarios_Netflix[[#This Row],[Duración Plan]],2),LEFT(BBDD_Usiarios_Netflix[[#This Row],[Duración Plan]],1))</f>
        <v>1</v>
      </c>
      <c r="W22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298" spans="1:23" x14ac:dyDescent="0.25">
      <c r="A2298">
        <v>2297</v>
      </c>
      <c r="B2298" t="s">
        <v>23</v>
      </c>
      <c r="C2298">
        <v>10</v>
      </c>
      <c r="D2298" s="3">
        <v>13</v>
      </c>
      <c r="E2298" s="3">
        <v>9</v>
      </c>
      <c r="F2298">
        <v>23</v>
      </c>
      <c r="G2298" s="1">
        <f>DATEVALUE(_xlfn.CONCAT(BBDD_Usiarios_Netflix[[#This Row],[Día Suscripción]],"/",BBDD_Usiarios_Netflix[[#This Row],[Mes Suscripción]],"/",BBDD_Usiarios_Netflix[[#This Row],[Año Suscripción]]))</f>
        <v>45182</v>
      </c>
      <c r="H2298" s="1">
        <v>10</v>
      </c>
      <c r="I2298" s="1">
        <v>7</v>
      </c>
      <c r="J2298" s="1">
        <v>24</v>
      </c>
      <c r="K2298" s="1" t="str">
        <f>TEXT(BBDD_Usiarios_Netflix[[#This Row],[Fecha Suscripción]],"dddd")</f>
        <v>miércoles</v>
      </c>
      <c r="L2298" s="1">
        <f>DATEVALUE(_xlfn.CONCAT(BBDD_Usiarios_Netflix[[#This Row],[Día Último Pago]],"/",BBDD_Usiarios_Netflix[[#This Row],[Mes Último Pago]],"/",BBDD_Usiarios_Netflix[[#This Row],[Año Último Pago]]))</f>
        <v>45483</v>
      </c>
      <c r="M2298" s="4">
        <f>DATEDIF(BBDD_Usiarios_Netflix[[#This Row],[Fecha Suscripción]],BBDD_Usiarios_Netflix[[#This Row],[Fecha Último Pago]],"M")+1</f>
        <v>10</v>
      </c>
      <c r="N2298" s="4">
        <f>BBDD_Usiarios_Netflix[[#This Row],[Ingresos Mensuales]]*BBDD_Usiarios_Netflix[[#This Row],[Meses contratados]]</f>
        <v>100</v>
      </c>
      <c r="O2298" t="s">
        <v>24</v>
      </c>
      <c r="P2298" t="str">
        <f>IF(BBDD_Usiarios_Netflix[[#This Row],[País]]="","Desconocido",BBDD_Usiarios_Netflix[[#This Row],[País]])</f>
        <v>Australia</v>
      </c>
      <c r="Q2298">
        <v>30</v>
      </c>
      <c r="R2298" t="s">
        <v>30</v>
      </c>
      <c r="S2298" t="s">
        <v>36</v>
      </c>
      <c r="T2298" t="s">
        <v>35</v>
      </c>
      <c r="U2298">
        <f>IF(IFERROR(VLOOKUP(BBDD_Usiarios_Netflix[[#This Row],[Identificador Usuario]],A2299:$A$5870,1,FALSE),0)&lt;&gt;0,1,0)</f>
        <v>0</v>
      </c>
      <c r="V2298" s="6" t="str">
        <f>IF(BBDD_Usiarios_Netflix[[#This Row],[Duración Plan]]="12 Meses",LEFT(BBDD_Usiarios_Netflix[[#This Row],[Duración Plan]],2),LEFT(BBDD_Usiarios_Netflix[[#This Row],[Duración Plan]],1))</f>
        <v>6</v>
      </c>
      <c r="W22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299" spans="1:23" x14ac:dyDescent="0.25">
      <c r="A2299">
        <v>2298</v>
      </c>
      <c r="B2299" t="s">
        <v>32</v>
      </c>
      <c r="C2299">
        <v>12</v>
      </c>
      <c r="D2299" s="3">
        <v>18</v>
      </c>
      <c r="E2299" s="3">
        <v>9</v>
      </c>
      <c r="F2299">
        <v>23</v>
      </c>
      <c r="G2299" s="1">
        <f>DATEVALUE(_xlfn.CONCAT(BBDD_Usiarios_Netflix[[#This Row],[Día Suscripción]],"/",BBDD_Usiarios_Netflix[[#This Row],[Mes Suscripción]],"/",BBDD_Usiarios_Netflix[[#This Row],[Año Suscripción]]))</f>
        <v>45187</v>
      </c>
      <c r="H2299" s="1">
        <v>10</v>
      </c>
      <c r="I2299" s="1">
        <v>7</v>
      </c>
      <c r="J2299" s="1">
        <v>24</v>
      </c>
      <c r="K2299" s="1" t="str">
        <f>TEXT(BBDD_Usiarios_Netflix[[#This Row],[Fecha Suscripción]],"dddd")</f>
        <v>lunes</v>
      </c>
      <c r="L2299" s="1">
        <f>DATEVALUE(_xlfn.CONCAT(BBDD_Usiarios_Netflix[[#This Row],[Día Último Pago]],"/",BBDD_Usiarios_Netflix[[#This Row],[Mes Último Pago]],"/",BBDD_Usiarios_Netflix[[#This Row],[Año Último Pago]]))</f>
        <v>45483</v>
      </c>
      <c r="M2299" s="4">
        <f>DATEDIF(BBDD_Usiarios_Netflix[[#This Row],[Fecha Suscripción]],BBDD_Usiarios_Netflix[[#This Row],[Fecha Último Pago]],"M")+1</f>
        <v>10</v>
      </c>
      <c r="N2299" s="4">
        <f>BBDD_Usiarios_Netflix[[#This Row],[Ingresos Mensuales]]*BBDD_Usiarios_Netflix[[#This Row],[Meses contratados]]</f>
        <v>120</v>
      </c>
      <c r="O2299" t="s">
        <v>33</v>
      </c>
      <c r="P2299" t="str">
        <f>IF(BBDD_Usiarios_Netflix[[#This Row],[País]]="","Desconocido",BBDD_Usiarios_Netflix[[#This Row],[País]])</f>
        <v>Francia</v>
      </c>
      <c r="Q2299">
        <v>32</v>
      </c>
      <c r="R2299" t="s">
        <v>25</v>
      </c>
      <c r="S2299" t="s">
        <v>31</v>
      </c>
      <c r="T2299" t="s">
        <v>41</v>
      </c>
      <c r="U2299">
        <f>IF(IFERROR(VLOOKUP(BBDD_Usiarios_Netflix[[#This Row],[Identificador Usuario]],A2300:$A$5870,1,FALSE),0)&lt;&gt;0,1,0)</f>
        <v>0</v>
      </c>
      <c r="V2299" s="6" t="str">
        <f>IF(BBDD_Usiarios_Netflix[[#This Row],[Duración Plan]]="12 Meses",LEFT(BBDD_Usiarios_Netflix[[#This Row],[Duración Plan]],2),LEFT(BBDD_Usiarios_Netflix[[#This Row],[Duración Plan]],1))</f>
        <v>12</v>
      </c>
      <c r="W22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00" spans="1:23" x14ac:dyDescent="0.25">
      <c r="A2300">
        <v>2299</v>
      </c>
      <c r="B2300" t="s">
        <v>28</v>
      </c>
      <c r="C2300">
        <v>14</v>
      </c>
      <c r="D2300" s="3">
        <v>22</v>
      </c>
      <c r="E2300" s="3">
        <v>9</v>
      </c>
      <c r="F2300">
        <v>23</v>
      </c>
      <c r="G2300" s="1">
        <f>DATEVALUE(_xlfn.CONCAT(BBDD_Usiarios_Netflix[[#This Row],[Día Suscripción]],"/",BBDD_Usiarios_Netflix[[#This Row],[Mes Suscripción]],"/",BBDD_Usiarios_Netflix[[#This Row],[Año Suscripción]]))</f>
        <v>45191</v>
      </c>
      <c r="H2300" s="1">
        <v>12</v>
      </c>
      <c r="I2300" s="1">
        <v>7</v>
      </c>
      <c r="J2300" s="1">
        <v>24</v>
      </c>
      <c r="K2300" s="1" t="str">
        <f>TEXT(BBDD_Usiarios_Netflix[[#This Row],[Fecha Suscripción]],"dddd")</f>
        <v>viernes</v>
      </c>
      <c r="L2300" s="1">
        <f>DATEVALUE(_xlfn.CONCAT(BBDD_Usiarios_Netflix[[#This Row],[Día Último Pago]],"/",BBDD_Usiarios_Netflix[[#This Row],[Mes Último Pago]],"/",BBDD_Usiarios_Netflix[[#This Row],[Año Último Pago]]))</f>
        <v>45485</v>
      </c>
      <c r="M2300" s="4">
        <f>DATEDIF(BBDD_Usiarios_Netflix[[#This Row],[Fecha Suscripción]],BBDD_Usiarios_Netflix[[#This Row],[Fecha Último Pago]],"M")+1</f>
        <v>10</v>
      </c>
      <c r="N2300" s="4">
        <f>BBDD_Usiarios_Netflix[[#This Row],[Ingresos Mensuales]]*BBDD_Usiarios_Netflix[[#This Row],[Meses contratados]]</f>
        <v>140</v>
      </c>
      <c r="O2300" t="s">
        <v>24</v>
      </c>
      <c r="P2300" t="str">
        <f>IF(BBDD_Usiarios_Netflix[[#This Row],[País]]="","Desconocido",BBDD_Usiarios_Netflix[[#This Row],[País]])</f>
        <v>Australia</v>
      </c>
      <c r="Q2300">
        <v>41</v>
      </c>
      <c r="R2300" t="s">
        <v>25</v>
      </c>
      <c r="S2300" t="s">
        <v>26</v>
      </c>
      <c r="T2300" t="s">
        <v>38</v>
      </c>
      <c r="U2300">
        <f>IF(IFERROR(VLOOKUP(BBDD_Usiarios_Netflix[[#This Row],[Identificador Usuario]],A2301:$A$5870,1,FALSE),0)&lt;&gt;0,1,0)</f>
        <v>0</v>
      </c>
      <c r="V2300" s="6" t="str">
        <f>IF(BBDD_Usiarios_Netflix[[#This Row],[Duración Plan]]="12 Meses",LEFT(BBDD_Usiarios_Netflix[[#This Row],[Duración Plan]],2),LEFT(BBDD_Usiarios_Netflix[[#This Row],[Duración Plan]],1))</f>
        <v>3</v>
      </c>
      <c r="W23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01" spans="1:23" x14ac:dyDescent="0.25">
      <c r="A2301">
        <v>2300</v>
      </c>
      <c r="B2301" t="s">
        <v>23</v>
      </c>
      <c r="C2301">
        <v>10</v>
      </c>
      <c r="D2301" s="3">
        <v>28</v>
      </c>
      <c r="E2301" s="3">
        <v>9</v>
      </c>
      <c r="F2301">
        <v>23</v>
      </c>
      <c r="G2301" s="1">
        <f>DATEVALUE(_xlfn.CONCAT(BBDD_Usiarios_Netflix[[#This Row],[Día Suscripción]],"/",BBDD_Usiarios_Netflix[[#This Row],[Mes Suscripción]],"/",BBDD_Usiarios_Netflix[[#This Row],[Año Suscripción]]))</f>
        <v>45197</v>
      </c>
      <c r="H2301" s="1">
        <v>12</v>
      </c>
      <c r="I2301" s="1">
        <v>7</v>
      </c>
      <c r="J2301" s="1">
        <v>24</v>
      </c>
      <c r="K2301" s="1" t="str">
        <f>TEXT(BBDD_Usiarios_Netflix[[#This Row],[Fecha Suscripción]],"dddd")</f>
        <v>jueves</v>
      </c>
      <c r="L2301" s="1">
        <f>DATEVALUE(_xlfn.CONCAT(BBDD_Usiarios_Netflix[[#This Row],[Día Último Pago]],"/",BBDD_Usiarios_Netflix[[#This Row],[Mes Último Pago]],"/",BBDD_Usiarios_Netflix[[#This Row],[Año Último Pago]]))</f>
        <v>45485</v>
      </c>
      <c r="M2301" s="4">
        <f>DATEDIF(BBDD_Usiarios_Netflix[[#This Row],[Fecha Suscripción]],BBDD_Usiarios_Netflix[[#This Row],[Fecha Último Pago]],"M")+1</f>
        <v>10</v>
      </c>
      <c r="N2301" s="4">
        <f>BBDD_Usiarios_Netflix[[#This Row],[Ingresos Mensuales]]*BBDD_Usiarios_Netflix[[#This Row],[Meses contratados]]</f>
        <v>100</v>
      </c>
      <c r="O2301" t="s">
        <v>37</v>
      </c>
      <c r="P2301" t="str">
        <f>IF(BBDD_Usiarios_Netflix[[#This Row],[País]]="","Desconocido",BBDD_Usiarios_Netflix[[#This Row],[País]])</f>
        <v>Brasil</v>
      </c>
      <c r="Q2301">
        <v>42</v>
      </c>
      <c r="R2301" t="s">
        <v>30</v>
      </c>
      <c r="S2301" t="s">
        <v>31</v>
      </c>
      <c r="T2301" t="s">
        <v>35</v>
      </c>
      <c r="U2301">
        <f>IF(IFERROR(VLOOKUP(BBDD_Usiarios_Netflix[[#This Row],[Identificador Usuario]],A2302:$A$5870,1,FALSE),0)&lt;&gt;0,1,0)</f>
        <v>0</v>
      </c>
      <c r="V2301" s="6" t="str">
        <f>IF(BBDD_Usiarios_Netflix[[#This Row],[Duración Plan]]="12 Meses",LEFT(BBDD_Usiarios_Netflix[[#This Row],[Duración Plan]],2),LEFT(BBDD_Usiarios_Netflix[[#This Row],[Duración Plan]],1))</f>
        <v>6</v>
      </c>
      <c r="W23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02" spans="1:23" x14ac:dyDescent="0.25">
      <c r="A2302">
        <v>2301</v>
      </c>
      <c r="B2302" t="s">
        <v>28</v>
      </c>
      <c r="C2302">
        <v>14</v>
      </c>
      <c r="D2302" s="3">
        <v>3</v>
      </c>
      <c r="E2302" s="3">
        <v>10</v>
      </c>
      <c r="F2302">
        <v>23</v>
      </c>
      <c r="G2302" s="1">
        <f>DATEVALUE(_xlfn.CONCAT(BBDD_Usiarios_Netflix[[#This Row],[Día Suscripción]],"/",BBDD_Usiarios_Netflix[[#This Row],[Mes Suscripción]],"/",BBDD_Usiarios_Netflix[[#This Row],[Año Suscripción]]))</f>
        <v>45202</v>
      </c>
      <c r="H2302" s="1">
        <v>9</v>
      </c>
      <c r="I2302" s="1">
        <v>7</v>
      </c>
      <c r="J2302" s="1">
        <v>24</v>
      </c>
      <c r="K2302" s="1" t="str">
        <f>TEXT(BBDD_Usiarios_Netflix[[#This Row],[Fecha Suscripción]],"dddd")</f>
        <v>martes</v>
      </c>
      <c r="L2302" s="1">
        <f>DATEVALUE(_xlfn.CONCAT(BBDD_Usiarios_Netflix[[#This Row],[Día Último Pago]],"/",BBDD_Usiarios_Netflix[[#This Row],[Mes Último Pago]],"/",BBDD_Usiarios_Netflix[[#This Row],[Año Último Pago]]))</f>
        <v>45482</v>
      </c>
      <c r="M2302" s="4">
        <f>DATEDIF(BBDD_Usiarios_Netflix[[#This Row],[Fecha Suscripción]],BBDD_Usiarios_Netflix[[#This Row],[Fecha Último Pago]],"M")+1</f>
        <v>10</v>
      </c>
      <c r="N2302" s="4">
        <f>BBDD_Usiarios_Netflix[[#This Row],[Ingresos Mensuales]]*BBDD_Usiarios_Netflix[[#This Row],[Meses contratados]]</f>
        <v>140</v>
      </c>
      <c r="O2302" t="s">
        <v>44</v>
      </c>
      <c r="P2302" t="str">
        <f>IF(BBDD_Usiarios_Netflix[[#This Row],[País]]="","Desconocido",BBDD_Usiarios_Netflix[[#This Row],[País]])</f>
        <v>Desconocido</v>
      </c>
      <c r="Q2302">
        <v>40</v>
      </c>
      <c r="R2302" t="s">
        <v>25</v>
      </c>
      <c r="S2302" t="s">
        <v>36</v>
      </c>
      <c r="T2302" t="s">
        <v>27</v>
      </c>
      <c r="U2302">
        <f>IF(IFERROR(VLOOKUP(BBDD_Usiarios_Netflix[[#This Row],[Identificador Usuario]],A2303:$A$5870,1,FALSE),0)&lt;&gt;0,1,0)</f>
        <v>0</v>
      </c>
      <c r="V2302" s="6" t="str">
        <f>IF(BBDD_Usiarios_Netflix[[#This Row],[Duración Plan]]="12 Meses",LEFT(BBDD_Usiarios_Netflix[[#This Row],[Duración Plan]],2),LEFT(BBDD_Usiarios_Netflix[[#This Row],[Duración Plan]],1))</f>
        <v>1</v>
      </c>
      <c r="W23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03" spans="1:23" x14ac:dyDescent="0.25">
      <c r="A2303">
        <v>2302</v>
      </c>
      <c r="B2303" t="s">
        <v>23</v>
      </c>
      <c r="C2303">
        <v>10</v>
      </c>
      <c r="D2303" s="3">
        <v>5</v>
      </c>
      <c r="E2303" s="3">
        <v>10</v>
      </c>
      <c r="F2303">
        <v>23</v>
      </c>
      <c r="G2303" s="1">
        <f>DATEVALUE(_xlfn.CONCAT(BBDD_Usiarios_Netflix[[#This Row],[Día Suscripción]],"/",BBDD_Usiarios_Netflix[[#This Row],[Mes Suscripción]],"/",BBDD_Usiarios_Netflix[[#This Row],[Año Suscripción]]))</f>
        <v>45204</v>
      </c>
      <c r="H2303" s="1">
        <v>10</v>
      </c>
      <c r="I2303" s="1">
        <v>7</v>
      </c>
      <c r="J2303" s="1">
        <v>24</v>
      </c>
      <c r="K2303" s="1" t="str">
        <f>TEXT(BBDD_Usiarios_Netflix[[#This Row],[Fecha Suscripción]],"dddd")</f>
        <v>jueves</v>
      </c>
      <c r="L2303" s="1">
        <f>DATEVALUE(_xlfn.CONCAT(BBDD_Usiarios_Netflix[[#This Row],[Día Último Pago]],"/",BBDD_Usiarios_Netflix[[#This Row],[Mes Último Pago]],"/",BBDD_Usiarios_Netflix[[#This Row],[Año Último Pago]]))</f>
        <v>45483</v>
      </c>
      <c r="M2303" s="4">
        <f>DATEDIF(BBDD_Usiarios_Netflix[[#This Row],[Fecha Suscripción]],BBDD_Usiarios_Netflix[[#This Row],[Fecha Último Pago]],"M")+1</f>
        <v>10</v>
      </c>
      <c r="N2303" s="4">
        <f>BBDD_Usiarios_Netflix[[#This Row],[Ingresos Mensuales]]*BBDD_Usiarios_Netflix[[#This Row],[Meses contratados]]</f>
        <v>100</v>
      </c>
      <c r="O2303" t="s">
        <v>42</v>
      </c>
      <c r="P2303" t="str">
        <f>IF(BBDD_Usiarios_Netflix[[#This Row],[País]]="","Desconocido",BBDD_Usiarios_Netflix[[#This Row],[País]])</f>
        <v>Reino Unido</v>
      </c>
      <c r="Q2303">
        <v>30</v>
      </c>
      <c r="R2303" t="s">
        <v>30</v>
      </c>
      <c r="S2303" t="s">
        <v>26</v>
      </c>
      <c r="T2303" t="s">
        <v>38</v>
      </c>
      <c r="U2303">
        <f>IF(IFERROR(VLOOKUP(BBDD_Usiarios_Netflix[[#This Row],[Identificador Usuario]],A2304:$A$5870,1,FALSE),0)&lt;&gt;0,1,0)</f>
        <v>0</v>
      </c>
      <c r="V2303" s="6" t="str">
        <f>IF(BBDD_Usiarios_Netflix[[#This Row],[Duración Plan]]="12 Meses",LEFT(BBDD_Usiarios_Netflix[[#This Row],[Duración Plan]],2),LEFT(BBDD_Usiarios_Netflix[[#This Row],[Duración Plan]],1))</f>
        <v>3</v>
      </c>
      <c r="W23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04" spans="1:23" x14ac:dyDescent="0.25">
      <c r="A2304">
        <v>2303</v>
      </c>
      <c r="B2304" t="s">
        <v>32</v>
      </c>
      <c r="C2304">
        <v>12</v>
      </c>
      <c r="D2304" s="3">
        <v>9</v>
      </c>
      <c r="E2304" s="3">
        <v>10</v>
      </c>
      <c r="F2304">
        <v>23</v>
      </c>
      <c r="G2304" s="1">
        <f>DATEVALUE(_xlfn.CONCAT(BBDD_Usiarios_Netflix[[#This Row],[Día Suscripción]],"/",BBDD_Usiarios_Netflix[[#This Row],[Mes Suscripción]],"/",BBDD_Usiarios_Netflix[[#This Row],[Año Suscripción]]))</f>
        <v>45208</v>
      </c>
      <c r="H2304" s="1">
        <v>12</v>
      </c>
      <c r="I2304" s="1">
        <v>7</v>
      </c>
      <c r="J2304" s="1">
        <v>24</v>
      </c>
      <c r="K2304" s="1" t="str">
        <f>TEXT(BBDD_Usiarios_Netflix[[#This Row],[Fecha Suscripción]],"dddd")</f>
        <v>lunes</v>
      </c>
      <c r="L2304" s="1">
        <f>DATEVALUE(_xlfn.CONCAT(BBDD_Usiarios_Netflix[[#This Row],[Día Último Pago]],"/",BBDD_Usiarios_Netflix[[#This Row],[Mes Último Pago]],"/",BBDD_Usiarios_Netflix[[#This Row],[Año Último Pago]]))</f>
        <v>45485</v>
      </c>
      <c r="M2304" s="4">
        <f>DATEDIF(BBDD_Usiarios_Netflix[[#This Row],[Fecha Suscripción]],BBDD_Usiarios_Netflix[[#This Row],[Fecha Último Pago]],"M")+1</f>
        <v>10</v>
      </c>
      <c r="N2304" s="4">
        <f>BBDD_Usiarios_Netflix[[#This Row],[Ingresos Mensuales]]*BBDD_Usiarios_Netflix[[#This Row],[Meses contratados]]</f>
        <v>120</v>
      </c>
      <c r="O2304" t="s">
        <v>29</v>
      </c>
      <c r="P2304" t="str">
        <f>IF(BBDD_Usiarios_Netflix[[#This Row],[País]]="","Desconocido",BBDD_Usiarios_Netflix[[#This Row],[País]])</f>
        <v>EEUU</v>
      </c>
      <c r="Q2304">
        <v>43</v>
      </c>
      <c r="R2304" t="s">
        <v>25</v>
      </c>
      <c r="S2304" t="s">
        <v>36</v>
      </c>
      <c r="T2304" t="s">
        <v>38</v>
      </c>
      <c r="U2304">
        <f>IF(IFERROR(VLOOKUP(BBDD_Usiarios_Netflix[[#This Row],[Identificador Usuario]],A2305:$A$5870,1,FALSE),0)&lt;&gt;0,1,0)</f>
        <v>0</v>
      </c>
      <c r="V2304" s="6" t="str">
        <f>IF(BBDD_Usiarios_Netflix[[#This Row],[Duración Plan]]="12 Meses",LEFT(BBDD_Usiarios_Netflix[[#This Row],[Duración Plan]],2),LEFT(BBDD_Usiarios_Netflix[[#This Row],[Duración Plan]],1))</f>
        <v>3</v>
      </c>
      <c r="W23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05" spans="1:23" x14ac:dyDescent="0.25">
      <c r="A2305">
        <v>2304</v>
      </c>
      <c r="B2305" t="s">
        <v>32</v>
      </c>
      <c r="C2305">
        <v>12</v>
      </c>
      <c r="D2305" s="3">
        <v>15</v>
      </c>
      <c r="E2305" s="3">
        <v>10</v>
      </c>
      <c r="F2305">
        <v>23</v>
      </c>
      <c r="G2305" s="1">
        <f>DATEVALUE(_xlfn.CONCAT(BBDD_Usiarios_Netflix[[#This Row],[Día Suscripción]],"/",BBDD_Usiarios_Netflix[[#This Row],[Mes Suscripción]],"/",BBDD_Usiarios_Netflix[[#This Row],[Año Suscripción]]))</f>
        <v>45214</v>
      </c>
      <c r="H2305" s="1">
        <v>11</v>
      </c>
      <c r="I2305" s="1">
        <v>7</v>
      </c>
      <c r="J2305" s="1">
        <v>24</v>
      </c>
      <c r="K2305" s="1" t="str">
        <f>TEXT(BBDD_Usiarios_Netflix[[#This Row],[Fecha Suscripción]],"dddd")</f>
        <v>domingo</v>
      </c>
      <c r="L2305" s="1">
        <f>DATEVALUE(_xlfn.CONCAT(BBDD_Usiarios_Netflix[[#This Row],[Día Último Pago]],"/",BBDD_Usiarios_Netflix[[#This Row],[Mes Último Pago]],"/",BBDD_Usiarios_Netflix[[#This Row],[Año Último Pago]]))</f>
        <v>45484</v>
      </c>
      <c r="M2305" s="4">
        <f>DATEDIF(BBDD_Usiarios_Netflix[[#This Row],[Fecha Suscripción]],BBDD_Usiarios_Netflix[[#This Row],[Fecha Último Pago]],"M")+1</f>
        <v>9</v>
      </c>
      <c r="N2305" s="4">
        <f>BBDD_Usiarios_Netflix[[#This Row],[Ingresos Mensuales]]*BBDD_Usiarios_Netflix[[#This Row],[Meses contratados]]</f>
        <v>108</v>
      </c>
      <c r="O2305" t="s">
        <v>29</v>
      </c>
      <c r="P2305" t="str">
        <f>IF(BBDD_Usiarios_Netflix[[#This Row],[País]]="","Desconocido",BBDD_Usiarios_Netflix[[#This Row],[País]])</f>
        <v>EEUU</v>
      </c>
      <c r="Q2305">
        <v>31</v>
      </c>
      <c r="R2305" t="s">
        <v>30</v>
      </c>
      <c r="S2305" t="s">
        <v>31</v>
      </c>
      <c r="T2305" t="s">
        <v>27</v>
      </c>
      <c r="U2305">
        <f>IF(IFERROR(VLOOKUP(BBDD_Usiarios_Netflix[[#This Row],[Identificador Usuario]],A2306:$A$5870,1,FALSE),0)&lt;&gt;0,1,0)</f>
        <v>0</v>
      </c>
      <c r="V2305" s="6" t="str">
        <f>IF(BBDD_Usiarios_Netflix[[#This Row],[Duración Plan]]="12 Meses",LEFT(BBDD_Usiarios_Netflix[[#This Row],[Duración Plan]],2),LEFT(BBDD_Usiarios_Netflix[[#This Row],[Duración Plan]],1))</f>
        <v>1</v>
      </c>
      <c r="W23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06" spans="1:23" x14ac:dyDescent="0.25">
      <c r="A2306">
        <v>2305</v>
      </c>
      <c r="B2306" t="s">
        <v>23</v>
      </c>
      <c r="C2306">
        <v>10</v>
      </c>
      <c r="D2306" s="3">
        <v>16</v>
      </c>
      <c r="E2306" s="3">
        <v>10</v>
      </c>
      <c r="F2306">
        <v>23</v>
      </c>
      <c r="G2306" s="1">
        <f>DATEVALUE(_xlfn.CONCAT(BBDD_Usiarios_Netflix[[#This Row],[Día Suscripción]],"/",BBDD_Usiarios_Netflix[[#This Row],[Mes Suscripción]],"/",BBDD_Usiarios_Netflix[[#This Row],[Año Suscripción]]))</f>
        <v>45215</v>
      </c>
      <c r="H2306" s="1">
        <v>9</v>
      </c>
      <c r="I2306" s="1">
        <v>7</v>
      </c>
      <c r="J2306" s="1">
        <v>24</v>
      </c>
      <c r="K2306" s="1" t="str">
        <f>TEXT(BBDD_Usiarios_Netflix[[#This Row],[Fecha Suscripción]],"dddd")</f>
        <v>lunes</v>
      </c>
      <c r="L2306" s="1">
        <f>DATEVALUE(_xlfn.CONCAT(BBDD_Usiarios_Netflix[[#This Row],[Día Último Pago]],"/",BBDD_Usiarios_Netflix[[#This Row],[Mes Último Pago]],"/",BBDD_Usiarios_Netflix[[#This Row],[Año Último Pago]]))</f>
        <v>45482</v>
      </c>
      <c r="M2306" s="4">
        <f>DATEDIF(BBDD_Usiarios_Netflix[[#This Row],[Fecha Suscripción]],BBDD_Usiarios_Netflix[[#This Row],[Fecha Último Pago]],"M")+1</f>
        <v>9</v>
      </c>
      <c r="N2306" s="4">
        <f>BBDD_Usiarios_Netflix[[#This Row],[Ingresos Mensuales]]*BBDD_Usiarios_Netflix[[#This Row],[Meses contratados]]</f>
        <v>90</v>
      </c>
      <c r="O2306" t="s">
        <v>43</v>
      </c>
      <c r="P2306" t="str">
        <f>IF(BBDD_Usiarios_Netflix[[#This Row],[País]]="","Desconocido",BBDD_Usiarios_Netflix[[#This Row],[País]])</f>
        <v>Alemania</v>
      </c>
      <c r="Q2306">
        <v>45</v>
      </c>
      <c r="R2306" t="s">
        <v>25</v>
      </c>
      <c r="S2306" t="s">
        <v>26</v>
      </c>
      <c r="T2306" t="s">
        <v>27</v>
      </c>
      <c r="U2306">
        <f>IF(IFERROR(VLOOKUP(BBDD_Usiarios_Netflix[[#This Row],[Identificador Usuario]],A2307:$A$5870,1,FALSE),0)&lt;&gt;0,1,0)</f>
        <v>0</v>
      </c>
      <c r="V2306" s="6" t="str">
        <f>IF(BBDD_Usiarios_Netflix[[#This Row],[Duración Plan]]="12 Meses",LEFT(BBDD_Usiarios_Netflix[[#This Row],[Duración Plan]],2),LEFT(BBDD_Usiarios_Netflix[[#This Row],[Duración Plan]],1))</f>
        <v>1</v>
      </c>
      <c r="W23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07" spans="1:23" x14ac:dyDescent="0.25">
      <c r="A2307">
        <v>2306</v>
      </c>
      <c r="B2307" t="s">
        <v>28</v>
      </c>
      <c r="C2307">
        <v>14</v>
      </c>
      <c r="D2307" s="3">
        <v>18</v>
      </c>
      <c r="E2307" s="3">
        <v>10</v>
      </c>
      <c r="F2307">
        <v>23</v>
      </c>
      <c r="G2307" s="1">
        <f>DATEVALUE(_xlfn.CONCAT(BBDD_Usiarios_Netflix[[#This Row],[Día Suscripción]],"/",BBDD_Usiarios_Netflix[[#This Row],[Mes Suscripción]],"/",BBDD_Usiarios_Netflix[[#This Row],[Año Suscripción]]))</f>
        <v>45217</v>
      </c>
      <c r="H2307" s="1">
        <v>11</v>
      </c>
      <c r="I2307" s="1">
        <v>7</v>
      </c>
      <c r="J2307" s="1">
        <v>24</v>
      </c>
      <c r="K2307" s="1" t="str">
        <f>TEXT(BBDD_Usiarios_Netflix[[#This Row],[Fecha Suscripción]],"dddd")</f>
        <v>miércoles</v>
      </c>
      <c r="L2307" s="1">
        <f>DATEVALUE(_xlfn.CONCAT(BBDD_Usiarios_Netflix[[#This Row],[Día Último Pago]],"/",BBDD_Usiarios_Netflix[[#This Row],[Mes Último Pago]],"/",BBDD_Usiarios_Netflix[[#This Row],[Año Último Pago]]))</f>
        <v>45484</v>
      </c>
      <c r="M2307" s="4">
        <f>DATEDIF(BBDD_Usiarios_Netflix[[#This Row],[Fecha Suscripción]],BBDD_Usiarios_Netflix[[#This Row],[Fecha Último Pago]],"M")+1</f>
        <v>9</v>
      </c>
      <c r="N2307" s="4">
        <f>BBDD_Usiarios_Netflix[[#This Row],[Ingresos Mensuales]]*BBDD_Usiarios_Netflix[[#This Row],[Meses contratados]]</f>
        <v>126</v>
      </c>
      <c r="O2307" t="s">
        <v>39</v>
      </c>
      <c r="P2307" t="str">
        <f>IF(BBDD_Usiarios_Netflix[[#This Row],[País]]="","Desconocido",BBDD_Usiarios_Netflix[[#This Row],[País]])</f>
        <v>Canadá</v>
      </c>
      <c r="Q2307">
        <v>33</v>
      </c>
      <c r="R2307" t="s">
        <v>25</v>
      </c>
      <c r="S2307" t="s">
        <v>34</v>
      </c>
      <c r="T2307" t="s">
        <v>35</v>
      </c>
      <c r="U2307">
        <f>IF(IFERROR(VLOOKUP(BBDD_Usiarios_Netflix[[#This Row],[Identificador Usuario]],A2308:$A$5870,1,FALSE),0)&lt;&gt;0,1,0)</f>
        <v>0</v>
      </c>
      <c r="V2307" s="6" t="str">
        <f>IF(BBDD_Usiarios_Netflix[[#This Row],[Duración Plan]]="12 Meses",LEFT(BBDD_Usiarios_Netflix[[#This Row],[Duración Plan]],2),LEFT(BBDD_Usiarios_Netflix[[#This Row],[Duración Plan]],1))</f>
        <v>6</v>
      </c>
      <c r="W23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08" spans="1:23" x14ac:dyDescent="0.25">
      <c r="A2308">
        <v>2307</v>
      </c>
      <c r="B2308" t="s">
        <v>23</v>
      </c>
      <c r="C2308">
        <v>10</v>
      </c>
      <c r="D2308" s="3">
        <v>19</v>
      </c>
      <c r="E2308" s="3">
        <v>10</v>
      </c>
      <c r="F2308">
        <v>23</v>
      </c>
      <c r="G2308" s="1">
        <f>DATEVALUE(_xlfn.CONCAT(BBDD_Usiarios_Netflix[[#This Row],[Día Suscripción]],"/",BBDD_Usiarios_Netflix[[#This Row],[Mes Suscripción]],"/",BBDD_Usiarios_Netflix[[#This Row],[Año Suscripción]]))</f>
        <v>45218</v>
      </c>
      <c r="H2308" s="1">
        <v>12</v>
      </c>
      <c r="I2308" s="1">
        <v>7</v>
      </c>
      <c r="J2308" s="1">
        <v>24</v>
      </c>
      <c r="K2308" s="1" t="str">
        <f>TEXT(BBDD_Usiarios_Netflix[[#This Row],[Fecha Suscripción]],"dddd")</f>
        <v>jueves</v>
      </c>
      <c r="L2308" s="1">
        <f>DATEVALUE(_xlfn.CONCAT(BBDD_Usiarios_Netflix[[#This Row],[Día Último Pago]],"/",BBDD_Usiarios_Netflix[[#This Row],[Mes Último Pago]],"/",BBDD_Usiarios_Netflix[[#This Row],[Año Último Pago]]))</f>
        <v>45485</v>
      </c>
      <c r="M2308" s="4">
        <f>DATEDIF(BBDD_Usiarios_Netflix[[#This Row],[Fecha Suscripción]],BBDD_Usiarios_Netflix[[#This Row],[Fecha Último Pago]],"M")+1</f>
        <v>9</v>
      </c>
      <c r="N2308" s="4">
        <f>BBDD_Usiarios_Netflix[[#This Row],[Ingresos Mensuales]]*BBDD_Usiarios_Netflix[[#This Row],[Meses contratados]]</f>
        <v>90</v>
      </c>
      <c r="O2308" t="s">
        <v>24</v>
      </c>
      <c r="P2308" t="str">
        <f>IF(BBDD_Usiarios_Netflix[[#This Row],[País]]="","Desconocido",BBDD_Usiarios_Netflix[[#This Row],[País]])</f>
        <v>Australia</v>
      </c>
      <c r="Q2308">
        <v>41</v>
      </c>
      <c r="R2308" t="s">
        <v>25</v>
      </c>
      <c r="S2308" t="s">
        <v>26</v>
      </c>
      <c r="T2308" t="s">
        <v>27</v>
      </c>
      <c r="U2308">
        <f>IF(IFERROR(VLOOKUP(BBDD_Usiarios_Netflix[[#This Row],[Identificador Usuario]],A2309:$A$5870,1,FALSE),0)&lt;&gt;0,1,0)</f>
        <v>0</v>
      </c>
      <c r="V2308" s="6" t="str">
        <f>IF(BBDD_Usiarios_Netflix[[#This Row],[Duración Plan]]="12 Meses",LEFT(BBDD_Usiarios_Netflix[[#This Row],[Duración Plan]],2),LEFT(BBDD_Usiarios_Netflix[[#This Row],[Duración Plan]],1))</f>
        <v>1</v>
      </c>
      <c r="W23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09" spans="1:23" x14ac:dyDescent="0.25">
      <c r="A2309">
        <v>2308</v>
      </c>
      <c r="B2309" t="s">
        <v>32</v>
      </c>
      <c r="C2309">
        <v>12</v>
      </c>
      <c r="D2309" s="3">
        <v>22</v>
      </c>
      <c r="E2309" s="3">
        <v>10</v>
      </c>
      <c r="F2309">
        <v>23</v>
      </c>
      <c r="G2309" s="1">
        <f>DATEVALUE(_xlfn.CONCAT(BBDD_Usiarios_Netflix[[#This Row],[Día Suscripción]],"/",BBDD_Usiarios_Netflix[[#This Row],[Mes Suscripción]],"/",BBDD_Usiarios_Netflix[[#This Row],[Año Suscripción]]))</f>
        <v>45221</v>
      </c>
      <c r="H2309" s="1">
        <v>11</v>
      </c>
      <c r="I2309" s="1">
        <v>7</v>
      </c>
      <c r="J2309" s="1">
        <v>24</v>
      </c>
      <c r="K2309" s="1" t="str">
        <f>TEXT(BBDD_Usiarios_Netflix[[#This Row],[Fecha Suscripción]],"dddd")</f>
        <v>domingo</v>
      </c>
      <c r="L2309" s="1">
        <f>DATEVALUE(_xlfn.CONCAT(BBDD_Usiarios_Netflix[[#This Row],[Día Último Pago]],"/",BBDD_Usiarios_Netflix[[#This Row],[Mes Último Pago]],"/",BBDD_Usiarios_Netflix[[#This Row],[Año Último Pago]]))</f>
        <v>45484</v>
      </c>
      <c r="M2309" s="4">
        <f>DATEDIF(BBDD_Usiarios_Netflix[[#This Row],[Fecha Suscripción]],BBDD_Usiarios_Netflix[[#This Row],[Fecha Último Pago]],"M")+1</f>
        <v>9</v>
      </c>
      <c r="N2309" s="4">
        <f>BBDD_Usiarios_Netflix[[#This Row],[Ingresos Mensuales]]*BBDD_Usiarios_Netflix[[#This Row],[Meses contratados]]</f>
        <v>108</v>
      </c>
      <c r="O2309" t="s">
        <v>37</v>
      </c>
      <c r="P2309" t="str">
        <f>IF(BBDD_Usiarios_Netflix[[#This Row],[País]]="","Desconocido",BBDD_Usiarios_Netflix[[#This Row],[País]])</f>
        <v>Brasil</v>
      </c>
      <c r="Q2309">
        <v>37</v>
      </c>
      <c r="R2309" t="s">
        <v>25</v>
      </c>
      <c r="S2309" t="s">
        <v>34</v>
      </c>
      <c r="T2309" t="s">
        <v>27</v>
      </c>
      <c r="U2309">
        <f>IF(IFERROR(VLOOKUP(BBDD_Usiarios_Netflix[[#This Row],[Identificador Usuario]],A2310:$A$5870,1,FALSE),0)&lt;&gt;0,1,0)</f>
        <v>0</v>
      </c>
      <c r="V2309" s="6" t="str">
        <f>IF(BBDD_Usiarios_Netflix[[#This Row],[Duración Plan]]="12 Meses",LEFT(BBDD_Usiarios_Netflix[[#This Row],[Duración Plan]],2),LEFT(BBDD_Usiarios_Netflix[[#This Row],[Duración Plan]],1))</f>
        <v>1</v>
      </c>
      <c r="W23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10" spans="1:23" x14ac:dyDescent="0.25">
      <c r="A2310">
        <v>2309</v>
      </c>
      <c r="B2310" t="s">
        <v>28</v>
      </c>
      <c r="C2310">
        <v>14</v>
      </c>
      <c r="D2310" s="3">
        <v>23</v>
      </c>
      <c r="E2310" s="3">
        <v>10</v>
      </c>
      <c r="F2310">
        <v>23</v>
      </c>
      <c r="G2310" s="1">
        <f>DATEVALUE(_xlfn.CONCAT(BBDD_Usiarios_Netflix[[#This Row],[Día Suscripción]],"/",BBDD_Usiarios_Netflix[[#This Row],[Mes Suscripción]],"/",BBDD_Usiarios_Netflix[[#This Row],[Año Suscripción]]))</f>
        <v>45222</v>
      </c>
      <c r="H2310" s="1">
        <v>9</v>
      </c>
      <c r="I2310" s="1">
        <v>7</v>
      </c>
      <c r="J2310" s="1">
        <v>24</v>
      </c>
      <c r="K2310" s="1" t="str">
        <f>TEXT(BBDD_Usiarios_Netflix[[#This Row],[Fecha Suscripción]],"dddd")</f>
        <v>lunes</v>
      </c>
      <c r="L2310" s="1">
        <f>DATEVALUE(_xlfn.CONCAT(BBDD_Usiarios_Netflix[[#This Row],[Día Último Pago]],"/",BBDD_Usiarios_Netflix[[#This Row],[Mes Último Pago]],"/",BBDD_Usiarios_Netflix[[#This Row],[Año Último Pago]]))</f>
        <v>45482</v>
      </c>
      <c r="M2310" s="4">
        <f>DATEDIF(BBDD_Usiarios_Netflix[[#This Row],[Fecha Suscripción]],BBDD_Usiarios_Netflix[[#This Row],[Fecha Último Pago]],"M")+1</f>
        <v>9</v>
      </c>
      <c r="N2310" s="4">
        <f>BBDD_Usiarios_Netflix[[#This Row],[Ingresos Mensuales]]*BBDD_Usiarios_Netflix[[#This Row],[Meses contratados]]</f>
        <v>126</v>
      </c>
      <c r="O2310" t="s">
        <v>37</v>
      </c>
      <c r="P2310" t="str">
        <f>IF(BBDD_Usiarios_Netflix[[#This Row],[País]]="","Desconocido",BBDD_Usiarios_Netflix[[#This Row],[País]])</f>
        <v>Brasil</v>
      </c>
      <c r="Q2310">
        <v>40</v>
      </c>
      <c r="R2310" t="s">
        <v>30</v>
      </c>
      <c r="S2310" t="s">
        <v>26</v>
      </c>
      <c r="T2310" t="s">
        <v>27</v>
      </c>
      <c r="U2310">
        <f>IF(IFERROR(VLOOKUP(BBDD_Usiarios_Netflix[[#This Row],[Identificador Usuario]],A2311:$A$5870,1,FALSE),0)&lt;&gt;0,1,0)</f>
        <v>0</v>
      </c>
      <c r="V2310" s="6" t="str">
        <f>IF(BBDD_Usiarios_Netflix[[#This Row],[Duración Plan]]="12 Meses",LEFT(BBDD_Usiarios_Netflix[[#This Row],[Duración Plan]],2),LEFT(BBDD_Usiarios_Netflix[[#This Row],[Duración Plan]],1))</f>
        <v>1</v>
      </c>
      <c r="W23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11" spans="1:23" x14ac:dyDescent="0.25">
      <c r="A2311">
        <v>2310</v>
      </c>
      <c r="B2311" t="s">
        <v>23</v>
      </c>
      <c r="C2311">
        <v>10</v>
      </c>
      <c r="D2311" s="3">
        <v>29</v>
      </c>
      <c r="E2311" s="3">
        <v>10</v>
      </c>
      <c r="F2311">
        <v>23</v>
      </c>
      <c r="G2311" s="1">
        <f>DATEVALUE(_xlfn.CONCAT(BBDD_Usiarios_Netflix[[#This Row],[Día Suscripción]],"/",BBDD_Usiarios_Netflix[[#This Row],[Mes Suscripción]],"/",BBDD_Usiarios_Netflix[[#This Row],[Año Suscripción]]))</f>
        <v>45228</v>
      </c>
      <c r="H2311" s="1">
        <v>12</v>
      </c>
      <c r="I2311" s="1">
        <v>7</v>
      </c>
      <c r="J2311" s="1">
        <v>24</v>
      </c>
      <c r="K2311" s="1" t="str">
        <f>TEXT(BBDD_Usiarios_Netflix[[#This Row],[Fecha Suscripción]],"dddd")</f>
        <v>domingo</v>
      </c>
      <c r="L2311" s="1">
        <f>DATEVALUE(_xlfn.CONCAT(BBDD_Usiarios_Netflix[[#This Row],[Día Último Pago]],"/",BBDD_Usiarios_Netflix[[#This Row],[Mes Último Pago]],"/",BBDD_Usiarios_Netflix[[#This Row],[Año Último Pago]]))</f>
        <v>45485</v>
      </c>
      <c r="M2311" s="4">
        <f>DATEDIF(BBDD_Usiarios_Netflix[[#This Row],[Fecha Suscripción]],BBDD_Usiarios_Netflix[[#This Row],[Fecha Último Pago]],"M")+1</f>
        <v>9</v>
      </c>
      <c r="N2311" s="4">
        <f>BBDD_Usiarios_Netflix[[#This Row],[Ingresos Mensuales]]*BBDD_Usiarios_Netflix[[#This Row],[Meses contratados]]</f>
        <v>90</v>
      </c>
      <c r="O2311" t="s">
        <v>29</v>
      </c>
      <c r="P2311" t="str">
        <f>IF(BBDD_Usiarios_Netflix[[#This Row],[País]]="","Desconocido",BBDD_Usiarios_Netflix[[#This Row],[País]])</f>
        <v>EEUU</v>
      </c>
      <c r="Q2311">
        <v>36</v>
      </c>
      <c r="R2311" t="s">
        <v>25</v>
      </c>
      <c r="S2311" t="s">
        <v>31</v>
      </c>
      <c r="T2311" t="s">
        <v>27</v>
      </c>
      <c r="U2311">
        <f>IF(IFERROR(VLOOKUP(BBDD_Usiarios_Netflix[[#This Row],[Identificador Usuario]],A2312:$A$5870,1,FALSE),0)&lt;&gt;0,1,0)</f>
        <v>0</v>
      </c>
      <c r="V2311" s="6" t="str">
        <f>IF(BBDD_Usiarios_Netflix[[#This Row],[Duración Plan]]="12 Meses",LEFT(BBDD_Usiarios_Netflix[[#This Row],[Duración Plan]],2),LEFT(BBDD_Usiarios_Netflix[[#This Row],[Duración Plan]],1))</f>
        <v>1</v>
      </c>
      <c r="W23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12" spans="1:23" x14ac:dyDescent="0.25">
      <c r="A2312">
        <v>2311</v>
      </c>
      <c r="B2312" t="s">
        <v>28</v>
      </c>
      <c r="C2312">
        <v>14</v>
      </c>
      <c r="D2312" s="3">
        <v>30</v>
      </c>
      <c r="E2312" s="3">
        <v>10</v>
      </c>
      <c r="F2312">
        <v>23</v>
      </c>
      <c r="G2312" s="1">
        <f>DATEVALUE(_xlfn.CONCAT(BBDD_Usiarios_Netflix[[#This Row],[Día Suscripción]],"/",BBDD_Usiarios_Netflix[[#This Row],[Mes Suscripción]],"/",BBDD_Usiarios_Netflix[[#This Row],[Año Suscripción]]))</f>
        <v>45229</v>
      </c>
      <c r="H2312" s="1">
        <v>11</v>
      </c>
      <c r="I2312" s="1">
        <v>7</v>
      </c>
      <c r="J2312" s="1">
        <v>24</v>
      </c>
      <c r="K2312" s="1" t="str">
        <f>TEXT(BBDD_Usiarios_Netflix[[#This Row],[Fecha Suscripción]],"dddd")</f>
        <v>lunes</v>
      </c>
      <c r="L2312" s="1">
        <f>DATEVALUE(_xlfn.CONCAT(BBDD_Usiarios_Netflix[[#This Row],[Día Último Pago]],"/",BBDD_Usiarios_Netflix[[#This Row],[Mes Último Pago]],"/",BBDD_Usiarios_Netflix[[#This Row],[Año Último Pago]]))</f>
        <v>45484</v>
      </c>
      <c r="M2312" s="4">
        <f>DATEDIF(BBDD_Usiarios_Netflix[[#This Row],[Fecha Suscripción]],BBDD_Usiarios_Netflix[[#This Row],[Fecha Último Pago]],"M")+1</f>
        <v>9</v>
      </c>
      <c r="N2312" s="4">
        <f>BBDD_Usiarios_Netflix[[#This Row],[Ingresos Mensuales]]*BBDD_Usiarios_Netflix[[#This Row],[Meses contratados]]</f>
        <v>126</v>
      </c>
      <c r="O2312" t="s">
        <v>43</v>
      </c>
      <c r="P2312" t="str">
        <f>IF(BBDD_Usiarios_Netflix[[#This Row],[País]]="","Desconocido",BBDD_Usiarios_Netflix[[#This Row],[País]])</f>
        <v>Alemania</v>
      </c>
      <c r="Q2312">
        <v>28</v>
      </c>
      <c r="R2312" t="s">
        <v>25</v>
      </c>
      <c r="S2312" t="s">
        <v>34</v>
      </c>
      <c r="T2312" t="s">
        <v>35</v>
      </c>
      <c r="U2312">
        <f>IF(IFERROR(VLOOKUP(BBDD_Usiarios_Netflix[[#This Row],[Identificador Usuario]],A2313:$A$5870,1,FALSE),0)&lt;&gt;0,1,0)</f>
        <v>0</v>
      </c>
      <c r="V2312" s="6" t="str">
        <f>IF(BBDD_Usiarios_Netflix[[#This Row],[Duración Plan]]="12 Meses",LEFT(BBDD_Usiarios_Netflix[[#This Row],[Duración Plan]],2),LEFT(BBDD_Usiarios_Netflix[[#This Row],[Duración Plan]],1))</f>
        <v>6</v>
      </c>
      <c r="W23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13" spans="1:23" x14ac:dyDescent="0.25">
      <c r="A2313">
        <v>2312</v>
      </c>
      <c r="B2313" t="s">
        <v>23</v>
      </c>
      <c r="C2313">
        <v>10</v>
      </c>
      <c r="D2313" s="3">
        <v>3</v>
      </c>
      <c r="E2313" s="3">
        <v>11</v>
      </c>
      <c r="F2313">
        <v>23</v>
      </c>
      <c r="G2313" s="1">
        <f>DATEVALUE(_xlfn.CONCAT(BBDD_Usiarios_Netflix[[#This Row],[Día Suscripción]],"/",BBDD_Usiarios_Netflix[[#This Row],[Mes Suscripción]],"/",BBDD_Usiarios_Netflix[[#This Row],[Año Suscripción]]))</f>
        <v>45233</v>
      </c>
      <c r="H2313" s="1">
        <v>11</v>
      </c>
      <c r="I2313" s="1">
        <v>7</v>
      </c>
      <c r="J2313" s="1">
        <v>24</v>
      </c>
      <c r="K2313" s="1" t="str">
        <f>TEXT(BBDD_Usiarios_Netflix[[#This Row],[Fecha Suscripción]],"dddd")</f>
        <v>viernes</v>
      </c>
      <c r="L2313" s="1">
        <f>DATEVALUE(_xlfn.CONCAT(BBDD_Usiarios_Netflix[[#This Row],[Día Último Pago]],"/",BBDD_Usiarios_Netflix[[#This Row],[Mes Último Pago]],"/",BBDD_Usiarios_Netflix[[#This Row],[Año Último Pago]]))</f>
        <v>45484</v>
      </c>
      <c r="M2313" s="4">
        <f>DATEDIF(BBDD_Usiarios_Netflix[[#This Row],[Fecha Suscripción]],BBDD_Usiarios_Netflix[[#This Row],[Fecha Último Pago]],"M")+1</f>
        <v>9</v>
      </c>
      <c r="N2313" s="4">
        <f>BBDD_Usiarios_Netflix[[#This Row],[Ingresos Mensuales]]*BBDD_Usiarios_Netflix[[#This Row],[Meses contratados]]</f>
        <v>90</v>
      </c>
      <c r="O2313" t="s">
        <v>40</v>
      </c>
      <c r="P2313" t="str">
        <f>IF(BBDD_Usiarios_Netflix[[#This Row],[País]]="","Desconocido",BBDD_Usiarios_Netflix[[#This Row],[País]])</f>
        <v>Italia</v>
      </c>
      <c r="Q2313">
        <v>38</v>
      </c>
      <c r="R2313" t="s">
        <v>25</v>
      </c>
      <c r="S2313" t="s">
        <v>26</v>
      </c>
      <c r="T2313" t="s">
        <v>27</v>
      </c>
      <c r="U2313">
        <f>IF(IFERROR(VLOOKUP(BBDD_Usiarios_Netflix[[#This Row],[Identificador Usuario]],A2314:$A$5870,1,FALSE),0)&lt;&gt;0,1,0)</f>
        <v>0</v>
      </c>
      <c r="V2313" s="6" t="str">
        <f>IF(BBDD_Usiarios_Netflix[[#This Row],[Duración Plan]]="12 Meses",LEFT(BBDD_Usiarios_Netflix[[#This Row],[Duración Plan]],2),LEFT(BBDD_Usiarios_Netflix[[#This Row],[Duración Plan]],1))</f>
        <v>1</v>
      </c>
      <c r="W23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14" spans="1:23" x14ac:dyDescent="0.25">
      <c r="A2314">
        <v>2313</v>
      </c>
      <c r="B2314" t="s">
        <v>32</v>
      </c>
      <c r="C2314">
        <v>12</v>
      </c>
      <c r="D2314" s="3">
        <v>4</v>
      </c>
      <c r="E2314" s="3">
        <v>11</v>
      </c>
      <c r="F2314">
        <v>23</v>
      </c>
      <c r="G2314" s="1">
        <f>DATEVALUE(_xlfn.CONCAT(BBDD_Usiarios_Netflix[[#This Row],[Día Suscripción]],"/",BBDD_Usiarios_Netflix[[#This Row],[Mes Suscripción]],"/",BBDD_Usiarios_Netflix[[#This Row],[Año Suscripción]]))</f>
        <v>45234</v>
      </c>
      <c r="H2314" s="1">
        <v>9</v>
      </c>
      <c r="I2314" s="1">
        <v>7</v>
      </c>
      <c r="J2314" s="1">
        <v>24</v>
      </c>
      <c r="K2314" s="1" t="str">
        <f>TEXT(BBDD_Usiarios_Netflix[[#This Row],[Fecha Suscripción]],"dddd")</f>
        <v>sábado</v>
      </c>
      <c r="L2314" s="1">
        <f>DATEVALUE(_xlfn.CONCAT(BBDD_Usiarios_Netflix[[#This Row],[Día Último Pago]],"/",BBDD_Usiarios_Netflix[[#This Row],[Mes Último Pago]],"/",BBDD_Usiarios_Netflix[[#This Row],[Año Último Pago]]))</f>
        <v>45482</v>
      </c>
      <c r="M2314" s="4">
        <f>DATEDIF(BBDD_Usiarios_Netflix[[#This Row],[Fecha Suscripción]],BBDD_Usiarios_Netflix[[#This Row],[Fecha Último Pago]],"M")+1</f>
        <v>9</v>
      </c>
      <c r="N2314" s="4">
        <f>BBDD_Usiarios_Netflix[[#This Row],[Ingresos Mensuales]]*BBDD_Usiarios_Netflix[[#This Row],[Meses contratados]]</f>
        <v>108</v>
      </c>
      <c r="O2314" t="s">
        <v>24</v>
      </c>
      <c r="P2314" t="str">
        <f>IF(BBDD_Usiarios_Netflix[[#This Row],[País]]="","Desconocido",BBDD_Usiarios_Netflix[[#This Row],[País]])</f>
        <v>Australia</v>
      </c>
      <c r="Q2314">
        <v>36</v>
      </c>
      <c r="R2314" t="s">
        <v>30</v>
      </c>
      <c r="S2314" t="s">
        <v>31</v>
      </c>
      <c r="T2314" t="s">
        <v>38</v>
      </c>
      <c r="U2314">
        <f>IF(IFERROR(VLOOKUP(BBDD_Usiarios_Netflix[[#This Row],[Identificador Usuario]],A2315:$A$5870,1,FALSE),0)&lt;&gt;0,1,0)</f>
        <v>0</v>
      </c>
      <c r="V2314" s="6" t="str">
        <f>IF(BBDD_Usiarios_Netflix[[#This Row],[Duración Plan]]="12 Meses",LEFT(BBDD_Usiarios_Netflix[[#This Row],[Duración Plan]],2),LEFT(BBDD_Usiarios_Netflix[[#This Row],[Duración Plan]],1))</f>
        <v>3</v>
      </c>
      <c r="W23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15" spans="1:23" x14ac:dyDescent="0.25">
      <c r="A2315">
        <v>2314</v>
      </c>
      <c r="B2315" t="s">
        <v>32</v>
      </c>
      <c r="C2315">
        <v>12</v>
      </c>
      <c r="D2315" s="3">
        <v>5</v>
      </c>
      <c r="E2315" s="3">
        <v>11</v>
      </c>
      <c r="F2315">
        <v>23</v>
      </c>
      <c r="G2315" s="1">
        <f>DATEVALUE(_xlfn.CONCAT(BBDD_Usiarios_Netflix[[#This Row],[Día Suscripción]],"/",BBDD_Usiarios_Netflix[[#This Row],[Mes Suscripción]],"/",BBDD_Usiarios_Netflix[[#This Row],[Año Suscripción]]))</f>
        <v>45235</v>
      </c>
      <c r="H2315" s="1">
        <v>12</v>
      </c>
      <c r="I2315" s="1">
        <v>7</v>
      </c>
      <c r="J2315" s="1">
        <v>24</v>
      </c>
      <c r="K2315" s="1" t="str">
        <f>TEXT(BBDD_Usiarios_Netflix[[#This Row],[Fecha Suscripción]],"dddd")</f>
        <v>domingo</v>
      </c>
      <c r="L2315" s="1">
        <f>DATEVALUE(_xlfn.CONCAT(BBDD_Usiarios_Netflix[[#This Row],[Día Último Pago]],"/",BBDD_Usiarios_Netflix[[#This Row],[Mes Último Pago]],"/",BBDD_Usiarios_Netflix[[#This Row],[Año Último Pago]]))</f>
        <v>45485</v>
      </c>
      <c r="M2315" s="4">
        <f>DATEDIF(BBDD_Usiarios_Netflix[[#This Row],[Fecha Suscripción]],BBDD_Usiarios_Netflix[[#This Row],[Fecha Último Pago]],"M")+1</f>
        <v>9</v>
      </c>
      <c r="N2315" s="4">
        <f>BBDD_Usiarios_Netflix[[#This Row],[Ingresos Mensuales]]*BBDD_Usiarios_Netflix[[#This Row],[Meses contratados]]</f>
        <v>108</v>
      </c>
      <c r="O2315" t="s">
        <v>44</v>
      </c>
      <c r="P2315" t="str">
        <f>IF(BBDD_Usiarios_Netflix[[#This Row],[País]]="","Desconocido",BBDD_Usiarios_Netflix[[#This Row],[País]])</f>
        <v>Desconocido</v>
      </c>
      <c r="Q2315">
        <v>47</v>
      </c>
      <c r="R2315" t="s">
        <v>30</v>
      </c>
      <c r="S2315" t="s">
        <v>34</v>
      </c>
      <c r="T2315" t="s">
        <v>35</v>
      </c>
      <c r="U2315">
        <f>IF(IFERROR(VLOOKUP(BBDD_Usiarios_Netflix[[#This Row],[Identificador Usuario]],A2316:$A$5870,1,FALSE),0)&lt;&gt;0,1,0)</f>
        <v>0</v>
      </c>
      <c r="V2315" s="6" t="str">
        <f>IF(BBDD_Usiarios_Netflix[[#This Row],[Duración Plan]]="12 Meses",LEFT(BBDD_Usiarios_Netflix[[#This Row],[Duración Plan]],2),LEFT(BBDD_Usiarios_Netflix[[#This Row],[Duración Plan]],1))</f>
        <v>6</v>
      </c>
      <c r="W23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16" spans="1:23" x14ac:dyDescent="0.25">
      <c r="A2316">
        <v>2315</v>
      </c>
      <c r="B2316" t="s">
        <v>23</v>
      </c>
      <c r="C2316">
        <v>10</v>
      </c>
      <c r="D2316" s="3">
        <v>7</v>
      </c>
      <c r="E2316" s="3">
        <v>11</v>
      </c>
      <c r="F2316">
        <v>23</v>
      </c>
      <c r="G2316" s="1">
        <f>DATEVALUE(_xlfn.CONCAT(BBDD_Usiarios_Netflix[[#This Row],[Día Suscripción]],"/",BBDD_Usiarios_Netflix[[#This Row],[Mes Suscripción]],"/",BBDD_Usiarios_Netflix[[#This Row],[Año Suscripción]]))</f>
        <v>45237</v>
      </c>
      <c r="H2316" s="1">
        <v>10</v>
      </c>
      <c r="I2316" s="1">
        <v>7</v>
      </c>
      <c r="J2316" s="1">
        <v>24</v>
      </c>
      <c r="K2316" s="1" t="str">
        <f>TEXT(BBDD_Usiarios_Netflix[[#This Row],[Fecha Suscripción]],"dddd")</f>
        <v>martes</v>
      </c>
      <c r="L2316" s="1">
        <f>DATEVALUE(_xlfn.CONCAT(BBDD_Usiarios_Netflix[[#This Row],[Día Último Pago]],"/",BBDD_Usiarios_Netflix[[#This Row],[Mes Último Pago]],"/",BBDD_Usiarios_Netflix[[#This Row],[Año Último Pago]]))</f>
        <v>45483</v>
      </c>
      <c r="M2316" s="4">
        <f>DATEDIF(BBDD_Usiarios_Netflix[[#This Row],[Fecha Suscripción]],BBDD_Usiarios_Netflix[[#This Row],[Fecha Último Pago]],"M")+1</f>
        <v>9</v>
      </c>
      <c r="N2316" s="4">
        <f>BBDD_Usiarios_Netflix[[#This Row],[Ingresos Mensuales]]*BBDD_Usiarios_Netflix[[#This Row],[Meses contratados]]</f>
        <v>90</v>
      </c>
      <c r="O2316" t="s">
        <v>40</v>
      </c>
      <c r="P2316" t="str">
        <f>IF(BBDD_Usiarios_Netflix[[#This Row],[País]]="","Desconocido",BBDD_Usiarios_Netflix[[#This Row],[País]])</f>
        <v>Italia</v>
      </c>
      <c r="Q2316">
        <v>35</v>
      </c>
      <c r="R2316" t="s">
        <v>30</v>
      </c>
      <c r="S2316" t="s">
        <v>36</v>
      </c>
      <c r="T2316" t="s">
        <v>27</v>
      </c>
      <c r="U2316">
        <f>IF(IFERROR(VLOOKUP(BBDD_Usiarios_Netflix[[#This Row],[Identificador Usuario]],A2317:$A$5870,1,FALSE),0)&lt;&gt;0,1,0)</f>
        <v>0</v>
      </c>
      <c r="V2316" s="6" t="str">
        <f>IF(BBDD_Usiarios_Netflix[[#This Row],[Duración Plan]]="12 Meses",LEFT(BBDD_Usiarios_Netflix[[#This Row],[Duración Plan]],2),LEFT(BBDD_Usiarios_Netflix[[#This Row],[Duración Plan]],1))</f>
        <v>1</v>
      </c>
      <c r="W23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17" spans="1:23" x14ac:dyDescent="0.25">
      <c r="A2317">
        <v>2316</v>
      </c>
      <c r="B2317" t="s">
        <v>28</v>
      </c>
      <c r="C2317">
        <v>14</v>
      </c>
      <c r="D2317" s="3">
        <v>9</v>
      </c>
      <c r="E2317" s="3">
        <v>11</v>
      </c>
      <c r="F2317">
        <v>23</v>
      </c>
      <c r="G2317" s="1">
        <f>DATEVALUE(_xlfn.CONCAT(BBDD_Usiarios_Netflix[[#This Row],[Día Suscripción]],"/",BBDD_Usiarios_Netflix[[#This Row],[Mes Suscripción]],"/",BBDD_Usiarios_Netflix[[#This Row],[Año Suscripción]]))</f>
        <v>45239</v>
      </c>
      <c r="H2317" s="1">
        <v>11</v>
      </c>
      <c r="I2317" s="1">
        <v>7</v>
      </c>
      <c r="J2317" s="1">
        <v>24</v>
      </c>
      <c r="K2317" s="1" t="str">
        <f>TEXT(BBDD_Usiarios_Netflix[[#This Row],[Fecha Suscripción]],"dddd")</f>
        <v>jueves</v>
      </c>
      <c r="L2317" s="1">
        <f>DATEVALUE(_xlfn.CONCAT(BBDD_Usiarios_Netflix[[#This Row],[Día Último Pago]],"/",BBDD_Usiarios_Netflix[[#This Row],[Mes Último Pago]],"/",BBDD_Usiarios_Netflix[[#This Row],[Año Último Pago]]))</f>
        <v>45484</v>
      </c>
      <c r="M2317" s="4">
        <f>DATEDIF(BBDD_Usiarios_Netflix[[#This Row],[Fecha Suscripción]],BBDD_Usiarios_Netflix[[#This Row],[Fecha Último Pago]],"M")+1</f>
        <v>9</v>
      </c>
      <c r="N2317" s="4">
        <f>BBDD_Usiarios_Netflix[[#This Row],[Ingresos Mensuales]]*BBDD_Usiarios_Netflix[[#This Row],[Meses contratados]]</f>
        <v>126</v>
      </c>
      <c r="O2317" t="s">
        <v>33</v>
      </c>
      <c r="P2317" t="str">
        <f>IF(BBDD_Usiarios_Netflix[[#This Row],[País]]="","Desconocido",BBDD_Usiarios_Netflix[[#This Row],[País]])</f>
        <v>Francia</v>
      </c>
      <c r="Q2317">
        <v>29</v>
      </c>
      <c r="R2317" t="s">
        <v>30</v>
      </c>
      <c r="S2317" t="s">
        <v>31</v>
      </c>
      <c r="T2317" t="s">
        <v>35</v>
      </c>
      <c r="U2317">
        <f>IF(IFERROR(VLOOKUP(BBDD_Usiarios_Netflix[[#This Row],[Identificador Usuario]],A2318:$A$5870,1,FALSE),0)&lt;&gt;0,1,0)</f>
        <v>0</v>
      </c>
      <c r="V2317" s="6" t="str">
        <f>IF(BBDD_Usiarios_Netflix[[#This Row],[Duración Plan]]="12 Meses",LEFT(BBDD_Usiarios_Netflix[[#This Row],[Duración Plan]],2),LEFT(BBDD_Usiarios_Netflix[[#This Row],[Duración Plan]],1))</f>
        <v>6</v>
      </c>
      <c r="W23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18" spans="1:23" x14ac:dyDescent="0.25">
      <c r="A2318">
        <v>2317</v>
      </c>
      <c r="B2318" t="s">
        <v>23</v>
      </c>
      <c r="C2318">
        <v>10</v>
      </c>
      <c r="D2318" s="3">
        <v>10</v>
      </c>
      <c r="E2318" s="3">
        <v>11</v>
      </c>
      <c r="F2318">
        <v>23</v>
      </c>
      <c r="G2318" s="1">
        <f>DATEVALUE(_xlfn.CONCAT(BBDD_Usiarios_Netflix[[#This Row],[Día Suscripción]],"/",BBDD_Usiarios_Netflix[[#This Row],[Mes Suscripción]],"/",BBDD_Usiarios_Netflix[[#This Row],[Año Suscripción]]))</f>
        <v>45240</v>
      </c>
      <c r="H2318" s="1">
        <v>10</v>
      </c>
      <c r="I2318" s="1">
        <v>7</v>
      </c>
      <c r="J2318" s="1">
        <v>24</v>
      </c>
      <c r="K2318" s="1" t="str">
        <f>TEXT(BBDD_Usiarios_Netflix[[#This Row],[Fecha Suscripción]],"dddd")</f>
        <v>viernes</v>
      </c>
      <c r="L2318" s="1">
        <f>DATEVALUE(_xlfn.CONCAT(BBDD_Usiarios_Netflix[[#This Row],[Día Último Pago]],"/",BBDD_Usiarios_Netflix[[#This Row],[Mes Último Pago]],"/",BBDD_Usiarios_Netflix[[#This Row],[Año Último Pago]]))</f>
        <v>45483</v>
      </c>
      <c r="M2318" s="4">
        <f>DATEDIF(BBDD_Usiarios_Netflix[[#This Row],[Fecha Suscripción]],BBDD_Usiarios_Netflix[[#This Row],[Fecha Último Pago]],"M")+1</f>
        <v>9</v>
      </c>
      <c r="N2318" s="4">
        <f>BBDD_Usiarios_Netflix[[#This Row],[Ingresos Mensuales]]*BBDD_Usiarios_Netflix[[#This Row],[Meses contratados]]</f>
        <v>90</v>
      </c>
      <c r="O2318" t="s">
        <v>42</v>
      </c>
      <c r="P2318" t="str">
        <f>IF(BBDD_Usiarios_Netflix[[#This Row],[País]]="","Desconocido",BBDD_Usiarios_Netflix[[#This Row],[País]])</f>
        <v>Reino Unido</v>
      </c>
      <c r="Q2318">
        <v>49</v>
      </c>
      <c r="R2318" t="s">
        <v>30</v>
      </c>
      <c r="S2318" t="s">
        <v>34</v>
      </c>
      <c r="T2318" t="s">
        <v>41</v>
      </c>
      <c r="U2318">
        <f>IF(IFERROR(VLOOKUP(BBDD_Usiarios_Netflix[[#This Row],[Identificador Usuario]],A2319:$A$5870,1,FALSE),0)&lt;&gt;0,1,0)</f>
        <v>0</v>
      </c>
      <c r="V2318" s="6" t="str">
        <f>IF(BBDD_Usiarios_Netflix[[#This Row],[Duración Plan]]="12 Meses",LEFT(BBDD_Usiarios_Netflix[[#This Row],[Duración Plan]],2),LEFT(BBDD_Usiarios_Netflix[[#This Row],[Duración Plan]],1))</f>
        <v>12</v>
      </c>
      <c r="W23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19" spans="1:23" x14ac:dyDescent="0.25">
      <c r="A2319">
        <v>2318</v>
      </c>
      <c r="B2319" t="s">
        <v>32</v>
      </c>
      <c r="C2319">
        <v>12</v>
      </c>
      <c r="D2319" s="3">
        <v>11</v>
      </c>
      <c r="E2319" s="3">
        <v>11</v>
      </c>
      <c r="F2319">
        <v>23</v>
      </c>
      <c r="G2319" s="1">
        <f>DATEVALUE(_xlfn.CONCAT(BBDD_Usiarios_Netflix[[#This Row],[Día Suscripción]],"/",BBDD_Usiarios_Netflix[[#This Row],[Mes Suscripción]],"/",BBDD_Usiarios_Netflix[[#This Row],[Año Suscripción]]))</f>
        <v>45241</v>
      </c>
      <c r="H2319" s="1">
        <v>12</v>
      </c>
      <c r="I2319" s="1">
        <v>7</v>
      </c>
      <c r="J2319" s="1">
        <v>24</v>
      </c>
      <c r="K2319" s="1" t="str">
        <f>TEXT(BBDD_Usiarios_Netflix[[#This Row],[Fecha Suscripción]],"dddd")</f>
        <v>sábado</v>
      </c>
      <c r="L2319" s="1">
        <f>DATEVALUE(_xlfn.CONCAT(BBDD_Usiarios_Netflix[[#This Row],[Día Último Pago]],"/",BBDD_Usiarios_Netflix[[#This Row],[Mes Último Pago]],"/",BBDD_Usiarios_Netflix[[#This Row],[Año Último Pago]]))</f>
        <v>45485</v>
      </c>
      <c r="M2319" s="4">
        <f>DATEDIF(BBDD_Usiarios_Netflix[[#This Row],[Fecha Suscripción]],BBDD_Usiarios_Netflix[[#This Row],[Fecha Último Pago]],"M")+1</f>
        <v>9</v>
      </c>
      <c r="N2319" s="4">
        <f>BBDD_Usiarios_Netflix[[#This Row],[Ingresos Mensuales]]*BBDD_Usiarios_Netflix[[#This Row],[Meses contratados]]</f>
        <v>108</v>
      </c>
      <c r="O2319" t="s">
        <v>39</v>
      </c>
      <c r="P2319" t="str">
        <f>IF(BBDD_Usiarios_Netflix[[#This Row],[País]]="","Desconocido",BBDD_Usiarios_Netflix[[#This Row],[País]])</f>
        <v>Canadá</v>
      </c>
      <c r="Q2319">
        <v>34</v>
      </c>
      <c r="R2319" t="s">
        <v>25</v>
      </c>
      <c r="S2319" t="s">
        <v>34</v>
      </c>
      <c r="T2319" t="s">
        <v>35</v>
      </c>
      <c r="U2319">
        <f>IF(IFERROR(VLOOKUP(BBDD_Usiarios_Netflix[[#This Row],[Identificador Usuario]],A2320:$A$5870,1,FALSE),0)&lt;&gt;0,1,0)</f>
        <v>0</v>
      </c>
      <c r="V2319" s="6" t="str">
        <f>IF(BBDD_Usiarios_Netflix[[#This Row],[Duración Plan]]="12 Meses",LEFT(BBDD_Usiarios_Netflix[[#This Row],[Duración Plan]],2),LEFT(BBDD_Usiarios_Netflix[[#This Row],[Duración Plan]],1))</f>
        <v>6</v>
      </c>
      <c r="W23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20" spans="1:23" x14ac:dyDescent="0.25">
      <c r="A2320">
        <v>2319</v>
      </c>
      <c r="B2320" t="s">
        <v>28</v>
      </c>
      <c r="C2320">
        <v>14</v>
      </c>
      <c r="D2320" s="3">
        <v>11</v>
      </c>
      <c r="E2320" s="3">
        <v>11</v>
      </c>
      <c r="F2320">
        <v>23</v>
      </c>
      <c r="G2320" s="1">
        <f>DATEVALUE(_xlfn.CONCAT(BBDD_Usiarios_Netflix[[#This Row],[Día Suscripción]],"/",BBDD_Usiarios_Netflix[[#This Row],[Mes Suscripción]],"/",BBDD_Usiarios_Netflix[[#This Row],[Año Suscripción]]))</f>
        <v>45241</v>
      </c>
      <c r="H2320" s="1">
        <v>11</v>
      </c>
      <c r="I2320" s="1">
        <v>7</v>
      </c>
      <c r="J2320" s="1">
        <v>24</v>
      </c>
      <c r="K2320" s="1" t="str">
        <f>TEXT(BBDD_Usiarios_Netflix[[#This Row],[Fecha Suscripción]],"dddd")</f>
        <v>sábado</v>
      </c>
      <c r="L2320" s="1">
        <f>DATEVALUE(_xlfn.CONCAT(BBDD_Usiarios_Netflix[[#This Row],[Día Último Pago]],"/",BBDD_Usiarios_Netflix[[#This Row],[Mes Último Pago]],"/",BBDD_Usiarios_Netflix[[#This Row],[Año Último Pago]]))</f>
        <v>45484</v>
      </c>
      <c r="M2320" s="4">
        <f>DATEDIF(BBDD_Usiarios_Netflix[[#This Row],[Fecha Suscripción]],BBDD_Usiarios_Netflix[[#This Row],[Fecha Último Pago]],"M")+1</f>
        <v>9</v>
      </c>
      <c r="N2320" s="4">
        <f>BBDD_Usiarios_Netflix[[#This Row],[Ingresos Mensuales]]*BBDD_Usiarios_Netflix[[#This Row],[Meses contratados]]</f>
        <v>126</v>
      </c>
      <c r="O2320" t="s">
        <v>45</v>
      </c>
      <c r="P2320" t="str">
        <f>IF(BBDD_Usiarios_Netflix[[#This Row],[País]]="","Desconocido",BBDD_Usiarios_Netflix[[#This Row],[País]])</f>
        <v>España</v>
      </c>
      <c r="Q2320">
        <v>37</v>
      </c>
      <c r="R2320" t="s">
        <v>25</v>
      </c>
      <c r="S2320" t="s">
        <v>34</v>
      </c>
      <c r="T2320" t="s">
        <v>35</v>
      </c>
      <c r="U2320">
        <f>IF(IFERROR(VLOOKUP(BBDD_Usiarios_Netflix[[#This Row],[Identificador Usuario]],A2321:$A$5870,1,FALSE),0)&lt;&gt;0,1,0)</f>
        <v>0</v>
      </c>
      <c r="V2320" s="6" t="str">
        <f>IF(BBDD_Usiarios_Netflix[[#This Row],[Duración Plan]]="12 Meses",LEFT(BBDD_Usiarios_Netflix[[#This Row],[Duración Plan]],2),LEFT(BBDD_Usiarios_Netflix[[#This Row],[Duración Plan]],1))</f>
        <v>6</v>
      </c>
      <c r="W23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21" spans="1:23" x14ac:dyDescent="0.25">
      <c r="A2321">
        <v>2320</v>
      </c>
      <c r="B2321" t="s">
        <v>23</v>
      </c>
      <c r="C2321">
        <v>10</v>
      </c>
      <c r="D2321" s="3">
        <v>10</v>
      </c>
      <c r="E2321" s="3">
        <v>11</v>
      </c>
      <c r="F2321">
        <v>23</v>
      </c>
      <c r="G2321" s="1">
        <f>DATEVALUE(_xlfn.CONCAT(BBDD_Usiarios_Netflix[[#This Row],[Día Suscripción]],"/",BBDD_Usiarios_Netflix[[#This Row],[Mes Suscripción]],"/",BBDD_Usiarios_Netflix[[#This Row],[Año Suscripción]]))</f>
        <v>45240</v>
      </c>
      <c r="H2321" s="1">
        <v>11</v>
      </c>
      <c r="I2321" s="1">
        <v>7</v>
      </c>
      <c r="J2321" s="1">
        <v>24</v>
      </c>
      <c r="K2321" s="1" t="str">
        <f>TEXT(BBDD_Usiarios_Netflix[[#This Row],[Fecha Suscripción]],"dddd")</f>
        <v>viernes</v>
      </c>
      <c r="L2321" s="1">
        <f>DATEVALUE(_xlfn.CONCAT(BBDD_Usiarios_Netflix[[#This Row],[Día Último Pago]],"/",BBDD_Usiarios_Netflix[[#This Row],[Mes Último Pago]],"/",BBDD_Usiarios_Netflix[[#This Row],[Año Último Pago]]))</f>
        <v>45484</v>
      </c>
      <c r="M2321" s="4">
        <f>DATEDIF(BBDD_Usiarios_Netflix[[#This Row],[Fecha Suscripción]],BBDD_Usiarios_Netflix[[#This Row],[Fecha Último Pago]],"M")+1</f>
        <v>9</v>
      </c>
      <c r="N2321" s="4">
        <f>BBDD_Usiarios_Netflix[[#This Row],[Ingresos Mensuales]]*BBDD_Usiarios_Netflix[[#This Row],[Meses contratados]]</f>
        <v>90</v>
      </c>
      <c r="O2321" t="s">
        <v>43</v>
      </c>
      <c r="P2321" t="str">
        <f>IF(BBDD_Usiarios_Netflix[[#This Row],[País]]="","Desconocido",BBDD_Usiarios_Netflix[[#This Row],[País]])</f>
        <v>Alemania</v>
      </c>
      <c r="Q2321">
        <v>50</v>
      </c>
      <c r="R2321" t="s">
        <v>25</v>
      </c>
      <c r="S2321" t="s">
        <v>34</v>
      </c>
      <c r="T2321" t="s">
        <v>38</v>
      </c>
      <c r="U2321">
        <f>IF(IFERROR(VLOOKUP(BBDD_Usiarios_Netflix[[#This Row],[Identificador Usuario]],A2322:$A$5870,1,FALSE),0)&lt;&gt;0,1,0)</f>
        <v>0</v>
      </c>
      <c r="V2321" s="6" t="str">
        <f>IF(BBDD_Usiarios_Netflix[[#This Row],[Duración Plan]]="12 Meses",LEFT(BBDD_Usiarios_Netflix[[#This Row],[Duración Plan]],2),LEFT(BBDD_Usiarios_Netflix[[#This Row],[Duración Plan]],1))</f>
        <v>3</v>
      </c>
      <c r="W23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22" spans="1:23" x14ac:dyDescent="0.25">
      <c r="A2322">
        <v>2321</v>
      </c>
      <c r="B2322" t="s">
        <v>23</v>
      </c>
      <c r="C2322">
        <v>10</v>
      </c>
      <c r="D2322" s="3">
        <v>11</v>
      </c>
      <c r="E2322" s="3">
        <v>11</v>
      </c>
      <c r="F2322">
        <v>23</v>
      </c>
      <c r="G2322" s="1">
        <f>DATEVALUE(_xlfn.CONCAT(BBDD_Usiarios_Netflix[[#This Row],[Día Suscripción]],"/",BBDD_Usiarios_Netflix[[#This Row],[Mes Suscripción]],"/",BBDD_Usiarios_Netflix[[#This Row],[Año Suscripción]]))</f>
        <v>45241</v>
      </c>
      <c r="H2322" s="1">
        <v>9</v>
      </c>
      <c r="I2322" s="1">
        <v>7</v>
      </c>
      <c r="J2322" s="1">
        <v>24</v>
      </c>
      <c r="K2322" s="1" t="str">
        <f>TEXT(BBDD_Usiarios_Netflix[[#This Row],[Fecha Suscripción]],"dddd")</f>
        <v>sábado</v>
      </c>
      <c r="L2322" s="1">
        <f>DATEVALUE(_xlfn.CONCAT(BBDD_Usiarios_Netflix[[#This Row],[Día Último Pago]],"/",BBDD_Usiarios_Netflix[[#This Row],[Mes Último Pago]],"/",BBDD_Usiarios_Netflix[[#This Row],[Año Último Pago]]))</f>
        <v>45482</v>
      </c>
      <c r="M2322" s="4">
        <f>DATEDIF(BBDD_Usiarios_Netflix[[#This Row],[Fecha Suscripción]],BBDD_Usiarios_Netflix[[#This Row],[Fecha Último Pago]],"M")+1</f>
        <v>8</v>
      </c>
      <c r="N2322" s="4">
        <f>BBDD_Usiarios_Netflix[[#This Row],[Ingresos Mensuales]]*BBDD_Usiarios_Netflix[[#This Row],[Meses contratados]]</f>
        <v>80</v>
      </c>
      <c r="O2322" t="s">
        <v>42</v>
      </c>
      <c r="P2322" t="str">
        <f>IF(BBDD_Usiarios_Netflix[[#This Row],[País]]="","Desconocido",BBDD_Usiarios_Netflix[[#This Row],[País]])</f>
        <v>Reino Unido</v>
      </c>
      <c r="Q2322">
        <v>38</v>
      </c>
      <c r="R2322" t="s">
        <v>25</v>
      </c>
      <c r="S2322" t="s">
        <v>34</v>
      </c>
      <c r="T2322" t="s">
        <v>41</v>
      </c>
      <c r="U2322">
        <f>IF(IFERROR(VLOOKUP(BBDD_Usiarios_Netflix[[#This Row],[Identificador Usuario]],A2323:$A$5870,1,FALSE),0)&lt;&gt;0,1,0)</f>
        <v>0</v>
      </c>
      <c r="V2322" s="6" t="str">
        <f>IF(BBDD_Usiarios_Netflix[[#This Row],[Duración Plan]]="12 Meses",LEFT(BBDD_Usiarios_Netflix[[#This Row],[Duración Plan]],2),LEFT(BBDD_Usiarios_Netflix[[#This Row],[Duración Plan]],1))</f>
        <v>12</v>
      </c>
      <c r="W23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23" spans="1:23" x14ac:dyDescent="0.25">
      <c r="A2323">
        <v>2322</v>
      </c>
      <c r="B2323" t="s">
        <v>23</v>
      </c>
      <c r="C2323">
        <v>10</v>
      </c>
      <c r="D2323" s="3">
        <v>12</v>
      </c>
      <c r="E2323" s="3">
        <v>11</v>
      </c>
      <c r="F2323">
        <v>23</v>
      </c>
      <c r="G2323" s="1">
        <f>DATEVALUE(_xlfn.CONCAT(BBDD_Usiarios_Netflix[[#This Row],[Día Suscripción]],"/",BBDD_Usiarios_Netflix[[#This Row],[Mes Suscripción]],"/",BBDD_Usiarios_Netflix[[#This Row],[Año Suscripción]]))</f>
        <v>45242</v>
      </c>
      <c r="H2323" s="1">
        <v>11</v>
      </c>
      <c r="I2323" s="1">
        <v>7</v>
      </c>
      <c r="J2323" s="1">
        <v>24</v>
      </c>
      <c r="K2323" s="1" t="str">
        <f>TEXT(BBDD_Usiarios_Netflix[[#This Row],[Fecha Suscripción]],"dddd")</f>
        <v>domingo</v>
      </c>
      <c r="L2323" s="1">
        <f>DATEVALUE(_xlfn.CONCAT(BBDD_Usiarios_Netflix[[#This Row],[Día Último Pago]],"/",BBDD_Usiarios_Netflix[[#This Row],[Mes Último Pago]],"/",BBDD_Usiarios_Netflix[[#This Row],[Año Último Pago]]))</f>
        <v>45484</v>
      </c>
      <c r="M2323" s="4">
        <f>DATEDIF(BBDD_Usiarios_Netflix[[#This Row],[Fecha Suscripción]],BBDD_Usiarios_Netflix[[#This Row],[Fecha Último Pago]],"M")+1</f>
        <v>8</v>
      </c>
      <c r="N2323" s="4">
        <f>BBDD_Usiarios_Netflix[[#This Row],[Ingresos Mensuales]]*BBDD_Usiarios_Netflix[[#This Row],[Meses contratados]]</f>
        <v>80</v>
      </c>
      <c r="O2323" t="s">
        <v>24</v>
      </c>
      <c r="P2323" t="str">
        <f>IF(BBDD_Usiarios_Netflix[[#This Row],[País]]="","Desconocido",BBDD_Usiarios_Netflix[[#This Row],[País]])</f>
        <v>Australia</v>
      </c>
      <c r="Q2323">
        <v>37</v>
      </c>
      <c r="R2323" t="s">
        <v>30</v>
      </c>
      <c r="S2323" t="s">
        <v>34</v>
      </c>
      <c r="T2323" t="s">
        <v>27</v>
      </c>
      <c r="U2323">
        <f>IF(IFERROR(VLOOKUP(BBDD_Usiarios_Netflix[[#This Row],[Identificador Usuario]],A2324:$A$5870,1,FALSE),0)&lt;&gt;0,1,0)</f>
        <v>0</v>
      </c>
      <c r="V2323" s="6" t="str">
        <f>IF(BBDD_Usiarios_Netflix[[#This Row],[Duración Plan]]="12 Meses",LEFT(BBDD_Usiarios_Netflix[[#This Row],[Duración Plan]],2),LEFT(BBDD_Usiarios_Netflix[[#This Row],[Duración Plan]],1))</f>
        <v>1</v>
      </c>
      <c r="W23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24" spans="1:23" x14ac:dyDescent="0.25">
      <c r="A2324">
        <v>2323</v>
      </c>
      <c r="B2324" t="s">
        <v>32</v>
      </c>
      <c r="C2324">
        <v>12</v>
      </c>
      <c r="D2324" s="3">
        <v>7</v>
      </c>
      <c r="E2324" s="3">
        <v>11</v>
      </c>
      <c r="F2324">
        <v>23</v>
      </c>
      <c r="G2324" s="1">
        <f>DATEVALUE(_xlfn.CONCAT(BBDD_Usiarios_Netflix[[#This Row],[Día Suscripción]],"/",BBDD_Usiarios_Netflix[[#This Row],[Mes Suscripción]],"/",BBDD_Usiarios_Netflix[[#This Row],[Año Suscripción]]))</f>
        <v>45237</v>
      </c>
      <c r="H2324" s="1">
        <v>11</v>
      </c>
      <c r="I2324" s="1">
        <v>7</v>
      </c>
      <c r="J2324" s="1">
        <v>24</v>
      </c>
      <c r="K2324" s="1" t="str">
        <f>TEXT(BBDD_Usiarios_Netflix[[#This Row],[Fecha Suscripción]],"dddd")</f>
        <v>martes</v>
      </c>
      <c r="L2324" s="1">
        <f>DATEVALUE(_xlfn.CONCAT(BBDD_Usiarios_Netflix[[#This Row],[Día Último Pago]],"/",BBDD_Usiarios_Netflix[[#This Row],[Mes Último Pago]],"/",BBDD_Usiarios_Netflix[[#This Row],[Año Último Pago]]))</f>
        <v>45484</v>
      </c>
      <c r="M2324" s="4">
        <f>DATEDIF(BBDD_Usiarios_Netflix[[#This Row],[Fecha Suscripción]],BBDD_Usiarios_Netflix[[#This Row],[Fecha Último Pago]],"M")+1</f>
        <v>9</v>
      </c>
      <c r="N2324" s="4">
        <f>BBDD_Usiarios_Netflix[[#This Row],[Ingresos Mensuales]]*BBDD_Usiarios_Netflix[[#This Row],[Meses contratados]]</f>
        <v>108</v>
      </c>
      <c r="O2324" t="s">
        <v>24</v>
      </c>
      <c r="P2324" t="str">
        <f>IF(BBDD_Usiarios_Netflix[[#This Row],[País]]="","Desconocido",BBDD_Usiarios_Netflix[[#This Row],[País]])</f>
        <v>Australia</v>
      </c>
      <c r="Q2324">
        <v>34</v>
      </c>
      <c r="R2324" t="s">
        <v>25</v>
      </c>
      <c r="S2324" t="s">
        <v>36</v>
      </c>
      <c r="T2324" t="s">
        <v>38</v>
      </c>
      <c r="U2324">
        <f>IF(IFERROR(VLOOKUP(BBDD_Usiarios_Netflix[[#This Row],[Identificador Usuario]],A2325:$A$5870,1,FALSE),0)&lt;&gt;0,1,0)</f>
        <v>0</v>
      </c>
      <c r="V2324" s="6" t="str">
        <f>IF(BBDD_Usiarios_Netflix[[#This Row],[Duración Plan]]="12 Meses",LEFT(BBDD_Usiarios_Netflix[[#This Row],[Duración Plan]],2),LEFT(BBDD_Usiarios_Netflix[[#This Row],[Duración Plan]],1))</f>
        <v>3</v>
      </c>
      <c r="W23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25" spans="1:23" x14ac:dyDescent="0.25">
      <c r="A2325">
        <v>2324</v>
      </c>
      <c r="B2325" t="s">
        <v>28</v>
      </c>
      <c r="C2325">
        <v>14</v>
      </c>
      <c r="D2325" s="3">
        <v>4</v>
      </c>
      <c r="E2325" s="3">
        <v>11</v>
      </c>
      <c r="F2325">
        <v>23</v>
      </c>
      <c r="G2325" s="1">
        <f>DATEVALUE(_xlfn.CONCAT(BBDD_Usiarios_Netflix[[#This Row],[Día Suscripción]],"/",BBDD_Usiarios_Netflix[[#This Row],[Mes Suscripción]],"/",BBDD_Usiarios_Netflix[[#This Row],[Año Suscripción]]))</f>
        <v>45234</v>
      </c>
      <c r="H2325" s="1">
        <v>11</v>
      </c>
      <c r="I2325" s="1">
        <v>7</v>
      </c>
      <c r="J2325" s="1">
        <v>24</v>
      </c>
      <c r="K2325" s="1" t="str">
        <f>TEXT(BBDD_Usiarios_Netflix[[#This Row],[Fecha Suscripción]],"dddd")</f>
        <v>sábado</v>
      </c>
      <c r="L2325" s="1">
        <f>DATEVALUE(_xlfn.CONCAT(BBDD_Usiarios_Netflix[[#This Row],[Día Último Pago]],"/",BBDD_Usiarios_Netflix[[#This Row],[Mes Último Pago]],"/",BBDD_Usiarios_Netflix[[#This Row],[Año Último Pago]]))</f>
        <v>45484</v>
      </c>
      <c r="M2325" s="4">
        <f>DATEDIF(BBDD_Usiarios_Netflix[[#This Row],[Fecha Suscripción]],BBDD_Usiarios_Netflix[[#This Row],[Fecha Último Pago]],"M")+1</f>
        <v>9</v>
      </c>
      <c r="N2325" s="4">
        <f>BBDD_Usiarios_Netflix[[#This Row],[Ingresos Mensuales]]*BBDD_Usiarios_Netflix[[#This Row],[Meses contratados]]</f>
        <v>126</v>
      </c>
      <c r="O2325" t="s">
        <v>29</v>
      </c>
      <c r="P2325" t="str">
        <f>IF(BBDD_Usiarios_Netflix[[#This Row],[País]]="","Desconocido",BBDD_Usiarios_Netflix[[#This Row],[País]])</f>
        <v>EEUU</v>
      </c>
      <c r="Q2325">
        <v>30</v>
      </c>
      <c r="R2325" t="s">
        <v>25</v>
      </c>
      <c r="S2325" t="s">
        <v>34</v>
      </c>
      <c r="T2325" t="s">
        <v>27</v>
      </c>
      <c r="U2325">
        <f>IF(IFERROR(VLOOKUP(BBDD_Usiarios_Netflix[[#This Row],[Identificador Usuario]],A2326:$A$5870,1,FALSE),0)&lt;&gt;0,1,0)</f>
        <v>0</v>
      </c>
      <c r="V2325" s="6" t="str">
        <f>IF(BBDD_Usiarios_Netflix[[#This Row],[Duración Plan]]="12 Meses",LEFT(BBDD_Usiarios_Netflix[[#This Row],[Duración Plan]],2),LEFT(BBDD_Usiarios_Netflix[[#This Row],[Duración Plan]],1))</f>
        <v>1</v>
      </c>
      <c r="W23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26" spans="1:23" x14ac:dyDescent="0.25">
      <c r="A2326">
        <v>2325</v>
      </c>
      <c r="B2326" t="s">
        <v>23</v>
      </c>
      <c r="C2326">
        <v>10</v>
      </c>
      <c r="D2326" s="3">
        <v>3</v>
      </c>
      <c r="E2326" s="3">
        <v>11</v>
      </c>
      <c r="F2326">
        <v>23</v>
      </c>
      <c r="G2326" s="1">
        <f>DATEVALUE(_xlfn.CONCAT(BBDD_Usiarios_Netflix[[#This Row],[Día Suscripción]],"/",BBDD_Usiarios_Netflix[[#This Row],[Mes Suscripción]],"/",BBDD_Usiarios_Netflix[[#This Row],[Año Suscripción]]))</f>
        <v>45233</v>
      </c>
      <c r="H2326" s="1">
        <v>11</v>
      </c>
      <c r="I2326" s="1">
        <v>7</v>
      </c>
      <c r="J2326" s="1">
        <v>24</v>
      </c>
      <c r="K2326" s="1" t="str">
        <f>TEXT(BBDD_Usiarios_Netflix[[#This Row],[Fecha Suscripción]],"dddd")</f>
        <v>viernes</v>
      </c>
      <c r="L2326" s="1">
        <f>DATEVALUE(_xlfn.CONCAT(BBDD_Usiarios_Netflix[[#This Row],[Día Último Pago]],"/",BBDD_Usiarios_Netflix[[#This Row],[Mes Último Pago]],"/",BBDD_Usiarios_Netflix[[#This Row],[Año Último Pago]]))</f>
        <v>45484</v>
      </c>
      <c r="M2326" s="4">
        <f>DATEDIF(BBDD_Usiarios_Netflix[[#This Row],[Fecha Suscripción]],BBDD_Usiarios_Netflix[[#This Row],[Fecha Último Pago]],"M")+1</f>
        <v>9</v>
      </c>
      <c r="N2326" s="4">
        <f>BBDD_Usiarios_Netflix[[#This Row],[Ingresos Mensuales]]*BBDD_Usiarios_Netflix[[#This Row],[Meses contratados]]</f>
        <v>90</v>
      </c>
      <c r="O2326" t="s">
        <v>33</v>
      </c>
      <c r="P2326" t="str">
        <f>IF(BBDD_Usiarios_Netflix[[#This Row],[País]]="","Desconocido",BBDD_Usiarios_Netflix[[#This Row],[País]])</f>
        <v>Francia</v>
      </c>
      <c r="Q2326">
        <v>35</v>
      </c>
      <c r="R2326" t="s">
        <v>25</v>
      </c>
      <c r="S2326" t="s">
        <v>36</v>
      </c>
      <c r="T2326" t="s">
        <v>38</v>
      </c>
      <c r="U2326">
        <f>IF(IFERROR(VLOOKUP(BBDD_Usiarios_Netflix[[#This Row],[Identificador Usuario]],A2327:$A$5870,1,FALSE),0)&lt;&gt;0,1,0)</f>
        <v>0</v>
      </c>
      <c r="V2326" s="6" t="str">
        <f>IF(BBDD_Usiarios_Netflix[[#This Row],[Duración Plan]]="12 Meses",LEFT(BBDD_Usiarios_Netflix[[#This Row],[Duración Plan]],2),LEFT(BBDD_Usiarios_Netflix[[#This Row],[Duración Plan]],1))</f>
        <v>3</v>
      </c>
      <c r="W23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27" spans="1:23" x14ac:dyDescent="0.25">
      <c r="A2327">
        <v>2326</v>
      </c>
      <c r="B2327" t="s">
        <v>23</v>
      </c>
      <c r="C2327">
        <v>10</v>
      </c>
      <c r="D2327" s="3">
        <v>1</v>
      </c>
      <c r="E2327" s="3">
        <v>11</v>
      </c>
      <c r="F2327">
        <v>23</v>
      </c>
      <c r="G2327" s="1">
        <f>DATEVALUE(_xlfn.CONCAT(BBDD_Usiarios_Netflix[[#This Row],[Día Suscripción]],"/",BBDD_Usiarios_Netflix[[#This Row],[Mes Suscripción]],"/",BBDD_Usiarios_Netflix[[#This Row],[Año Suscripción]]))</f>
        <v>45231</v>
      </c>
      <c r="H2327" s="1">
        <v>11</v>
      </c>
      <c r="I2327" s="1">
        <v>7</v>
      </c>
      <c r="J2327" s="1">
        <v>24</v>
      </c>
      <c r="K2327" s="1" t="str">
        <f>TEXT(BBDD_Usiarios_Netflix[[#This Row],[Fecha Suscripción]],"dddd")</f>
        <v>miércoles</v>
      </c>
      <c r="L2327" s="1">
        <f>DATEVALUE(_xlfn.CONCAT(BBDD_Usiarios_Netflix[[#This Row],[Día Último Pago]],"/",BBDD_Usiarios_Netflix[[#This Row],[Mes Último Pago]],"/",BBDD_Usiarios_Netflix[[#This Row],[Año Último Pago]]))</f>
        <v>45484</v>
      </c>
      <c r="M2327" s="4">
        <f>DATEDIF(BBDD_Usiarios_Netflix[[#This Row],[Fecha Suscripción]],BBDD_Usiarios_Netflix[[#This Row],[Fecha Último Pago]],"M")+1</f>
        <v>9</v>
      </c>
      <c r="N2327" s="4">
        <f>BBDD_Usiarios_Netflix[[#This Row],[Ingresos Mensuales]]*BBDD_Usiarios_Netflix[[#This Row],[Meses contratados]]</f>
        <v>90</v>
      </c>
      <c r="O2327" t="s">
        <v>29</v>
      </c>
      <c r="P2327" t="str">
        <f>IF(BBDD_Usiarios_Netflix[[#This Row],[País]]="","Desconocido",BBDD_Usiarios_Netflix[[#This Row],[País]])</f>
        <v>EEUU</v>
      </c>
      <c r="Q2327">
        <v>39</v>
      </c>
      <c r="R2327" t="s">
        <v>25</v>
      </c>
      <c r="S2327" t="s">
        <v>31</v>
      </c>
      <c r="T2327" t="s">
        <v>38</v>
      </c>
      <c r="U2327">
        <f>IF(IFERROR(VLOOKUP(BBDD_Usiarios_Netflix[[#This Row],[Identificador Usuario]],A2328:$A$5870,1,FALSE),0)&lt;&gt;0,1,0)</f>
        <v>0</v>
      </c>
      <c r="V2327" s="6" t="str">
        <f>IF(BBDD_Usiarios_Netflix[[#This Row],[Duración Plan]]="12 Meses",LEFT(BBDD_Usiarios_Netflix[[#This Row],[Duración Plan]],2),LEFT(BBDD_Usiarios_Netflix[[#This Row],[Duración Plan]],1))</f>
        <v>3</v>
      </c>
      <c r="W23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28" spans="1:23" x14ac:dyDescent="0.25">
      <c r="A2328">
        <v>2327</v>
      </c>
      <c r="B2328" t="s">
        <v>28</v>
      </c>
      <c r="C2328">
        <v>14</v>
      </c>
      <c r="D2328" s="3">
        <v>29</v>
      </c>
      <c r="E2328" s="3">
        <v>10</v>
      </c>
      <c r="F2328">
        <v>23</v>
      </c>
      <c r="G2328" s="1">
        <f>DATEVALUE(_xlfn.CONCAT(BBDD_Usiarios_Netflix[[#This Row],[Día Suscripción]],"/",BBDD_Usiarios_Netflix[[#This Row],[Mes Suscripción]],"/",BBDD_Usiarios_Netflix[[#This Row],[Año Suscripción]]))</f>
        <v>45228</v>
      </c>
      <c r="H2328" s="1">
        <v>11</v>
      </c>
      <c r="I2328" s="1">
        <v>7</v>
      </c>
      <c r="J2328" s="1">
        <v>24</v>
      </c>
      <c r="K2328" s="1" t="str">
        <f>TEXT(BBDD_Usiarios_Netflix[[#This Row],[Fecha Suscripción]],"dddd")</f>
        <v>domingo</v>
      </c>
      <c r="L2328" s="1">
        <f>DATEVALUE(_xlfn.CONCAT(BBDD_Usiarios_Netflix[[#This Row],[Día Último Pago]],"/",BBDD_Usiarios_Netflix[[#This Row],[Mes Último Pago]],"/",BBDD_Usiarios_Netflix[[#This Row],[Año Último Pago]]))</f>
        <v>45484</v>
      </c>
      <c r="M2328" s="4">
        <f>DATEDIF(BBDD_Usiarios_Netflix[[#This Row],[Fecha Suscripción]],BBDD_Usiarios_Netflix[[#This Row],[Fecha Último Pago]],"M")+1</f>
        <v>9</v>
      </c>
      <c r="N2328" s="4">
        <f>BBDD_Usiarios_Netflix[[#This Row],[Ingresos Mensuales]]*BBDD_Usiarios_Netflix[[#This Row],[Meses contratados]]</f>
        <v>126</v>
      </c>
      <c r="O2328" t="s">
        <v>40</v>
      </c>
      <c r="P2328" t="str">
        <f>IF(BBDD_Usiarios_Netflix[[#This Row],[País]]="","Desconocido",BBDD_Usiarios_Netflix[[#This Row],[País]])</f>
        <v>Italia</v>
      </c>
      <c r="Q2328">
        <v>47</v>
      </c>
      <c r="R2328" t="s">
        <v>30</v>
      </c>
      <c r="S2328" t="s">
        <v>31</v>
      </c>
      <c r="T2328" t="s">
        <v>27</v>
      </c>
      <c r="U2328">
        <f>IF(IFERROR(VLOOKUP(BBDD_Usiarios_Netflix[[#This Row],[Identificador Usuario]],A2329:$A$5870,1,FALSE),0)&lt;&gt;0,1,0)</f>
        <v>0</v>
      </c>
      <c r="V2328" s="6" t="str">
        <f>IF(BBDD_Usiarios_Netflix[[#This Row],[Duración Plan]]="12 Meses",LEFT(BBDD_Usiarios_Netflix[[#This Row],[Duración Plan]],2),LEFT(BBDD_Usiarios_Netflix[[#This Row],[Duración Plan]],1))</f>
        <v>1</v>
      </c>
      <c r="W23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29" spans="1:23" x14ac:dyDescent="0.25">
      <c r="A2329">
        <v>2328</v>
      </c>
      <c r="B2329" t="s">
        <v>32</v>
      </c>
      <c r="C2329">
        <v>12</v>
      </c>
      <c r="D2329" s="3">
        <v>26</v>
      </c>
      <c r="E2329" s="3">
        <v>10</v>
      </c>
      <c r="F2329">
        <v>23</v>
      </c>
      <c r="G2329" s="1">
        <f>DATEVALUE(_xlfn.CONCAT(BBDD_Usiarios_Netflix[[#This Row],[Día Suscripción]],"/",BBDD_Usiarios_Netflix[[#This Row],[Mes Suscripción]],"/",BBDD_Usiarios_Netflix[[#This Row],[Año Suscripción]]))</f>
        <v>45225</v>
      </c>
      <c r="H2329" s="1">
        <v>11</v>
      </c>
      <c r="I2329" s="1">
        <v>7</v>
      </c>
      <c r="J2329" s="1">
        <v>24</v>
      </c>
      <c r="K2329" s="1" t="str">
        <f>TEXT(BBDD_Usiarios_Netflix[[#This Row],[Fecha Suscripción]],"dddd")</f>
        <v>jueves</v>
      </c>
      <c r="L2329" s="1">
        <f>DATEVALUE(_xlfn.CONCAT(BBDD_Usiarios_Netflix[[#This Row],[Día Último Pago]],"/",BBDD_Usiarios_Netflix[[#This Row],[Mes Último Pago]],"/",BBDD_Usiarios_Netflix[[#This Row],[Año Último Pago]]))</f>
        <v>45484</v>
      </c>
      <c r="M2329" s="4">
        <f>DATEDIF(BBDD_Usiarios_Netflix[[#This Row],[Fecha Suscripción]],BBDD_Usiarios_Netflix[[#This Row],[Fecha Último Pago]],"M")+1</f>
        <v>9</v>
      </c>
      <c r="N2329" s="4">
        <f>BBDD_Usiarios_Netflix[[#This Row],[Ingresos Mensuales]]*BBDD_Usiarios_Netflix[[#This Row],[Meses contratados]]</f>
        <v>108</v>
      </c>
      <c r="O2329" t="s">
        <v>42</v>
      </c>
      <c r="P2329" t="str">
        <f>IF(BBDD_Usiarios_Netflix[[#This Row],[País]]="","Desconocido",BBDD_Usiarios_Netflix[[#This Row],[País]])</f>
        <v>Reino Unido</v>
      </c>
      <c r="Q2329">
        <v>40</v>
      </c>
      <c r="R2329" t="s">
        <v>30</v>
      </c>
      <c r="S2329" t="s">
        <v>36</v>
      </c>
      <c r="T2329" t="s">
        <v>27</v>
      </c>
      <c r="U2329">
        <f>IF(IFERROR(VLOOKUP(BBDD_Usiarios_Netflix[[#This Row],[Identificador Usuario]],A2330:$A$5870,1,FALSE),0)&lt;&gt;0,1,0)</f>
        <v>0</v>
      </c>
      <c r="V2329" s="6" t="str">
        <f>IF(BBDD_Usiarios_Netflix[[#This Row],[Duración Plan]]="12 Meses",LEFT(BBDD_Usiarios_Netflix[[#This Row],[Duración Plan]],2),LEFT(BBDD_Usiarios_Netflix[[#This Row],[Duración Plan]],1))</f>
        <v>1</v>
      </c>
      <c r="W23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30" spans="1:23" x14ac:dyDescent="0.25">
      <c r="A2330">
        <v>2329</v>
      </c>
      <c r="B2330" t="s">
        <v>32</v>
      </c>
      <c r="C2330">
        <v>12</v>
      </c>
      <c r="D2330" s="3">
        <v>25</v>
      </c>
      <c r="E2330" s="3">
        <v>10</v>
      </c>
      <c r="F2330">
        <v>23</v>
      </c>
      <c r="G2330" s="1">
        <f>DATEVALUE(_xlfn.CONCAT(BBDD_Usiarios_Netflix[[#This Row],[Día Suscripción]],"/",BBDD_Usiarios_Netflix[[#This Row],[Mes Suscripción]],"/",BBDD_Usiarios_Netflix[[#This Row],[Año Suscripción]]))</f>
        <v>45224</v>
      </c>
      <c r="H2330" s="1">
        <v>10</v>
      </c>
      <c r="I2330" s="1">
        <v>7</v>
      </c>
      <c r="J2330" s="1">
        <v>24</v>
      </c>
      <c r="K2330" s="1" t="str">
        <f>TEXT(BBDD_Usiarios_Netflix[[#This Row],[Fecha Suscripción]],"dddd")</f>
        <v>miércoles</v>
      </c>
      <c r="L2330" s="1">
        <f>DATEVALUE(_xlfn.CONCAT(BBDD_Usiarios_Netflix[[#This Row],[Día Último Pago]],"/",BBDD_Usiarios_Netflix[[#This Row],[Mes Último Pago]],"/",BBDD_Usiarios_Netflix[[#This Row],[Año Último Pago]]))</f>
        <v>45483</v>
      </c>
      <c r="M2330" s="4">
        <f>DATEDIF(BBDD_Usiarios_Netflix[[#This Row],[Fecha Suscripción]],BBDD_Usiarios_Netflix[[#This Row],[Fecha Último Pago]],"M")+1</f>
        <v>9</v>
      </c>
      <c r="N2330" s="4">
        <f>BBDD_Usiarios_Netflix[[#This Row],[Ingresos Mensuales]]*BBDD_Usiarios_Netflix[[#This Row],[Meses contratados]]</f>
        <v>108</v>
      </c>
      <c r="O2330" t="s">
        <v>29</v>
      </c>
      <c r="P2330" t="str">
        <f>IF(BBDD_Usiarios_Netflix[[#This Row],[País]]="","Desconocido",BBDD_Usiarios_Netflix[[#This Row],[País]])</f>
        <v>EEUU</v>
      </c>
      <c r="Q2330">
        <v>33</v>
      </c>
      <c r="R2330" t="s">
        <v>25</v>
      </c>
      <c r="S2330" t="s">
        <v>34</v>
      </c>
      <c r="T2330" t="s">
        <v>41</v>
      </c>
      <c r="U2330">
        <f>IF(IFERROR(VLOOKUP(BBDD_Usiarios_Netflix[[#This Row],[Identificador Usuario]],A2331:$A$5870,1,FALSE),0)&lt;&gt;0,1,0)</f>
        <v>0</v>
      </c>
      <c r="V2330" s="6" t="str">
        <f>IF(BBDD_Usiarios_Netflix[[#This Row],[Duración Plan]]="12 Meses",LEFT(BBDD_Usiarios_Netflix[[#This Row],[Duración Plan]],2),LEFT(BBDD_Usiarios_Netflix[[#This Row],[Duración Plan]],1))</f>
        <v>12</v>
      </c>
      <c r="W23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31" spans="1:23" x14ac:dyDescent="0.25">
      <c r="A2331">
        <v>2330</v>
      </c>
      <c r="B2331" t="s">
        <v>23</v>
      </c>
      <c r="C2331">
        <v>10</v>
      </c>
      <c r="D2331" s="3">
        <v>22</v>
      </c>
      <c r="E2331" s="3">
        <v>10</v>
      </c>
      <c r="F2331">
        <v>23</v>
      </c>
      <c r="G2331" s="1">
        <f>DATEVALUE(_xlfn.CONCAT(BBDD_Usiarios_Netflix[[#This Row],[Día Suscripción]],"/",BBDD_Usiarios_Netflix[[#This Row],[Mes Suscripción]],"/",BBDD_Usiarios_Netflix[[#This Row],[Año Suscripción]]))</f>
        <v>45221</v>
      </c>
      <c r="H2331" s="1">
        <v>13</v>
      </c>
      <c r="I2331" s="1">
        <v>7</v>
      </c>
      <c r="J2331" s="1">
        <v>24</v>
      </c>
      <c r="K2331" s="1" t="str">
        <f>TEXT(BBDD_Usiarios_Netflix[[#This Row],[Fecha Suscripción]],"dddd")</f>
        <v>domingo</v>
      </c>
      <c r="L2331" s="1">
        <f>DATEVALUE(_xlfn.CONCAT(BBDD_Usiarios_Netflix[[#This Row],[Día Último Pago]],"/",BBDD_Usiarios_Netflix[[#This Row],[Mes Último Pago]],"/",BBDD_Usiarios_Netflix[[#This Row],[Año Último Pago]]))</f>
        <v>45486</v>
      </c>
      <c r="M2331" s="4">
        <f>DATEDIF(BBDD_Usiarios_Netflix[[#This Row],[Fecha Suscripción]],BBDD_Usiarios_Netflix[[#This Row],[Fecha Último Pago]],"M")+1</f>
        <v>9</v>
      </c>
      <c r="N2331" s="4">
        <f>BBDD_Usiarios_Netflix[[#This Row],[Ingresos Mensuales]]*BBDD_Usiarios_Netflix[[#This Row],[Meses contratados]]</f>
        <v>90</v>
      </c>
      <c r="O2331" t="s">
        <v>40</v>
      </c>
      <c r="P2331" t="str">
        <f>IF(BBDD_Usiarios_Netflix[[#This Row],[País]]="","Desconocido",BBDD_Usiarios_Netflix[[#This Row],[País]])</f>
        <v>Italia</v>
      </c>
      <c r="Q2331">
        <v>32</v>
      </c>
      <c r="R2331" t="s">
        <v>30</v>
      </c>
      <c r="S2331" t="s">
        <v>26</v>
      </c>
      <c r="T2331" t="s">
        <v>41</v>
      </c>
      <c r="U2331">
        <f>IF(IFERROR(VLOOKUP(BBDD_Usiarios_Netflix[[#This Row],[Identificador Usuario]],A2332:$A$5870,1,FALSE),0)&lt;&gt;0,1,0)</f>
        <v>0</v>
      </c>
      <c r="V2331" s="6" t="str">
        <f>IF(BBDD_Usiarios_Netflix[[#This Row],[Duración Plan]]="12 Meses",LEFT(BBDD_Usiarios_Netflix[[#This Row],[Duración Plan]],2),LEFT(BBDD_Usiarios_Netflix[[#This Row],[Duración Plan]],1))</f>
        <v>12</v>
      </c>
      <c r="W23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32" spans="1:23" x14ac:dyDescent="0.25">
      <c r="A2332">
        <v>2331</v>
      </c>
      <c r="B2332" t="s">
        <v>28</v>
      </c>
      <c r="C2332">
        <v>14</v>
      </c>
      <c r="D2332" s="3">
        <v>16</v>
      </c>
      <c r="E2332" s="3">
        <v>10</v>
      </c>
      <c r="F2332">
        <v>23</v>
      </c>
      <c r="G2332" s="1">
        <f>DATEVALUE(_xlfn.CONCAT(BBDD_Usiarios_Netflix[[#This Row],[Día Suscripción]],"/",BBDD_Usiarios_Netflix[[#This Row],[Mes Suscripción]],"/",BBDD_Usiarios_Netflix[[#This Row],[Año Suscripción]]))</f>
        <v>45215</v>
      </c>
      <c r="H2332" s="1">
        <v>10</v>
      </c>
      <c r="I2332" s="1">
        <v>7</v>
      </c>
      <c r="J2332" s="1">
        <v>24</v>
      </c>
      <c r="K2332" s="1" t="str">
        <f>TEXT(BBDD_Usiarios_Netflix[[#This Row],[Fecha Suscripción]],"dddd")</f>
        <v>lunes</v>
      </c>
      <c r="L2332" s="1">
        <f>DATEVALUE(_xlfn.CONCAT(BBDD_Usiarios_Netflix[[#This Row],[Día Último Pago]],"/",BBDD_Usiarios_Netflix[[#This Row],[Mes Último Pago]],"/",BBDD_Usiarios_Netflix[[#This Row],[Año Último Pago]]))</f>
        <v>45483</v>
      </c>
      <c r="M2332" s="4">
        <f>DATEDIF(BBDD_Usiarios_Netflix[[#This Row],[Fecha Suscripción]],BBDD_Usiarios_Netflix[[#This Row],[Fecha Último Pago]],"M")+1</f>
        <v>9</v>
      </c>
      <c r="N2332" s="4">
        <f>BBDD_Usiarios_Netflix[[#This Row],[Ingresos Mensuales]]*BBDD_Usiarios_Netflix[[#This Row],[Meses contratados]]</f>
        <v>126</v>
      </c>
      <c r="O2332" t="s">
        <v>39</v>
      </c>
      <c r="P2332" t="str">
        <f>IF(BBDD_Usiarios_Netflix[[#This Row],[País]]="","Desconocido",BBDD_Usiarios_Netflix[[#This Row],[País]])</f>
        <v>Canadá</v>
      </c>
      <c r="Q2332">
        <v>32</v>
      </c>
      <c r="R2332" t="s">
        <v>25</v>
      </c>
      <c r="S2332" t="s">
        <v>34</v>
      </c>
      <c r="T2332" t="s">
        <v>27</v>
      </c>
      <c r="U2332">
        <f>IF(IFERROR(VLOOKUP(BBDD_Usiarios_Netflix[[#This Row],[Identificador Usuario]],A2333:$A$5870,1,FALSE),0)&lt;&gt;0,1,0)</f>
        <v>0</v>
      </c>
      <c r="V2332" s="6" t="str">
        <f>IF(BBDD_Usiarios_Netflix[[#This Row],[Duración Plan]]="12 Meses",LEFT(BBDD_Usiarios_Netflix[[#This Row],[Duración Plan]],2),LEFT(BBDD_Usiarios_Netflix[[#This Row],[Duración Plan]],1))</f>
        <v>1</v>
      </c>
      <c r="W23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33" spans="1:23" x14ac:dyDescent="0.25">
      <c r="A2333">
        <v>2332</v>
      </c>
      <c r="B2333" t="s">
        <v>32</v>
      </c>
      <c r="C2333">
        <v>12</v>
      </c>
      <c r="D2333" s="3">
        <v>15</v>
      </c>
      <c r="E2333" s="3">
        <v>10</v>
      </c>
      <c r="F2333">
        <v>23</v>
      </c>
      <c r="G2333" s="1">
        <f>DATEVALUE(_xlfn.CONCAT(BBDD_Usiarios_Netflix[[#This Row],[Día Suscripción]],"/",BBDD_Usiarios_Netflix[[#This Row],[Mes Suscripción]],"/",BBDD_Usiarios_Netflix[[#This Row],[Año Suscripción]]))</f>
        <v>45214</v>
      </c>
      <c r="H2333" s="1">
        <v>10</v>
      </c>
      <c r="I2333" s="1">
        <v>7</v>
      </c>
      <c r="J2333" s="1">
        <v>24</v>
      </c>
      <c r="K2333" s="1" t="str">
        <f>TEXT(BBDD_Usiarios_Netflix[[#This Row],[Fecha Suscripción]],"dddd")</f>
        <v>domingo</v>
      </c>
      <c r="L2333" s="1">
        <f>DATEVALUE(_xlfn.CONCAT(BBDD_Usiarios_Netflix[[#This Row],[Día Último Pago]],"/",BBDD_Usiarios_Netflix[[#This Row],[Mes Último Pago]],"/",BBDD_Usiarios_Netflix[[#This Row],[Año Último Pago]]))</f>
        <v>45483</v>
      </c>
      <c r="M2333" s="4">
        <f>DATEDIF(BBDD_Usiarios_Netflix[[#This Row],[Fecha Suscripción]],BBDD_Usiarios_Netflix[[#This Row],[Fecha Último Pago]],"M")+1</f>
        <v>9</v>
      </c>
      <c r="N2333" s="4">
        <f>BBDD_Usiarios_Netflix[[#This Row],[Ingresos Mensuales]]*BBDD_Usiarios_Netflix[[#This Row],[Meses contratados]]</f>
        <v>108</v>
      </c>
      <c r="O2333" t="s">
        <v>29</v>
      </c>
      <c r="P2333" t="str">
        <f>IF(BBDD_Usiarios_Netflix[[#This Row],[País]]="","Desconocido",BBDD_Usiarios_Netflix[[#This Row],[País]])</f>
        <v>EEUU</v>
      </c>
      <c r="Q2333">
        <v>30</v>
      </c>
      <c r="R2333" t="s">
        <v>30</v>
      </c>
      <c r="S2333" t="s">
        <v>34</v>
      </c>
      <c r="T2333" t="s">
        <v>35</v>
      </c>
      <c r="U2333">
        <f>IF(IFERROR(VLOOKUP(BBDD_Usiarios_Netflix[[#This Row],[Identificador Usuario]],A2334:$A$5870,1,FALSE),0)&lt;&gt;0,1,0)</f>
        <v>0</v>
      </c>
      <c r="V2333" s="6" t="str">
        <f>IF(BBDD_Usiarios_Netflix[[#This Row],[Duración Plan]]="12 Meses",LEFT(BBDD_Usiarios_Netflix[[#This Row],[Duración Plan]],2),LEFT(BBDD_Usiarios_Netflix[[#This Row],[Duración Plan]],1))</f>
        <v>6</v>
      </c>
      <c r="W23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34" spans="1:23" x14ac:dyDescent="0.25">
      <c r="A2334">
        <v>2333</v>
      </c>
      <c r="B2334" t="s">
        <v>23</v>
      </c>
      <c r="C2334">
        <v>10</v>
      </c>
      <c r="D2334" s="3">
        <v>19</v>
      </c>
      <c r="E2334" s="3">
        <v>9</v>
      </c>
      <c r="F2334">
        <v>23</v>
      </c>
      <c r="G2334" s="1">
        <f>DATEVALUE(_xlfn.CONCAT(BBDD_Usiarios_Netflix[[#This Row],[Día Suscripción]],"/",BBDD_Usiarios_Netflix[[#This Row],[Mes Suscripción]],"/",BBDD_Usiarios_Netflix[[#This Row],[Año Suscripción]]))</f>
        <v>45188</v>
      </c>
      <c r="H2334" s="1">
        <v>11</v>
      </c>
      <c r="I2334" s="1">
        <v>7</v>
      </c>
      <c r="J2334" s="1">
        <v>24</v>
      </c>
      <c r="K2334" s="1" t="str">
        <f>TEXT(BBDD_Usiarios_Netflix[[#This Row],[Fecha Suscripción]],"dddd")</f>
        <v>martes</v>
      </c>
      <c r="L2334" s="1">
        <f>DATEVALUE(_xlfn.CONCAT(BBDD_Usiarios_Netflix[[#This Row],[Día Último Pago]],"/",BBDD_Usiarios_Netflix[[#This Row],[Mes Último Pago]],"/",BBDD_Usiarios_Netflix[[#This Row],[Año Último Pago]]))</f>
        <v>45484</v>
      </c>
      <c r="M2334" s="4">
        <f>DATEDIF(BBDD_Usiarios_Netflix[[#This Row],[Fecha Suscripción]],BBDD_Usiarios_Netflix[[#This Row],[Fecha Último Pago]],"M")+1</f>
        <v>10</v>
      </c>
      <c r="N2334" s="4">
        <f>BBDD_Usiarios_Netflix[[#This Row],[Ingresos Mensuales]]*BBDD_Usiarios_Netflix[[#This Row],[Meses contratados]]</f>
        <v>100</v>
      </c>
      <c r="O2334" t="s">
        <v>29</v>
      </c>
      <c r="P2334" t="str">
        <f>IF(BBDD_Usiarios_Netflix[[#This Row],[País]]="","Desconocido",BBDD_Usiarios_Netflix[[#This Row],[País]])</f>
        <v>EEUU</v>
      </c>
      <c r="Q2334">
        <v>49</v>
      </c>
      <c r="R2334" t="s">
        <v>25</v>
      </c>
      <c r="S2334" t="s">
        <v>31</v>
      </c>
      <c r="T2334" t="s">
        <v>27</v>
      </c>
      <c r="U2334">
        <f>IF(IFERROR(VLOOKUP(BBDD_Usiarios_Netflix[[#This Row],[Identificador Usuario]],A2335:$A$5870,1,FALSE),0)&lt;&gt;0,1,0)</f>
        <v>0</v>
      </c>
      <c r="V2334" s="6" t="str">
        <f>IF(BBDD_Usiarios_Netflix[[#This Row],[Duración Plan]]="12 Meses",LEFT(BBDD_Usiarios_Netflix[[#This Row],[Duración Plan]],2),LEFT(BBDD_Usiarios_Netflix[[#This Row],[Duración Plan]],1))</f>
        <v>1</v>
      </c>
      <c r="W23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35" spans="1:23" x14ac:dyDescent="0.25">
      <c r="A2335">
        <v>2334</v>
      </c>
      <c r="B2335" t="s">
        <v>32</v>
      </c>
      <c r="C2335">
        <v>12</v>
      </c>
      <c r="D2335" s="3">
        <v>16</v>
      </c>
      <c r="E2335" s="3">
        <v>9</v>
      </c>
      <c r="F2335">
        <v>23</v>
      </c>
      <c r="G2335" s="1">
        <f>DATEVALUE(_xlfn.CONCAT(BBDD_Usiarios_Netflix[[#This Row],[Día Suscripción]],"/",BBDD_Usiarios_Netflix[[#This Row],[Mes Suscripción]],"/",BBDD_Usiarios_Netflix[[#This Row],[Año Suscripción]]))</f>
        <v>45185</v>
      </c>
      <c r="H2335" s="1">
        <v>12</v>
      </c>
      <c r="I2335" s="1">
        <v>7</v>
      </c>
      <c r="J2335" s="1">
        <v>24</v>
      </c>
      <c r="K2335" s="1" t="str">
        <f>TEXT(BBDD_Usiarios_Netflix[[#This Row],[Fecha Suscripción]],"dddd")</f>
        <v>sábado</v>
      </c>
      <c r="L2335" s="1">
        <f>DATEVALUE(_xlfn.CONCAT(BBDD_Usiarios_Netflix[[#This Row],[Día Último Pago]],"/",BBDD_Usiarios_Netflix[[#This Row],[Mes Último Pago]],"/",BBDD_Usiarios_Netflix[[#This Row],[Año Último Pago]]))</f>
        <v>45485</v>
      </c>
      <c r="M2335" s="4">
        <f>DATEDIF(BBDD_Usiarios_Netflix[[#This Row],[Fecha Suscripción]],BBDD_Usiarios_Netflix[[#This Row],[Fecha Último Pago]],"M")+1</f>
        <v>10</v>
      </c>
      <c r="N2335" s="4">
        <f>BBDD_Usiarios_Netflix[[#This Row],[Ingresos Mensuales]]*BBDD_Usiarios_Netflix[[#This Row],[Meses contratados]]</f>
        <v>120</v>
      </c>
      <c r="O2335" t="s">
        <v>42</v>
      </c>
      <c r="P2335" t="str">
        <f>IF(BBDD_Usiarios_Netflix[[#This Row],[País]]="","Desconocido",BBDD_Usiarios_Netflix[[#This Row],[País]])</f>
        <v>Reino Unido</v>
      </c>
      <c r="Q2335">
        <v>39</v>
      </c>
      <c r="R2335" t="s">
        <v>30</v>
      </c>
      <c r="S2335" t="s">
        <v>26</v>
      </c>
      <c r="T2335" t="s">
        <v>27</v>
      </c>
      <c r="U2335">
        <f>IF(IFERROR(VLOOKUP(BBDD_Usiarios_Netflix[[#This Row],[Identificador Usuario]],A2336:$A$5870,1,FALSE),0)&lt;&gt;0,1,0)</f>
        <v>0</v>
      </c>
      <c r="V2335" s="6" t="str">
        <f>IF(BBDD_Usiarios_Netflix[[#This Row],[Duración Plan]]="12 Meses",LEFT(BBDD_Usiarios_Netflix[[#This Row],[Duración Plan]],2),LEFT(BBDD_Usiarios_Netflix[[#This Row],[Duración Plan]],1))</f>
        <v>1</v>
      </c>
      <c r="W23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36" spans="1:23" x14ac:dyDescent="0.25">
      <c r="A2336">
        <v>2335</v>
      </c>
      <c r="B2336" t="s">
        <v>28</v>
      </c>
      <c r="C2336">
        <v>14</v>
      </c>
      <c r="D2336" s="3">
        <v>8</v>
      </c>
      <c r="E2336" s="3">
        <v>9</v>
      </c>
      <c r="F2336">
        <v>23</v>
      </c>
      <c r="G2336" s="1">
        <f>DATEVALUE(_xlfn.CONCAT(BBDD_Usiarios_Netflix[[#This Row],[Día Suscripción]],"/",BBDD_Usiarios_Netflix[[#This Row],[Mes Suscripción]],"/",BBDD_Usiarios_Netflix[[#This Row],[Año Suscripción]]))</f>
        <v>45177</v>
      </c>
      <c r="H2336" s="1">
        <v>10</v>
      </c>
      <c r="I2336" s="1">
        <v>7</v>
      </c>
      <c r="J2336" s="1">
        <v>24</v>
      </c>
      <c r="K2336" s="1" t="str">
        <f>TEXT(BBDD_Usiarios_Netflix[[#This Row],[Fecha Suscripción]],"dddd")</f>
        <v>viernes</v>
      </c>
      <c r="L2336" s="1">
        <f>DATEVALUE(_xlfn.CONCAT(BBDD_Usiarios_Netflix[[#This Row],[Día Último Pago]],"/",BBDD_Usiarios_Netflix[[#This Row],[Mes Último Pago]],"/",BBDD_Usiarios_Netflix[[#This Row],[Año Último Pago]]))</f>
        <v>45483</v>
      </c>
      <c r="M2336" s="4">
        <f>DATEDIF(BBDD_Usiarios_Netflix[[#This Row],[Fecha Suscripción]],BBDD_Usiarios_Netflix[[#This Row],[Fecha Último Pago]],"M")+1</f>
        <v>11</v>
      </c>
      <c r="N2336" s="4">
        <f>BBDD_Usiarios_Netflix[[#This Row],[Ingresos Mensuales]]*BBDD_Usiarios_Netflix[[#This Row],[Meses contratados]]</f>
        <v>154</v>
      </c>
      <c r="O2336" t="s">
        <v>44</v>
      </c>
      <c r="P2336" t="str">
        <f>IF(BBDD_Usiarios_Netflix[[#This Row],[País]]="","Desconocido",BBDD_Usiarios_Netflix[[#This Row],[País]])</f>
        <v>Desconocido</v>
      </c>
      <c r="Q2336">
        <v>45</v>
      </c>
      <c r="R2336" t="s">
        <v>25</v>
      </c>
      <c r="S2336" t="s">
        <v>36</v>
      </c>
      <c r="T2336" t="s">
        <v>41</v>
      </c>
      <c r="U2336">
        <f>IF(IFERROR(VLOOKUP(BBDD_Usiarios_Netflix[[#This Row],[Identificador Usuario]],A2337:$A$5870,1,FALSE),0)&lt;&gt;0,1,0)</f>
        <v>0</v>
      </c>
      <c r="V2336" s="6" t="str">
        <f>IF(BBDD_Usiarios_Netflix[[#This Row],[Duración Plan]]="12 Meses",LEFT(BBDD_Usiarios_Netflix[[#This Row],[Duración Plan]],2),LEFT(BBDD_Usiarios_Netflix[[#This Row],[Duración Plan]],1))</f>
        <v>12</v>
      </c>
      <c r="W23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37" spans="1:23" x14ac:dyDescent="0.25">
      <c r="A2337">
        <v>2336</v>
      </c>
      <c r="B2337" t="s">
        <v>23</v>
      </c>
      <c r="C2337">
        <v>10</v>
      </c>
      <c r="D2337" s="3">
        <v>21</v>
      </c>
      <c r="E2337" s="3">
        <v>8</v>
      </c>
      <c r="F2337">
        <v>23</v>
      </c>
      <c r="G2337" s="1">
        <f>DATEVALUE(_xlfn.CONCAT(BBDD_Usiarios_Netflix[[#This Row],[Día Suscripción]],"/",BBDD_Usiarios_Netflix[[#This Row],[Mes Suscripción]],"/",BBDD_Usiarios_Netflix[[#This Row],[Año Suscripción]]))</f>
        <v>45159</v>
      </c>
      <c r="H2337" s="1">
        <v>12</v>
      </c>
      <c r="I2337" s="1">
        <v>7</v>
      </c>
      <c r="J2337" s="1">
        <v>24</v>
      </c>
      <c r="K2337" s="1" t="str">
        <f>TEXT(BBDD_Usiarios_Netflix[[#This Row],[Fecha Suscripción]],"dddd")</f>
        <v>lunes</v>
      </c>
      <c r="L2337" s="1">
        <f>DATEVALUE(_xlfn.CONCAT(BBDD_Usiarios_Netflix[[#This Row],[Día Último Pago]],"/",BBDD_Usiarios_Netflix[[#This Row],[Mes Último Pago]],"/",BBDD_Usiarios_Netflix[[#This Row],[Año Último Pago]]))</f>
        <v>45485</v>
      </c>
      <c r="M2337" s="4">
        <f>DATEDIF(BBDD_Usiarios_Netflix[[#This Row],[Fecha Suscripción]],BBDD_Usiarios_Netflix[[#This Row],[Fecha Último Pago]],"M")+1</f>
        <v>11</v>
      </c>
      <c r="N2337" s="4">
        <f>BBDD_Usiarios_Netflix[[#This Row],[Ingresos Mensuales]]*BBDD_Usiarios_Netflix[[#This Row],[Meses contratados]]</f>
        <v>110</v>
      </c>
      <c r="O2337" t="s">
        <v>43</v>
      </c>
      <c r="P2337" t="str">
        <f>IF(BBDD_Usiarios_Netflix[[#This Row],[País]]="","Desconocido",BBDD_Usiarios_Netflix[[#This Row],[País]])</f>
        <v>Alemania</v>
      </c>
      <c r="Q2337">
        <v>43</v>
      </c>
      <c r="R2337" t="s">
        <v>25</v>
      </c>
      <c r="S2337" t="s">
        <v>26</v>
      </c>
      <c r="T2337" t="s">
        <v>38</v>
      </c>
      <c r="U2337">
        <f>IF(IFERROR(VLOOKUP(BBDD_Usiarios_Netflix[[#This Row],[Identificador Usuario]],A2338:$A$5870,1,FALSE),0)&lt;&gt;0,1,0)</f>
        <v>0</v>
      </c>
      <c r="V2337" s="6" t="str">
        <f>IF(BBDD_Usiarios_Netflix[[#This Row],[Duración Plan]]="12 Meses",LEFT(BBDD_Usiarios_Netflix[[#This Row],[Duración Plan]],2),LEFT(BBDD_Usiarios_Netflix[[#This Row],[Duración Plan]],1))</f>
        <v>3</v>
      </c>
      <c r="W23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38" spans="1:23" x14ac:dyDescent="0.25">
      <c r="A2338">
        <v>2337</v>
      </c>
      <c r="B2338" t="s">
        <v>28</v>
      </c>
      <c r="C2338">
        <v>14</v>
      </c>
      <c r="D2338" s="3">
        <v>20</v>
      </c>
      <c r="E2338" s="3">
        <v>8</v>
      </c>
      <c r="F2338">
        <v>23</v>
      </c>
      <c r="G2338" s="1">
        <f>DATEVALUE(_xlfn.CONCAT(BBDD_Usiarios_Netflix[[#This Row],[Día Suscripción]],"/",BBDD_Usiarios_Netflix[[#This Row],[Mes Suscripción]],"/",BBDD_Usiarios_Netflix[[#This Row],[Año Suscripción]]))</f>
        <v>45158</v>
      </c>
      <c r="H2338" s="1">
        <v>10</v>
      </c>
      <c r="I2338" s="1">
        <v>7</v>
      </c>
      <c r="J2338" s="1">
        <v>24</v>
      </c>
      <c r="K2338" s="1" t="str">
        <f>TEXT(BBDD_Usiarios_Netflix[[#This Row],[Fecha Suscripción]],"dddd")</f>
        <v>domingo</v>
      </c>
      <c r="L2338" s="1">
        <f>DATEVALUE(_xlfn.CONCAT(BBDD_Usiarios_Netflix[[#This Row],[Día Último Pago]],"/",BBDD_Usiarios_Netflix[[#This Row],[Mes Último Pago]],"/",BBDD_Usiarios_Netflix[[#This Row],[Año Último Pago]]))</f>
        <v>45483</v>
      </c>
      <c r="M2338" s="4">
        <f>DATEDIF(BBDD_Usiarios_Netflix[[#This Row],[Fecha Suscripción]],BBDD_Usiarios_Netflix[[#This Row],[Fecha Último Pago]],"M")+1</f>
        <v>11</v>
      </c>
      <c r="N2338" s="4">
        <f>BBDD_Usiarios_Netflix[[#This Row],[Ingresos Mensuales]]*BBDD_Usiarios_Netflix[[#This Row],[Meses contratados]]</f>
        <v>154</v>
      </c>
      <c r="O2338" t="s">
        <v>42</v>
      </c>
      <c r="P2338" t="str">
        <f>IF(BBDD_Usiarios_Netflix[[#This Row],[País]]="","Desconocido",BBDD_Usiarios_Netflix[[#This Row],[País]])</f>
        <v>Reino Unido</v>
      </c>
      <c r="Q2338">
        <v>41</v>
      </c>
      <c r="R2338" t="s">
        <v>25</v>
      </c>
      <c r="S2338" t="s">
        <v>26</v>
      </c>
      <c r="T2338" t="s">
        <v>35</v>
      </c>
      <c r="U2338">
        <f>IF(IFERROR(VLOOKUP(BBDD_Usiarios_Netflix[[#This Row],[Identificador Usuario]],A2339:$A$5870,1,FALSE),0)&lt;&gt;0,1,0)</f>
        <v>0</v>
      </c>
      <c r="V2338" s="6" t="str">
        <f>IF(BBDD_Usiarios_Netflix[[#This Row],[Duración Plan]]="12 Meses",LEFT(BBDD_Usiarios_Netflix[[#This Row],[Duración Plan]],2),LEFT(BBDD_Usiarios_Netflix[[#This Row],[Duración Plan]],1))</f>
        <v>6</v>
      </c>
      <c r="W23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39" spans="1:23" x14ac:dyDescent="0.25">
      <c r="A2339">
        <v>2338</v>
      </c>
      <c r="B2339" t="s">
        <v>32</v>
      </c>
      <c r="C2339">
        <v>12</v>
      </c>
      <c r="D2339" s="3">
        <v>10</v>
      </c>
      <c r="E2339" s="3">
        <v>8</v>
      </c>
      <c r="F2339">
        <v>23</v>
      </c>
      <c r="G2339" s="1">
        <f>DATEVALUE(_xlfn.CONCAT(BBDD_Usiarios_Netflix[[#This Row],[Día Suscripción]],"/",BBDD_Usiarios_Netflix[[#This Row],[Mes Suscripción]],"/",BBDD_Usiarios_Netflix[[#This Row],[Año Suscripción]]))</f>
        <v>45148</v>
      </c>
      <c r="H2339" s="1">
        <v>11</v>
      </c>
      <c r="I2339" s="1">
        <v>7</v>
      </c>
      <c r="J2339" s="1">
        <v>24</v>
      </c>
      <c r="K2339" s="1" t="str">
        <f>TEXT(BBDD_Usiarios_Netflix[[#This Row],[Fecha Suscripción]],"dddd")</f>
        <v>jueves</v>
      </c>
      <c r="L2339" s="1">
        <f>DATEVALUE(_xlfn.CONCAT(BBDD_Usiarios_Netflix[[#This Row],[Día Último Pago]],"/",BBDD_Usiarios_Netflix[[#This Row],[Mes Último Pago]],"/",BBDD_Usiarios_Netflix[[#This Row],[Año Último Pago]]))</f>
        <v>45484</v>
      </c>
      <c r="M2339" s="4">
        <f>DATEDIF(BBDD_Usiarios_Netflix[[#This Row],[Fecha Suscripción]],BBDD_Usiarios_Netflix[[#This Row],[Fecha Último Pago]],"M")+1</f>
        <v>12</v>
      </c>
      <c r="N2339" s="4">
        <f>BBDD_Usiarios_Netflix[[#This Row],[Ingresos Mensuales]]*BBDD_Usiarios_Netflix[[#This Row],[Meses contratados]]</f>
        <v>144</v>
      </c>
      <c r="O2339" t="s">
        <v>42</v>
      </c>
      <c r="P2339" t="str">
        <f>IF(BBDD_Usiarios_Netflix[[#This Row],[País]]="","Desconocido",BBDD_Usiarios_Netflix[[#This Row],[País]])</f>
        <v>Reino Unido</v>
      </c>
      <c r="Q2339">
        <v>38</v>
      </c>
      <c r="R2339" t="s">
        <v>30</v>
      </c>
      <c r="S2339" t="s">
        <v>31</v>
      </c>
      <c r="T2339" t="s">
        <v>41</v>
      </c>
      <c r="U2339">
        <f>IF(IFERROR(VLOOKUP(BBDD_Usiarios_Netflix[[#This Row],[Identificador Usuario]],A2340:$A$5870,1,FALSE),0)&lt;&gt;0,1,0)</f>
        <v>0</v>
      </c>
      <c r="V2339" s="6" t="str">
        <f>IF(BBDD_Usiarios_Netflix[[#This Row],[Duración Plan]]="12 Meses",LEFT(BBDD_Usiarios_Netflix[[#This Row],[Duración Plan]],2),LEFT(BBDD_Usiarios_Netflix[[#This Row],[Duración Plan]],1))</f>
        <v>12</v>
      </c>
      <c r="W23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40" spans="1:23" x14ac:dyDescent="0.25">
      <c r="A2340">
        <v>2339</v>
      </c>
      <c r="B2340" t="s">
        <v>23</v>
      </c>
      <c r="C2340">
        <v>10</v>
      </c>
      <c r="D2340" s="3">
        <v>31</v>
      </c>
      <c r="E2340" s="3">
        <v>7</v>
      </c>
      <c r="F2340">
        <v>23</v>
      </c>
      <c r="G2340" s="1">
        <f>DATEVALUE(_xlfn.CONCAT(BBDD_Usiarios_Netflix[[#This Row],[Día Suscripción]],"/",BBDD_Usiarios_Netflix[[#This Row],[Mes Suscripción]],"/",BBDD_Usiarios_Netflix[[#This Row],[Año Suscripción]]))</f>
        <v>45138</v>
      </c>
      <c r="H2340" s="1">
        <v>11</v>
      </c>
      <c r="I2340" s="1">
        <v>7</v>
      </c>
      <c r="J2340" s="1">
        <v>24</v>
      </c>
      <c r="K2340" s="1" t="str">
        <f>TEXT(BBDD_Usiarios_Netflix[[#This Row],[Fecha Suscripción]],"dddd")</f>
        <v>lunes</v>
      </c>
      <c r="L2340" s="1">
        <f>DATEVALUE(_xlfn.CONCAT(BBDD_Usiarios_Netflix[[#This Row],[Día Último Pago]],"/",BBDD_Usiarios_Netflix[[#This Row],[Mes Último Pago]],"/",BBDD_Usiarios_Netflix[[#This Row],[Año Último Pago]]))</f>
        <v>45484</v>
      </c>
      <c r="M2340" s="4">
        <f>DATEDIF(BBDD_Usiarios_Netflix[[#This Row],[Fecha Suscripción]],BBDD_Usiarios_Netflix[[#This Row],[Fecha Último Pago]],"M")+1</f>
        <v>12</v>
      </c>
      <c r="N2340" s="4">
        <f>BBDD_Usiarios_Netflix[[#This Row],[Ingresos Mensuales]]*BBDD_Usiarios_Netflix[[#This Row],[Meses contratados]]</f>
        <v>120</v>
      </c>
      <c r="O2340" t="s">
        <v>33</v>
      </c>
      <c r="P2340" t="str">
        <f>IF(BBDD_Usiarios_Netflix[[#This Row],[País]]="","Desconocido",BBDD_Usiarios_Netflix[[#This Row],[País]])</f>
        <v>Francia</v>
      </c>
      <c r="Q2340">
        <v>34</v>
      </c>
      <c r="R2340" t="s">
        <v>30</v>
      </c>
      <c r="S2340" t="s">
        <v>26</v>
      </c>
      <c r="T2340" t="s">
        <v>27</v>
      </c>
      <c r="U2340">
        <f>IF(IFERROR(VLOOKUP(BBDD_Usiarios_Netflix[[#This Row],[Identificador Usuario]],A2341:$A$5870,1,FALSE),0)&lt;&gt;0,1,0)</f>
        <v>0</v>
      </c>
      <c r="V2340" s="6" t="str">
        <f>IF(BBDD_Usiarios_Netflix[[#This Row],[Duración Plan]]="12 Meses",LEFT(BBDD_Usiarios_Netflix[[#This Row],[Duración Plan]],2),LEFT(BBDD_Usiarios_Netflix[[#This Row],[Duración Plan]],1))</f>
        <v>1</v>
      </c>
      <c r="W23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41" spans="1:23" x14ac:dyDescent="0.25">
      <c r="A2341">
        <v>2340</v>
      </c>
      <c r="B2341" t="s">
        <v>32</v>
      </c>
      <c r="C2341">
        <v>12</v>
      </c>
      <c r="D2341" s="3">
        <v>30</v>
      </c>
      <c r="E2341" s="3">
        <v>7</v>
      </c>
      <c r="F2341">
        <v>23</v>
      </c>
      <c r="G2341" s="1">
        <f>DATEVALUE(_xlfn.CONCAT(BBDD_Usiarios_Netflix[[#This Row],[Día Suscripción]],"/",BBDD_Usiarios_Netflix[[#This Row],[Mes Suscripción]],"/",BBDD_Usiarios_Netflix[[#This Row],[Año Suscripción]]))</f>
        <v>45137</v>
      </c>
      <c r="H2341" s="1">
        <v>14</v>
      </c>
      <c r="I2341" s="1">
        <v>7</v>
      </c>
      <c r="J2341" s="1">
        <v>24</v>
      </c>
      <c r="K2341" s="1" t="str">
        <f>TEXT(BBDD_Usiarios_Netflix[[#This Row],[Fecha Suscripción]],"dddd")</f>
        <v>domingo</v>
      </c>
      <c r="L2341" s="1">
        <f>DATEVALUE(_xlfn.CONCAT(BBDD_Usiarios_Netflix[[#This Row],[Día Último Pago]],"/",BBDD_Usiarios_Netflix[[#This Row],[Mes Último Pago]],"/",BBDD_Usiarios_Netflix[[#This Row],[Año Último Pago]]))</f>
        <v>45487</v>
      </c>
      <c r="M2341" s="4">
        <f>DATEDIF(BBDD_Usiarios_Netflix[[#This Row],[Fecha Suscripción]],BBDD_Usiarios_Netflix[[#This Row],[Fecha Último Pago]],"M")+1</f>
        <v>12</v>
      </c>
      <c r="N2341" s="4">
        <f>BBDD_Usiarios_Netflix[[#This Row],[Ingresos Mensuales]]*BBDD_Usiarios_Netflix[[#This Row],[Meses contratados]]</f>
        <v>144</v>
      </c>
      <c r="O2341" t="s">
        <v>37</v>
      </c>
      <c r="P2341" t="str">
        <f>IF(BBDD_Usiarios_Netflix[[#This Row],[País]]="","Desconocido",BBDD_Usiarios_Netflix[[#This Row],[País]])</f>
        <v>Brasil</v>
      </c>
      <c r="Q2341">
        <v>38</v>
      </c>
      <c r="R2341" t="s">
        <v>25</v>
      </c>
      <c r="S2341" t="s">
        <v>36</v>
      </c>
      <c r="T2341" t="s">
        <v>27</v>
      </c>
      <c r="U2341">
        <f>IF(IFERROR(VLOOKUP(BBDD_Usiarios_Netflix[[#This Row],[Identificador Usuario]],A2342:$A$5870,1,FALSE),0)&lt;&gt;0,1,0)</f>
        <v>0</v>
      </c>
      <c r="V2341" s="6" t="str">
        <f>IF(BBDD_Usiarios_Netflix[[#This Row],[Duración Plan]]="12 Meses",LEFT(BBDD_Usiarios_Netflix[[#This Row],[Duración Plan]],2),LEFT(BBDD_Usiarios_Netflix[[#This Row],[Duración Plan]],1))</f>
        <v>1</v>
      </c>
      <c r="W23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42" spans="1:23" x14ac:dyDescent="0.25">
      <c r="A2342">
        <v>2341</v>
      </c>
      <c r="B2342" t="s">
        <v>28</v>
      </c>
      <c r="C2342">
        <v>14</v>
      </c>
      <c r="D2342" s="3">
        <v>31</v>
      </c>
      <c r="E2342" s="3">
        <v>7</v>
      </c>
      <c r="F2342">
        <v>23</v>
      </c>
      <c r="G2342" s="1">
        <f>DATEVALUE(_xlfn.CONCAT(BBDD_Usiarios_Netflix[[#This Row],[Día Suscripción]],"/",BBDD_Usiarios_Netflix[[#This Row],[Mes Suscripción]],"/",BBDD_Usiarios_Netflix[[#This Row],[Año Suscripción]]))</f>
        <v>45138</v>
      </c>
      <c r="H2342" s="1">
        <v>10</v>
      </c>
      <c r="I2342" s="1">
        <v>7</v>
      </c>
      <c r="J2342" s="1">
        <v>24</v>
      </c>
      <c r="K2342" s="1" t="str">
        <f>TEXT(BBDD_Usiarios_Netflix[[#This Row],[Fecha Suscripción]],"dddd")</f>
        <v>lunes</v>
      </c>
      <c r="L2342" s="1">
        <f>DATEVALUE(_xlfn.CONCAT(BBDD_Usiarios_Netflix[[#This Row],[Día Último Pago]],"/",BBDD_Usiarios_Netflix[[#This Row],[Mes Último Pago]],"/",BBDD_Usiarios_Netflix[[#This Row],[Año Último Pago]]))</f>
        <v>45483</v>
      </c>
      <c r="M2342" s="4">
        <f>DATEDIF(BBDD_Usiarios_Netflix[[#This Row],[Fecha Suscripción]],BBDD_Usiarios_Netflix[[#This Row],[Fecha Último Pago]],"M")+1</f>
        <v>12</v>
      </c>
      <c r="N2342" s="4">
        <f>BBDD_Usiarios_Netflix[[#This Row],[Ingresos Mensuales]]*BBDD_Usiarios_Netflix[[#This Row],[Meses contratados]]</f>
        <v>168</v>
      </c>
      <c r="O2342" t="s">
        <v>39</v>
      </c>
      <c r="P2342" t="str">
        <f>IF(BBDD_Usiarios_Netflix[[#This Row],[País]]="","Desconocido",BBDD_Usiarios_Netflix[[#This Row],[País]])</f>
        <v>Canadá</v>
      </c>
      <c r="Q2342">
        <v>48</v>
      </c>
      <c r="R2342" t="s">
        <v>25</v>
      </c>
      <c r="S2342" t="s">
        <v>31</v>
      </c>
      <c r="T2342" t="s">
        <v>38</v>
      </c>
      <c r="U2342">
        <f>IF(IFERROR(VLOOKUP(BBDD_Usiarios_Netflix[[#This Row],[Identificador Usuario]],A2343:$A$5870,1,FALSE),0)&lt;&gt;0,1,0)</f>
        <v>0</v>
      </c>
      <c r="V2342" s="6" t="str">
        <f>IF(BBDD_Usiarios_Netflix[[#This Row],[Duración Plan]]="12 Meses",LEFT(BBDD_Usiarios_Netflix[[#This Row],[Duración Plan]],2),LEFT(BBDD_Usiarios_Netflix[[#This Row],[Duración Plan]],1))</f>
        <v>3</v>
      </c>
      <c r="W23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43" spans="1:23" x14ac:dyDescent="0.25">
      <c r="A2343">
        <v>2342</v>
      </c>
      <c r="B2343" t="s">
        <v>23</v>
      </c>
      <c r="C2343">
        <v>10</v>
      </c>
      <c r="D2343" s="3">
        <v>30</v>
      </c>
      <c r="E2343" s="3">
        <v>7</v>
      </c>
      <c r="F2343">
        <v>23</v>
      </c>
      <c r="G2343" s="1">
        <f>DATEVALUE(_xlfn.CONCAT(BBDD_Usiarios_Netflix[[#This Row],[Día Suscripción]],"/",BBDD_Usiarios_Netflix[[#This Row],[Mes Suscripción]],"/",BBDD_Usiarios_Netflix[[#This Row],[Año Suscripción]]))</f>
        <v>45137</v>
      </c>
      <c r="H2343" s="1">
        <v>12</v>
      </c>
      <c r="I2343" s="1">
        <v>7</v>
      </c>
      <c r="J2343" s="1">
        <v>24</v>
      </c>
      <c r="K2343" s="1" t="str">
        <f>TEXT(BBDD_Usiarios_Netflix[[#This Row],[Fecha Suscripción]],"dddd")</f>
        <v>domingo</v>
      </c>
      <c r="L2343" s="1">
        <f>DATEVALUE(_xlfn.CONCAT(BBDD_Usiarios_Netflix[[#This Row],[Día Último Pago]],"/",BBDD_Usiarios_Netflix[[#This Row],[Mes Último Pago]],"/",BBDD_Usiarios_Netflix[[#This Row],[Año Último Pago]]))</f>
        <v>45485</v>
      </c>
      <c r="M2343" s="4">
        <f>DATEDIF(BBDD_Usiarios_Netflix[[#This Row],[Fecha Suscripción]],BBDD_Usiarios_Netflix[[#This Row],[Fecha Último Pago]],"M")+1</f>
        <v>12</v>
      </c>
      <c r="N2343" s="4">
        <f>BBDD_Usiarios_Netflix[[#This Row],[Ingresos Mensuales]]*BBDD_Usiarios_Netflix[[#This Row],[Meses contratados]]</f>
        <v>120</v>
      </c>
      <c r="O2343" t="s">
        <v>42</v>
      </c>
      <c r="P2343" t="str">
        <f>IF(BBDD_Usiarios_Netflix[[#This Row],[País]]="","Desconocido",BBDD_Usiarios_Netflix[[#This Row],[País]])</f>
        <v>Reino Unido</v>
      </c>
      <c r="Q2343">
        <v>38</v>
      </c>
      <c r="R2343" t="s">
        <v>30</v>
      </c>
      <c r="S2343" t="s">
        <v>34</v>
      </c>
      <c r="T2343" t="s">
        <v>27</v>
      </c>
      <c r="U2343">
        <f>IF(IFERROR(VLOOKUP(BBDD_Usiarios_Netflix[[#This Row],[Identificador Usuario]],A2344:$A$5870,1,FALSE),0)&lt;&gt;0,1,0)</f>
        <v>0</v>
      </c>
      <c r="V2343" s="6" t="str">
        <f>IF(BBDD_Usiarios_Netflix[[#This Row],[Duración Plan]]="12 Meses",LEFT(BBDD_Usiarios_Netflix[[#This Row],[Duración Plan]],2),LEFT(BBDD_Usiarios_Netflix[[#This Row],[Duración Plan]],1))</f>
        <v>1</v>
      </c>
      <c r="W23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44" spans="1:23" x14ac:dyDescent="0.25">
      <c r="A2344">
        <v>2343</v>
      </c>
      <c r="B2344" t="s">
        <v>32</v>
      </c>
      <c r="C2344">
        <v>12</v>
      </c>
      <c r="D2344" s="3">
        <v>30</v>
      </c>
      <c r="E2344" s="3">
        <v>7</v>
      </c>
      <c r="F2344">
        <v>23</v>
      </c>
      <c r="G2344" s="1">
        <f>DATEVALUE(_xlfn.CONCAT(BBDD_Usiarios_Netflix[[#This Row],[Día Suscripción]],"/",BBDD_Usiarios_Netflix[[#This Row],[Mes Suscripción]],"/",BBDD_Usiarios_Netflix[[#This Row],[Año Suscripción]]))</f>
        <v>45137</v>
      </c>
      <c r="H2344" s="1">
        <v>11</v>
      </c>
      <c r="I2344" s="1">
        <v>7</v>
      </c>
      <c r="J2344" s="1">
        <v>24</v>
      </c>
      <c r="K2344" s="1" t="str">
        <f>TEXT(BBDD_Usiarios_Netflix[[#This Row],[Fecha Suscripción]],"dddd")</f>
        <v>domingo</v>
      </c>
      <c r="L2344" s="1">
        <f>DATEVALUE(_xlfn.CONCAT(BBDD_Usiarios_Netflix[[#This Row],[Día Último Pago]],"/",BBDD_Usiarios_Netflix[[#This Row],[Mes Último Pago]],"/",BBDD_Usiarios_Netflix[[#This Row],[Año Último Pago]]))</f>
        <v>45484</v>
      </c>
      <c r="M2344" s="4">
        <f>DATEDIF(BBDD_Usiarios_Netflix[[#This Row],[Fecha Suscripción]],BBDD_Usiarios_Netflix[[#This Row],[Fecha Último Pago]],"M")+1</f>
        <v>12</v>
      </c>
      <c r="N2344" s="4">
        <f>BBDD_Usiarios_Netflix[[#This Row],[Ingresos Mensuales]]*BBDD_Usiarios_Netflix[[#This Row],[Meses contratados]]</f>
        <v>144</v>
      </c>
      <c r="O2344" t="s">
        <v>24</v>
      </c>
      <c r="P2344" t="str">
        <f>IF(BBDD_Usiarios_Netflix[[#This Row],[País]]="","Desconocido",BBDD_Usiarios_Netflix[[#This Row],[País]])</f>
        <v>Australia</v>
      </c>
      <c r="Q2344">
        <v>34</v>
      </c>
      <c r="R2344" t="s">
        <v>30</v>
      </c>
      <c r="S2344" t="s">
        <v>36</v>
      </c>
      <c r="T2344" t="s">
        <v>41</v>
      </c>
      <c r="U2344">
        <f>IF(IFERROR(VLOOKUP(BBDD_Usiarios_Netflix[[#This Row],[Identificador Usuario]],A2345:$A$5870,1,FALSE),0)&lt;&gt;0,1,0)</f>
        <v>0</v>
      </c>
      <c r="V2344" s="6" t="str">
        <f>IF(BBDD_Usiarios_Netflix[[#This Row],[Duración Plan]]="12 Meses",LEFT(BBDD_Usiarios_Netflix[[#This Row],[Duración Plan]],2),LEFT(BBDD_Usiarios_Netflix[[#This Row],[Duración Plan]],1))</f>
        <v>12</v>
      </c>
      <c r="W23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45" spans="1:23" x14ac:dyDescent="0.25">
      <c r="A2345">
        <v>2344</v>
      </c>
      <c r="B2345" t="s">
        <v>28</v>
      </c>
      <c r="C2345">
        <v>14</v>
      </c>
      <c r="D2345" s="3">
        <v>27</v>
      </c>
      <c r="E2345" s="3">
        <v>7</v>
      </c>
      <c r="F2345">
        <v>23</v>
      </c>
      <c r="G2345" s="1">
        <f>DATEVALUE(_xlfn.CONCAT(BBDD_Usiarios_Netflix[[#This Row],[Día Suscripción]],"/",BBDD_Usiarios_Netflix[[#This Row],[Mes Suscripción]],"/",BBDD_Usiarios_Netflix[[#This Row],[Año Suscripción]]))</f>
        <v>45134</v>
      </c>
      <c r="H2345" s="1">
        <v>13</v>
      </c>
      <c r="I2345" s="1">
        <v>7</v>
      </c>
      <c r="J2345" s="1">
        <v>24</v>
      </c>
      <c r="K2345" s="1" t="str">
        <f>TEXT(BBDD_Usiarios_Netflix[[#This Row],[Fecha Suscripción]],"dddd")</f>
        <v>jueves</v>
      </c>
      <c r="L2345" s="1">
        <f>DATEVALUE(_xlfn.CONCAT(BBDD_Usiarios_Netflix[[#This Row],[Día Último Pago]],"/",BBDD_Usiarios_Netflix[[#This Row],[Mes Último Pago]],"/",BBDD_Usiarios_Netflix[[#This Row],[Año Último Pago]]))</f>
        <v>45486</v>
      </c>
      <c r="M2345" s="4">
        <f>DATEDIF(BBDD_Usiarios_Netflix[[#This Row],[Fecha Suscripción]],BBDD_Usiarios_Netflix[[#This Row],[Fecha Último Pago]],"M")+1</f>
        <v>12</v>
      </c>
      <c r="N2345" s="4">
        <f>BBDD_Usiarios_Netflix[[#This Row],[Ingresos Mensuales]]*BBDD_Usiarios_Netflix[[#This Row],[Meses contratados]]</f>
        <v>168</v>
      </c>
      <c r="O2345" t="s">
        <v>40</v>
      </c>
      <c r="P2345" t="str">
        <f>IF(BBDD_Usiarios_Netflix[[#This Row],[País]]="","Desconocido",BBDD_Usiarios_Netflix[[#This Row],[País]])</f>
        <v>Italia</v>
      </c>
      <c r="Q2345">
        <v>44</v>
      </c>
      <c r="R2345" t="s">
        <v>30</v>
      </c>
      <c r="S2345" t="s">
        <v>31</v>
      </c>
      <c r="T2345" t="s">
        <v>38</v>
      </c>
      <c r="U2345">
        <f>IF(IFERROR(VLOOKUP(BBDD_Usiarios_Netflix[[#This Row],[Identificador Usuario]],A2346:$A$5870,1,FALSE),0)&lt;&gt;0,1,0)</f>
        <v>0</v>
      </c>
      <c r="V2345" s="6" t="str">
        <f>IF(BBDD_Usiarios_Netflix[[#This Row],[Duración Plan]]="12 Meses",LEFT(BBDD_Usiarios_Netflix[[#This Row],[Duración Plan]],2),LEFT(BBDD_Usiarios_Netflix[[#This Row],[Duración Plan]],1))</f>
        <v>3</v>
      </c>
      <c r="W23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46" spans="1:23" x14ac:dyDescent="0.25">
      <c r="A2346">
        <v>2345</v>
      </c>
      <c r="B2346" t="s">
        <v>23</v>
      </c>
      <c r="C2346">
        <v>10</v>
      </c>
      <c r="D2346" s="3">
        <v>21</v>
      </c>
      <c r="E2346" s="3">
        <v>7</v>
      </c>
      <c r="F2346">
        <v>23</v>
      </c>
      <c r="G2346" s="1">
        <f>DATEVALUE(_xlfn.CONCAT(BBDD_Usiarios_Netflix[[#This Row],[Día Suscripción]],"/",BBDD_Usiarios_Netflix[[#This Row],[Mes Suscripción]],"/",BBDD_Usiarios_Netflix[[#This Row],[Año Suscripción]]))</f>
        <v>45128</v>
      </c>
      <c r="H2346" s="1">
        <v>10</v>
      </c>
      <c r="I2346" s="1">
        <v>7</v>
      </c>
      <c r="J2346" s="1">
        <v>24</v>
      </c>
      <c r="K2346" s="1" t="str">
        <f>TEXT(BBDD_Usiarios_Netflix[[#This Row],[Fecha Suscripción]],"dddd")</f>
        <v>viernes</v>
      </c>
      <c r="L2346" s="1">
        <f>DATEVALUE(_xlfn.CONCAT(BBDD_Usiarios_Netflix[[#This Row],[Día Último Pago]],"/",BBDD_Usiarios_Netflix[[#This Row],[Mes Último Pago]],"/",BBDD_Usiarios_Netflix[[#This Row],[Año Último Pago]]))</f>
        <v>45483</v>
      </c>
      <c r="M2346" s="4">
        <f>DATEDIF(BBDD_Usiarios_Netflix[[#This Row],[Fecha Suscripción]],BBDD_Usiarios_Netflix[[#This Row],[Fecha Último Pago]],"M")+1</f>
        <v>12</v>
      </c>
      <c r="N2346" s="4">
        <f>BBDD_Usiarios_Netflix[[#This Row],[Ingresos Mensuales]]*BBDD_Usiarios_Netflix[[#This Row],[Meses contratados]]</f>
        <v>120</v>
      </c>
      <c r="O2346" t="s">
        <v>29</v>
      </c>
      <c r="P2346" t="str">
        <f>IF(BBDD_Usiarios_Netflix[[#This Row],[País]]="","Desconocido",BBDD_Usiarios_Netflix[[#This Row],[País]])</f>
        <v>EEUU</v>
      </c>
      <c r="Q2346">
        <v>39</v>
      </c>
      <c r="R2346" t="s">
        <v>25</v>
      </c>
      <c r="S2346" t="s">
        <v>26</v>
      </c>
      <c r="T2346" t="s">
        <v>35</v>
      </c>
      <c r="U2346">
        <f>IF(IFERROR(VLOOKUP(BBDD_Usiarios_Netflix[[#This Row],[Identificador Usuario]],A2347:$A$5870,1,FALSE),0)&lt;&gt;0,1,0)</f>
        <v>0</v>
      </c>
      <c r="V2346" s="6" t="str">
        <f>IF(BBDD_Usiarios_Netflix[[#This Row],[Duración Plan]]="12 Meses",LEFT(BBDD_Usiarios_Netflix[[#This Row],[Duración Plan]],2),LEFT(BBDD_Usiarios_Netflix[[#This Row],[Duración Plan]],1))</f>
        <v>6</v>
      </c>
      <c r="W23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47" spans="1:23" x14ac:dyDescent="0.25">
      <c r="A2347">
        <v>2346</v>
      </c>
      <c r="B2347" t="s">
        <v>28</v>
      </c>
      <c r="C2347">
        <v>14</v>
      </c>
      <c r="D2347" s="3">
        <v>20</v>
      </c>
      <c r="E2347" s="3">
        <v>7</v>
      </c>
      <c r="F2347">
        <v>23</v>
      </c>
      <c r="G2347" s="1">
        <f>DATEVALUE(_xlfn.CONCAT(BBDD_Usiarios_Netflix[[#This Row],[Día Suscripción]],"/",BBDD_Usiarios_Netflix[[#This Row],[Mes Suscripción]],"/",BBDD_Usiarios_Netflix[[#This Row],[Año Suscripción]]))</f>
        <v>45127</v>
      </c>
      <c r="H2347" s="1">
        <v>12</v>
      </c>
      <c r="I2347" s="1">
        <v>7</v>
      </c>
      <c r="J2347" s="1">
        <v>24</v>
      </c>
      <c r="K2347" s="1" t="str">
        <f>TEXT(BBDD_Usiarios_Netflix[[#This Row],[Fecha Suscripción]],"dddd")</f>
        <v>jueves</v>
      </c>
      <c r="L2347" s="1">
        <f>DATEVALUE(_xlfn.CONCAT(BBDD_Usiarios_Netflix[[#This Row],[Día Último Pago]],"/",BBDD_Usiarios_Netflix[[#This Row],[Mes Último Pago]],"/",BBDD_Usiarios_Netflix[[#This Row],[Año Último Pago]]))</f>
        <v>45485</v>
      </c>
      <c r="M2347" s="4">
        <f>DATEDIF(BBDD_Usiarios_Netflix[[#This Row],[Fecha Suscripción]],BBDD_Usiarios_Netflix[[#This Row],[Fecha Último Pago]],"M")+1</f>
        <v>12</v>
      </c>
      <c r="N2347" s="4">
        <f>BBDD_Usiarios_Netflix[[#This Row],[Ingresos Mensuales]]*BBDD_Usiarios_Netflix[[#This Row],[Meses contratados]]</f>
        <v>168</v>
      </c>
      <c r="O2347" t="s">
        <v>39</v>
      </c>
      <c r="P2347" t="str">
        <f>IF(BBDD_Usiarios_Netflix[[#This Row],[País]]="","Desconocido",BBDD_Usiarios_Netflix[[#This Row],[País]])</f>
        <v>Canadá</v>
      </c>
      <c r="Q2347">
        <v>43</v>
      </c>
      <c r="R2347" t="s">
        <v>30</v>
      </c>
      <c r="S2347" t="s">
        <v>26</v>
      </c>
      <c r="T2347" t="s">
        <v>38</v>
      </c>
      <c r="U2347">
        <f>IF(IFERROR(VLOOKUP(BBDD_Usiarios_Netflix[[#This Row],[Identificador Usuario]],A2348:$A$5870,1,FALSE),0)&lt;&gt;0,1,0)</f>
        <v>0</v>
      </c>
      <c r="V2347" s="6" t="str">
        <f>IF(BBDD_Usiarios_Netflix[[#This Row],[Duración Plan]]="12 Meses",LEFT(BBDD_Usiarios_Netflix[[#This Row],[Duración Plan]],2),LEFT(BBDD_Usiarios_Netflix[[#This Row],[Duración Plan]],1))</f>
        <v>3</v>
      </c>
      <c r="W23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48" spans="1:23" x14ac:dyDescent="0.25">
      <c r="A2348">
        <v>2347</v>
      </c>
      <c r="B2348" t="s">
        <v>23</v>
      </c>
      <c r="C2348">
        <v>10</v>
      </c>
      <c r="D2348" s="3">
        <v>16</v>
      </c>
      <c r="E2348" s="3">
        <v>7</v>
      </c>
      <c r="F2348">
        <v>23</v>
      </c>
      <c r="G2348" s="1">
        <f>DATEVALUE(_xlfn.CONCAT(BBDD_Usiarios_Netflix[[#This Row],[Día Suscripción]],"/",BBDD_Usiarios_Netflix[[#This Row],[Mes Suscripción]],"/",BBDD_Usiarios_Netflix[[#This Row],[Año Suscripción]]))</f>
        <v>45123</v>
      </c>
      <c r="H2348" s="1">
        <v>10</v>
      </c>
      <c r="I2348" s="1">
        <v>7</v>
      </c>
      <c r="J2348" s="1">
        <v>24</v>
      </c>
      <c r="K2348" s="1" t="str">
        <f>TEXT(BBDD_Usiarios_Netflix[[#This Row],[Fecha Suscripción]],"dddd")</f>
        <v>domingo</v>
      </c>
      <c r="L2348" s="1">
        <f>DATEVALUE(_xlfn.CONCAT(BBDD_Usiarios_Netflix[[#This Row],[Día Último Pago]],"/",BBDD_Usiarios_Netflix[[#This Row],[Mes Último Pago]],"/",BBDD_Usiarios_Netflix[[#This Row],[Año Último Pago]]))</f>
        <v>45483</v>
      </c>
      <c r="M2348" s="4">
        <f>DATEDIF(BBDD_Usiarios_Netflix[[#This Row],[Fecha Suscripción]],BBDD_Usiarios_Netflix[[#This Row],[Fecha Último Pago]],"M")+1</f>
        <v>12</v>
      </c>
      <c r="N2348" s="4">
        <f>BBDD_Usiarios_Netflix[[#This Row],[Ingresos Mensuales]]*BBDD_Usiarios_Netflix[[#This Row],[Meses contratados]]</f>
        <v>120</v>
      </c>
      <c r="O2348" t="s">
        <v>43</v>
      </c>
      <c r="P2348" t="str">
        <f>IF(BBDD_Usiarios_Netflix[[#This Row],[País]]="","Desconocido",BBDD_Usiarios_Netflix[[#This Row],[País]])</f>
        <v>Alemania</v>
      </c>
      <c r="Q2348">
        <v>49</v>
      </c>
      <c r="R2348" t="s">
        <v>30</v>
      </c>
      <c r="S2348" t="s">
        <v>34</v>
      </c>
      <c r="T2348" t="s">
        <v>38</v>
      </c>
      <c r="U2348">
        <f>IF(IFERROR(VLOOKUP(BBDD_Usiarios_Netflix[[#This Row],[Identificador Usuario]],A2349:$A$5870,1,FALSE),0)&lt;&gt;0,1,0)</f>
        <v>0</v>
      </c>
      <c r="V2348" s="6" t="str">
        <f>IF(BBDD_Usiarios_Netflix[[#This Row],[Duración Plan]]="12 Meses",LEFT(BBDD_Usiarios_Netflix[[#This Row],[Duración Plan]],2),LEFT(BBDD_Usiarios_Netflix[[#This Row],[Duración Plan]],1))</f>
        <v>3</v>
      </c>
      <c r="W23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49" spans="1:23" x14ac:dyDescent="0.25">
      <c r="A2349">
        <v>2348</v>
      </c>
      <c r="B2349" t="s">
        <v>32</v>
      </c>
      <c r="C2349">
        <v>12</v>
      </c>
      <c r="D2349" s="3">
        <v>16</v>
      </c>
      <c r="E2349" s="3">
        <v>7</v>
      </c>
      <c r="F2349">
        <v>23</v>
      </c>
      <c r="G2349" s="1">
        <f>DATEVALUE(_xlfn.CONCAT(BBDD_Usiarios_Netflix[[#This Row],[Día Suscripción]],"/",BBDD_Usiarios_Netflix[[#This Row],[Mes Suscripción]],"/",BBDD_Usiarios_Netflix[[#This Row],[Año Suscripción]]))</f>
        <v>45123</v>
      </c>
      <c r="H2349" s="1">
        <v>12</v>
      </c>
      <c r="I2349" s="1">
        <v>7</v>
      </c>
      <c r="J2349" s="1">
        <v>24</v>
      </c>
      <c r="K2349" s="1" t="str">
        <f>TEXT(BBDD_Usiarios_Netflix[[#This Row],[Fecha Suscripción]],"dddd")</f>
        <v>domingo</v>
      </c>
      <c r="L2349" s="1">
        <f>DATEVALUE(_xlfn.CONCAT(BBDD_Usiarios_Netflix[[#This Row],[Día Último Pago]],"/",BBDD_Usiarios_Netflix[[#This Row],[Mes Último Pago]],"/",BBDD_Usiarios_Netflix[[#This Row],[Año Último Pago]]))</f>
        <v>45485</v>
      </c>
      <c r="M2349" s="4">
        <f>DATEDIF(BBDD_Usiarios_Netflix[[#This Row],[Fecha Suscripción]],BBDD_Usiarios_Netflix[[#This Row],[Fecha Último Pago]],"M")+1</f>
        <v>12</v>
      </c>
      <c r="N2349" s="4">
        <f>BBDD_Usiarios_Netflix[[#This Row],[Ingresos Mensuales]]*BBDD_Usiarios_Netflix[[#This Row],[Meses contratados]]</f>
        <v>144</v>
      </c>
      <c r="O2349" t="s">
        <v>42</v>
      </c>
      <c r="P2349" t="str">
        <f>IF(BBDD_Usiarios_Netflix[[#This Row],[País]]="","Desconocido",BBDD_Usiarios_Netflix[[#This Row],[País]])</f>
        <v>Reino Unido</v>
      </c>
      <c r="Q2349">
        <v>48</v>
      </c>
      <c r="R2349" t="s">
        <v>30</v>
      </c>
      <c r="S2349" t="s">
        <v>34</v>
      </c>
      <c r="T2349" t="s">
        <v>27</v>
      </c>
      <c r="U2349">
        <f>IF(IFERROR(VLOOKUP(BBDD_Usiarios_Netflix[[#This Row],[Identificador Usuario]],A2350:$A$5870,1,FALSE),0)&lt;&gt;0,1,0)</f>
        <v>0</v>
      </c>
      <c r="V2349" s="6" t="str">
        <f>IF(BBDD_Usiarios_Netflix[[#This Row],[Duración Plan]]="12 Meses",LEFT(BBDD_Usiarios_Netflix[[#This Row],[Duración Plan]],2),LEFT(BBDD_Usiarios_Netflix[[#This Row],[Duración Plan]],1))</f>
        <v>1</v>
      </c>
      <c r="W23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50" spans="1:23" x14ac:dyDescent="0.25">
      <c r="A2350">
        <v>2349</v>
      </c>
      <c r="B2350" t="s">
        <v>32</v>
      </c>
      <c r="C2350">
        <v>12</v>
      </c>
      <c r="D2350" s="3">
        <v>14</v>
      </c>
      <c r="E2350" s="3">
        <v>7</v>
      </c>
      <c r="F2350">
        <v>23</v>
      </c>
      <c r="G2350" s="1">
        <f>DATEVALUE(_xlfn.CONCAT(BBDD_Usiarios_Netflix[[#This Row],[Día Suscripción]],"/",BBDD_Usiarios_Netflix[[#This Row],[Mes Suscripción]],"/",BBDD_Usiarios_Netflix[[#This Row],[Año Suscripción]]))</f>
        <v>45121</v>
      </c>
      <c r="H2350" s="1">
        <v>11</v>
      </c>
      <c r="I2350" s="1">
        <v>7</v>
      </c>
      <c r="J2350" s="1">
        <v>24</v>
      </c>
      <c r="K2350" s="1" t="str">
        <f>TEXT(BBDD_Usiarios_Netflix[[#This Row],[Fecha Suscripción]],"dddd")</f>
        <v>viernes</v>
      </c>
      <c r="L2350" s="1">
        <f>DATEVALUE(_xlfn.CONCAT(BBDD_Usiarios_Netflix[[#This Row],[Día Último Pago]],"/",BBDD_Usiarios_Netflix[[#This Row],[Mes Último Pago]],"/",BBDD_Usiarios_Netflix[[#This Row],[Año Último Pago]]))</f>
        <v>45484</v>
      </c>
      <c r="M2350" s="4">
        <f>DATEDIF(BBDD_Usiarios_Netflix[[#This Row],[Fecha Suscripción]],BBDD_Usiarios_Netflix[[#This Row],[Fecha Último Pago]],"M")+1</f>
        <v>12</v>
      </c>
      <c r="N2350" s="4">
        <f>BBDD_Usiarios_Netflix[[#This Row],[Ingresos Mensuales]]*BBDD_Usiarios_Netflix[[#This Row],[Meses contratados]]</f>
        <v>144</v>
      </c>
      <c r="O2350" t="s">
        <v>42</v>
      </c>
      <c r="P2350" t="str">
        <f>IF(BBDD_Usiarios_Netflix[[#This Row],[País]]="","Desconocido",BBDD_Usiarios_Netflix[[#This Row],[País]])</f>
        <v>Reino Unido</v>
      </c>
      <c r="Q2350">
        <v>47</v>
      </c>
      <c r="R2350" t="s">
        <v>30</v>
      </c>
      <c r="S2350" t="s">
        <v>31</v>
      </c>
      <c r="T2350" t="s">
        <v>41</v>
      </c>
      <c r="U2350">
        <f>IF(IFERROR(VLOOKUP(BBDD_Usiarios_Netflix[[#This Row],[Identificador Usuario]],A2351:$A$5870,1,FALSE),0)&lt;&gt;0,1,0)</f>
        <v>0</v>
      </c>
      <c r="V2350" s="6" t="str">
        <f>IF(BBDD_Usiarios_Netflix[[#This Row],[Duración Plan]]="12 Meses",LEFT(BBDD_Usiarios_Netflix[[#This Row],[Duración Plan]],2),LEFT(BBDD_Usiarios_Netflix[[#This Row],[Duración Plan]],1))</f>
        <v>12</v>
      </c>
      <c r="W23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51" spans="1:23" x14ac:dyDescent="0.25">
      <c r="A2351">
        <v>2350</v>
      </c>
      <c r="B2351" t="s">
        <v>23</v>
      </c>
      <c r="C2351">
        <v>10</v>
      </c>
      <c r="D2351" s="3">
        <v>14</v>
      </c>
      <c r="E2351" s="3">
        <v>7</v>
      </c>
      <c r="F2351">
        <v>23</v>
      </c>
      <c r="G2351" s="1">
        <f>DATEVALUE(_xlfn.CONCAT(BBDD_Usiarios_Netflix[[#This Row],[Día Suscripción]],"/",BBDD_Usiarios_Netflix[[#This Row],[Mes Suscripción]],"/",BBDD_Usiarios_Netflix[[#This Row],[Año Suscripción]]))</f>
        <v>45121</v>
      </c>
      <c r="H2351" s="1">
        <v>13</v>
      </c>
      <c r="I2351" s="1">
        <v>7</v>
      </c>
      <c r="J2351" s="1">
        <v>24</v>
      </c>
      <c r="K2351" s="1" t="str">
        <f>TEXT(BBDD_Usiarios_Netflix[[#This Row],[Fecha Suscripción]],"dddd")</f>
        <v>viernes</v>
      </c>
      <c r="L2351" s="1">
        <f>DATEVALUE(_xlfn.CONCAT(BBDD_Usiarios_Netflix[[#This Row],[Día Último Pago]],"/",BBDD_Usiarios_Netflix[[#This Row],[Mes Último Pago]],"/",BBDD_Usiarios_Netflix[[#This Row],[Año Último Pago]]))</f>
        <v>45486</v>
      </c>
      <c r="M2351" s="4">
        <f>DATEDIF(BBDD_Usiarios_Netflix[[#This Row],[Fecha Suscripción]],BBDD_Usiarios_Netflix[[#This Row],[Fecha Último Pago]],"M")+1</f>
        <v>12</v>
      </c>
      <c r="N2351" s="4">
        <f>BBDD_Usiarios_Netflix[[#This Row],[Ingresos Mensuales]]*BBDD_Usiarios_Netflix[[#This Row],[Meses contratados]]</f>
        <v>120</v>
      </c>
      <c r="O2351" t="s">
        <v>43</v>
      </c>
      <c r="P2351" t="str">
        <f>IF(BBDD_Usiarios_Netflix[[#This Row],[País]]="","Desconocido",BBDD_Usiarios_Netflix[[#This Row],[País]])</f>
        <v>Alemania</v>
      </c>
      <c r="Q2351">
        <v>27</v>
      </c>
      <c r="R2351" t="s">
        <v>30</v>
      </c>
      <c r="S2351" t="s">
        <v>36</v>
      </c>
      <c r="T2351" t="s">
        <v>35</v>
      </c>
      <c r="U2351">
        <f>IF(IFERROR(VLOOKUP(BBDD_Usiarios_Netflix[[#This Row],[Identificador Usuario]],A2352:$A$5870,1,FALSE),0)&lt;&gt;0,1,0)</f>
        <v>0</v>
      </c>
      <c r="V2351" s="6" t="str">
        <f>IF(BBDD_Usiarios_Netflix[[#This Row],[Duración Plan]]="12 Meses",LEFT(BBDD_Usiarios_Netflix[[#This Row],[Duración Plan]],2),LEFT(BBDD_Usiarios_Netflix[[#This Row],[Duración Plan]],1))</f>
        <v>6</v>
      </c>
      <c r="W23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52" spans="1:23" x14ac:dyDescent="0.25">
      <c r="A2352">
        <v>2351</v>
      </c>
      <c r="B2352" t="s">
        <v>28</v>
      </c>
      <c r="C2352">
        <v>14</v>
      </c>
      <c r="D2352" s="3">
        <v>15</v>
      </c>
      <c r="E2352" s="3">
        <v>7</v>
      </c>
      <c r="F2352">
        <v>23</v>
      </c>
      <c r="G2352" s="1">
        <f>DATEVALUE(_xlfn.CONCAT(BBDD_Usiarios_Netflix[[#This Row],[Día Suscripción]],"/",BBDD_Usiarios_Netflix[[#This Row],[Mes Suscripción]],"/",BBDD_Usiarios_Netflix[[#This Row],[Año Suscripción]]))</f>
        <v>45122</v>
      </c>
      <c r="H2352" s="1">
        <v>10</v>
      </c>
      <c r="I2352" s="1">
        <v>7</v>
      </c>
      <c r="J2352" s="1">
        <v>24</v>
      </c>
      <c r="K2352" s="1" t="str">
        <f>TEXT(BBDD_Usiarios_Netflix[[#This Row],[Fecha Suscripción]],"dddd")</f>
        <v>sábado</v>
      </c>
      <c r="L2352" s="1">
        <f>DATEVALUE(_xlfn.CONCAT(BBDD_Usiarios_Netflix[[#This Row],[Día Último Pago]],"/",BBDD_Usiarios_Netflix[[#This Row],[Mes Último Pago]],"/",BBDD_Usiarios_Netflix[[#This Row],[Año Último Pago]]))</f>
        <v>45483</v>
      </c>
      <c r="M2352" s="4">
        <f>DATEDIF(BBDD_Usiarios_Netflix[[#This Row],[Fecha Suscripción]],BBDD_Usiarios_Netflix[[#This Row],[Fecha Último Pago]],"M")+1</f>
        <v>12</v>
      </c>
      <c r="N2352" s="4">
        <f>BBDD_Usiarios_Netflix[[#This Row],[Ingresos Mensuales]]*BBDD_Usiarios_Netflix[[#This Row],[Meses contratados]]</f>
        <v>168</v>
      </c>
      <c r="O2352" t="s">
        <v>40</v>
      </c>
      <c r="P2352" t="str">
        <f>IF(BBDD_Usiarios_Netflix[[#This Row],[País]]="","Desconocido",BBDD_Usiarios_Netflix[[#This Row],[País]])</f>
        <v>Italia</v>
      </c>
      <c r="Q2352">
        <v>40</v>
      </c>
      <c r="R2352" t="s">
        <v>30</v>
      </c>
      <c r="S2352" t="s">
        <v>26</v>
      </c>
      <c r="T2352" t="s">
        <v>27</v>
      </c>
      <c r="U2352">
        <f>IF(IFERROR(VLOOKUP(BBDD_Usiarios_Netflix[[#This Row],[Identificador Usuario]],A2353:$A$5870,1,FALSE),0)&lt;&gt;0,1,0)</f>
        <v>0</v>
      </c>
      <c r="V2352" s="6" t="str">
        <f>IF(BBDD_Usiarios_Netflix[[#This Row],[Duración Plan]]="12 Meses",LEFT(BBDD_Usiarios_Netflix[[#This Row],[Duración Plan]],2),LEFT(BBDD_Usiarios_Netflix[[#This Row],[Duración Plan]],1))</f>
        <v>1</v>
      </c>
      <c r="W23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53" spans="1:23" x14ac:dyDescent="0.25">
      <c r="A2353">
        <v>2352</v>
      </c>
      <c r="B2353" t="s">
        <v>23</v>
      </c>
      <c r="C2353">
        <v>10</v>
      </c>
      <c r="D2353" s="3">
        <v>16</v>
      </c>
      <c r="E2353" s="3">
        <v>7</v>
      </c>
      <c r="F2353">
        <v>23</v>
      </c>
      <c r="G2353" s="1">
        <f>DATEVALUE(_xlfn.CONCAT(BBDD_Usiarios_Netflix[[#This Row],[Día Suscripción]],"/",BBDD_Usiarios_Netflix[[#This Row],[Mes Suscripción]],"/",BBDD_Usiarios_Netflix[[#This Row],[Año Suscripción]]))</f>
        <v>45123</v>
      </c>
      <c r="H2353" s="1">
        <v>12</v>
      </c>
      <c r="I2353" s="1">
        <v>7</v>
      </c>
      <c r="J2353" s="1">
        <v>24</v>
      </c>
      <c r="K2353" s="1" t="str">
        <f>TEXT(BBDD_Usiarios_Netflix[[#This Row],[Fecha Suscripción]],"dddd")</f>
        <v>domingo</v>
      </c>
      <c r="L2353" s="1">
        <f>DATEVALUE(_xlfn.CONCAT(BBDD_Usiarios_Netflix[[#This Row],[Día Último Pago]],"/",BBDD_Usiarios_Netflix[[#This Row],[Mes Último Pago]],"/",BBDD_Usiarios_Netflix[[#This Row],[Año Último Pago]]))</f>
        <v>45485</v>
      </c>
      <c r="M2353" s="4">
        <f>DATEDIF(BBDD_Usiarios_Netflix[[#This Row],[Fecha Suscripción]],BBDD_Usiarios_Netflix[[#This Row],[Fecha Último Pago]],"M")+1</f>
        <v>12</v>
      </c>
      <c r="N2353" s="4">
        <f>BBDD_Usiarios_Netflix[[#This Row],[Ingresos Mensuales]]*BBDD_Usiarios_Netflix[[#This Row],[Meses contratados]]</f>
        <v>120</v>
      </c>
      <c r="O2353" t="s">
        <v>33</v>
      </c>
      <c r="P2353" t="str">
        <f>IF(BBDD_Usiarios_Netflix[[#This Row],[País]]="","Desconocido",BBDD_Usiarios_Netflix[[#This Row],[País]])</f>
        <v>Francia</v>
      </c>
      <c r="Q2353">
        <v>43</v>
      </c>
      <c r="R2353" t="s">
        <v>30</v>
      </c>
      <c r="S2353" t="s">
        <v>34</v>
      </c>
      <c r="T2353" t="s">
        <v>27</v>
      </c>
      <c r="U2353">
        <f>IF(IFERROR(VLOOKUP(BBDD_Usiarios_Netflix[[#This Row],[Identificador Usuario]],A2354:$A$5870,1,FALSE),0)&lt;&gt;0,1,0)</f>
        <v>0</v>
      </c>
      <c r="V2353" s="6" t="str">
        <f>IF(BBDD_Usiarios_Netflix[[#This Row],[Duración Plan]]="12 Meses",LEFT(BBDD_Usiarios_Netflix[[#This Row],[Duración Plan]],2),LEFT(BBDD_Usiarios_Netflix[[#This Row],[Duración Plan]],1))</f>
        <v>1</v>
      </c>
      <c r="W23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54" spans="1:23" x14ac:dyDescent="0.25">
      <c r="A2354">
        <v>2353</v>
      </c>
      <c r="B2354" t="s">
        <v>32</v>
      </c>
      <c r="C2354">
        <v>12</v>
      </c>
      <c r="D2354" s="3">
        <v>18</v>
      </c>
      <c r="E2354" s="3">
        <v>7</v>
      </c>
      <c r="F2354">
        <v>23</v>
      </c>
      <c r="G2354" s="1">
        <f>DATEVALUE(_xlfn.CONCAT(BBDD_Usiarios_Netflix[[#This Row],[Día Suscripción]],"/",BBDD_Usiarios_Netflix[[#This Row],[Mes Suscripción]],"/",BBDD_Usiarios_Netflix[[#This Row],[Año Suscripción]]))</f>
        <v>45125</v>
      </c>
      <c r="H2354" s="1">
        <v>10</v>
      </c>
      <c r="I2354" s="1">
        <v>7</v>
      </c>
      <c r="J2354" s="1">
        <v>24</v>
      </c>
      <c r="K2354" s="1" t="str">
        <f>TEXT(BBDD_Usiarios_Netflix[[#This Row],[Fecha Suscripción]],"dddd")</f>
        <v>martes</v>
      </c>
      <c r="L2354" s="1">
        <f>DATEVALUE(_xlfn.CONCAT(BBDD_Usiarios_Netflix[[#This Row],[Día Último Pago]],"/",BBDD_Usiarios_Netflix[[#This Row],[Mes Último Pago]],"/",BBDD_Usiarios_Netflix[[#This Row],[Año Último Pago]]))</f>
        <v>45483</v>
      </c>
      <c r="M2354" s="4">
        <f>DATEDIF(BBDD_Usiarios_Netflix[[#This Row],[Fecha Suscripción]],BBDD_Usiarios_Netflix[[#This Row],[Fecha Último Pago]],"M")+1</f>
        <v>12</v>
      </c>
      <c r="N2354" s="4">
        <f>BBDD_Usiarios_Netflix[[#This Row],[Ingresos Mensuales]]*BBDD_Usiarios_Netflix[[#This Row],[Meses contratados]]</f>
        <v>144</v>
      </c>
      <c r="O2354" t="s">
        <v>42</v>
      </c>
      <c r="P2354" t="str">
        <f>IF(BBDD_Usiarios_Netflix[[#This Row],[País]]="","Desconocido",BBDD_Usiarios_Netflix[[#This Row],[País]])</f>
        <v>Reino Unido</v>
      </c>
      <c r="Q2354">
        <v>30</v>
      </c>
      <c r="R2354" t="s">
        <v>30</v>
      </c>
      <c r="S2354" t="s">
        <v>36</v>
      </c>
      <c r="T2354" t="s">
        <v>27</v>
      </c>
      <c r="U2354">
        <f>IF(IFERROR(VLOOKUP(BBDD_Usiarios_Netflix[[#This Row],[Identificador Usuario]],A2355:$A$5870,1,FALSE),0)&lt;&gt;0,1,0)</f>
        <v>0</v>
      </c>
      <c r="V2354" s="6" t="str">
        <f>IF(BBDD_Usiarios_Netflix[[#This Row],[Duración Plan]]="12 Meses",LEFT(BBDD_Usiarios_Netflix[[#This Row],[Duración Plan]],2),LEFT(BBDD_Usiarios_Netflix[[#This Row],[Duración Plan]],1))</f>
        <v>1</v>
      </c>
      <c r="W23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55" spans="1:23" x14ac:dyDescent="0.25">
      <c r="A2355">
        <v>2354</v>
      </c>
      <c r="B2355" t="s">
        <v>28</v>
      </c>
      <c r="C2355">
        <v>14</v>
      </c>
      <c r="D2355" s="3">
        <v>19</v>
      </c>
      <c r="E2355" s="3">
        <v>7</v>
      </c>
      <c r="F2355">
        <v>23</v>
      </c>
      <c r="G2355" s="1">
        <f>DATEVALUE(_xlfn.CONCAT(BBDD_Usiarios_Netflix[[#This Row],[Día Suscripción]],"/",BBDD_Usiarios_Netflix[[#This Row],[Mes Suscripción]],"/",BBDD_Usiarios_Netflix[[#This Row],[Año Suscripción]]))</f>
        <v>45126</v>
      </c>
      <c r="H2355" s="1">
        <v>13</v>
      </c>
      <c r="I2355" s="1">
        <v>7</v>
      </c>
      <c r="J2355" s="1">
        <v>24</v>
      </c>
      <c r="K2355" s="1" t="str">
        <f>TEXT(BBDD_Usiarios_Netflix[[#This Row],[Fecha Suscripción]],"dddd")</f>
        <v>miércoles</v>
      </c>
      <c r="L2355" s="1">
        <f>DATEVALUE(_xlfn.CONCAT(BBDD_Usiarios_Netflix[[#This Row],[Día Último Pago]],"/",BBDD_Usiarios_Netflix[[#This Row],[Mes Último Pago]],"/",BBDD_Usiarios_Netflix[[#This Row],[Año Último Pago]]))</f>
        <v>45486</v>
      </c>
      <c r="M2355" s="4">
        <f>DATEDIF(BBDD_Usiarios_Netflix[[#This Row],[Fecha Suscripción]],BBDD_Usiarios_Netflix[[#This Row],[Fecha Último Pago]],"M")+1</f>
        <v>12</v>
      </c>
      <c r="N2355" s="4">
        <f>BBDD_Usiarios_Netflix[[#This Row],[Ingresos Mensuales]]*BBDD_Usiarios_Netflix[[#This Row],[Meses contratados]]</f>
        <v>168</v>
      </c>
      <c r="O2355" t="s">
        <v>33</v>
      </c>
      <c r="P2355" t="str">
        <f>IF(BBDD_Usiarios_Netflix[[#This Row],[País]]="","Desconocido",BBDD_Usiarios_Netflix[[#This Row],[País]])</f>
        <v>Francia</v>
      </c>
      <c r="Q2355">
        <v>43</v>
      </c>
      <c r="R2355" t="s">
        <v>30</v>
      </c>
      <c r="S2355" t="s">
        <v>34</v>
      </c>
      <c r="T2355" t="s">
        <v>41</v>
      </c>
      <c r="U2355">
        <f>IF(IFERROR(VLOOKUP(BBDD_Usiarios_Netflix[[#This Row],[Identificador Usuario]],A2356:$A$5870,1,FALSE),0)&lt;&gt;0,1,0)</f>
        <v>0</v>
      </c>
      <c r="V2355" s="6" t="str">
        <f>IF(BBDD_Usiarios_Netflix[[#This Row],[Duración Plan]]="12 Meses",LEFT(BBDD_Usiarios_Netflix[[#This Row],[Duración Plan]],2),LEFT(BBDD_Usiarios_Netflix[[#This Row],[Duración Plan]],1))</f>
        <v>12</v>
      </c>
      <c r="W23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56" spans="1:23" x14ac:dyDescent="0.25">
      <c r="A2356">
        <v>2355</v>
      </c>
      <c r="B2356" t="s">
        <v>23</v>
      </c>
      <c r="C2356">
        <v>10</v>
      </c>
      <c r="D2356" s="3">
        <v>22</v>
      </c>
      <c r="E2356" s="3">
        <v>7</v>
      </c>
      <c r="F2356">
        <v>23</v>
      </c>
      <c r="G2356" s="1">
        <f>DATEVALUE(_xlfn.CONCAT(BBDD_Usiarios_Netflix[[#This Row],[Día Suscripción]],"/",BBDD_Usiarios_Netflix[[#This Row],[Mes Suscripción]],"/",BBDD_Usiarios_Netflix[[#This Row],[Año Suscripción]]))</f>
        <v>45129</v>
      </c>
      <c r="H2356" s="1">
        <v>10</v>
      </c>
      <c r="I2356" s="1">
        <v>7</v>
      </c>
      <c r="J2356" s="1">
        <v>24</v>
      </c>
      <c r="K2356" s="1" t="str">
        <f>TEXT(BBDD_Usiarios_Netflix[[#This Row],[Fecha Suscripción]],"dddd")</f>
        <v>sábado</v>
      </c>
      <c r="L2356" s="1">
        <f>DATEVALUE(_xlfn.CONCAT(BBDD_Usiarios_Netflix[[#This Row],[Día Último Pago]],"/",BBDD_Usiarios_Netflix[[#This Row],[Mes Último Pago]],"/",BBDD_Usiarios_Netflix[[#This Row],[Año Último Pago]]))</f>
        <v>45483</v>
      </c>
      <c r="M2356" s="4">
        <f>DATEDIF(BBDD_Usiarios_Netflix[[#This Row],[Fecha Suscripción]],BBDD_Usiarios_Netflix[[#This Row],[Fecha Último Pago]],"M")+1</f>
        <v>12</v>
      </c>
      <c r="N2356" s="4">
        <f>BBDD_Usiarios_Netflix[[#This Row],[Ingresos Mensuales]]*BBDD_Usiarios_Netflix[[#This Row],[Meses contratados]]</f>
        <v>120</v>
      </c>
      <c r="O2356" t="s">
        <v>39</v>
      </c>
      <c r="P2356" t="str">
        <f>IF(BBDD_Usiarios_Netflix[[#This Row],[País]]="","Desconocido",BBDD_Usiarios_Netflix[[#This Row],[País]])</f>
        <v>Canadá</v>
      </c>
      <c r="Q2356">
        <v>49</v>
      </c>
      <c r="R2356" t="s">
        <v>25</v>
      </c>
      <c r="S2356" t="s">
        <v>36</v>
      </c>
      <c r="T2356" t="s">
        <v>35</v>
      </c>
      <c r="U2356">
        <f>IF(IFERROR(VLOOKUP(BBDD_Usiarios_Netflix[[#This Row],[Identificador Usuario]],A2357:$A$5870,1,FALSE),0)&lt;&gt;0,1,0)</f>
        <v>0</v>
      </c>
      <c r="V2356" s="6" t="str">
        <f>IF(BBDD_Usiarios_Netflix[[#This Row],[Duración Plan]]="12 Meses",LEFT(BBDD_Usiarios_Netflix[[#This Row],[Duración Plan]],2),LEFT(BBDD_Usiarios_Netflix[[#This Row],[Duración Plan]],1))</f>
        <v>6</v>
      </c>
      <c r="W23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57" spans="1:23" x14ac:dyDescent="0.25">
      <c r="A2357">
        <v>2356</v>
      </c>
      <c r="B2357" t="s">
        <v>28</v>
      </c>
      <c r="C2357">
        <v>14</v>
      </c>
      <c r="D2357" s="3">
        <v>25</v>
      </c>
      <c r="E2357" s="3">
        <v>7</v>
      </c>
      <c r="F2357">
        <v>23</v>
      </c>
      <c r="G2357" s="1">
        <f>DATEVALUE(_xlfn.CONCAT(BBDD_Usiarios_Netflix[[#This Row],[Día Suscripción]],"/",BBDD_Usiarios_Netflix[[#This Row],[Mes Suscripción]],"/",BBDD_Usiarios_Netflix[[#This Row],[Año Suscripción]]))</f>
        <v>45132</v>
      </c>
      <c r="H2357" s="1">
        <v>12</v>
      </c>
      <c r="I2357" s="1">
        <v>7</v>
      </c>
      <c r="J2357" s="1">
        <v>24</v>
      </c>
      <c r="K2357" s="1" t="str">
        <f>TEXT(BBDD_Usiarios_Netflix[[#This Row],[Fecha Suscripción]],"dddd")</f>
        <v>martes</v>
      </c>
      <c r="L2357" s="1">
        <f>DATEVALUE(_xlfn.CONCAT(BBDD_Usiarios_Netflix[[#This Row],[Día Último Pago]],"/",BBDD_Usiarios_Netflix[[#This Row],[Mes Último Pago]],"/",BBDD_Usiarios_Netflix[[#This Row],[Año Último Pago]]))</f>
        <v>45485</v>
      </c>
      <c r="M2357" s="4">
        <f>DATEDIF(BBDD_Usiarios_Netflix[[#This Row],[Fecha Suscripción]],BBDD_Usiarios_Netflix[[#This Row],[Fecha Último Pago]],"M")+1</f>
        <v>12</v>
      </c>
      <c r="N2357" s="4">
        <f>BBDD_Usiarios_Netflix[[#This Row],[Ingresos Mensuales]]*BBDD_Usiarios_Netflix[[#This Row],[Meses contratados]]</f>
        <v>168</v>
      </c>
      <c r="O2357" t="s">
        <v>43</v>
      </c>
      <c r="P2357" t="str">
        <f>IF(BBDD_Usiarios_Netflix[[#This Row],[País]]="","Desconocido",BBDD_Usiarios_Netflix[[#This Row],[País]])</f>
        <v>Alemania</v>
      </c>
      <c r="Q2357">
        <v>47</v>
      </c>
      <c r="R2357" t="s">
        <v>25</v>
      </c>
      <c r="S2357" t="s">
        <v>26</v>
      </c>
      <c r="T2357" t="s">
        <v>35</v>
      </c>
      <c r="U2357">
        <f>IF(IFERROR(VLOOKUP(BBDD_Usiarios_Netflix[[#This Row],[Identificador Usuario]],A2358:$A$5870,1,FALSE),0)&lt;&gt;0,1,0)</f>
        <v>0</v>
      </c>
      <c r="V2357" s="6" t="str">
        <f>IF(BBDD_Usiarios_Netflix[[#This Row],[Duración Plan]]="12 Meses",LEFT(BBDD_Usiarios_Netflix[[#This Row],[Duración Plan]],2),LEFT(BBDD_Usiarios_Netflix[[#This Row],[Duración Plan]],1))</f>
        <v>6</v>
      </c>
      <c r="W23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58" spans="1:23" x14ac:dyDescent="0.25">
      <c r="A2358">
        <v>2357</v>
      </c>
      <c r="B2358" t="s">
        <v>23</v>
      </c>
      <c r="C2358">
        <v>10</v>
      </c>
      <c r="D2358" s="3">
        <v>26</v>
      </c>
      <c r="E2358" s="3">
        <v>7</v>
      </c>
      <c r="F2358">
        <v>23</v>
      </c>
      <c r="G2358" s="1">
        <f>DATEVALUE(_xlfn.CONCAT(BBDD_Usiarios_Netflix[[#This Row],[Día Suscripción]],"/",BBDD_Usiarios_Netflix[[#This Row],[Mes Suscripción]],"/",BBDD_Usiarios_Netflix[[#This Row],[Año Suscripción]]))</f>
        <v>45133</v>
      </c>
      <c r="H2358" s="1">
        <v>11</v>
      </c>
      <c r="I2358" s="1">
        <v>7</v>
      </c>
      <c r="J2358" s="1">
        <v>24</v>
      </c>
      <c r="K2358" s="1" t="str">
        <f>TEXT(BBDD_Usiarios_Netflix[[#This Row],[Fecha Suscripción]],"dddd")</f>
        <v>miércoles</v>
      </c>
      <c r="L2358" s="1">
        <f>DATEVALUE(_xlfn.CONCAT(BBDD_Usiarios_Netflix[[#This Row],[Día Último Pago]],"/",BBDD_Usiarios_Netflix[[#This Row],[Mes Último Pago]],"/",BBDD_Usiarios_Netflix[[#This Row],[Año Último Pago]]))</f>
        <v>45484</v>
      </c>
      <c r="M2358" s="4">
        <f>DATEDIF(BBDD_Usiarios_Netflix[[#This Row],[Fecha Suscripción]],BBDD_Usiarios_Netflix[[#This Row],[Fecha Último Pago]],"M")+1</f>
        <v>12</v>
      </c>
      <c r="N2358" s="4">
        <f>BBDD_Usiarios_Netflix[[#This Row],[Ingresos Mensuales]]*BBDD_Usiarios_Netflix[[#This Row],[Meses contratados]]</f>
        <v>120</v>
      </c>
      <c r="O2358" t="s">
        <v>29</v>
      </c>
      <c r="P2358" t="str">
        <f>IF(BBDD_Usiarios_Netflix[[#This Row],[País]]="","Desconocido",BBDD_Usiarios_Netflix[[#This Row],[País]])</f>
        <v>EEUU</v>
      </c>
      <c r="Q2358">
        <v>33</v>
      </c>
      <c r="R2358" t="s">
        <v>25</v>
      </c>
      <c r="S2358" t="s">
        <v>26</v>
      </c>
      <c r="T2358" t="s">
        <v>27</v>
      </c>
      <c r="U2358">
        <f>IF(IFERROR(VLOOKUP(BBDD_Usiarios_Netflix[[#This Row],[Identificador Usuario]],A2359:$A$5870,1,FALSE),0)&lt;&gt;0,1,0)</f>
        <v>0</v>
      </c>
      <c r="V2358" s="6" t="str">
        <f>IF(BBDD_Usiarios_Netflix[[#This Row],[Duración Plan]]="12 Meses",LEFT(BBDD_Usiarios_Netflix[[#This Row],[Duración Plan]],2),LEFT(BBDD_Usiarios_Netflix[[#This Row],[Duración Plan]],1))</f>
        <v>1</v>
      </c>
      <c r="W23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59" spans="1:23" x14ac:dyDescent="0.25">
      <c r="A2359">
        <v>2358</v>
      </c>
      <c r="B2359" t="s">
        <v>32</v>
      </c>
      <c r="C2359">
        <v>12</v>
      </c>
      <c r="D2359" s="3">
        <v>4</v>
      </c>
      <c r="E2359" s="3">
        <v>8</v>
      </c>
      <c r="F2359">
        <v>23</v>
      </c>
      <c r="G2359" s="1">
        <f>DATEVALUE(_xlfn.CONCAT(BBDD_Usiarios_Netflix[[#This Row],[Día Suscripción]],"/",BBDD_Usiarios_Netflix[[#This Row],[Mes Suscripción]],"/",BBDD_Usiarios_Netflix[[#This Row],[Año Suscripción]]))</f>
        <v>45142</v>
      </c>
      <c r="H2359" s="1">
        <v>14</v>
      </c>
      <c r="I2359" s="1">
        <v>7</v>
      </c>
      <c r="J2359" s="1">
        <v>24</v>
      </c>
      <c r="K2359" s="1" t="str">
        <f>TEXT(BBDD_Usiarios_Netflix[[#This Row],[Fecha Suscripción]],"dddd")</f>
        <v>viernes</v>
      </c>
      <c r="L2359" s="1">
        <f>DATEVALUE(_xlfn.CONCAT(BBDD_Usiarios_Netflix[[#This Row],[Día Último Pago]],"/",BBDD_Usiarios_Netflix[[#This Row],[Mes Último Pago]],"/",BBDD_Usiarios_Netflix[[#This Row],[Año Último Pago]]))</f>
        <v>45487</v>
      </c>
      <c r="M2359" s="4">
        <f>DATEDIF(BBDD_Usiarios_Netflix[[#This Row],[Fecha Suscripción]],BBDD_Usiarios_Netflix[[#This Row],[Fecha Último Pago]],"M")+1</f>
        <v>12</v>
      </c>
      <c r="N2359" s="4">
        <f>BBDD_Usiarios_Netflix[[#This Row],[Ingresos Mensuales]]*BBDD_Usiarios_Netflix[[#This Row],[Meses contratados]]</f>
        <v>144</v>
      </c>
      <c r="O2359" t="s">
        <v>29</v>
      </c>
      <c r="P2359" t="str">
        <f>IF(BBDD_Usiarios_Netflix[[#This Row],[País]]="","Desconocido",BBDD_Usiarios_Netflix[[#This Row],[País]])</f>
        <v>EEUU</v>
      </c>
      <c r="Q2359">
        <v>48</v>
      </c>
      <c r="R2359" t="s">
        <v>30</v>
      </c>
      <c r="S2359" t="s">
        <v>26</v>
      </c>
      <c r="T2359" t="s">
        <v>27</v>
      </c>
      <c r="U2359">
        <f>IF(IFERROR(VLOOKUP(BBDD_Usiarios_Netflix[[#This Row],[Identificador Usuario]],A2360:$A$5870,1,FALSE),0)&lt;&gt;0,1,0)</f>
        <v>0</v>
      </c>
      <c r="V2359" s="6" t="str">
        <f>IF(BBDD_Usiarios_Netflix[[#This Row],[Duración Plan]]="12 Meses",LEFT(BBDD_Usiarios_Netflix[[#This Row],[Duración Plan]],2),LEFT(BBDD_Usiarios_Netflix[[#This Row],[Duración Plan]],1))</f>
        <v>1</v>
      </c>
      <c r="W23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60" spans="1:23" x14ac:dyDescent="0.25">
      <c r="A2360">
        <v>2359</v>
      </c>
      <c r="B2360" t="s">
        <v>32</v>
      </c>
      <c r="C2360">
        <v>12</v>
      </c>
      <c r="D2360" s="3">
        <v>12</v>
      </c>
      <c r="E2360" s="3">
        <v>8</v>
      </c>
      <c r="F2360">
        <v>23</v>
      </c>
      <c r="G2360" s="1">
        <f>DATEVALUE(_xlfn.CONCAT(BBDD_Usiarios_Netflix[[#This Row],[Día Suscripción]],"/",BBDD_Usiarios_Netflix[[#This Row],[Mes Suscripción]],"/",BBDD_Usiarios_Netflix[[#This Row],[Año Suscripción]]))</f>
        <v>45150</v>
      </c>
      <c r="H2360" s="1">
        <v>11</v>
      </c>
      <c r="I2360" s="1">
        <v>7</v>
      </c>
      <c r="J2360" s="1">
        <v>24</v>
      </c>
      <c r="K2360" s="1" t="str">
        <f>TEXT(BBDD_Usiarios_Netflix[[#This Row],[Fecha Suscripción]],"dddd")</f>
        <v>sábado</v>
      </c>
      <c r="L2360" s="1">
        <f>DATEVALUE(_xlfn.CONCAT(BBDD_Usiarios_Netflix[[#This Row],[Día Último Pago]],"/",BBDD_Usiarios_Netflix[[#This Row],[Mes Último Pago]],"/",BBDD_Usiarios_Netflix[[#This Row],[Año Último Pago]]))</f>
        <v>45484</v>
      </c>
      <c r="M2360" s="4">
        <f>DATEDIF(BBDD_Usiarios_Netflix[[#This Row],[Fecha Suscripción]],BBDD_Usiarios_Netflix[[#This Row],[Fecha Último Pago]],"M")+1</f>
        <v>11</v>
      </c>
      <c r="N2360" s="4">
        <f>BBDD_Usiarios_Netflix[[#This Row],[Ingresos Mensuales]]*BBDD_Usiarios_Netflix[[#This Row],[Meses contratados]]</f>
        <v>132</v>
      </c>
      <c r="O2360" t="s">
        <v>45</v>
      </c>
      <c r="P2360" t="str">
        <f>IF(BBDD_Usiarios_Netflix[[#This Row],[País]]="","Desconocido",BBDD_Usiarios_Netflix[[#This Row],[País]])</f>
        <v>España</v>
      </c>
      <c r="Q2360">
        <v>31</v>
      </c>
      <c r="R2360" t="s">
        <v>25</v>
      </c>
      <c r="S2360" t="s">
        <v>36</v>
      </c>
      <c r="T2360" t="s">
        <v>27</v>
      </c>
      <c r="U2360">
        <f>IF(IFERROR(VLOOKUP(BBDD_Usiarios_Netflix[[#This Row],[Identificador Usuario]],A2361:$A$5870,1,FALSE),0)&lt;&gt;0,1,0)</f>
        <v>0</v>
      </c>
      <c r="V2360" s="6" t="str">
        <f>IF(BBDD_Usiarios_Netflix[[#This Row],[Duración Plan]]="12 Meses",LEFT(BBDD_Usiarios_Netflix[[#This Row],[Duración Plan]],2),LEFT(BBDD_Usiarios_Netflix[[#This Row],[Duración Plan]],1))</f>
        <v>1</v>
      </c>
      <c r="W23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61" spans="1:23" x14ac:dyDescent="0.25">
      <c r="A2361">
        <v>2360</v>
      </c>
      <c r="B2361" t="s">
        <v>23</v>
      </c>
      <c r="C2361">
        <v>10</v>
      </c>
      <c r="D2361" s="3">
        <v>14</v>
      </c>
      <c r="E2361" s="3">
        <v>8</v>
      </c>
      <c r="F2361">
        <v>23</v>
      </c>
      <c r="G2361" s="1">
        <f>DATEVALUE(_xlfn.CONCAT(BBDD_Usiarios_Netflix[[#This Row],[Día Suscripción]],"/",BBDD_Usiarios_Netflix[[#This Row],[Mes Suscripción]],"/",BBDD_Usiarios_Netflix[[#This Row],[Año Suscripción]]))</f>
        <v>45152</v>
      </c>
      <c r="H2361" s="1">
        <v>11</v>
      </c>
      <c r="I2361" s="1">
        <v>7</v>
      </c>
      <c r="J2361" s="1">
        <v>24</v>
      </c>
      <c r="K2361" s="1" t="str">
        <f>TEXT(BBDD_Usiarios_Netflix[[#This Row],[Fecha Suscripción]],"dddd")</f>
        <v>lunes</v>
      </c>
      <c r="L2361" s="1">
        <f>DATEVALUE(_xlfn.CONCAT(BBDD_Usiarios_Netflix[[#This Row],[Día Último Pago]],"/",BBDD_Usiarios_Netflix[[#This Row],[Mes Último Pago]],"/",BBDD_Usiarios_Netflix[[#This Row],[Año Último Pago]]))</f>
        <v>45484</v>
      </c>
      <c r="M2361" s="4">
        <f>DATEDIF(BBDD_Usiarios_Netflix[[#This Row],[Fecha Suscripción]],BBDD_Usiarios_Netflix[[#This Row],[Fecha Último Pago]],"M")+1</f>
        <v>11</v>
      </c>
      <c r="N2361" s="4">
        <f>BBDD_Usiarios_Netflix[[#This Row],[Ingresos Mensuales]]*BBDD_Usiarios_Netflix[[#This Row],[Meses contratados]]</f>
        <v>110</v>
      </c>
      <c r="O2361" t="s">
        <v>24</v>
      </c>
      <c r="P2361" t="str">
        <f>IF(BBDD_Usiarios_Netflix[[#This Row],[País]]="","Desconocido",BBDD_Usiarios_Netflix[[#This Row],[País]])</f>
        <v>Australia</v>
      </c>
      <c r="Q2361">
        <v>30</v>
      </c>
      <c r="R2361" t="s">
        <v>25</v>
      </c>
      <c r="S2361" t="s">
        <v>31</v>
      </c>
      <c r="T2361" t="s">
        <v>38</v>
      </c>
      <c r="U2361">
        <f>IF(IFERROR(VLOOKUP(BBDD_Usiarios_Netflix[[#This Row],[Identificador Usuario]],A2362:$A$5870,1,FALSE),0)&lt;&gt;0,1,0)</f>
        <v>0</v>
      </c>
      <c r="V2361" s="6" t="str">
        <f>IF(BBDD_Usiarios_Netflix[[#This Row],[Duración Plan]]="12 Meses",LEFT(BBDD_Usiarios_Netflix[[#This Row],[Duración Plan]],2),LEFT(BBDD_Usiarios_Netflix[[#This Row],[Duración Plan]],1))</f>
        <v>3</v>
      </c>
      <c r="W23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62" spans="1:23" x14ac:dyDescent="0.25">
      <c r="A2362">
        <v>2361</v>
      </c>
      <c r="B2362" t="s">
        <v>28</v>
      </c>
      <c r="C2362">
        <v>14</v>
      </c>
      <c r="D2362" s="3">
        <v>16</v>
      </c>
      <c r="E2362" s="3">
        <v>8</v>
      </c>
      <c r="F2362">
        <v>23</v>
      </c>
      <c r="G2362" s="1">
        <f>DATEVALUE(_xlfn.CONCAT(BBDD_Usiarios_Netflix[[#This Row],[Día Suscripción]],"/",BBDD_Usiarios_Netflix[[#This Row],[Mes Suscripción]],"/",BBDD_Usiarios_Netflix[[#This Row],[Año Suscripción]]))</f>
        <v>45154</v>
      </c>
      <c r="H2362" s="1">
        <v>13</v>
      </c>
      <c r="I2362" s="1">
        <v>7</v>
      </c>
      <c r="J2362" s="1">
        <v>24</v>
      </c>
      <c r="K2362" s="1" t="str">
        <f>TEXT(BBDD_Usiarios_Netflix[[#This Row],[Fecha Suscripción]],"dddd")</f>
        <v>miércoles</v>
      </c>
      <c r="L2362" s="1">
        <f>DATEVALUE(_xlfn.CONCAT(BBDD_Usiarios_Netflix[[#This Row],[Día Último Pago]],"/",BBDD_Usiarios_Netflix[[#This Row],[Mes Último Pago]],"/",BBDD_Usiarios_Netflix[[#This Row],[Año Último Pago]]))</f>
        <v>45486</v>
      </c>
      <c r="M2362" s="4">
        <f>DATEDIF(BBDD_Usiarios_Netflix[[#This Row],[Fecha Suscripción]],BBDD_Usiarios_Netflix[[#This Row],[Fecha Último Pago]],"M")+1</f>
        <v>11</v>
      </c>
      <c r="N2362" s="4">
        <f>BBDD_Usiarios_Netflix[[#This Row],[Ingresos Mensuales]]*BBDD_Usiarios_Netflix[[#This Row],[Meses contratados]]</f>
        <v>154</v>
      </c>
      <c r="O2362" t="s">
        <v>24</v>
      </c>
      <c r="P2362" t="str">
        <f>IF(BBDD_Usiarios_Netflix[[#This Row],[País]]="","Desconocido",BBDD_Usiarios_Netflix[[#This Row],[País]])</f>
        <v>Australia</v>
      </c>
      <c r="Q2362">
        <v>34</v>
      </c>
      <c r="R2362" t="s">
        <v>30</v>
      </c>
      <c r="S2362" t="s">
        <v>26</v>
      </c>
      <c r="T2362" t="s">
        <v>41</v>
      </c>
      <c r="U2362">
        <f>IF(IFERROR(VLOOKUP(BBDD_Usiarios_Netflix[[#This Row],[Identificador Usuario]],A2363:$A$5870,1,FALSE),0)&lt;&gt;0,1,0)</f>
        <v>0</v>
      </c>
      <c r="V2362" s="6" t="str">
        <f>IF(BBDD_Usiarios_Netflix[[#This Row],[Duración Plan]]="12 Meses",LEFT(BBDD_Usiarios_Netflix[[#This Row],[Duración Plan]],2),LEFT(BBDD_Usiarios_Netflix[[#This Row],[Duración Plan]],1))</f>
        <v>12</v>
      </c>
      <c r="W23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63" spans="1:23" x14ac:dyDescent="0.25">
      <c r="A2363">
        <v>2362</v>
      </c>
      <c r="B2363" t="s">
        <v>23</v>
      </c>
      <c r="C2363">
        <v>10</v>
      </c>
      <c r="D2363" s="3">
        <v>17</v>
      </c>
      <c r="E2363" s="3">
        <v>8</v>
      </c>
      <c r="F2363">
        <v>23</v>
      </c>
      <c r="G2363" s="1">
        <f>DATEVALUE(_xlfn.CONCAT(BBDD_Usiarios_Netflix[[#This Row],[Día Suscripción]],"/",BBDD_Usiarios_Netflix[[#This Row],[Mes Suscripción]],"/",BBDD_Usiarios_Netflix[[#This Row],[Año Suscripción]]))</f>
        <v>45155</v>
      </c>
      <c r="H2363" s="1">
        <v>14</v>
      </c>
      <c r="I2363" s="1">
        <v>7</v>
      </c>
      <c r="J2363" s="1">
        <v>24</v>
      </c>
      <c r="K2363" s="1" t="str">
        <f>TEXT(BBDD_Usiarios_Netflix[[#This Row],[Fecha Suscripción]],"dddd")</f>
        <v>jueves</v>
      </c>
      <c r="L2363" s="1">
        <f>DATEVALUE(_xlfn.CONCAT(BBDD_Usiarios_Netflix[[#This Row],[Día Último Pago]],"/",BBDD_Usiarios_Netflix[[#This Row],[Mes Último Pago]],"/",BBDD_Usiarios_Netflix[[#This Row],[Año Último Pago]]))</f>
        <v>45487</v>
      </c>
      <c r="M2363" s="4">
        <f>DATEDIF(BBDD_Usiarios_Netflix[[#This Row],[Fecha Suscripción]],BBDD_Usiarios_Netflix[[#This Row],[Fecha Último Pago]],"M")+1</f>
        <v>11</v>
      </c>
      <c r="N2363" s="4">
        <f>BBDD_Usiarios_Netflix[[#This Row],[Ingresos Mensuales]]*BBDD_Usiarios_Netflix[[#This Row],[Meses contratados]]</f>
        <v>110</v>
      </c>
      <c r="O2363" t="s">
        <v>40</v>
      </c>
      <c r="P2363" t="str">
        <f>IF(BBDD_Usiarios_Netflix[[#This Row],[País]]="","Desconocido",BBDD_Usiarios_Netflix[[#This Row],[País]])</f>
        <v>Italia</v>
      </c>
      <c r="Q2363">
        <v>37</v>
      </c>
      <c r="R2363" t="s">
        <v>25</v>
      </c>
      <c r="S2363" t="s">
        <v>26</v>
      </c>
      <c r="T2363" t="s">
        <v>35</v>
      </c>
      <c r="U2363">
        <f>IF(IFERROR(VLOOKUP(BBDD_Usiarios_Netflix[[#This Row],[Identificador Usuario]],A2364:$A$5870,1,FALSE),0)&lt;&gt;0,1,0)</f>
        <v>0</v>
      </c>
      <c r="V2363" s="6" t="str">
        <f>IF(BBDD_Usiarios_Netflix[[#This Row],[Duración Plan]]="12 Meses",LEFT(BBDD_Usiarios_Netflix[[#This Row],[Duración Plan]],2),LEFT(BBDD_Usiarios_Netflix[[#This Row],[Duración Plan]],1))</f>
        <v>6</v>
      </c>
      <c r="W23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64" spans="1:23" x14ac:dyDescent="0.25">
      <c r="A2364">
        <v>2363</v>
      </c>
      <c r="B2364" t="s">
        <v>32</v>
      </c>
      <c r="C2364">
        <v>12</v>
      </c>
      <c r="D2364" s="3">
        <v>22</v>
      </c>
      <c r="E2364" s="3">
        <v>8</v>
      </c>
      <c r="F2364">
        <v>23</v>
      </c>
      <c r="G2364" s="1">
        <f>DATEVALUE(_xlfn.CONCAT(BBDD_Usiarios_Netflix[[#This Row],[Día Suscripción]],"/",BBDD_Usiarios_Netflix[[#This Row],[Mes Suscripción]],"/",BBDD_Usiarios_Netflix[[#This Row],[Año Suscripción]]))</f>
        <v>45160</v>
      </c>
      <c r="H2364" s="1">
        <v>11</v>
      </c>
      <c r="I2364" s="1">
        <v>7</v>
      </c>
      <c r="J2364" s="1">
        <v>24</v>
      </c>
      <c r="K2364" s="1" t="str">
        <f>TEXT(BBDD_Usiarios_Netflix[[#This Row],[Fecha Suscripción]],"dddd")</f>
        <v>martes</v>
      </c>
      <c r="L2364" s="1">
        <f>DATEVALUE(_xlfn.CONCAT(BBDD_Usiarios_Netflix[[#This Row],[Día Último Pago]],"/",BBDD_Usiarios_Netflix[[#This Row],[Mes Último Pago]],"/",BBDD_Usiarios_Netflix[[#This Row],[Año Último Pago]]))</f>
        <v>45484</v>
      </c>
      <c r="M2364" s="4">
        <f>DATEDIF(BBDD_Usiarios_Netflix[[#This Row],[Fecha Suscripción]],BBDD_Usiarios_Netflix[[#This Row],[Fecha Último Pago]],"M")+1</f>
        <v>11</v>
      </c>
      <c r="N2364" s="4">
        <f>BBDD_Usiarios_Netflix[[#This Row],[Ingresos Mensuales]]*BBDD_Usiarios_Netflix[[#This Row],[Meses contratados]]</f>
        <v>132</v>
      </c>
      <c r="O2364" t="s">
        <v>43</v>
      </c>
      <c r="P2364" t="str">
        <f>IF(BBDD_Usiarios_Netflix[[#This Row],[País]]="","Desconocido",BBDD_Usiarios_Netflix[[#This Row],[País]])</f>
        <v>Alemania</v>
      </c>
      <c r="Q2364">
        <v>44</v>
      </c>
      <c r="R2364" t="s">
        <v>30</v>
      </c>
      <c r="S2364" t="s">
        <v>34</v>
      </c>
      <c r="T2364" t="s">
        <v>41</v>
      </c>
      <c r="U2364">
        <f>IF(IFERROR(VLOOKUP(BBDD_Usiarios_Netflix[[#This Row],[Identificador Usuario]],A2365:$A$5870,1,FALSE),0)&lt;&gt;0,1,0)</f>
        <v>0</v>
      </c>
      <c r="V2364" s="6" t="str">
        <f>IF(BBDD_Usiarios_Netflix[[#This Row],[Duración Plan]]="12 Meses",LEFT(BBDD_Usiarios_Netflix[[#This Row],[Duración Plan]],2),LEFT(BBDD_Usiarios_Netflix[[#This Row],[Duración Plan]],1))</f>
        <v>12</v>
      </c>
      <c r="W23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65" spans="1:23" x14ac:dyDescent="0.25">
      <c r="A2365">
        <v>2364</v>
      </c>
      <c r="B2365" t="s">
        <v>28</v>
      </c>
      <c r="C2365">
        <v>14</v>
      </c>
      <c r="D2365" s="3">
        <v>26</v>
      </c>
      <c r="E2365" s="3">
        <v>8</v>
      </c>
      <c r="F2365">
        <v>23</v>
      </c>
      <c r="G2365" s="1">
        <f>DATEVALUE(_xlfn.CONCAT(BBDD_Usiarios_Netflix[[#This Row],[Día Suscripción]],"/",BBDD_Usiarios_Netflix[[#This Row],[Mes Suscripción]],"/",BBDD_Usiarios_Netflix[[#This Row],[Año Suscripción]]))</f>
        <v>45164</v>
      </c>
      <c r="H2365" s="1">
        <v>11</v>
      </c>
      <c r="I2365" s="1">
        <v>7</v>
      </c>
      <c r="J2365" s="1">
        <v>24</v>
      </c>
      <c r="K2365" s="1" t="str">
        <f>TEXT(BBDD_Usiarios_Netflix[[#This Row],[Fecha Suscripción]],"dddd")</f>
        <v>sábado</v>
      </c>
      <c r="L2365" s="1">
        <f>DATEVALUE(_xlfn.CONCAT(BBDD_Usiarios_Netflix[[#This Row],[Día Último Pago]],"/",BBDD_Usiarios_Netflix[[#This Row],[Mes Último Pago]],"/",BBDD_Usiarios_Netflix[[#This Row],[Año Último Pago]]))</f>
        <v>45484</v>
      </c>
      <c r="M2365" s="4">
        <f>DATEDIF(BBDD_Usiarios_Netflix[[#This Row],[Fecha Suscripción]],BBDD_Usiarios_Netflix[[#This Row],[Fecha Último Pago]],"M")+1</f>
        <v>11</v>
      </c>
      <c r="N2365" s="4">
        <f>BBDD_Usiarios_Netflix[[#This Row],[Ingresos Mensuales]]*BBDD_Usiarios_Netflix[[#This Row],[Meses contratados]]</f>
        <v>154</v>
      </c>
      <c r="O2365" t="s">
        <v>42</v>
      </c>
      <c r="P2365" t="str">
        <f>IF(BBDD_Usiarios_Netflix[[#This Row],[País]]="","Desconocido",BBDD_Usiarios_Netflix[[#This Row],[País]])</f>
        <v>Reino Unido</v>
      </c>
      <c r="Q2365">
        <v>28</v>
      </c>
      <c r="R2365" t="s">
        <v>30</v>
      </c>
      <c r="S2365" t="s">
        <v>34</v>
      </c>
      <c r="T2365" t="s">
        <v>41</v>
      </c>
      <c r="U2365">
        <f>IF(IFERROR(VLOOKUP(BBDD_Usiarios_Netflix[[#This Row],[Identificador Usuario]],A2366:$A$5870,1,FALSE),0)&lt;&gt;0,1,0)</f>
        <v>0</v>
      </c>
      <c r="V2365" s="6" t="str">
        <f>IF(BBDD_Usiarios_Netflix[[#This Row],[Duración Plan]]="12 Meses",LEFT(BBDD_Usiarios_Netflix[[#This Row],[Duración Plan]],2),LEFT(BBDD_Usiarios_Netflix[[#This Row],[Duración Plan]],1))</f>
        <v>12</v>
      </c>
      <c r="W23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66" spans="1:23" x14ac:dyDescent="0.25">
      <c r="A2366">
        <v>2365</v>
      </c>
      <c r="B2366" t="s">
        <v>23</v>
      </c>
      <c r="C2366">
        <v>10</v>
      </c>
      <c r="D2366" s="3">
        <v>6</v>
      </c>
      <c r="E2366" s="3">
        <v>9</v>
      </c>
      <c r="F2366">
        <v>23</v>
      </c>
      <c r="G2366" s="1">
        <f>DATEVALUE(_xlfn.CONCAT(BBDD_Usiarios_Netflix[[#This Row],[Día Suscripción]],"/",BBDD_Usiarios_Netflix[[#This Row],[Mes Suscripción]],"/",BBDD_Usiarios_Netflix[[#This Row],[Año Suscripción]]))</f>
        <v>45175</v>
      </c>
      <c r="H2366" s="1">
        <v>13</v>
      </c>
      <c r="I2366" s="1">
        <v>7</v>
      </c>
      <c r="J2366" s="1">
        <v>24</v>
      </c>
      <c r="K2366" s="1" t="str">
        <f>TEXT(BBDD_Usiarios_Netflix[[#This Row],[Fecha Suscripción]],"dddd")</f>
        <v>miércoles</v>
      </c>
      <c r="L2366" s="1">
        <f>DATEVALUE(_xlfn.CONCAT(BBDD_Usiarios_Netflix[[#This Row],[Día Último Pago]],"/",BBDD_Usiarios_Netflix[[#This Row],[Mes Último Pago]],"/",BBDD_Usiarios_Netflix[[#This Row],[Año Último Pago]]))</f>
        <v>45486</v>
      </c>
      <c r="M2366" s="4">
        <f>DATEDIF(BBDD_Usiarios_Netflix[[#This Row],[Fecha Suscripción]],BBDD_Usiarios_Netflix[[#This Row],[Fecha Último Pago]],"M")+1</f>
        <v>11</v>
      </c>
      <c r="N2366" s="4">
        <f>BBDD_Usiarios_Netflix[[#This Row],[Ingresos Mensuales]]*BBDD_Usiarios_Netflix[[#This Row],[Meses contratados]]</f>
        <v>110</v>
      </c>
      <c r="O2366" t="s">
        <v>45</v>
      </c>
      <c r="P2366" t="str">
        <f>IF(BBDD_Usiarios_Netflix[[#This Row],[País]]="","Desconocido",BBDD_Usiarios_Netflix[[#This Row],[País]])</f>
        <v>España</v>
      </c>
      <c r="Q2366">
        <v>47</v>
      </c>
      <c r="R2366" t="s">
        <v>25</v>
      </c>
      <c r="S2366" t="s">
        <v>26</v>
      </c>
      <c r="T2366" t="s">
        <v>27</v>
      </c>
      <c r="U2366">
        <f>IF(IFERROR(VLOOKUP(BBDD_Usiarios_Netflix[[#This Row],[Identificador Usuario]],A2367:$A$5870,1,FALSE),0)&lt;&gt;0,1,0)</f>
        <v>0</v>
      </c>
      <c r="V2366" s="6" t="str">
        <f>IF(BBDD_Usiarios_Netflix[[#This Row],[Duración Plan]]="12 Meses",LEFT(BBDD_Usiarios_Netflix[[#This Row],[Duración Plan]],2),LEFT(BBDD_Usiarios_Netflix[[#This Row],[Duración Plan]],1))</f>
        <v>1</v>
      </c>
      <c r="W23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67" spans="1:23" x14ac:dyDescent="0.25">
      <c r="A2367">
        <v>2366</v>
      </c>
      <c r="B2367" t="s">
        <v>28</v>
      </c>
      <c r="C2367">
        <v>14</v>
      </c>
      <c r="D2367" s="3">
        <v>9</v>
      </c>
      <c r="E2367" s="3">
        <v>9</v>
      </c>
      <c r="F2367">
        <v>23</v>
      </c>
      <c r="G2367" s="1">
        <f>DATEVALUE(_xlfn.CONCAT(BBDD_Usiarios_Netflix[[#This Row],[Día Suscripción]],"/",BBDD_Usiarios_Netflix[[#This Row],[Mes Suscripción]],"/",BBDD_Usiarios_Netflix[[#This Row],[Año Suscripción]]))</f>
        <v>45178</v>
      </c>
      <c r="H2367" s="1">
        <v>13</v>
      </c>
      <c r="I2367" s="1">
        <v>7</v>
      </c>
      <c r="J2367" s="1">
        <v>24</v>
      </c>
      <c r="K2367" s="1" t="str">
        <f>TEXT(BBDD_Usiarios_Netflix[[#This Row],[Fecha Suscripción]],"dddd")</f>
        <v>sábado</v>
      </c>
      <c r="L2367" s="1">
        <f>DATEVALUE(_xlfn.CONCAT(BBDD_Usiarios_Netflix[[#This Row],[Día Último Pago]],"/",BBDD_Usiarios_Netflix[[#This Row],[Mes Último Pago]],"/",BBDD_Usiarios_Netflix[[#This Row],[Año Último Pago]]))</f>
        <v>45486</v>
      </c>
      <c r="M2367" s="4">
        <f>DATEDIF(BBDD_Usiarios_Netflix[[#This Row],[Fecha Suscripción]],BBDD_Usiarios_Netflix[[#This Row],[Fecha Último Pago]],"M")+1</f>
        <v>11</v>
      </c>
      <c r="N2367" s="4">
        <f>BBDD_Usiarios_Netflix[[#This Row],[Ingresos Mensuales]]*BBDD_Usiarios_Netflix[[#This Row],[Meses contratados]]</f>
        <v>154</v>
      </c>
      <c r="O2367" t="s">
        <v>44</v>
      </c>
      <c r="P2367" t="str">
        <f>IF(BBDD_Usiarios_Netflix[[#This Row],[País]]="","Desconocido",BBDD_Usiarios_Netflix[[#This Row],[País]])</f>
        <v>Desconocido</v>
      </c>
      <c r="Q2367">
        <v>43</v>
      </c>
      <c r="R2367" t="s">
        <v>25</v>
      </c>
      <c r="S2367" t="s">
        <v>34</v>
      </c>
      <c r="T2367" t="s">
        <v>27</v>
      </c>
      <c r="U2367">
        <f>IF(IFERROR(VLOOKUP(BBDD_Usiarios_Netflix[[#This Row],[Identificador Usuario]],A2368:$A$5870,1,FALSE),0)&lt;&gt;0,1,0)</f>
        <v>0</v>
      </c>
      <c r="V2367" s="6" t="str">
        <f>IF(BBDD_Usiarios_Netflix[[#This Row],[Duración Plan]]="12 Meses",LEFT(BBDD_Usiarios_Netflix[[#This Row],[Duración Plan]],2),LEFT(BBDD_Usiarios_Netflix[[#This Row],[Duración Plan]],1))</f>
        <v>1</v>
      </c>
      <c r="W23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68" spans="1:23" x14ac:dyDescent="0.25">
      <c r="A2368">
        <v>2367</v>
      </c>
      <c r="B2368" t="s">
        <v>23</v>
      </c>
      <c r="C2368">
        <v>10</v>
      </c>
      <c r="D2368" s="3">
        <v>17</v>
      </c>
      <c r="E2368" s="3">
        <v>9</v>
      </c>
      <c r="F2368">
        <v>23</v>
      </c>
      <c r="G2368" s="1">
        <f>DATEVALUE(_xlfn.CONCAT(BBDD_Usiarios_Netflix[[#This Row],[Día Suscripción]],"/",BBDD_Usiarios_Netflix[[#This Row],[Mes Suscripción]],"/",BBDD_Usiarios_Netflix[[#This Row],[Año Suscripción]]))</f>
        <v>45186</v>
      </c>
      <c r="H2368" s="1">
        <v>10</v>
      </c>
      <c r="I2368" s="1">
        <v>7</v>
      </c>
      <c r="J2368" s="1">
        <v>24</v>
      </c>
      <c r="K2368" s="1" t="str">
        <f>TEXT(BBDD_Usiarios_Netflix[[#This Row],[Fecha Suscripción]],"dddd")</f>
        <v>domingo</v>
      </c>
      <c r="L2368" s="1">
        <f>DATEVALUE(_xlfn.CONCAT(BBDD_Usiarios_Netflix[[#This Row],[Día Último Pago]],"/",BBDD_Usiarios_Netflix[[#This Row],[Mes Último Pago]],"/",BBDD_Usiarios_Netflix[[#This Row],[Año Último Pago]]))</f>
        <v>45483</v>
      </c>
      <c r="M2368" s="4">
        <f>DATEDIF(BBDD_Usiarios_Netflix[[#This Row],[Fecha Suscripción]],BBDD_Usiarios_Netflix[[#This Row],[Fecha Último Pago]],"M")+1</f>
        <v>10</v>
      </c>
      <c r="N2368" s="4">
        <f>BBDD_Usiarios_Netflix[[#This Row],[Ingresos Mensuales]]*BBDD_Usiarios_Netflix[[#This Row],[Meses contratados]]</f>
        <v>100</v>
      </c>
      <c r="O2368" t="s">
        <v>24</v>
      </c>
      <c r="P2368" t="str">
        <f>IF(BBDD_Usiarios_Netflix[[#This Row],[País]]="","Desconocido",BBDD_Usiarios_Netflix[[#This Row],[País]])</f>
        <v>Australia</v>
      </c>
      <c r="Q2368">
        <v>51</v>
      </c>
      <c r="R2368" t="s">
        <v>25</v>
      </c>
      <c r="S2368" t="s">
        <v>31</v>
      </c>
      <c r="T2368" t="s">
        <v>27</v>
      </c>
      <c r="U2368">
        <f>IF(IFERROR(VLOOKUP(BBDD_Usiarios_Netflix[[#This Row],[Identificador Usuario]],A2369:$A$5870,1,FALSE),0)&lt;&gt;0,1,0)</f>
        <v>0</v>
      </c>
      <c r="V2368" s="6" t="str">
        <f>IF(BBDD_Usiarios_Netflix[[#This Row],[Duración Plan]]="12 Meses",LEFT(BBDD_Usiarios_Netflix[[#This Row],[Duración Plan]],2),LEFT(BBDD_Usiarios_Netflix[[#This Row],[Duración Plan]],1))</f>
        <v>1</v>
      </c>
      <c r="W23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69" spans="1:23" x14ac:dyDescent="0.25">
      <c r="A2369">
        <v>2368</v>
      </c>
      <c r="B2369" t="s">
        <v>32</v>
      </c>
      <c r="C2369">
        <v>12</v>
      </c>
      <c r="D2369" s="3">
        <v>19</v>
      </c>
      <c r="E2369" s="3">
        <v>9</v>
      </c>
      <c r="F2369">
        <v>23</v>
      </c>
      <c r="G2369" s="1">
        <f>DATEVALUE(_xlfn.CONCAT(BBDD_Usiarios_Netflix[[#This Row],[Día Suscripción]],"/",BBDD_Usiarios_Netflix[[#This Row],[Mes Suscripción]],"/",BBDD_Usiarios_Netflix[[#This Row],[Año Suscripción]]))</f>
        <v>45188</v>
      </c>
      <c r="H2369" s="1">
        <v>11</v>
      </c>
      <c r="I2369" s="1">
        <v>7</v>
      </c>
      <c r="J2369" s="1">
        <v>24</v>
      </c>
      <c r="K2369" s="1" t="str">
        <f>TEXT(BBDD_Usiarios_Netflix[[#This Row],[Fecha Suscripción]],"dddd")</f>
        <v>martes</v>
      </c>
      <c r="L2369" s="1">
        <f>DATEVALUE(_xlfn.CONCAT(BBDD_Usiarios_Netflix[[#This Row],[Día Último Pago]],"/",BBDD_Usiarios_Netflix[[#This Row],[Mes Último Pago]],"/",BBDD_Usiarios_Netflix[[#This Row],[Año Último Pago]]))</f>
        <v>45484</v>
      </c>
      <c r="M2369" s="4">
        <f>DATEDIF(BBDD_Usiarios_Netflix[[#This Row],[Fecha Suscripción]],BBDD_Usiarios_Netflix[[#This Row],[Fecha Último Pago]],"M")+1</f>
        <v>10</v>
      </c>
      <c r="N2369" s="4">
        <f>BBDD_Usiarios_Netflix[[#This Row],[Ingresos Mensuales]]*BBDD_Usiarios_Netflix[[#This Row],[Meses contratados]]</f>
        <v>120</v>
      </c>
      <c r="O2369" t="s">
        <v>43</v>
      </c>
      <c r="P2369" t="str">
        <f>IF(BBDD_Usiarios_Netflix[[#This Row],[País]]="","Desconocido",BBDD_Usiarios_Netflix[[#This Row],[País]])</f>
        <v>Alemania</v>
      </c>
      <c r="Q2369">
        <v>50</v>
      </c>
      <c r="R2369" t="s">
        <v>25</v>
      </c>
      <c r="S2369" t="s">
        <v>36</v>
      </c>
      <c r="T2369" t="s">
        <v>27</v>
      </c>
      <c r="U2369">
        <f>IF(IFERROR(VLOOKUP(BBDD_Usiarios_Netflix[[#This Row],[Identificador Usuario]],A2370:$A$5870,1,FALSE),0)&lt;&gt;0,1,0)</f>
        <v>0</v>
      </c>
      <c r="V2369" s="6" t="str">
        <f>IF(BBDD_Usiarios_Netflix[[#This Row],[Duración Plan]]="12 Meses",LEFT(BBDD_Usiarios_Netflix[[#This Row],[Duración Plan]],2),LEFT(BBDD_Usiarios_Netflix[[#This Row],[Duración Plan]],1))</f>
        <v>1</v>
      </c>
      <c r="W23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0" spans="1:23" x14ac:dyDescent="0.25">
      <c r="A2370">
        <v>2369</v>
      </c>
      <c r="B2370" t="s">
        <v>32</v>
      </c>
      <c r="C2370">
        <v>12</v>
      </c>
      <c r="D2370" s="3">
        <v>24</v>
      </c>
      <c r="E2370" s="3">
        <v>9</v>
      </c>
      <c r="F2370">
        <v>23</v>
      </c>
      <c r="G2370" s="1">
        <f>DATEVALUE(_xlfn.CONCAT(BBDD_Usiarios_Netflix[[#This Row],[Día Suscripción]],"/",BBDD_Usiarios_Netflix[[#This Row],[Mes Suscripción]],"/",BBDD_Usiarios_Netflix[[#This Row],[Año Suscripción]]))</f>
        <v>45193</v>
      </c>
      <c r="H2370" s="1">
        <v>13</v>
      </c>
      <c r="I2370" s="1">
        <v>7</v>
      </c>
      <c r="J2370" s="1">
        <v>24</v>
      </c>
      <c r="K2370" s="1" t="str">
        <f>TEXT(BBDD_Usiarios_Netflix[[#This Row],[Fecha Suscripción]],"dddd")</f>
        <v>domingo</v>
      </c>
      <c r="L2370" s="1">
        <f>DATEVALUE(_xlfn.CONCAT(BBDD_Usiarios_Netflix[[#This Row],[Día Último Pago]],"/",BBDD_Usiarios_Netflix[[#This Row],[Mes Último Pago]],"/",BBDD_Usiarios_Netflix[[#This Row],[Año Último Pago]]))</f>
        <v>45486</v>
      </c>
      <c r="M2370" s="4">
        <f>DATEDIF(BBDD_Usiarios_Netflix[[#This Row],[Fecha Suscripción]],BBDD_Usiarios_Netflix[[#This Row],[Fecha Último Pago]],"M")+1</f>
        <v>10</v>
      </c>
      <c r="N2370" s="4">
        <f>BBDD_Usiarios_Netflix[[#This Row],[Ingresos Mensuales]]*BBDD_Usiarios_Netflix[[#This Row],[Meses contratados]]</f>
        <v>120</v>
      </c>
      <c r="O2370" t="s">
        <v>43</v>
      </c>
      <c r="P2370" t="str">
        <f>IF(BBDD_Usiarios_Netflix[[#This Row],[País]]="","Desconocido",BBDD_Usiarios_Netflix[[#This Row],[País]])</f>
        <v>Alemania</v>
      </c>
      <c r="Q2370">
        <v>40</v>
      </c>
      <c r="R2370" t="s">
        <v>30</v>
      </c>
      <c r="S2370" t="s">
        <v>26</v>
      </c>
      <c r="T2370" t="s">
        <v>27</v>
      </c>
      <c r="U2370">
        <f>IF(IFERROR(VLOOKUP(BBDD_Usiarios_Netflix[[#This Row],[Identificador Usuario]],A2371:$A$5870,1,FALSE),0)&lt;&gt;0,1,0)</f>
        <v>0</v>
      </c>
      <c r="V2370" s="6" t="str">
        <f>IF(BBDD_Usiarios_Netflix[[#This Row],[Duración Plan]]="12 Meses",LEFT(BBDD_Usiarios_Netflix[[#This Row],[Duración Plan]],2),LEFT(BBDD_Usiarios_Netflix[[#This Row],[Duración Plan]],1))</f>
        <v>1</v>
      </c>
      <c r="W23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1" spans="1:23" x14ac:dyDescent="0.25">
      <c r="A2371">
        <v>2370</v>
      </c>
      <c r="B2371" t="s">
        <v>23</v>
      </c>
      <c r="C2371">
        <v>10</v>
      </c>
      <c r="D2371" s="3">
        <v>29</v>
      </c>
      <c r="E2371" s="3">
        <v>9</v>
      </c>
      <c r="F2371">
        <v>23</v>
      </c>
      <c r="G2371" s="1">
        <f>DATEVALUE(_xlfn.CONCAT(BBDD_Usiarios_Netflix[[#This Row],[Día Suscripción]],"/",BBDD_Usiarios_Netflix[[#This Row],[Mes Suscripción]],"/",BBDD_Usiarios_Netflix[[#This Row],[Año Suscripción]]))</f>
        <v>45198</v>
      </c>
      <c r="H2371" s="1">
        <v>12</v>
      </c>
      <c r="I2371" s="1">
        <v>7</v>
      </c>
      <c r="J2371" s="1">
        <v>24</v>
      </c>
      <c r="K2371" s="1" t="str">
        <f>TEXT(BBDD_Usiarios_Netflix[[#This Row],[Fecha Suscripción]],"dddd")</f>
        <v>viernes</v>
      </c>
      <c r="L2371" s="1">
        <f>DATEVALUE(_xlfn.CONCAT(BBDD_Usiarios_Netflix[[#This Row],[Día Último Pago]],"/",BBDD_Usiarios_Netflix[[#This Row],[Mes Último Pago]],"/",BBDD_Usiarios_Netflix[[#This Row],[Año Último Pago]]))</f>
        <v>45485</v>
      </c>
      <c r="M2371" s="4">
        <f>DATEDIF(BBDD_Usiarios_Netflix[[#This Row],[Fecha Suscripción]],BBDD_Usiarios_Netflix[[#This Row],[Fecha Último Pago]],"M")+1</f>
        <v>10</v>
      </c>
      <c r="N2371" s="4">
        <f>BBDD_Usiarios_Netflix[[#This Row],[Ingresos Mensuales]]*BBDD_Usiarios_Netflix[[#This Row],[Meses contratados]]</f>
        <v>100</v>
      </c>
      <c r="O2371" t="s">
        <v>24</v>
      </c>
      <c r="P2371" t="str">
        <f>IF(BBDD_Usiarios_Netflix[[#This Row],[País]]="","Desconocido",BBDD_Usiarios_Netflix[[#This Row],[País]])</f>
        <v>Australia</v>
      </c>
      <c r="Q2371">
        <v>31</v>
      </c>
      <c r="R2371" t="s">
        <v>30</v>
      </c>
      <c r="S2371" t="s">
        <v>36</v>
      </c>
      <c r="T2371" t="s">
        <v>27</v>
      </c>
      <c r="U2371">
        <f>IF(IFERROR(VLOOKUP(BBDD_Usiarios_Netflix[[#This Row],[Identificador Usuario]],A2372:$A$5870,1,FALSE),0)&lt;&gt;0,1,0)</f>
        <v>0</v>
      </c>
      <c r="V2371" s="6" t="str">
        <f>IF(BBDD_Usiarios_Netflix[[#This Row],[Duración Plan]]="12 Meses",LEFT(BBDD_Usiarios_Netflix[[#This Row],[Duración Plan]],2),LEFT(BBDD_Usiarios_Netflix[[#This Row],[Duración Plan]],1))</f>
        <v>1</v>
      </c>
      <c r="W23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2" spans="1:23" x14ac:dyDescent="0.25">
      <c r="A2372">
        <v>2371</v>
      </c>
      <c r="B2372" t="s">
        <v>28</v>
      </c>
      <c r="C2372">
        <v>14</v>
      </c>
      <c r="D2372" s="3">
        <v>3</v>
      </c>
      <c r="E2372" s="3">
        <v>10</v>
      </c>
      <c r="F2372">
        <v>23</v>
      </c>
      <c r="G2372" s="1">
        <f>DATEVALUE(_xlfn.CONCAT(BBDD_Usiarios_Netflix[[#This Row],[Día Suscripción]],"/",BBDD_Usiarios_Netflix[[#This Row],[Mes Suscripción]],"/",BBDD_Usiarios_Netflix[[#This Row],[Año Suscripción]]))</f>
        <v>45202</v>
      </c>
      <c r="H2372" s="1">
        <v>10</v>
      </c>
      <c r="I2372" s="1">
        <v>7</v>
      </c>
      <c r="J2372" s="1">
        <v>24</v>
      </c>
      <c r="K2372" s="1" t="str">
        <f>TEXT(BBDD_Usiarios_Netflix[[#This Row],[Fecha Suscripción]],"dddd")</f>
        <v>martes</v>
      </c>
      <c r="L2372" s="1">
        <f>DATEVALUE(_xlfn.CONCAT(BBDD_Usiarios_Netflix[[#This Row],[Día Último Pago]],"/",BBDD_Usiarios_Netflix[[#This Row],[Mes Último Pago]],"/",BBDD_Usiarios_Netflix[[#This Row],[Año Último Pago]]))</f>
        <v>45483</v>
      </c>
      <c r="M2372" s="4">
        <f>DATEDIF(BBDD_Usiarios_Netflix[[#This Row],[Fecha Suscripción]],BBDD_Usiarios_Netflix[[#This Row],[Fecha Último Pago]],"M")+1</f>
        <v>10</v>
      </c>
      <c r="N2372" s="4">
        <f>BBDD_Usiarios_Netflix[[#This Row],[Ingresos Mensuales]]*BBDD_Usiarios_Netflix[[#This Row],[Meses contratados]]</f>
        <v>140</v>
      </c>
      <c r="O2372" t="s">
        <v>39</v>
      </c>
      <c r="P2372" t="str">
        <f>IF(BBDD_Usiarios_Netflix[[#This Row],[País]]="","Desconocido",BBDD_Usiarios_Netflix[[#This Row],[País]])</f>
        <v>Canadá</v>
      </c>
      <c r="Q2372">
        <v>29</v>
      </c>
      <c r="R2372" t="s">
        <v>30</v>
      </c>
      <c r="S2372" t="s">
        <v>26</v>
      </c>
      <c r="T2372" t="s">
        <v>41</v>
      </c>
      <c r="U2372">
        <f>IF(IFERROR(VLOOKUP(BBDD_Usiarios_Netflix[[#This Row],[Identificador Usuario]],A2373:$A$5870,1,FALSE),0)&lt;&gt;0,1,0)</f>
        <v>0</v>
      </c>
      <c r="V2372" s="6" t="str">
        <f>IF(BBDD_Usiarios_Netflix[[#This Row],[Duración Plan]]="12 Meses",LEFT(BBDD_Usiarios_Netflix[[#This Row],[Duración Plan]],2),LEFT(BBDD_Usiarios_Netflix[[#This Row],[Duración Plan]],1))</f>
        <v>12</v>
      </c>
      <c r="W23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73" spans="1:23" x14ac:dyDescent="0.25">
      <c r="A2373">
        <v>2372</v>
      </c>
      <c r="B2373" t="s">
        <v>23</v>
      </c>
      <c r="C2373">
        <v>10</v>
      </c>
      <c r="D2373" s="3">
        <v>7</v>
      </c>
      <c r="E2373" s="3">
        <v>10</v>
      </c>
      <c r="F2373">
        <v>23</v>
      </c>
      <c r="G2373" s="1">
        <f>DATEVALUE(_xlfn.CONCAT(BBDD_Usiarios_Netflix[[#This Row],[Día Suscripción]],"/",BBDD_Usiarios_Netflix[[#This Row],[Mes Suscripción]],"/",BBDD_Usiarios_Netflix[[#This Row],[Año Suscripción]]))</f>
        <v>45206</v>
      </c>
      <c r="H2373" s="1">
        <v>10</v>
      </c>
      <c r="I2373" s="1">
        <v>7</v>
      </c>
      <c r="J2373" s="1">
        <v>24</v>
      </c>
      <c r="K2373" s="1" t="str">
        <f>TEXT(BBDD_Usiarios_Netflix[[#This Row],[Fecha Suscripción]],"dddd")</f>
        <v>sábado</v>
      </c>
      <c r="L2373" s="1">
        <f>DATEVALUE(_xlfn.CONCAT(BBDD_Usiarios_Netflix[[#This Row],[Día Último Pago]],"/",BBDD_Usiarios_Netflix[[#This Row],[Mes Último Pago]],"/",BBDD_Usiarios_Netflix[[#This Row],[Año Último Pago]]))</f>
        <v>45483</v>
      </c>
      <c r="M2373" s="4">
        <f>DATEDIF(BBDD_Usiarios_Netflix[[#This Row],[Fecha Suscripción]],BBDD_Usiarios_Netflix[[#This Row],[Fecha Último Pago]],"M")+1</f>
        <v>10</v>
      </c>
      <c r="N2373" s="4">
        <f>BBDD_Usiarios_Netflix[[#This Row],[Ingresos Mensuales]]*BBDD_Usiarios_Netflix[[#This Row],[Meses contratados]]</f>
        <v>100</v>
      </c>
      <c r="O2373" t="s">
        <v>40</v>
      </c>
      <c r="P2373" t="str">
        <f>IF(BBDD_Usiarios_Netflix[[#This Row],[País]]="","Desconocido",BBDD_Usiarios_Netflix[[#This Row],[País]])</f>
        <v>Italia</v>
      </c>
      <c r="Q2373">
        <v>38</v>
      </c>
      <c r="R2373" t="s">
        <v>30</v>
      </c>
      <c r="S2373" t="s">
        <v>31</v>
      </c>
      <c r="T2373" t="s">
        <v>35</v>
      </c>
      <c r="U2373">
        <f>IF(IFERROR(VLOOKUP(BBDD_Usiarios_Netflix[[#This Row],[Identificador Usuario]],A2374:$A$5870,1,FALSE),0)&lt;&gt;0,1,0)</f>
        <v>0</v>
      </c>
      <c r="V2373" s="6" t="str">
        <f>IF(BBDD_Usiarios_Netflix[[#This Row],[Duración Plan]]="12 Meses",LEFT(BBDD_Usiarios_Netflix[[#This Row],[Duración Plan]],2),LEFT(BBDD_Usiarios_Netflix[[#This Row],[Duración Plan]],1))</f>
        <v>6</v>
      </c>
      <c r="W23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74" spans="1:23" x14ac:dyDescent="0.25">
      <c r="A2374">
        <v>2373</v>
      </c>
      <c r="B2374" t="s">
        <v>32</v>
      </c>
      <c r="C2374">
        <v>12</v>
      </c>
      <c r="D2374" s="3">
        <v>14</v>
      </c>
      <c r="E2374" s="3">
        <v>10</v>
      </c>
      <c r="F2374">
        <v>23</v>
      </c>
      <c r="G2374" s="1">
        <f>DATEVALUE(_xlfn.CONCAT(BBDD_Usiarios_Netflix[[#This Row],[Día Suscripción]],"/",BBDD_Usiarios_Netflix[[#This Row],[Mes Suscripción]],"/",BBDD_Usiarios_Netflix[[#This Row],[Año Suscripción]]))</f>
        <v>45213</v>
      </c>
      <c r="H2374" s="1">
        <v>13</v>
      </c>
      <c r="I2374" s="1">
        <v>7</v>
      </c>
      <c r="J2374" s="1">
        <v>24</v>
      </c>
      <c r="K2374" s="1" t="str">
        <f>TEXT(BBDD_Usiarios_Netflix[[#This Row],[Fecha Suscripción]],"dddd")</f>
        <v>sábado</v>
      </c>
      <c r="L2374" s="1">
        <f>DATEVALUE(_xlfn.CONCAT(BBDD_Usiarios_Netflix[[#This Row],[Día Último Pago]],"/",BBDD_Usiarios_Netflix[[#This Row],[Mes Último Pago]],"/",BBDD_Usiarios_Netflix[[#This Row],[Año Último Pago]]))</f>
        <v>45486</v>
      </c>
      <c r="M2374" s="4">
        <f>DATEDIF(BBDD_Usiarios_Netflix[[#This Row],[Fecha Suscripción]],BBDD_Usiarios_Netflix[[#This Row],[Fecha Último Pago]],"M")+1</f>
        <v>9</v>
      </c>
      <c r="N2374" s="4">
        <f>BBDD_Usiarios_Netflix[[#This Row],[Ingresos Mensuales]]*BBDD_Usiarios_Netflix[[#This Row],[Meses contratados]]</f>
        <v>108</v>
      </c>
      <c r="O2374" t="s">
        <v>24</v>
      </c>
      <c r="P2374" t="str">
        <f>IF(BBDD_Usiarios_Netflix[[#This Row],[País]]="","Desconocido",BBDD_Usiarios_Netflix[[#This Row],[País]])</f>
        <v>Australia</v>
      </c>
      <c r="Q2374">
        <v>47</v>
      </c>
      <c r="R2374" t="s">
        <v>25</v>
      </c>
      <c r="S2374" t="s">
        <v>31</v>
      </c>
      <c r="T2374" t="s">
        <v>27</v>
      </c>
      <c r="U2374">
        <f>IF(IFERROR(VLOOKUP(BBDD_Usiarios_Netflix[[#This Row],[Identificador Usuario]],A2375:$A$5870,1,FALSE),0)&lt;&gt;0,1,0)</f>
        <v>0</v>
      </c>
      <c r="V2374" s="6" t="str">
        <f>IF(BBDD_Usiarios_Netflix[[#This Row],[Duración Plan]]="12 Meses",LEFT(BBDD_Usiarios_Netflix[[#This Row],[Duración Plan]],2),LEFT(BBDD_Usiarios_Netflix[[#This Row],[Duración Plan]],1))</f>
        <v>1</v>
      </c>
      <c r="W23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5" spans="1:23" x14ac:dyDescent="0.25">
      <c r="A2375">
        <v>2374</v>
      </c>
      <c r="B2375" t="s">
        <v>28</v>
      </c>
      <c r="C2375">
        <v>14</v>
      </c>
      <c r="D2375" s="3">
        <v>16</v>
      </c>
      <c r="E2375" s="3">
        <v>10</v>
      </c>
      <c r="F2375">
        <v>23</v>
      </c>
      <c r="G2375" s="1">
        <f>DATEVALUE(_xlfn.CONCAT(BBDD_Usiarios_Netflix[[#This Row],[Día Suscripción]],"/",BBDD_Usiarios_Netflix[[#This Row],[Mes Suscripción]],"/",BBDD_Usiarios_Netflix[[#This Row],[Año Suscripción]]))</f>
        <v>45215</v>
      </c>
      <c r="H2375" s="1">
        <v>12</v>
      </c>
      <c r="I2375" s="1">
        <v>7</v>
      </c>
      <c r="J2375" s="1">
        <v>24</v>
      </c>
      <c r="K2375" s="1" t="str">
        <f>TEXT(BBDD_Usiarios_Netflix[[#This Row],[Fecha Suscripción]],"dddd")</f>
        <v>lunes</v>
      </c>
      <c r="L2375" s="1">
        <f>DATEVALUE(_xlfn.CONCAT(BBDD_Usiarios_Netflix[[#This Row],[Día Último Pago]],"/",BBDD_Usiarios_Netflix[[#This Row],[Mes Último Pago]],"/",BBDD_Usiarios_Netflix[[#This Row],[Año Último Pago]]))</f>
        <v>45485</v>
      </c>
      <c r="M2375" s="4">
        <f>DATEDIF(BBDD_Usiarios_Netflix[[#This Row],[Fecha Suscripción]],BBDD_Usiarios_Netflix[[#This Row],[Fecha Último Pago]],"M")+1</f>
        <v>9</v>
      </c>
      <c r="N2375" s="4">
        <f>BBDD_Usiarios_Netflix[[#This Row],[Ingresos Mensuales]]*BBDD_Usiarios_Netflix[[#This Row],[Meses contratados]]</f>
        <v>126</v>
      </c>
      <c r="O2375" t="s">
        <v>42</v>
      </c>
      <c r="P2375" t="str">
        <f>IF(BBDD_Usiarios_Netflix[[#This Row],[País]]="","Desconocido",BBDD_Usiarios_Netflix[[#This Row],[País]])</f>
        <v>Reino Unido</v>
      </c>
      <c r="Q2375">
        <v>30</v>
      </c>
      <c r="R2375" t="s">
        <v>25</v>
      </c>
      <c r="S2375" t="s">
        <v>31</v>
      </c>
      <c r="T2375" t="s">
        <v>27</v>
      </c>
      <c r="U2375">
        <f>IF(IFERROR(VLOOKUP(BBDD_Usiarios_Netflix[[#This Row],[Identificador Usuario]],A2376:$A$5870,1,FALSE),0)&lt;&gt;0,1,0)</f>
        <v>0</v>
      </c>
      <c r="V2375" s="6" t="str">
        <f>IF(BBDD_Usiarios_Netflix[[#This Row],[Duración Plan]]="12 Meses",LEFT(BBDD_Usiarios_Netflix[[#This Row],[Duración Plan]],2),LEFT(BBDD_Usiarios_Netflix[[#This Row],[Duración Plan]],1))</f>
        <v>1</v>
      </c>
      <c r="W23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6" spans="1:23" x14ac:dyDescent="0.25">
      <c r="A2376">
        <v>2375</v>
      </c>
      <c r="B2376" t="s">
        <v>23</v>
      </c>
      <c r="C2376">
        <v>10</v>
      </c>
      <c r="D2376" s="3">
        <v>18</v>
      </c>
      <c r="E2376" s="3">
        <v>10</v>
      </c>
      <c r="F2376">
        <v>23</v>
      </c>
      <c r="G2376" s="1">
        <f>DATEVALUE(_xlfn.CONCAT(BBDD_Usiarios_Netflix[[#This Row],[Día Suscripción]],"/",BBDD_Usiarios_Netflix[[#This Row],[Mes Suscripción]],"/",BBDD_Usiarios_Netflix[[#This Row],[Año Suscripción]]))</f>
        <v>45217</v>
      </c>
      <c r="H2376" s="1">
        <v>10</v>
      </c>
      <c r="I2376" s="1">
        <v>7</v>
      </c>
      <c r="J2376" s="1">
        <v>24</v>
      </c>
      <c r="K2376" s="1" t="str">
        <f>TEXT(BBDD_Usiarios_Netflix[[#This Row],[Fecha Suscripción]],"dddd")</f>
        <v>miércoles</v>
      </c>
      <c r="L2376" s="1">
        <f>DATEVALUE(_xlfn.CONCAT(BBDD_Usiarios_Netflix[[#This Row],[Día Último Pago]],"/",BBDD_Usiarios_Netflix[[#This Row],[Mes Último Pago]],"/",BBDD_Usiarios_Netflix[[#This Row],[Año Último Pago]]))</f>
        <v>45483</v>
      </c>
      <c r="M2376" s="4">
        <f>DATEDIF(BBDD_Usiarios_Netflix[[#This Row],[Fecha Suscripción]],BBDD_Usiarios_Netflix[[#This Row],[Fecha Último Pago]],"M")+1</f>
        <v>9</v>
      </c>
      <c r="N2376" s="4">
        <f>BBDD_Usiarios_Netflix[[#This Row],[Ingresos Mensuales]]*BBDD_Usiarios_Netflix[[#This Row],[Meses contratados]]</f>
        <v>90</v>
      </c>
      <c r="O2376" t="s">
        <v>45</v>
      </c>
      <c r="P2376" t="str">
        <f>IF(BBDD_Usiarios_Netflix[[#This Row],[País]]="","Desconocido",BBDD_Usiarios_Netflix[[#This Row],[País]])</f>
        <v>España</v>
      </c>
      <c r="Q2376">
        <v>42</v>
      </c>
      <c r="R2376" t="s">
        <v>25</v>
      </c>
      <c r="S2376" t="s">
        <v>36</v>
      </c>
      <c r="T2376" t="s">
        <v>27</v>
      </c>
      <c r="U2376">
        <f>IF(IFERROR(VLOOKUP(BBDD_Usiarios_Netflix[[#This Row],[Identificador Usuario]],A2377:$A$5870,1,FALSE),0)&lt;&gt;0,1,0)</f>
        <v>0</v>
      </c>
      <c r="V2376" s="6" t="str">
        <f>IF(BBDD_Usiarios_Netflix[[#This Row],[Duración Plan]]="12 Meses",LEFT(BBDD_Usiarios_Netflix[[#This Row],[Duración Plan]],2),LEFT(BBDD_Usiarios_Netflix[[#This Row],[Duración Plan]],1))</f>
        <v>1</v>
      </c>
      <c r="W23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77" spans="1:23" x14ac:dyDescent="0.25">
      <c r="A2377">
        <v>2376</v>
      </c>
      <c r="B2377" t="s">
        <v>28</v>
      </c>
      <c r="C2377">
        <v>14</v>
      </c>
      <c r="D2377" s="3">
        <v>19</v>
      </c>
      <c r="E2377" s="3">
        <v>10</v>
      </c>
      <c r="F2377">
        <v>23</v>
      </c>
      <c r="G2377" s="1">
        <f>DATEVALUE(_xlfn.CONCAT(BBDD_Usiarios_Netflix[[#This Row],[Día Suscripción]],"/",BBDD_Usiarios_Netflix[[#This Row],[Mes Suscripción]],"/",BBDD_Usiarios_Netflix[[#This Row],[Año Suscripción]]))</f>
        <v>45218</v>
      </c>
      <c r="H2377" s="1">
        <v>12</v>
      </c>
      <c r="I2377" s="1">
        <v>7</v>
      </c>
      <c r="J2377" s="1">
        <v>24</v>
      </c>
      <c r="K2377" s="1" t="str">
        <f>TEXT(BBDD_Usiarios_Netflix[[#This Row],[Fecha Suscripción]],"dddd")</f>
        <v>jueves</v>
      </c>
      <c r="L2377" s="1">
        <f>DATEVALUE(_xlfn.CONCAT(BBDD_Usiarios_Netflix[[#This Row],[Día Último Pago]],"/",BBDD_Usiarios_Netflix[[#This Row],[Mes Último Pago]],"/",BBDD_Usiarios_Netflix[[#This Row],[Año Último Pago]]))</f>
        <v>45485</v>
      </c>
      <c r="M2377" s="4">
        <f>DATEDIF(BBDD_Usiarios_Netflix[[#This Row],[Fecha Suscripción]],BBDD_Usiarios_Netflix[[#This Row],[Fecha Último Pago]],"M")+1</f>
        <v>9</v>
      </c>
      <c r="N2377" s="4">
        <f>BBDD_Usiarios_Netflix[[#This Row],[Ingresos Mensuales]]*BBDD_Usiarios_Netflix[[#This Row],[Meses contratados]]</f>
        <v>126</v>
      </c>
      <c r="O2377" t="s">
        <v>45</v>
      </c>
      <c r="P2377" t="str">
        <f>IF(BBDD_Usiarios_Netflix[[#This Row],[País]]="","Desconocido",BBDD_Usiarios_Netflix[[#This Row],[País]])</f>
        <v>España</v>
      </c>
      <c r="Q2377">
        <v>49</v>
      </c>
      <c r="R2377" t="s">
        <v>25</v>
      </c>
      <c r="S2377" t="s">
        <v>34</v>
      </c>
      <c r="T2377" t="s">
        <v>35</v>
      </c>
      <c r="U2377">
        <f>IF(IFERROR(VLOOKUP(BBDD_Usiarios_Netflix[[#This Row],[Identificador Usuario]],A2378:$A$5870,1,FALSE),0)&lt;&gt;0,1,0)</f>
        <v>0</v>
      </c>
      <c r="V2377" s="6" t="str">
        <f>IF(BBDD_Usiarios_Netflix[[#This Row],[Duración Plan]]="12 Meses",LEFT(BBDD_Usiarios_Netflix[[#This Row],[Duración Plan]],2),LEFT(BBDD_Usiarios_Netflix[[#This Row],[Duración Plan]],1))</f>
        <v>6</v>
      </c>
      <c r="W23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78" spans="1:23" x14ac:dyDescent="0.25">
      <c r="A2378">
        <v>2377</v>
      </c>
      <c r="B2378" t="s">
        <v>23</v>
      </c>
      <c r="C2378">
        <v>10</v>
      </c>
      <c r="D2378" s="3">
        <v>20</v>
      </c>
      <c r="E2378" s="3">
        <v>10</v>
      </c>
      <c r="F2378">
        <v>23</v>
      </c>
      <c r="G2378" s="1">
        <f>DATEVALUE(_xlfn.CONCAT(BBDD_Usiarios_Netflix[[#This Row],[Día Suscripción]],"/",BBDD_Usiarios_Netflix[[#This Row],[Mes Suscripción]],"/",BBDD_Usiarios_Netflix[[#This Row],[Año Suscripción]]))</f>
        <v>45219</v>
      </c>
      <c r="H2378" s="1">
        <v>12</v>
      </c>
      <c r="I2378" s="1">
        <v>7</v>
      </c>
      <c r="J2378" s="1">
        <v>24</v>
      </c>
      <c r="K2378" s="1" t="str">
        <f>TEXT(BBDD_Usiarios_Netflix[[#This Row],[Fecha Suscripción]],"dddd")</f>
        <v>viernes</v>
      </c>
      <c r="L2378" s="1">
        <f>DATEVALUE(_xlfn.CONCAT(BBDD_Usiarios_Netflix[[#This Row],[Día Último Pago]],"/",BBDD_Usiarios_Netflix[[#This Row],[Mes Último Pago]],"/",BBDD_Usiarios_Netflix[[#This Row],[Año Último Pago]]))</f>
        <v>45485</v>
      </c>
      <c r="M2378" s="4">
        <f>DATEDIF(BBDD_Usiarios_Netflix[[#This Row],[Fecha Suscripción]],BBDD_Usiarios_Netflix[[#This Row],[Fecha Último Pago]],"M")+1</f>
        <v>9</v>
      </c>
      <c r="N2378" s="4">
        <f>BBDD_Usiarios_Netflix[[#This Row],[Ingresos Mensuales]]*BBDD_Usiarios_Netflix[[#This Row],[Meses contratados]]</f>
        <v>90</v>
      </c>
      <c r="O2378" t="s">
        <v>24</v>
      </c>
      <c r="P2378" t="str">
        <f>IF(BBDD_Usiarios_Netflix[[#This Row],[País]]="","Desconocido",BBDD_Usiarios_Netflix[[#This Row],[País]])</f>
        <v>Australia</v>
      </c>
      <c r="Q2378">
        <v>50</v>
      </c>
      <c r="R2378" t="s">
        <v>30</v>
      </c>
      <c r="S2378" t="s">
        <v>31</v>
      </c>
      <c r="T2378" t="s">
        <v>41</v>
      </c>
      <c r="U2378">
        <f>IF(IFERROR(VLOOKUP(BBDD_Usiarios_Netflix[[#This Row],[Identificador Usuario]],A2379:$A$5870,1,FALSE),0)&lt;&gt;0,1,0)</f>
        <v>0</v>
      </c>
      <c r="V2378" s="6" t="str">
        <f>IF(BBDD_Usiarios_Netflix[[#This Row],[Duración Plan]]="12 Meses",LEFT(BBDD_Usiarios_Netflix[[#This Row],[Duración Plan]],2),LEFT(BBDD_Usiarios_Netflix[[#This Row],[Duración Plan]],1))</f>
        <v>12</v>
      </c>
      <c r="W23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79" spans="1:23" x14ac:dyDescent="0.25">
      <c r="A2379">
        <v>2378</v>
      </c>
      <c r="B2379" t="s">
        <v>32</v>
      </c>
      <c r="C2379">
        <v>12</v>
      </c>
      <c r="D2379" s="3">
        <v>22</v>
      </c>
      <c r="E2379" s="3">
        <v>10</v>
      </c>
      <c r="F2379">
        <v>23</v>
      </c>
      <c r="G2379" s="1">
        <f>DATEVALUE(_xlfn.CONCAT(BBDD_Usiarios_Netflix[[#This Row],[Día Suscripción]],"/",BBDD_Usiarios_Netflix[[#This Row],[Mes Suscripción]],"/",BBDD_Usiarios_Netflix[[#This Row],[Año Suscripción]]))</f>
        <v>45221</v>
      </c>
      <c r="H2379" s="1">
        <v>11</v>
      </c>
      <c r="I2379" s="1">
        <v>7</v>
      </c>
      <c r="J2379" s="1">
        <v>24</v>
      </c>
      <c r="K2379" s="1" t="str">
        <f>TEXT(BBDD_Usiarios_Netflix[[#This Row],[Fecha Suscripción]],"dddd")</f>
        <v>domingo</v>
      </c>
      <c r="L2379" s="1">
        <f>DATEVALUE(_xlfn.CONCAT(BBDD_Usiarios_Netflix[[#This Row],[Día Último Pago]],"/",BBDD_Usiarios_Netflix[[#This Row],[Mes Último Pago]],"/",BBDD_Usiarios_Netflix[[#This Row],[Año Último Pago]]))</f>
        <v>45484</v>
      </c>
      <c r="M2379" s="4">
        <f>DATEDIF(BBDD_Usiarios_Netflix[[#This Row],[Fecha Suscripción]],BBDD_Usiarios_Netflix[[#This Row],[Fecha Último Pago]],"M")+1</f>
        <v>9</v>
      </c>
      <c r="N2379" s="4">
        <f>BBDD_Usiarios_Netflix[[#This Row],[Ingresos Mensuales]]*BBDD_Usiarios_Netflix[[#This Row],[Meses contratados]]</f>
        <v>108</v>
      </c>
      <c r="O2379" t="s">
        <v>44</v>
      </c>
      <c r="P2379" t="str">
        <f>IF(BBDD_Usiarios_Netflix[[#This Row],[País]]="","Desconocido",BBDD_Usiarios_Netflix[[#This Row],[País]])</f>
        <v>Desconocido</v>
      </c>
      <c r="Q2379">
        <v>51</v>
      </c>
      <c r="R2379" t="s">
        <v>25</v>
      </c>
      <c r="S2379" t="s">
        <v>34</v>
      </c>
      <c r="T2379" t="s">
        <v>41</v>
      </c>
      <c r="U2379">
        <f>IF(IFERROR(VLOOKUP(BBDD_Usiarios_Netflix[[#This Row],[Identificador Usuario]],A2380:$A$5870,1,FALSE),0)&lt;&gt;0,1,0)</f>
        <v>0</v>
      </c>
      <c r="V2379" s="6" t="str">
        <f>IF(BBDD_Usiarios_Netflix[[#This Row],[Duración Plan]]="12 Meses",LEFT(BBDD_Usiarios_Netflix[[#This Row],[Duración Plan]],2),LEFT(BBDD_Usiarios_Netflix[[#This Row],[Duración Plan]],1))</f>
        <v>12</v>
      </c>
      <c r="W23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80" spans="1:23" x14ac:dyDescent="0.25">
      <c r="A2380">
        <v>2379</v>
      </c>
      <c r="B2380" t="s">
        <v>32</v>
      </c>
      <c r="C2380">
        <v>12</v>
      </c>
      <c r="D2380" s="3">
        <v>25</v>
      </c>
      <c r="E2380" s="3">
        <v>10</v>
      </c>
      <c r="F2380">
        <v>23</v>
      </c>
      <c r="G2380" s="1">
        <f>DATEVALUE(_xlfn.CONCAT(BBDD_Usiarios_Netflix[[#This Row],[Día Suscripción]],"/",BBDD_Usiarios_Netflix[[#This Row],[Mes Suscripción]],"/",BBDD_Usiarios_Netflix[[#This Row],[Año Suscripción]]))</f>
        <v>45224</v>
      </c>
      <c r="H2380" s="1">
        <v>9</v>
      </c>
      <c r="I2380" s="1">
        <v>7</v>
      </c>
      <c r="J2380" s="1">
        <v>24</v>
      </c>
      <c r="K2380" s="1" t="str">
        <f>TEXT(BBDD_Usiarios_Netflix[[#This Row],[Fecha Suscripción]],"dddd")</f>
        <v>miércoles</v>
      </c>
      <c r="L2380" s="1">
        <f>DATEVALUE(_xlfn.CONCAT(BBDD_Usiarios_Netflix[[#This Row],[Día Último Pago]],"/",BBDD_Usiarios_Netflix[[#This Row],[Mes Último Pago]],"/",BBDD_Usiarios_Netflix[[#This Row],[Año Último Pago]]))</f>
        <v>45482</v>
      </c>
      <c r="M2380" s="4">
        <f>DATEDIF(BBDD_Usiarios_Netflix[[#This Row],[Fecha Suscripción]],BBDD_Usiarios_Netflix[[#This Row],[Fecha Último Pago]],"M")+1</f>
        <v>9</v>
      </c>
      <c r="N2380" s="4">
        <f>BBDD_Usiarios_Netflix[[#This Row],[Ingresos Mensuales]]*BBDD_Usiarios_Netflix[[#This Row],[Meses contratados]]</f>
        <v>108</v>
      </c>
      <c r="O2380" t="s">
        <v>42</v>
      </c>
      <c r="P2380" t="str">
        <f>IF(BBDD_Usiarios_Netflix[[#This Row],[País]]="","Desconocido",BBDD_Usiarios_Netflix[[#This Row],[País]])</f>
        <v>Reino Unido</v>
      </c>
      <c r="Q2380">
        <v>47</v>
      </c>
      <c r="R2380" t="s">
        <v>25</v>
      </c>
      <c r="S2380" t="s">
        <v>26</v>
      </c>
      <c r="T2380" t="s">
        <v>27</v>
      </c>
      <c r="U2380">
        <f>IF(IFERROR(VLOOKUP(BBDD_Usiarios_Netflix[[#This Row],[Identificador Usuario]],A2381:$A$5870,1,FALSE),0)&lt;&gt;0,1,0)</f>
        <v>0</v>
      </c>
      <c r="V2380" s="6" t="str">
        <f>IF(BBDD_Usiarios_Netflix[[#This Row],[Duración Plan]]="12 Meses",LEFT(BBDD_Usiarios_Netflix[[#This Row],[Duración Plan]],2),LEFT(BBDD_Usiarios_Netflix[[#This Row],[Duración Plan]],1))</f>
        <v>1</v>
      </c>
      <c r="W23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81" spans="1:23" x14ac:dyDescent="0.25">
      <c r="A2381">
        <v>2380</v>
      </c>
      <c r="B2381" t="s">
        <v>23</v>
      </c>
      <c r="C2381">
        <v>10</v>
      </c>
      <c r="D2381" s="3">
        <v>27</v>
      </c>
      <c r="E2381" s="3">
        <v>10</v>
      </c>
      <c r="F2381">
        <v>23</v>
      </c>
      <c r="G2381" s="1">
        <f>DATEVALUE(_xlfn.CONCAT(BBDD_Usiarios_Netflix[[#This Row],[Día Suscripción]],"/",BBDD_Usiarios_Netflix[[#This Row],[Mes Suscripción]],"/",BBDD_Usiarios_Netflix[[#This Row],[Año Suscripción]]))</f>
        <v>45226</v>
      </c>
      <c r="H2381" s="1">
        <v>12</v>
      </c>
      <c r="I2381" s="1">
        <v>7</v>
      </c>
      <c r="J2381" s="1">
        <v>24</v>
      </c>
      <c r="K2381" s="1" t="str">
        <f>TEXT(BBDD_Usiarios_Netflix[[#This Row],[Fecha Suscripción]],"dddd")</f>
        <v>viernes</v>
      </c>
      <c r="L2381" s="1">
        <f>DATEVALUE(_xlfn.CONCAT(BBDD_Usiarios_Netflix[[#This Row],[Día Último Pago]],"/",BBDD_Usiarios_Netflix[[#This Row],[Mes Último Pago]],"/",BBDD_Usiarios_Netflix[[#This Row],[Año Último Pago]]))</f>
        <v>45485</v>
      </c>
      <c r="M2381" s="4">
        <f>DATEDIF(BBDD_Usiarios_Netflix[[#This Row],[Fecha Suscripción]],BBDD_Usiarios_Netflix[[#This Row],[Fecha Último Pago]],"M")+1</f>
        <v>9</v>
      </c>
      <c r="N2381" s="4">
        <f>BBDD_Usiarios_Netflix[[#This Row],[Ingresos Mensuales]]*BBDD_Usiarios_Netflix[[#This Row],[Meses contratados]]</f>
        <v>90</v>
      </c>
      <c r="O2381" t="s">
        <v>39</v>
      </c>
      <c r="P2381" t="str">
        <f>IF(BBDD_Usiarios_Netflix[[#This Row],[País]]="","Desconocido",BBDD_Usiarios_Netflix[[#This Row],[País]])</f>
        <v>Canadá</v>
      </c>
      <c r="Q2381">
        <v>36</v>
      </c>
      <c r="R2381" t="s">
        <v>30</v>
      </c>
      <c r="S2381" t="s">
        <v>26</v>
      </c>
      <c r="T2381" t="s">
        <v>38</v>
      </c>
      <c r="U2381">
        <f>IF(IFERROR(VLOOKUP(BBDD_Usiarios_Netflix[[#This Row],[Identificador Usuario]],A2382:$A$5870,1,FALSE),0)&lt;&gt;0,1,0)</f>
        <v>0</v>
      </c>
      <c r="V2381" s="6" t="str">
        <f>IF(BBDD_Usiarios_Netflix[[#This Row],[Duración Plan]]="12 Meses",LEFT(BBDD_Usiarios_Netflix[[#This Row],[Duración Plan]],2),LEFT(BBDD_Usiarios_Netflix[[#This Row],[Duración Plan]],1))</f>
        <v>3</v>
      </c>
      <c r="W23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382" spans="1:23" x14ac:dyDescent="0.25">
      <c r="A2382">
        <v>2381</v>
      </c>
      <c r="B2382" t="s">
        <v>28</v>
      </c>
      <c r="C2382">
        <v>14</v>
      </c>
      <c r="D2382" s="3">
        <v>30</v>
      </c>
      <c r="E2382" s="3">
        <v>10</v>
      </c>
      <c r="F2382">
        <v>23</v>
      </c>
      <c r="G2382" s="1">
        <f>DATEVALUE(_xlfn.CONCAT(BBDD_Usiarios_Netflix[[#This Row],[Día Suscripción]],"/",BBDD_Usiarios_Netflix[[#This Row],[Mes Suscripción]],"/",BBDD_Usiarios_Netflix[[#This Row],[Año Suscripción]]))</f>
        <v>45229</v>
      </c>
      <c r="H2382" s="1">
        <v>11</v>
      </c>
      <c r="I2382" s="1">
        <v>7</v>
      </c>
      <c r="J2382" s="1">
        <v>24</v>
      </c>
      <c r="K2382" s="1" t="str">
        <f>TEXT(BBDD_Usiarios_Netflix[[#This Row],[Fecha Suscripción]],"dddd")</f>
        <v>lunes</v>
      </c>
      <c r="L2382" s="1">
        <f>DATEVALUE(_xlfn.CONCAT(BBDD_Usiarios_Netflix[[#This Row],[Día Último Pago]],"/",BBDD_Usiarios_Netflix[[#This Row],[Mes Último Pago]],"/",BBDD_Usiarios_Netflix[[#This Row],[Año Último Pago]]))</f>
        <v>45484</v>
      </c>
      <c r="M2382" s="4">
        <f>DATEDIF(BBDD_Usiarios_Netflix[[#This Row],[Fecha Suscripción]],BBDD_Usiarios_Netflix[[#This Row],[Fecha Último Pago]],"M")+1</f>
        <v>9</v>
      </c>
      <c r="N2382" s="4">
        <f>BBDD_Usiarios_Netflix[[#This Row],[Ingresos Mensuales]]*BBDD_Usiarios_Netflix[[#This Row],[Meses contratados]]</f>
        <v>126</v>
      </c>
      <c r="O2382" t="s">
        <v>37</v>
      </c>
      <c r="P2382" t="str">
        <f>IF(BBDD_Usiarios_Netflix[[#This Row],[País]]="","Desconocido",BBDD_Usiarios_Netflix[[#This Row],[País]])</f>
        <v>Brasil</v>
      </c>
      <c r="Q2382">
        <v>30</v>
      </c>
      <c r="R2382" t="s">
        <v>30</v>
      </c>
      <c r="S2382" t="s">
        <v>36</v>
      </c>
      <c r="T2382" t="s">
        <v>27</v>
      </c>
      <c r="U2382">
        <f>IF(IFERROR(VLOOKUP(BBDD_Usiarios_Netflix[[#This Row],[Identificador Usuario]],A2383:$A$5870,1,FALSE),0)&lt;&gt;0,1,0)</f>
        <v>0</v>
      </c>
      <c r="V2382" s="6" t="str">
        <f>IF(BBDD_Usiarios_Netflix[[#This Row],[Duración Plan]]="12 Meses",LEFT(BBDD_Usiarios_Netflix[[#This Row],[Duración Plan]],2),LEFT(BBDD_Usiarios_Netflix[[#This Row],[Duración Plan]],1))</f>
        <v>1</v>
      </c>
      <c r="W23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83" spans="1:23" x14ac:dyDescent="0.25">
      <c r="A2383">
        <v>2382</v>
      </c>
      <c r="B2383" t="s">
        <v>23</v>
      </c>
      <c r="C2383">
        <v>10</v>
      </c>
      <c r="D2383" s="3">
        <v>1</v>
      </c>
      <c r="E2383" s="3">
        <v>11</v>
      </c>
      <c r="F2383">
        <v>23</v>
      </c>
      <c r="G2383" s="1">
        <f>DATEVALUE(_xlfn.CONCAT(BBDD_Usiarios_Netflix[[#This Row],[Día Suscripción]],"/",BBDD_Usiarios_Netflix[[#This Row],[Mes Suscripción]],"/",BBDD_Usiarios_Netflix[[#This Row],[Año Suscripción]]))</f>
        <v>45231</v>
      </c>
      <c r="H2383" s="1">
        <v>11</v>
      </c>
      <c r="I2383" s="1">
        <v>7</v>
      </c>
      <c r="J2383" s="1">
        <v>24</v>
      </c>
      <c r="K2383" s="1" t="str">
        <f>TEXT(BBDD_Usiarios_Netflix[[#This Row],[Fecha Suscripción]],"dddd")</f>
        <v>miércoles</v>
      </c>
      <c r="L2383" s="1">
        <f>DATEVALUE(_xlfn.CONCAT(BBDD_Usiarios_Netflix[[#This Row],[Día Último Pago]],"/",BBDD_Usiarios_Netflix[[#This Row],[Mes Último Pago]],"/",BBDD_Usiarios_Netflix[[#This Row],[Año Último Pago]]))</f>
        <v>45484</v>
      </c>
      <c r="M2383" s="4">
        <f>DATEDIF(BBDD_Usiarios_Netflix[[#This Row],[Fecha Suscripción]],BBDD_Usiarios_Netflix[[#This Row],[Fecha Último Pago]],"M")+1</f>
        <v>9</v>
      </c>
      <c r="N2383" s="4">
        <f>BBDD_Usiarios_Netflix[[#This Row],[Ingresos Mensuales]]*BBDD_Usiarios_Netflix[[#This Row],[Meses contratados]]</f>
        <v>90</v>
      </c>
      <c r="O2383" t="s">
        <v>44</v>
      </c>
      <c r="P2383" t="str">
        <f>IF(BBDD_Usiarios_Netflix[[#This Row],[País]]="","Desconocido",BBDD_Usiarios_Netflix[[#This Row],[País]])</f>
        <v>Desconocido</v>
      </c>
      <c r="Q2383">
        <v>34</v>
      </c>
      <c r="R2383" t="s">
        <v>30</v>
      </c>
      <c r="S2383" t="s">
        <v>31</v>
      </c>
      <c r="T2383" t="s">
        <v>27</v>
      </c>
      <c r="U2383">
        <f>IF(IFERROR(VLOOKUP(BBDD_Usiarios_Netflix[[#This Row],[Identificador Usuario]],A2384:$A$5870,1,FALSE),0)&lt;&gt;0,1,0)</f>
        <v>0</v>
      </c>
      <c r="V2383" s="6" t="str">
        <f>IF(BBDD_Usiarios_Netflix[[#This Row],[Duración Plan]]="12 Meses",LEFT(BBDD_Usiarios_Netflix[[#This Row],[Duración Plan]],2),LEFT(BBDD_Usiarios_Netflix[[#This Row],[Duración Plan]],1))</f>
        <v>1</v>
      </c>
      <c r="W23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84" spans="1:23" x14ac:dyDescent="0.25">
      <c r="A2384">
        <v>2383</v>
      </c>
      <c r="B2384" t="s">
        <v>32</v>
      </c>
      <c r="C2384">
        <v>12</v>
      </c>
      <c r="D2384" s="3">
        <v>5</v>
      </c>
      <c r="E2384" s="3">
        <v>11</v>
      </c>
      <c r="F2384">
        <v>23</v>
      </c>
      <c r="G2384" s="1">
        <f>DATEVALUE(_xlfn.CONCAT(BBDD_Usiarios_Netflix[[#This Row],[Día Suscripción]],"/",BBDD_Usiarios_Netflix[[#This Row],[Mes Suscripción]],"/",BBDD_Usiarios_Netflix[[#This Row],[Año Suscripción]]))</f>
        <v>45235</v>
      </c>
      <c r="H2384" s="1">
        <v>10</v>
      </c>
      <c r="I2384" s="1">
        <v>7</v>
      </c>
      <c r="J2384" s="1">
        <v>24</v>
      </c>
      <c r="K2384" s="1" t="str">
        <f>TEXT(BBDD_Usiarios_Netflix[[#This Row],[Fecha Suscripción]],"dddd")</f>
        <v>domingo</v>
      </c>
      <c r="L2384" s="1">
        <f>DATEVALUE(_xlfn.CONCAT(BBDD_Usiarios_Netflix[[#This Row],[Día Último Pago]],"/",BBDD_Usiarios_Netflix[[#This Row],[Mes Último Pago]],"/",BBDD_Usiarios_Netflix[[#This Row],[Año Último Pago]]))</f>
        <v>45483</v>
      </c>
      <c r="M2384" s="4">
        <f>DATEDIF(BBDD_Usiarios_Netflix[[#This Row],[Fecha Suscripción]],BBDD_Usiarios_Netflix[[#This Row],[Fecha Último Pago]],"M")+1</f>
        <v>9</v>
      </c>
      <c r="N2384" s="4">
        <f>BBDD_Usiarios_Netflix[[#This Row],[Ingresos Mensuales]]*BBDD_Usiarios_Netflix[[#This Row],[Meses contratados]]</f>
        <v>108</v>
      </c>
      <c r="O2384" t="s">
        <v>24</v>
      </c>
      <c r="P2384" t="str">
        <f>IF(BBDD_Usiarios_Netflix[[#This Row],[País]]="","Desconocido",BBDD_Usiarios_Netflix[[#This Row],[País]])</f>
        <v>Australia</v>
      </c>
      <c r="Q2384">
        <v>35</v>
      </c>
      <c r="R2384" t="s">
        <v>30</v>
      </c>
      <c r="S2384" t="s">
        <v>31</v>
      </c>
      <c r="T2384" t="s">
        <v>27</v>
      </c>
      <c r="U2384">
        <f>IF(IFERROR(VLOOKUP(BBDD_Usiarios_Netflix[[#This Row],[Identificador Usuario]],A2385:$A$5870,1,FALSE),0)&lt;&gt;0,1,0)</f>
        <v>0</v>
      </c>
      <c r="V2384" s="6" t="str">
        <f>IF(BBDD_Usiarios_Netflix[[#This Row],[Duración Plan]]="12 Meses",LEFT(BBDD_Usiarios_Netflix[[#This Row],[Duración Plan]],2),LEFT(BBDD_Usiarios_Netflix[[#This Row],[Duración Plan]],1))</f>
        <v>1</v>
      </c>
      <c r="W23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85" spans="1:23" x14ac:dyDescent="0.25">
      <c r="A2385">
        <v>2384</v>
      </c>
      <c r="B2385" t="s">
        <v>28</v>
      </c>
      <c r="C2385">
        <v>14</v>
      </c>
      <c r="D2385" s="3">
        <v>7</v>
      </c>
      <c r="E2385" s="3">
        <v>11</v>
      </c>
      <c r="F2385">
        <v>23</v>
      </c>
      <c r="G2385" s="1">
        <f>DATEVALUE(_xlfn.CONCAT(BBDD_Usiarios_Netflix[[#This Row],[Día Suscripción]],"/",BBDD_Usiarios_Netflix[[#This Row],[Mes Suscripción]],"/",BBDD_Usiarios_Netflix[[#This Row],[Año Suscripción]]))</f>
        <v>45237</v>
      </c>
      <c r="H2385" s="1">
        <v>12</v>
      </c>
      <c r="I2385" s="1">
        <v>7</v>
      </c>
      <c r="J2385" s="1">
        <v>24</v>
      </c>
      <c r="K2385" s="1" t="str">
        <f>TEXT(BBDD_Usiarios_Netflix[[#This Row],[Fecha Suscripción]],"dddd")</f>
        <v>martes</v>
      </c>
      <c r="L2385" s="1">
        <f>DATEVALUE(_xlfn.CONCAT(BBDD_Usiarios_Netflix[[#This Row],[Día Último Pago]],"/",BBDD_Usiarios_Netflix[[#This Row],[Mes Último Pago]],"/",BBDD_Usiarios_Netflix[[#This Row],[Año Último Pago]]))</f>
        <v>45485</v>
      </c>
      <c r="M2385" s="4">
        <f>DATEDIF(BBDD_Usiarios_Netflix[[#This Row],[Fecha Suscripción]],BBDD_Usiarios_Netflix[[#This Row],[Fecha Último Pago]],"M")+1</f>
        <v>9</v>
      </c>
      <c r="N2385" s="4">
        <f>BBDD_Usiarios_Netflix[[#This Row],[Ingresos Mensuales]]*BBDD_Usiarios_Netflix[[#This Row],[Meses contratados]]</f>
        <v>126</v>
      </c>
      <c r="O2385" t="s">
        <v>39</v>
      </c>
      <c r="P2385" t="str">
        <f>IF(BBDD_Usiarios_Netflix[[#This Row],[País]]="","Desconocido",BBDD_Usiarios_Netflix[[#This Row],[País]])</f>
        <v>Canadá</v>
      </c>
      <c r="Q2385">
        <v>30</v>
      </c>
      <c r="R2385" t="s">
        <v>25</v>
      </c>
      <c r="S2385" t="s">
        <v>34</v>
      </c>
      <c r="T2385" t="s">
        <v>35</v>
      </c>
      <c r="U2385">
        <f>IF(IFERROR(VLOOKUP(BBDD_Usiarios_Netflix[[#This Row],[Identificador Usuario]],A2386:$A$5870,1,FALSE),0)&lt;&gt;0,1,0)</f>
        <v>0</v>
      </c>
      <c r="V2385" s="6" t="str">
        <f>IF(BBDD_Usiarios_Netflix[[#This Row],[Duración Plan]]="12 Meses",LEFT(BBDD_Usiarios_Netflix[[#This Row],[Duración Plan]],2),LEFT(BBDD_Usiarios_Netflix[[#This Row],[Duración Plan]],1))</f>
        <v>6</v>
      </c>
      <c r="W23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86" spans="1:23" x14ac:dyDescent="0.25">
      <c r="A2386">
        <v>2385</v>
      </c>
      <c r="B2386" t="s">
        <v>23</v>
      </c>
      <c r="C2386">
        <v>10</v>
      </c>
      <c r="D2386" s="3">
        <v>8</v>
      </c>
      <c r="E2386" s="3">
        <v>11</v>
      </c>
      <c r="F2386">
        <v>23</v>
      </c>
      <c r="G2386" s="1">
        <f>DATEVALUE(_xlfn.CONCAT(BBDD_Usiarios_Netflix[[#This Row],[Día Suscripción]],"/",BBDD_Usiarios_Netflix[[#This Row],[Mes Suscripción]],"/",BBDD_Usiarios_Netflix[[#This Row],[Año Suscripción]]))</f>
        <v>45238</v>
      </c>
      <c r="H2386" s="1">
        <v>11</v>
      </c>
      <c r="I2386" s="1">
        <v>7</v>
      </c>
      <c r="J2386" s="1">
        <v>24</v>
      </c>
      <c r="K2386" s="1" t="str">
        <f>TEXT(BBDD_Usiarios_Netflix[[#This Row],[Fecha Suscripción]],"dddd")</f>
        <v>miércoles</v>
      </c>
      <c r="L2386" s="1">
        <f>DATEVALUE(_xlfn.CONCAT(BBDD_Usiarios_Netflix[[#This Row],[Día Último Pago]],"/",BBDD_Usiarios_Netflix[[#This Row],[Mes Último Pago]],"/",BBDD_Usiarios_Netflix[[#This Row],[Año Último Pago]]))</f>
        <v>45484</v>
      </c>
      <c r="M2386" s="4">
        <f>DATEDIF(BBDD_Usiarios_Netflix[[#This Row],[Fecha Suscripción]],BBDD_Usiarios_Netflix[[#This Row],[Fecha Último Pago]],"M")+1</f>
        <v>9</v>
      </c>
      <c r="N2386" s="4">
        <f>BBDD_Usiarios_Netflix[[#This Row],[Ingresos Mensuales]]*BBDD_Usiarios_Netflix[[#This Row],[Meses contratados]]</f>
        <v>90</v>
      </c>
      <c r="O2386" t="s">
        <v>29</v>
      </c>
      <c r="P2386" t="str">
        <f>IF(BBDD_Usiarios_Netflix[[#This Row],[País]]="","Desconocido",BBDD_Usiarios_Netflix[[#This Row],[País]])</f>
        <v>EEUU</v>
      </c>
      <c r="Q2386">
        <v>30</v>
      </c>
      <c r="R2386" t="s">
        <v>25</v>
      </c>
      <c r="S2386" t="s">
        <v>31</v>
      </c>
      <c r="T2386" t="s">
        <v>35</v>
      </c>
      <c r="U2386">
        <f>IF(IFERROR(VLOOKUP(BBDD_Usiarios_Netflix[[#This Row],[Identificador Usuario]],A2387:$A$5870,1,FALSE),0)&lt;&gt;0,1,0)</f>
        <v>0</v>
      </c>
      <c r="V2386" s="6" t="str">
        <f>IF(BBDD_Usiarios_Netflix[[#This Row],[Duración Plan]]="12 Meses",LEFT(BBDD_Usiarios_Netflix[[#This Row],[Duración Plan]],2),LEFT(BBDD_Usiarios_Netflix[[#This Row],[Duración Plan]],1))</f>
        <v>6</v>
      </c>
      <c r="W23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87" spans="1:23" x14ac:dyDescent="0.25">
      <c r="A2387">
        <v>2386</v>
      </c>
      <c r="B2387" t="s">
        <v>28</v>
      </c>
      <c r="C2387">
        <v>14</v>
      </c>
      <c r="D2387" s="3">
        <v>10</v>
      </c>
      <c r="E2387" s="3">
        <v>11</v>
      </c>
      <c r="F2387">
        <v>23</v>
      </c>
      <c r="G2387" s="1">
        <f>DATEVALUE(_xlfn.CONCAT(BBDD_Usiarios_Netflix[[#This Row],[Día Suscripción]],"/",BBDD_Usiarios_Netflix[[#This Row],[Mes Suscripción]],"/",BBDD_Usiarios_Netflix[[#This Row],[Año Suscripción]]))</f>
        <v>45240</v>
      </c>
      <c r="H2387" s="1">
        <v>12</v>
      </c>
      <c r="I2387" s="1">
        <v>7</v>
      </c>
      <c r="J2387" s="1">
        <v>24</v>
      </c>
      <c r="K2387" s="1" t="str">
        <f>TEXT(BBDD_Usiarios_Netflix[[#This Row],[Fecha Suscripción]],"dddd")</f>
        <v>viernes</v>
      </c>
      <c r="L2387" s="1">
        <f>DATEVALUE(_xlfn.CONCAT(BBDD_Usiarios_Netflix[[#This Row],[Día Último Pago]],"/",BBDD_Usiarios_Netflix[[#This Row],[Mes Último Pago]],"/",BBDD_Usiarios_Netflix[[#This Row],[Año Último Pago]]))</f>
        <v>45485</v>
      </c>
      <c r="M2387" s="4">
        <f>DATEDIF(BBDD_Usiarios_Netflix[[#This Row],[Fecha Suscripción]],BBDD_Usiarios_Netflix[[#This Row],[Fecha Último Pago]],"M")+1</f>
        <v>9</v>
      </c>
      <c r="N2387" s="4">
        <f>BBDD_Usiarios_Netflix[[#This Row],[Ingresos Mensuales]]*BBDD_Usiarios_Netflix[[#This Row],[Meses contratados]]</f>
        <v>126</v>
      </c>
      <c r="O2387" t="s">
        <v>39</v>
      </c>
      <c r="P2387" t="str">
        <f>IF(BBDD_Usiarios_Netflix[[#This Row],[País]]="","Desconocido",BBDD_Usiarios_Netflix[[#This Row],[País]])</f>
        <v>Canadá</v>
      </c>
      <c r="Q2387">
        <v>41</v>
      </c>
      <c r="R2387" t="s">
        <v>30</v>
      </c>
      <c r="S2387" t="s">
        <v>26</v>
      </c>
      <c r="T2387" t="s">
        <v>41</v>
      </c>
      <c r="U2387">
        <f>IF(IFERROR(VLOOKUP(BBDD_Usiarios_Netflix[[#This Row],[Identificador Usuario]],A2388:$A$5870,1,FALSE),0)&lt;&gt;0,1,0)</f>
        <v>0</v>
      </c>
      <c r="V2387" s="6" t="str">
        <f>IF(BBDD_Usiarios_Netflix[[#This Row],[Duración Plan]]="12 Meses",LEFT(BBDD_Usiarios_Netflix[[#This Row],[Duración Plan]],2),LEFT(BBDD_Usiarios_Netflix[[#This Row],[Duración Plan]],1))</f>
        <v>12</v>
      </c>
      <c r="W23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88" spans="1:23" x14ac:dyDescent="0.25">
      <c r="A2388">
        <v>2387</v>
      </c>
      <c r="B2388" t="s">
        <v>23</v>
      </c>
      <c r="C2388">
        <v>10</v>
      </c>
      <c r="D2388" s="3">
        <v>11</v>
      </c>
      <c r="E2388" s="3">
        <v>11</v>
      </c>
      <c r="F2388">
        <v>23</v>
      </c>
      <c r="G2388" s="1">
        <f>DATEVALUE(_xlfn.CONCAT(BBDD_Usiarios_Netflix[[#This Row],[Día Suscripción]],"/",BBDD_Usiarios_Netflix[[#This Row],[Mes Suscripción]],"/",BBDD_Usiarios_Netflix[[#This Row],[Año Suscripción]]))</f>
        <v>45241</v>
      </c>
      <c r="H2388" s="1">
        <v>10</v>
      </c>
      <c r="I2388" s="1">
        <v>7</v>
      </c>
      <c r="J2388" s="1">
        <v>24</v>
      </c>
      <c r="K2388" s="1" t="str">
        <f>TEXT(BBDD_Usiarios_Netflix[[#This Row],[Fecha Suscripción]],"dddd")</f>
        <v>sábado</v>
      </c>
      <c r="L2388" s="1">
        <f>DATEVALUE(_xlfn.CONCAT(BBDD_Usiarios_Netflix[[#This Row],[Día Último Pago]],"/",BBDD_Usiarios_Netflix[[#This Row],[Mes Último Pago]],"/",BBDD_Usiarios_Netflix[[#This Row],[Año Último Pago]]))</f>
        <v>45483</v>
      </c>
      <c r="M2388" s="4">
        <f>DATEDIF(BBDD_Usiarios_Netflix[[#This Row],[Fecha Suscripción]],BBDD_Usiarios_Netflix[[#This Row],[Fecha Último Pago]],"M")+1</f>
        <v>8</v>
      </c>
      <c r="N2388" s="4">
        <f>BBDD_Usiarios_Netflix[[#This Row],[Ingresos Mensuales]]*BBDD_Usiarios_Netflix[[#This Row],[Meses contratados]]</f>
        <v>80</v>
      </c>
      <c r="O2388" t="s">
        <v>29</v>
      </c>
      <c r="P2388" t="str">
        <f>IF(BBDD_Usiarios_Netflix[[#This Row],[País]]="","Desconocido",BBDD_Usiarios_Netflix[[#This Row],[País]])</f>
        <v>EEUU</v>
      </c>
      <c r="Q2388">
        <v>39</v>
      </c>
      <c r="R2388" t="s">
        <v>30</v>
      </c>
      <c r="S2388" t="s">
        <v>26</v>
      </c>
      <c r="T2388" t="s">
        <v>27</v>
      </c>
      <c r="U2388">
        <f>IF(IFERROR(VLOOKUP(BBDD_Usiarios_Netflix[[#This Row],[Identificador Usuario]],A2389:$A$5870,1,FALSE),0)&lt;&gt;0,1,0)</f>
        <v>0</v>
      </c>
      <c r="V2388" s="6" t="str">
        <f>IF(BBDD_Usiarios_Netflix[[#This Row],[Duración Plan]]="12 Meses",LEFT(BBDD_Usiarios_Netflix[[#This Row],[Duración Plan]],2),LEFT(BBDD_Usiarios_Netflix[[#This Row],[Duración Plan]],1))</f>
        <v>1</v>
      </c>
      <c r="W23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89" spans="1:23" x14ac:dyDescent="0.25">
      <c r="A2389">
        <v>2388</v>
      </c>
      <c r="B2389" t="s">
        <v>32</v>
      </c>
      <c r="C2389">
        <v>12</v>
      </c>
      <c r="D2389" s="3">
        <v>12</v>
      </c>
      <c r="E2389" s="3">
        <v>11</v>
      </c>
      <c r="F2389">
        <v>23</v>
      </c>
      <c r="G2389" s="1">
        <f>DATEVALUE(_xlfn.CONCAT(BBDD_Usiarios_Netflix[[#This Row],[Día Suscripción]],"/",BBDD_Usiarios_Netflix[[#This Row],[Mes Suscripción]],"/",BBDD_Usiarios_Netflix[[#This Row],[Año Suscripción]]))</f>
        <v>45242</v>
      </c>
      <c r="H2389" s="1">
        <v>12</v>
      </c>
      <c r="I2389" s="1">
        <v>7</v>
      </c>
      <c r="J2389" s="1">
        <v>24</v>
      </c>
      <c r="K2389" s="1" t="str">
        <f>TEXT(BBDD_Usiarios_Netflix[[#This Row],[Fecha Suscripción]],"dddd")</f>
        <v>domingo</v>
      </c>
      <c r="L2389" s="1">
        <f>DATEVALUE(_xlfn.CONCAT(BBDD_Usiarios_Netflix[[#This Row],[Día Último Pago]],"/",BBDD_Usiarios_Netflix[[#This Row],[Mes Último Pago]],"/",BBDD_Usiarios_Netflix[[#This Row],[Año Último Pago]]))</f>
        <v>45485</v>
      </c>
      <c r="M2389" s="4">
        <f>DATEDIF(BBDD_Usiarios_Netflix[[#This Row],[Fecha Suscripción]],BBDD_Usiarios_Netflix[[#This Row],[Fecha Último Pago]],"M")+1</f>
        <v>9</v>
      </c>
      <c r="N2389" s="4">
        <f>BBDD_Usiarios_Netflix[[#This Row],[Ingresos Mensuales]]*BBDD_Usiarios_Netflix[[#This Row],[Meses contratados]]</f>
        <v>108</v>
      </c>
      <c r="O2389" t="s">
        <v>37</v>
      </c>
      <c r="P2389" t="str">
        <f>IF(BBDD_Usiarios_Netflix[[#This Row],[País]]="","Desconocido",BBDD_Usiarios_Netflix[[#This Row],[País]])</f>
        <v>Brasil</v>
      </c>
      <c r="Q2389">
        <v>30</v>
      </c>
      <c r="R2389" t="s">
        <v>25</v>
      </c>
      <c r="S2389" t="s">
        <v>31</v>
      </c>
      <c r="T2389" t="s">
        <v>41</v>
      </c>
      <c r="U2389">
        <f>IF(IFERROR(VLOOKUP(BBDD_Usiarios_Netflix[[#This Row],[Identificador Usuario]],A2390:$A$5870,1,FALSE),0)&lt;&gt;0,1,0)</f>
        <v>0</v>
      </c>
      <c r="V2389" s="6" t="str">
        <f>IF(BBDD_Usiarios_Netflix[[#This Row],[Duración Plan]]="12 Meses",LEFT(BBDD_Usiarios_Netflix[[#This Row],[Duración Plan]],2),LEFT(BBDD_Usiarios_Netflix[[#This Row],[Duración Plan]],1))</f>
        <v>12</v>
      </c>
      <c r="W23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90" spans="1:23" x14ac:dyDescent="0.25">
      <c r="A2390">
        <v>2389</v>
      </c>
      <c r="B2390" t="s">
        <v>32</v>
      </c>
      <c r="C2390">
        <v>12</v>
      </c>
      <c r="D2390" s="3">
        <v>11</v>
      </c>
      <c r="E2390" s="3">
        <v>11</v>
      </c>
      <c r="F2390">
        <v>23</v>
      </c>
      <c r="G2390" s="1">
        <f>DATEVALUE(_xlfn.CONCAT(BBDD_Usiarios_Netflix[[#This Row],[Día Suscripción]],"/",BBDD_Usiarios_Netflix[[#This Row],[Mes Suscripción]],"/",BBDD_Usiarios_Netflix[[#This Row],[Año Suscripción]]))</f>
        <v>45241</v>
      </c>
      <c r="H2390" s="1">
        <v>12</v>
      </c>
      <c r="I2390" s="1">
        <v>7</v>
      </c>
      <c r="J2390" s="1">
        <v>24</v>
      </c>
      <c r="K2390" s="1" t="str">
        <f>TEXT(BBDD_Usiarios_Netflix[[#This Row],[Fecha Suscripción]],"dddd")</f>
        <v>sábado</v>
      </c>
      <c r="L2390" s="1">
        <f>DATEVALUE(_xlfn.CONCAT(BBDD_Usiarios_Netflix[[#This Row],[Día Último Pago]],"/",BBDD_Usiarios_Netflix[[#This Row],[Mes Último Pago]],"/",BBDD_Usiarios_Netflix[[#This Row],[Año Último Pago]]))</f>
        <v>45485</v>
      </c>
      <c r="M2390" s="4">
        <f>DATEDIF(BBDD_Usiarios_Netflix[[#This Row],[Fecha Suscripción]],BBDD_Usiarios_Netflix[[#This Row],[Fecha Último Pago]],"M")+1</f>
        <v>9</v>
      </c>
      <c r="N2390" s="4">
        <f>BBDD_Usiarios_Netflix[[#This Row],[Ingresos Mensuales]]*BBDD_Usiarios_Netflix[[#This Row],[Meses contratados]]</f>
        <v>108</v>
      </c>
      <c r="O2390" t="s">
        <v>45</v>
      </c>
      <c r="P2390" t="str">
        <f>IF(BBDD_Usiarios_Netflix[[#This Row],[País]]="","Desconocido",BBDD_Usiarios_Netflix[[#This Row],[País]])</f>
        <v>España</v>
      </c>
      <c r="Q2390">
        <v>36</v>
      </c>
      <c r="R2390" t="s">
        <v>30</v>
      </c>
      <c r="S2390" t="s">
        <v>34</v>
      </c>
      <c r="T2390" t="s">
        <v>35</v>
      </c>
      <c r="U2390">
        <f>IF(IFERROR(VLOOKUP(BBDD_Usiarios_Netflix[[#This Row],[Identificador Usuario]],A2391:$A$5870,1,FALSE),0)&lt;&gt;0,1,0)</f>
        <v>0</v>
      </c>
      <c r="V2390" s="6" t="str">
        <f>IF(BBDD_Usiarios_Netflix[[#This Row],[Duración Plan]]="12 Meses",LEFT(BBDD_Usiarios_Netflix[[#This Row],[Duración Plan]],2),LEFT(BBDD_Usiarios_Netflix[[#This Row],[Duración Plan]],1))</f>
        <v>6</v>
      </c>
      <c r="W23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91" spans="1:23" x14ac:dyDescent="0.25">
      <c r="A2391">
        <v>2390</v>
      </c>
      <c r="B2391" t="s">
        <v>23</v>
      </c>
      <c r="C2391">
        <v>10</v>
      </c>
      <c r="D2391" s="3">
        <v>11</v>
      </c>
      <c r="E2391" s="3">
        <v>11</v>
      </c>
      <c r="F2391">
        <v>23</v>
      </c>
      <c r="G2391" s="1">
        <f>DATEVALUE(_xlfn.CONCAT(BBDD_Usiarios_Netflix[[#This Row],[Día Suscripción]],"/",BBDD_Usiarios_Netflix[[#This Row],[Mes Suscripción]],"/",BBDD_Usiarios_Netflix[[#This Row],[Año Suscripción]]))</f>
        <v>45241</v>
      </c>
      <c r="H2391" s="1">
        <v>12</v>
      </c>
      <c r="I2391" s="1">
        <v>7</v>
      </c>
      <c r="J2391" s="1">
        <v>24</v>
      </c>
      <c r="K2391" s="1" t="str">
        <f>TEXT(BBDD_Usiarios_Netflix[[#This Row],[Fecha Suscripción]],"dddd")</f>
        <v>sábado</v>
      </c>
      <c r="L2391" s="1">
        <f>DATEVALUE(_xlfn.CONCAT(BBDD_Usiarios_Netflix[[#This Row],[Día Último Pago]],"/",BBDD_Usiarios_Netflix[[#This Row],[Mes Último Pago]],"/",BBDD_Usiarios_Netflix[[#This Row],[Año Último Pago]]))</f>
        <v>45485</v>
      </c>
      <c r="M2391" s="4">
        <f>DATEDIF(BBDD_Usiarios_Netflix[[#This Row],[Fecha Suscripción]],BBDD_Usiarios_Netflix[[#This Row],[Fecha Último Pago]],"M")+1</f>
        <v>9</v>
      </c>
      <c r="N2391" s="4">
        <f>BBDD_Usiarios_Netflix[[#This Row],[Ingresos Mensuales]]*BBDD_Usiarios_Netflix[[#This Row],[Meses contratados]]</f>
        <v>90</v>
      </c>
      <c r="O2391" t="s">
        <v>45</v>
      </c>
      <c r="P2391" t="str">
        <f>IF(BBDD_Usiarios_Netflix[[#This Row],[País]]="","Desconocido",BBDD_Usiarios_Netflix[[#This Row],[País]])</f>
        <v>España</v>
      </c>
      <c r="Q2391">
        <v>33</v>
      </c>
      <c r="R2391" t="s">
        <v>30</v>
      </c>
      <c r="S2391" t="s">
        <v>26</v>
      </c>
      <c r="T2391" t="s">
        <v>35</v>
      </c>
      <c r="U2391">
        <f>IF(IFERROR(VLOOKUP(BBDD_Usiarios_Netflix[[#This Row],[Identificador Usuario]],A2392:$A$5870,1,FALSE),0)&lt;&gt;0,1,0)</f>
        <v>0</v>
      </c>
      <c r="V2391" s="6" t="str">
        <f>IF(BBDD_Usiarios_Netflix[[#This Row],[Duración Plan]]="12 Meses",LEFT(BBDD_Usiarios_Netflix[[#This Row],[Duración Plan]],2),LEFT(BBDD_Usiarios_Netflix[[#This Row],[Duración Plan]],1))</f>
        <v>6</v>
      </c>
      <c r="W23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92" spans="1:23" x14ac:dyDescent="0.25">
      <c r="A2392">
        <v>2391</v>
      </c>
      <c r="B2392" t="s">
        <v>28</v>
      </c>
      <c r="C2392">
        <v>14</v>
      </c>
      <c r="D2392" s="3">
        <v>12</v>
      </c>
      <c r="E2392" s="3">
        <v>11</v>
      </c>
      <c r="F2392">
        <v>23</v>
      </c>
      <c r="G2392" s="1">
        <f>DATEVALUE(_xlfn.CONCAT(BBDD_Usiarios_Netflix[[#This Row],[Día Suscripción]],"/",BBDD_Usiarios_Netflix[[#This Row],[Mes Suscripción]],"/",BBDD_Usiarios_Netflix[[#This Row],[Año Suscripción]]))</f>
        <v>45242</v>
      </c>
      <c r="H2392" s="1">
        <v>10</v>
      </c>
      <c r="I2392" s="1">
        <v>7</v>
      </c>
      <c r="J2392" s="1">
        <v>24</v>
      </c>
      <c r="K2392" s="1" t="str">
        <f>TEXT(BBDD_Usiarios_Netflix[[#This Row],[Fecha Suscripción]],"dddd")</f>
        <v>domingo</v>
      </c>
      <c r="L2392" s="1">
        <f>DATEVALUE(_xlfn.CONCAT(BBDD_Usiarios_Netflix[[#This Row],[Día Último Pago]],"/",BBDD_Usiarios_Netflix[[#This Row],[Mes Último Pago]],"/",BBDD_Usiarios_Netflix[[#This Row],[Año Último Pago]]))</f>
        <v>45483</v>
      </c>
      <c r="M2392" s="4">
        <f>DATEDIF(BBDD_Usiarios_Netflix[[#This Row],[Fecha Suscripción]],BBDD_Usiarios_Netflix[[#This Row],[Fecha Último Pago]],"M")+1</f>
        <v>8</v>
      </c>
      <c r="N2392" s="4">
        <f>BBDD_Usiarios_Netflix[[#This Row],[Ingresos Mensuales]]*BBDD_Usiarios_Netflix[[#This Row],[Meses contratados]]</f>
        <v>112</v>
      </c>
      <c r="O2392" t="s">
        <v>33</v>
      </c>
      <c r="P2392" t="str">
        <f>IF(BBDD_Usiarios_Netflix[[#This Row],[País]]="","Desconocido",BBDD_Usiarios_Netflix[[#This Row],[País]])</f>
        <v>Francia</v>
      </c>
      <c r="Q2392">
        <v>35</v>
      </c>
      <c r="R2392" t="s">
        <v>30</v>
      </c>
      <c r="S2392" t="s">
        <v>31</v>
      </c>
      <c r="T2392" t="s">
        <v>35</v>
      </c>
      <c r="U2392">
        <f>IF(IFERROR(VLOOKUP(BBDD_Usiarios_Netflix[[#This Row],[Identificador Usuario]],A2393:$A$5870,1,FALSE),0)&lt;&gt;0,1,0)</f>
        <v>0</v>
      </c>
      <c r="V2392" s="6" t="str">
        <f>IF(BBDD_Usiarios_Netflix[[#This Row],[Duración Plan]]="12 Meses",LEFT(BBDD_Usiarios_Netflix[[#This Row],[Duración Plan]],2),LEFT(BBDD_Usiarios_Netflix[[#This Row],[Duración Plan]],1))</f>
        <v>6</v>
      </c>
      <c r="W23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93" spans="1:23" x14ac:dyDescent="0.25">
      <c r="A2393">
        <v>2392</v>
      </c>
      <c r="B2393" t="s">
        <v>23</v>
      </c>
      <c r="C2393">
        <v>10</v>
      </c>
      <c r="D2393" s="3">
        <v>11</v>
      </c>
      <c r="E2393" s="3">
        <v>11</v>
      </c>
      <c r="F2393">
        <v>23</v>
      </c>
      <c r="G2393" s="1">
        <f>DATEVALUE(_xlfn.CONCAT(BBDD_Usiarios_Netflix[[#This Row],[Día Suscripción]],"/",BBDD_Usiarios_Netflix[[#This Row],[Mes Suscripción]],"/",BBDD_Usiarios_Netflix[[#This Row],[Año Suscripción]]))</f>
        <v>45241</v>
      </c>
      <c r="H2393" s="1">
        <v>12</v>
      </c>
      <c r="I2393" s="1">
        <v>7</v>
      </c>
      <c r="J2393" s="1">
        <v>24</v>
      </c>
      <c r="K2393" s="1" t="str">
        <f>TEXT(BBDD_Usiarios_Netflix[[#This Row],[Fecha Suscripción]],"dddd")</f>
        <v>sábado</v>
      </c>
      <c r="L2393" s="1">
        <f>DATEVALUE(_xlfn.CONCAT(BBDD_Usiarios_Netflix[[#This Row],[Día Último Pago]],"/",BBDD_Usiarios_Netflix[[#This Row],[Mes Último Pago]],"/",BBDD_Usiarios_Netflix[[#This Row],[Año Último Pago]]))</f>
        <v>45485</v>
      </c>
      <c r="M2393" s="4">
        <f>DATEDIF(BBDD_Usiarios_Netflix[[#This Row],[Fecha Suscripción]],BBDD_Usiarios_Netflix[[#This Row],[Fecha Último Pago]],"M")+1</f>
        <v>9</v>
      </c>
      <c r="N2393" s="4">
        <f>BBDD_Usiarios_Netflix[[#This Row],[Ingresos Mensuales]]*BBDD_Usiarios_Netflix[[#This Row],[Meses contratados]]</f>
        <v>90</v>
      </c>
      <c r="O2393" t="s">
        <v>29</v>
      </c>
      <c r="P2393" t="str">
        <f>IF(BBDD_Usiarios_Netflix[[#This Row],[País]]="","Desconocido",BBDD_Usiarios_Netflix[[#This Row],[País]])</f>
        <v>EEUU</v>
      </c>
      <c r="Q2393">
        <v>46</v>
      </c>
      <c r="R2393" t="s">
        <v>25</v>
      </c>
      <c r="S2393" t="s">
        <v>31</v>
      </c>
      <c r="T2393" t="s">
        <v>35</v>
      </c>
      <c r="U2393">
        <f>IF(IFERROR(VLOOKUP(BBDD_Usiarios_Netflix[[#This Row],[Identificador Usuario]],A2394:$A$5870,1,FALSE),0)&lt;&gt;0,1,0)</f>
        <v>0</v>
      </c>
      <c r="V2393" s="6" t="str">
        <f>IF(BBDD_Usiarios_Netflix[[#This Row],[Duración Plan]]="12 Meses",LEFT(BBDD_Usiarios_Netflix[[#This Row],[Duración Plan]],2),LEFT(BBDD_Usiarios_Netflix[[#This Row],[Duración Plan]],1))</f>
        <v>6</v>
      </c>
      <c r="W23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394" spans="1:23" x14ac:dyDescent="0.25">
      <c r="A2394">
        <v>2393</v>
      </c>
      <c r="B2394" t="s">
        <v>32</v>
      </c>
      <c r="C2394">
        <v>12</v>
      </c>
      <c r="D2394" s="3">
        <v>7</v>
      </c>
      <c r="E2394" s="3">
        <v>11</v>
      </c>
      <c r="F2394">
        <v>23</v>
      </c>
      <c r="G2394" s="1">
        <f>DATEVALUE(_xlfn.CONCAT(BBDD_Usiarios_Netflix[[#This Row],[Día Suscripción]],"/",BBDD_Usiarios_Netflix[[#This Row],[Mes Suscripción]],"/",BBDD_Usiarios_Netflix[[#This Row],[Año Suscripción]]))</f>
        <v>45237</v>
      </c>
      <c r="H2394" s="1">
        <v>11</v>
      </c>
      <c r="I2394" s="1">
        <v>7</v>
      </c>
      <c r="J2394" s="1">
        <v>24</v>
      </c>
      <c r="K2394" s="1" t="str">
        <f>TEXT(BBDD_Usiarios_Netflix[[#This Row],[Fecha Suscripción]],"dddd")</f>
        <v>martes</v>
      </c>
      <c r="L2394" s="1">
        <f>DATEVALUE(_xlfn.CONCAT(BBDD_Usiarios_Netflix[[#This Row],[Día Último Pago]],"/",BBDD_Usiarios_Netflix[[#This Row],[Mes Último Pago]],"/",BBDD_Usiarios_Netflix[[#This Row],[Año Último Pago]]))</f>
        <v>45484</v>
      </c>
      <c r="M2394" s="4">
        <f>DATEDIF(BBDD_Usiarios_Netflix[[#This Row],[Fecha Suscripción]],BBDD_Usiarios_Netflix[[#This Row],[Fecha Último Pago]],"M")+1</f>
        <v>9</v>
      </c>
      <c r="N2394" s="4">
        <f>BBDD_Usiarios_Netflix[[#This Row],[Ingresos Mensuales]]*BBDD_Usiarios_Netflix[[#This Row],[Meses contratados]]</f>
        <v>108</v>
      </c>
      <c r="O2394" t="s">
        <v>43</v>
      </c>
      <c r="P2394" t="str">
        <f>IF(BBDD_Usiarios_Netflix[[#This Row],[País]]="","Desconocido",BBDD_Usiarios_Netflix[[#This Row],[País]])</f>
        <v>Alemania</v>
      </c>
      <c r="Q2394">
        <v>51</v>
      </c>
      <c r="R2394" t="s">
        <v>30</v>
      </c>
      <c r="S2394" t="s">
        <v>31</v>
      </c>
      <c r="T2394" t="s">
        <v>41</v>
      </c>
      <c r="U2394">
        <f>IF(IFERROR(VLOOKUP(BBDD_Usiarios_Netflix[[#This Row],[Identificador Usuario]],A2395:$A$5870,1,FALSE),0)&lt;&gt;0,1,0)</f>
        <v>0</v>
      </c>
      <c r="V2394" s="6" t="str">
        <f>IF(BBDD_Usiarios_Netflix[[#This Row],[Duración Plan]]="12 Meses",LEFT(BBDD_Usiarios_Netflix[[#This Row],[Duración Plan]],2),LEFT(BBDD_Usiarios_Netflix[[#This Row],[Duración Plan]],1))</f>
        <v>12</v>
      </c>
      <c r="W23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95" spans="1:23" x14ac:dyDescent="0.25">
      <c r="A2395">
        <v>2394</v>
      </c>
      <c r="B2395" t="s">
        <v>28</v>
      </c>
      <c r="C2395">
        <v>14</v>
      </c>
      <c r="D2395" s="3">
        <v>5</v>
      </c>
      <c r="E2395" s="3">
        <v>11</v>
      </c>
      <c r="F2395">
        <v>23</v>
      </c>
      <c r="G2395" s="1">
        <f>DATEVALUE(_xlfn.CONCAT(BBDD_Usiarios_Netflix[[#This Row],[Día Suscripción]],"/",BBDD_Usiarios_Netflix[[#This Row],[Mes Suscripción]],"/",BBDD_Usiarios_Netflix[[#This Row],[Año Suscripción]]))</f>
        <v>45235</v>
      </c>
      <c r="H2395" s="1">
        <v>12</v>
      </c>
      <c r="I2395" s="1">
        <v>7</v>
      </c>
      <c r="J2395" s="1">
        <v>24</v>
      </c>
      <c r="K2395" s="1" t="str">
        <f>TEXT(BBDD_Usiarios_Netflix[[#This Row],[Fecha Suscripción]],"dddd")</f>
        <v>domingo</v>
      </c>
      <c r="L2395" s="1">
        <f>DATEVALUE(_xlfn.CONCAT(BBDD_Usiarios_Netflix[[#This Row],[Día Último Pago]],"/",BBDD_Usiarios_Netflix[[#This Row],[Mes Último Pago]],"/",BBDD_Usiarios_Netflix[[#This Row],[Año Último Pago]]))</f>
        <v>45485</v>
      </c>
      <c r="M2395" s="4">
        <f>DATEDIF(BBDD_Usiarios_Netflix[[#This Row],[Fecha Suscripción]],BBDD_Usiarios_Netflix[[#This Row],[Fecha Último Pago]],"M")+1</f>
        <v>9</v>
      </c>
      <c r="N2395" s="4">
        <f>BBDD_Usiarios_Netflix[[#This Row],[Ingresos Mensuales]]*BBDD_Usiarios_Netflix[[#This Row],[Meses contratados]]</f>
        <v>126</v>
      </c>
      <c r="O2395" t="s">
        <v>45</v>
      </c>
      <c r="P2395" t="str">
        <f>IF(BBDD_Usiarios_Netflix[[#This Row],[País]]="","Desconocido",BBDD_Usiarios_Netflix[[#This Row],[País]])</f>
        <v>España</v>
      </c>
      <c r="Q2395">
        <v>42</v>
      </c>
      <c r="R2395" t="s">
        <v>30</v>
      </c>
      <c r="S2395" t="s">
        <v>26</v>
      </c>
      <c r="T2395" t="s">
        <v>27</v>
      </c>
      <c r="U2395">
        <f>IF(IFERROR(VLOOKUP(BBDD_Usiarios_Netflix[[#This Row],[Identificador Usuario]],A2396:$A$5870,1,FALSE),0)&lt;&gt;0,1,0)</f>
        <v>0</v>
      </c>
      <c r="V2395" s="6" t="str">
        <f>IF(BBDD_Usiarios_Netflix[[#This Row],[Duración Plan]]="12 Meses",LEFT(BBDD_Usiarios_Netflix[[#This Row],[Duración Plan]],2),LEFT(BBDD_Usiarios_Netflix[[#This Row],[Duración Plan]],1))</f>
        <v>1</v>
      </c>
      <c r="W23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96" spans="1:23" x14ac:dyDescent="0.25">
      <c r="A2396">
        <v>2395</v>
      </c>
      <c r="B2396" t="s">
        <v>23</v>
      </c>
      <c r="C2396">
        <v>10</v>
      </c>
      <c r="D2396" s="3">
        <v>2</v>
      </c>
      <c r="E2396" s="3">
        <v>11</v>
      </c>
      <c r="F2396">
        <v>23</v>
      </c>
      <c r="G2396" s="1">
        <f>DATEVALUE(_xlfn.CONCAT(BBDD_Usiarios_Netflix[[#This Row],[Día Suscripción]],"/",BBDD_Usiarios_Netflix[[#This Row],[Mes Suscripción]],"/",BBDD_Usiarios_Netflix[[#This Row],[Año Suscripción]]))</f>
        <v>45232</v>
      </c>
      <c r="H2396" s="1">
        <v>11</v>
      </c>
      <c r="I2396" s="1">
        <v>7</v>
      </c>
      <c r="J2396" s="1">
        <v>24</v>
      </c>
      <c r="K2396" s="1" t="str">
        <f>TEXT(BBDD_Usiarios_Netflix[[#This Row],[Fecha Suscripción]],"dddd")</f>
        <v>jueves</v>
      </c>
      <c r="L2396" s="1">
        <f>DATEVALUE(_xlfn.CONCAT(BBDD_Usiarios_Netflix[[#This Row],[Día Último Pago]],"/",BBDD_Usiarios_Netflix[[#This Row],[Mes Último Pago]],"/",BBDD_Usiarios_Netflix[[#This Row],[Año Último Pago]]))</f>
        <v>45484</v>
      </c>
      <c r="M2396" s="4">
        <f>DATEDIF(BBDD_Usiarios_Netflix[[#This Row],[Fecha Suscripción]],BBDD_Usiarios_Netflix[[#This Row],[Fecha Último Pago]],"M")+1</f>
        <v>9</v>
      </c>
      <c r="N2396" s="4">
        <f>BBDD_Usiarios_Netflix[[#This Row],[Ingresos Mensuales]]*BBDD_Usiarios_Netflix[[#This Row],[Meses contratados]]</f>
        <v>90</v>
      </c>
      <c r="O2396" t="s">
        <v>29</v>
      </c>
      <c r="P2396" t="str">
        <f>IF(BBDD_Usiarios_Netflix[[#This Row],[País]]="","Desconocido",BBDD_Usiarios_Netflix[[#This Row],[País]])</f>
        <v>EEUU</v>
      </c>
      <c r="Q2396">
        <v>30</v>
      </c>
      <c r="R2396" t="s">
        <v>30</v>
      </c>
      <c r="S2396" t="s">
        <v>34</v>
      </c>
      <c r="T2396" t="s">
        <v>41</v>
      </c>
      <c r="U2396">
        <f>IF(IFERROR(VLOOKUP(BBDD_Usiarios_Netflix[[#This Row],[Identificador Usuario]],A2397:$A$5870,1,FALSE),0)&lt;&gt;0,1,0)</f>
        <v>0</v>
      </c>
      <c r="V2396" s="6" t="str">
        <f>IF(BBDD_Usiarios_Netflix[[#This Row],[Duración Plan]]="12 Meses",LEFT(BBDD_Usiarios_Netflix[[#This Row],[Duración Plan]],2),LEFT(BBDD_Usiarios_Netflix[[#This Row],[Duración Plan]],1))</f>
        <v>12</v>
      </c>
      <c r="W23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97" spans="1:23" x14ac:dyDescent="0.25">
      <c r="A2397">
        <v>2396</v>
      </c>
      <c r="B2397" t="s">
        <v>23</v>
      </c>
      <c r="C2397">
        <v>10</v>
      </c>
      <c r="D2397" s="3">
        <v>31</v>
      </c>
      <c r="E2397" s="3">
        <v>10</v>
      </c>
      <c r="F2397">
        <v>23</v>
      </c>
      <c r="G2397" s="1">
        <f>DATEVALUE(_xlfn.CONCAT(BBDD_Usiarios_Netflix[[#This Row],[Día Suscripción]],"/",BBDD_Usiarios_Netflix[[#This Row],[Mes Suscripción]],"/",BBDD_Usiarios_Netflix[[#This Row],[Año Suscripción]]))</f>
        <v>45230</v>
      </c>
      <c r="H2397" s="1">
        <v>13</v>
      </c>
      <c r="I2397" s="1">
        <v>7</v>
      </c>
      <c r="J2397" s="1">
        <v>24</v>
      </c>
      <c r="K2397" s="1" t="str">
        <f>TEXT(BBDD_Usiarios_Netflix[[#This Row],[Fecha Suscripción]],"dddd")</f>
        <v>martes</v>
      </c>
      <c r="L2397" s="1">
        <f>DATEVALUE(_xlfn.CONCAT(BBDD_Usiarios_Netflix[[#This Row],[Día Último Pago]],"/",BBDD_Usiarios_Netflix[[#This Row],[Mes Último Pago]],"/",BBDD_Usiarios_Netflix[[#This Row],[Año Último Pago]]))</f>
        <v>45486</v>
      </c>
      <c r="M2397" s="4">
        <f>DATEDIF(BBDD_Usiarios_Netflix[[#This Row],[Fecha Suscripción]],BBDD_Usiarios_Netflix[[#This Row],[Fecha Último Pago]],"M")+1</f>
        <v>9</v>
      </c>
      <c r="N2397" s="4">
        <f>BBDD_Usiarios_Netflix[[#This Row],[Ingresos Mensuales]]*BBDD_Usiarios_Netflix[[#This Row],[Meses contratados]]</f>
        <v>90</v>
      </c>
      <c r="O2397" t="s">
        <v>37</v>
      </c>
      <c r="P2397" t="str">
        <f>IF(BBDD_Usiarios_Netflix[[#This Row],[País]]="","Desconocido",BBDD_Usiarios_Netflix[[#This Row],[País]])</f>
        <v>Brasil</v>
      </c>
      <c r="Q2397">
        <v>45</v>
      </c>
      <c r="R2397" t="s">
        <v>25</v>
      </c>
      <c r="S2397" t="s">
        <v>26</v>
      </c>
      <c r="T2397" t="s">
        <v>41</v>
      </c>
      <c r="U2397">
        <f>IF(IFERROR(VLOOKUP(BBDD_Usiarios_Netflix[[#This Row],[Identificador Usuario]],A2398:$A$5870,1,FALSE),0)&lt;&gt;0,1,0)</f>
        <v>0</v>
      </c>
      <c r="V2397" s="6" t="str">
        <f>IF(BBDD_Usiarios_Netflix[[#This Row],[Duración Plan]]="12 Meses",LEFT(BBDD_Usiarios_Netflix[[#This Row],[Duración Plan]],2),LEFT(BBDD_Usiarios_Netflix[[#This Row],[Duración Plan]],1))</f>
        <v>12</v>
      </c>
      <c r="W23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398" spans="1:23" x14ac:dyDescent="0.25">
      <c r="A2398">
        <v>2397</v>
      </c>
      <c r="B2398" t="s">
        <v>23</v>
      </c>
      <c r="C2398">
        <v>10</v>
      </c>
      <c r="D2398" s="3">
        <v>29</v>
      </c>
      <c r="E2398" s="3">
        <v>10</v>
      </c>
      <c r="F2398">
        <v>23</v>
      </c>
      <c r="G2398" s="1">
        <f>DATEVALUE(_xlfn.CONCAT(BBDD_Usiarios_Netflix[[#This Row],[Día Suscripción]],"/",BBDD_Usiarios_Netflix[[#This Row],[Mes Suscripción]],"/",BBDD_Usiarios_Netflix[[#This Row],[Año Suscripción]]))</f>
        <v>45228</v>
      </c>
      <c r="H2398" s="1">
        <v>11</v>
      </c>
      <c r="I2398" s="1">
        <v>7</v>
      </c>
      <c r="J2398" s="1">
        <v>24</v>
      </c>
      <c r="K2398" s="1" t="str">
        <f>TEXT(BBDD_Usiarios_Netflix[[#This Row],[Fecha Suscripción]],"dddd")</f>
        <v>domingo</v>
      </c>
      <c r="L2398" s="1">
        <f>DATEVALUE(_xlfn.CONCAT(BBDD_Usiarios_Netflix[[#This Row],[Día Último Pago]],"/",BBDD_Usiarios_Netflix[[#This Row],[Mes Último Pago]],"/",BBDD_Usiarios_Netflix[[#This Row],[Año Último Pago]]))</f>
        <v>45484</v>
      </c>
      <c r="M2398" s="4">
        <f>DATEDIF(BBDD_Usiarios_Netflix[[#This Row],[Fecha Suscripción]],BBDD_Usiarios_Netflix[[#This Row],[Fecha Último Pago]],"M")+1</f>
        <v>9</v>
      </c>
      <c r="N2398" s="4">
        <f>BBDD_Usiarios_Netflix[[#This Row],[Ingresos Mensuales]]*BBDD_Usiarios_Netflix[[#This Row],[Meses contratados]]</f>
        <v>90</v>
      </c>
      <c r="O2398" t="s">
        <v>42</v>
      </c>
      <c r="P2398" t="str">
        <f>IF(BBDD_Usiarios_Netflix[[#This Row],[País]]="","Desconocido",BBDD_Usiarios_Netflix[[#This Row],[País]])</f>
        <v>Reino Unido</v>
      </c>
      <c r="Q2398">
        <v>27</v>
      </c>
      <c r="R2398" t="s">
        <v>25</v>
      </c>
      <c r="S2398" t="s">
        <v>26</v>
      </c>
      <c r="T2398" t="s">
        <v>27</v>
      </c>
      <c r="U2398">
        <f>IF(IFERROR(VLOOKUP(BBDD_Usiarios_Netflix[[#This Row],[Identificador Usuario]],A2399:$A$5870,1,FALSE),0)&lt;&gt;0,1,0)</f>
        <v>0</v>
      </c>
      <c r="V2398" s="6" t="str">
        <f>IF(BBDD_Usiarios_Netflix[[#This Row],[Duración Plan]]="12 Meses",LEFT(BBDD_Usiarios_Netflix[[#This Row],[Duración Plan]],2),LEFT(BBDD_Usiarios_Netflix[[#This Row],[Duración Plan]],1))</f>
        <v>1</v>
      </c>
      <c r="W23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399" spans="1:23" x14ac:dyDescent="0.25">
      <c r="A2399">
        <v>2398</v>
      </c>
      <c r="B2399" t="s">
        <v>32</v>
      </c>
      <c r="C2399">
        <v>12</v>
      </c>
      <c r="D2399" s="3">
        <v>25</v>
      </c>
      <c r="E2399" s="3">
        <v>10</v>
      </c>
      <c r="F2399">
        <v>23</v>
      </c>
      <c r="G2399" s="1">
        <f>DATEVALUE(_xlfn.CONCAT(BBDD_Usiarios_Netflix[[#This Row],[Día Suscripción]],"/",BBDD_Usiarios_Netflix[[#This Row],[Mes Suscripción]],"/",BBDD_Usiarios_Netflix[[#This Row],[Año Suscripción]]))</f>
        <v>45224</v>
      </c>
      <c r="H2399" s="1">
        <v>11</v>
      </c>
      <c r="I2399" s="1">
        <v>7</v>
      </c>
      <c r="J2399" s="1">
        <v>24</v>
      </c>
      <c r="K2399" s="1" t="str">
        <f>TEXT(BBDD_Usiarios_Netflix[[#This Row],[Fecha Suscripción]],"dddd")</f>
        <v>miércoles</v>
      </c>
      <c r="L2399" s="1">
        <f>DATEVALUE(_xlfn.CONCAT(BBDD_Usiarios_Netflix[[#This Row],[Día Último Pago]],"/",BBDD_Usiarios_Netflix[[#This Row],[Mes Último Pago]],"/",BBDD_Usiarios_Netflix[[#This Row],[Año Último Pago]]))</f>
        <v>45484</v>
      </c>
      <c r="M2399" s="4">
        <f>DATEDIF(BBDD_Usiarios_Netflix[[#This Row],[Fecha Suscripción]],BBDD_Usiarios_Netflix[[#This Row],[Fecha Último Pago]],"M")+1</f>
        <v>9</v>
      </c>
      <c r="N2399" s="4">
        <f>BBDD_Usiarios_Netflix[[#This Row],[Ingresos Mensuales]]*BBDD_Usiarios_Netflix[[#This Row],[Meses contratados]]</f>
        <v>108</v>
      </c>
      <c r="O2399" t="s">
        <v>44</v>
      </c>
      <c r="P2399" t="str">
        <f>IF(BBDD_Usiarios_Netflix[[#This Row],[País]]="","Desconocido",BBDD_Usiarios_Netflix[[#This Row],[País]])</f>
        <v>Desconocido</v>
      </c>
      <c r="Q2399">
        <v>41</v>
      </c>
      <c r="R2399" t="s">
        <v>25</v>
      </c>
      <c r="S2399" t="s">
        <v>34</v>
      </c>
      <c r="T2399" t="s">
        <v>35</v>
      </c>
      <c r="U2399">
        <f>IF(IFERROR(VLOOKUP(BBDD_Usiarios_Netflix[[#This Row],[Identificador Usuario]],A2400:$A$5870,1,FALSE),0)&lt;&gt;0,1,0)</f>
        <v>0</v>
      </c>
      <c r="V2399" s="6" t="str">
        <f>IF(BBDD_Usiarios_Netflix[[#This Row],[Duración Plan]]="12 Meses",LEFT(BBDD_Usiarios_Netflix[[#This Row],[Duración Plan]],2),LEFT(BBDD_Usiarios_Netflix[[#This Row],[Duración Plan]],1))</f>
        <v>6</v>
      </c>
      <c r="W23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00" spans="1:23" x14ac:dyDescent="0.25">
      <c r="A2400">
        <v>2399</v>
      </c>
      <c r="B2400" t="s">
        <v>28</v>
      </c>
      <c r="C2400">
        <v>14</v>
      </c>
      <c r="D2400" s="3">
        <v>23</v>
      </c>
      <c r="E2400" s="3">
        <v>10</v>
      </c>
      <c r="F2400">
        <v>23</v>
      </c>
      <c r="G2400" s="1">
        <f>DATEVALUE(_xlfn.CONCAT(BBDD_Usiarios_Netflix[[#This Row],[Día Suscripción]],"/",BBDD_Usiarios_Netflix[[#This Row],[Mes Suscripción]],"/",BBDD_Usiarios_Netflix[[#This Row],[Año Suscripción]]))</f>
        <v>45222</v>
      </c>
      <c r="H2400" s="1">
        <v>10</v>
      </c>
      <c r="I2400" s="1">
        <v>7</v>
      </c>
      <c r="J2400" s="1">
        <v>24</v>
      </c>
      <c r="K2400" s="1" t="str">
        <f>TEXT(BBDD_Usiarios_Netflix[[#This Row],[Fecha Suscripción]],"dddd")</f>
        <v>lunes</v>
      </c>
      <c r="L2400" s="1">
        <f>DATEVALUE(_xlfn.CONCAT(BBDD_Usiarios_Netflix[[#This Row],[Día Último Pago]],"/",BBDD_Usiarios_Netflix[[#This Row],[Mes Último Pago]],"/",BBDD_Usiarios_Netflix[[#This Row],[Año Último Pago]]))</f>
        <v>45483</v>
      </c>
      <c r="M2400" s="4">
        <f>DATEDIF(BBDD_Usiarios_Netflix[[#This Row],[Fecha Suscripción]],BBDD_Usiarios_Netflix[[#This Row],[Fecha Último Pago]],"M")+1</f>
        <v>9</v>
      </c>
      <c r="N2400" s="4">
        <f>BBDD_Usiarios_Netflix[[#This Row],[Ingresos Mensuales]]*BBDD_Usiarios_Netflix[[#This Row],[Meses contratados]]</f>
        <v>126</v>
      </c>
      <c r="O2400" t="s">
        <v>29</v>
      </c>
      <c r="P2400" t="str">
        <f>IF(BBDD_Usiarios_Netflix[[#This Row],[País]]="","Desconocido",BBDD_Usiarios_Netflix[[#This Row],[País]])</f>
        <v>EEUU</v>
      </c>
      <c r="Q2400">
        <v>35</v>
      </c>
      <c r="R2400" t="s">
        <v>25</v>
      </c>
      <c r="S2400" t="s">
        <v>31</v>
      </c>
      <c r="T2400" t="s">
        <v>27</v>
      </c>
      <c r="U2400">
        <f>IF(IFERROR(VLOOKUP(BBDD_Usiarios_Netflix[[#This Row],[Identificador Usuario]],A2401:$A$5870,1,FALSE),0)&lt;&gt;0,1,0)</f>
        <v>0</v>
      </c>
      <c r="V2400" s="6" t="str">
        <f>IF(BBDD_Usiarios_Netflix[[#This Row],[Duración Plan]]="12 Meses",LEFT(BBDD_Usiarios_Netflix[[#This Row],[Duración Plan]],2),LEFT(BBDD_Usiarios_Netflix[[#This Row],[Duración Plan]],1))</f>
        <v>1</v>
      </c>
      <c r="W24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01" spans="1:23" x14ac:dyDescent="0.25">
      <c r="A2401">
        <v>2400</v>
      </c>
      <c r="B2401" t="s">
        <v>23</v>
      </c>
      <c r="C2401">
        <v>10</v>
      </c>
      <c r="D2401" s="3">
        <v>17</v>
      </c>
      <c r="E2401" s="3">
        <v>10</v>
      </c>
      <c r="F2401">
        <v>23</v>
      </c>
      <c r="G2401" s="1">
        <f>DATEVALUE(_xlfn.CONCAT(BBDD_Usiarios_Netflix[[#This Row],[Día Suscripción]],"/",BBDD_Usiarios_Netflix[[#This Row],[Mes Suscripción]],"/",BBDD_Usiarios_Netflix[[#This Row],[Año Suscripción]]))</f>
        <v>45216</v>
      </c>
      <c r="H2401" s="1">
        <v>13</v>
      </c>
      <c r="I2401" s="1">
        <v>7</v>
      </c>
      <c r="J2401" s="1">
        <v>24</v>
      </c>
      <c r="K2401" s="1" t="str">
        <f>TEXT(BBDD_Usiarios_Netflix[[#This Row],[Fecha Suscripción]],"dddd")</f>
        <v>martes</v>
      </c>
      <c r="L2401" s="1">
        <f>DATEVALUE(_xlfn.CONCAT(BBDD_Usiarios_Netflix[[#This Row],[Día Último Pago]],"/",BBDD_Usiarios_Netflix[[#This Row],[Mes Último Pago]],"/",BBDD_Usiarios_Netflix[[#This Row],[Año Último Pago]]))</f>
        <v>45486</v>
      </c>
      <c r="M2401" s="4">
        <f>DATEDIF(BBDD_Usiarios_Netflix[[#This Row],[Fecha Suscripción]],BBDD_Usiarios_Netflix[[#This Row],[Fecha Último Pago]],"M")+1</f>
        <v>9</v>
      </c>
      <c r="N2401" s="4">
        <f>BBDD_Usiarios_Netflix[[#This Row],[Ingresos Mensuales]]*BBDD_Usiarios_Netflix[[#This Row],[Meses contratados]]</f>
        <v>90</v>
      </c>
      <c r="O2401" t="s">
        <v>33</v>
      </c>
      <c r="P2401" t="str">
        <f>IF(BBDD_Usiarios_Netflix[[#This Row],[País]]="","Desconocido",BBDD_Usiarios_Netflix[[#This Row],[País]])</f>
        <v>Francia</v>
      </c>
      <c r="Q2401">
        <v>30</v>
      </c>
      <c r="R2401" t="s">
        <v>25</v>
      </c>
      <c r="S2401" t="s">
        <v>36</v>
      </c>
      <c r="T2401" t="s">
        <v>38</v>
      </c>
      <c r="U2401">
        <f>IF(IFERROR(VLOOKUP(BBDD_Usiarios_Netflix[[#This Row],[Identificador Usuario]],A2402:$A$5870,1,FALSE),0)&lt;&gt;0,1,0)</f>
        <v>0</v>
      </c>
      <c r="V2401" s="6" t="str">
        <f>IF(BBDD_Usiarios_Netflix[[#This Row],[Duración Plan]]="12 Meses",LEFT(BBDD_Usiarios_Netflix[[#This Row],[Duración Plan]],2),LEFT(BBDD_Usiarios_Netflix[[#This Row],[Duración Plan]],1))</f>
        <v>3</v>
      </c>
      <c r="W24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02" spans="1:23" x14ac:dyDescent="0.25">
      <c r="A2402">
        <v>2401</v>
      </c>
      <c r="B2402" t="s">
        <v>23</v>
      </c>
      <c r="C2402">
        <v>10</v>
      </c>
      <c r="D2402" s="3">
        <v>16</v>
      </c>
      <c r="E2402" s="3">
        <v>10</v>
      </c>
      <c r="F2402">
        <v>23</v>
      </c>
      <c r="G2402" s="1">
        <f>DATEVALUE(_xlfn.CONCAT(BBDD_Usiarios_Netflix[[#This Row],[Día Suscripción]],"/",BBDD_Usiarios_Netflix[[#This Row],[Mes Suscripción]],"/",BBDD_Usiarios_Netflix[[#This Row],[Año Suscripción]]))</f>
        <v>45215</v>
      </c>
      <c r="H2402" s="1">
        <v>11</v>
      </c>
      <c r="I2402" s="1">
        <v>7</v>
      </c>
      <c r="J2402" s="1">
        <v>24</v>
      </c>
      <c r="K2402" s="1" t="str">
        <f>TEXT(BBDD_Usiarios_Netflix[[#This Row],[Fecha Suscripción]],"dddd")</f>
        <v>lunes</v>
      </c>
      <c r="L2402" s="1">
        <f>DATEVALUE(_xlfn.CONCAT(BBDD_Usiarios_Netflix[[#This Row],[Día Último Pago]],"/",BBDD_Usiarios_Netflix[[#This Row],[Mes Último Pago]],"/",BBDD_Usiarios_Netflix[[#This Row],[Año Último Pago]]))</f>
        <v>45484</v>
      </c>
      <c r="M2402" s="4">
        <f>DATEDIF(BBDD_Usiarios_Netflix[[#This Row],[Fecha Suscripción]],BBDD_Usiarios_Netflix[[#This Row],[Fecha Último Pago]],"M")+1</f>
        <v>9</v>
      </c>
      <c r="N2402" s="4">
        <f>BBDD_Usiarios_Netflix[[#This Row],[Ingresos Mensuales]]*BBDD_Usiarios_Netflix[[#This Row],[Meses contratados]]</f>
        <v>90</v>
      </c>
      <c r="O2402" t="s">
        <v>42</v>
      </c>
      <c r="P2402" t="str">
        <f>IF(BBDD_Usiarios_Netflix[[#This Row],[País]]="","Desconocido",BBDD_Usiarios_Netflix[[#This Row],[País]])</f>
        <v>Reino Unido</v>
      </c>
      <c r="Q2402">
        <v>35</v>
      </c>
      <c r="R2402" t="s">
        <v>30</v>
      </c>
      <c r="S2402" t="s">
        <v>36</v>
      </c>
      <c r="T2402" t="s">
        <v>38</v>
      </c>
      <c r="U2402">
        <f>IF(IFERROR(VLOOKUP(BBDD_Usiarios_Netflix[[#This Row],[Identificador Usuario]],A2403:$A$5870,1,FALSE),0)&lt;&gt;0,1,0)</f>
        <v>0</v>
      </c>
      <c r="V2402" s="6" t="str">
        <f>IF(BBDD_Usiarios_Netflix[[#This Row],[Duración Plan]]="12 Meses",LEFT(BBDD_Usiarios_Netflix[[#This Row],[Duración Plan]],2),LEFT(BBDD_Usiarios_Netflix[[#This Row],[Duración Plan]],1))</f>
        <v>3</v>
      </c>
      <c r="W240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03" spans="1:23" x14ac:dyDescent="0.25">
      <c r="A2403">
        <v>2402</v>
      </c>
      <c r="B2403" t="s">
        <v>28</v>
      </c>
      <c r="C2403">
        <v>14</v>
      </c>
      <c r="D2403" s="3">
        <v>5</v>
      </c>
      <c r="E2403" s="3">
        <v>10</v>
      </c>
      <c r="F2403">
        <v>23</v>
      </c>
      <c r="G2403" s="1">
        <f>DATEVALUE(_xlfn.CONCAT(BBDD_Usiarios_Netflix[[#This Row],[Día Suscripción]],"/",BBDD_Usiarios_Netflix[[#This Row],[Mes Suscripción]],"/",BBDD_Usiarios_Netflix[[#This Row],[Año Suscripción]]))</f>
        <v>45204</v>
      </c>
      <c r="H2403" s="1">
        <v>11</v>
      </c>
      <c r="I2403" s="1">
        <v>7</v>
      </c>
      <c r="J2403" s="1">
        <v>24</v>
      </c>
      <c r="K2403" s="1" t="str">
        <f>TEXT(BBDD_Usiarios_Netflix[[#This Row],[Fecha Suscripción]],"dddd")</f>
        <v>jueves</v>
      </c>
      <c r="L2403" s="1">
        <f>DATEVALUE(_xlfn.CONCAT(BBDD_Usiarios_Netflix[[#This Row],[Día Último Pago]],"/",BBDD_Usiarios_Netflix[[#This Row],[Mes Último Pago]],"/",BBDD_Usiarios_Netflix[[#This Row],[Año Último Pago]]))</f>
        <v>45484</v>
      </c>
      <c r="M2403" s="4">
        <f>DATEDIF(BBDD_Usiarios_Netflix[[#This Row],[Fecha Suscripción]],BBDD_Usiarios_Netflix[[#This Row],[Fecha Último Pago]],"M")+1</f>
        <v>10</v>
      </c>
      <c r="N2403" s="4">
        <f>BBDD_Usiarios_Netflix[[#This Row],[Ingresos Mensuales]]*BBDD_Usiarios_Netflix[[#This Row],[Meses contratados]]</f>
        <v>140</v>
      </c>
      <c r="O2403" t="s">
        <v>29</v>
      </c>
      <c r="P2403" t="str">
        <f>IF(BBDD_Usiarios_Netflix[[#This Row],[País]]="","Desconocido",BBDD_Usiarios_Netflix[[#This Row],[País]])</f>
        <v>EEUU</v>
      </c>
      <c r="Q2403">
        <v>47</v>
      </c>
      <c r="R2403" t="s">
        <v>30</v>
      </c>
      <c r="S2403" t="s">
        <v>26</v>
      </c>
      <c r="T2403" t="s">
        <v>38</v>
      </c>
      <c r="U2403">
        <f>IF(IFERROR(VLOOKUP(BBDD_Usiarios_Netflix[[#This Row],[Identificador Usuario]],A2404:$A$5870,1,FALSE),0)&lt;&gt;0,1,0)</f>
        <v>0</v>
      </c>
      <c r="V2403" s="6" t="str">
        <f>IF(BBDD_Usiarios_Netflix[[#This Row],[Duración Plan]]="12 Meses",LEFT(BBDD_Usiarios_Netflix[[#This Row],[Duración Plan]],2),LEFT(BBDD_Usiarios_Netflix[[#This Row],[Duración Plan]],1))</f>
        <v>3</v>
      </c>
      <c r="W240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04" spans="1:23" x14ac:dyDescent="0.25">
      <c r="A2404">
        <v>2403</v>
      </c>
      <c r="B2404" t="s">
        <v>32</v>
      </c>
      <c r="C2404">
        <v>12</v>
      </c>
      <c r="D2404" s="3">
        <v>17</v>
      </c>
      <c r="E2404" s="3">
        <v>9</v>
      </c>
      <c r="F2404">
        <v>23</v>
      </c>
      <c r="G2404" s="1">
        <f>DATEVALUE(_xlfn.CONCAT(BBDD_Usiarios_Netflix[[#This Row],[Día Suscripción]],"/",BBDD_Usiarios_Netflix[[#This Row],[Mes Suscripción]],"/",BBDD_Usiarios_Netflix[[#This Row],[Año Suscripción]]))</f>
        <v>45186</v>
      </c>
      <c r="H2404" s="1">
        <v>11</v>
      </c>
      <c r="I2404" s="1">
        <v>7</v>
      </c>
      <c r="J2404" s="1">
        <v>24</v>
      </c>
      <c r="K2404" s="1" t="str">
        <f>TEXT(BBDD_Usiarios_Netflix[[#This Row],[Fecha Suscripción]],"dddd")</f>
        <v>domingo</v>
      </c>
      <c r="L2404" s="1">
        <f>DATEVALUE(_xlfn.CONCAT(BBDD_Usiarios_Netflix[[#This Row],[Día Último Pago]],"/",BBDD_Usiarios_Netflix[[#This Row],[Mes Último Pago]],"/",BBDD_Usiarios_Netflix[[#This Row],[Año Último Pago]]))</f>
        <v>45484</v>
      </c>
      <c r="M2404" s="4">
        <f>DATEDIF(BBDD_Usiarios_Netflix[[#This Row],[Fecha Suscripción]],BBDD_Usiarios_Netflix[[#This Row],[Fecha Último Pago]],"M")+1</f>
        <v>10</v>
      </c>
      <c r="N2404" s="4">
        <f>BBDD_Usiarios_Netflix[[#This Row],[Ingresos Mensuales]]*BBDD_Usiarios_Netflix[[#This Row],[Meses contratados]]</f>
        <v>120</v>
      </c>
      <c r="O2404" t="s">
        <v>40</v>
      </c>
      <c r="P2404" t="str">
        <f>IF(BBDD_Usiarios_Netflix[[#This Row],[País]]="","Desconocido",BBDD_Usiarios_Netflix[[#This Row],[País]])</f>
        <v>Italia</v>
      </c>
      <c r="Q2404">
        <v>41</v>
      </c>
      <c r="R2404" t="s">
        <v>25</v>
      </c>
      <c r="S2404" t="s">
        <v>36</v>
      </c>
      <c r="T2404" t="s">
        <v>41</v>
      </c>
      <c r="U2404">
        <f>IF(IFERROR(VLOOKUP(BBDD_Usiarios_Netflix[[#This Row],[Identificador Usuario]],A2405:$A$5870,1,FALSE),0)&lt;&gt;0,1,0)</f>
        <v>0</v>
      </c>
      <c r="V2404" s="6" t="str">
        <f>IF(BBDD_Usiarios_Netflix[[#This Row],[Duración Plan]]="12 Meses",LEFT(BBDD_Usiarios_Netflix[[#This Row],[Duración Plan]],2),LEFT(BBDD_Usiarios_Netflix[[#This Row],[Duración Plan]],1))</f>
        <v>12</v>
      </c>
      <c r="W240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05" spans="1:23" x14ac:dyDescent="0.25">
      <c r="A2405">
        <v>2404</v>
      </c>
      <c r="B2405" t="s">
        <v>32</v>
      </c>
      <c r="C2405">
        <v>12</v>
      </c>
      <c r="D2405" s="3">
        <v>17</v>
      </c>
      <c r="E2405" s="3">
        <v>9</v>
      </c>
      <c r="F2405">
        <v>23</v>
      </c>
      <c r="G2405" s="1">
        <f>DATEVALUE(_xlfn.CONCAT(BBDD_Usiarios_Netflix[[#This Row],[Día Suscripción]],"/",BBDD_Usiarios_Netflix[[#This Row],[Mes Suscripción]],"/",BBDD_Usiarios_Netflix[[#This Row],[Año Suscripción]]))</f>
        <v>45186</v>
      </c>
      <c r="H2405" s="1">
        <v>12</v>
      </c>
      <c r="I2405" s="1">
        <v>7</v>
      </c>
      <c r="J2405" s="1">
        <v>24</v>
      </c>
      <c r="K2405" s="1" t="str">
        <f>TEXT(BBDD_Usiarios_Netflix[[#This Row],[Fecha Suscripción]],"dddd")</f>
        <v>domingo</v>
      </c>
      <c r="L2405" s="1">
        <f>DATEVALUE(_xlfn.CONCAT(BBDD_Usiarios_Netflix[[#This Row],[Día Último Pago]],"/",BBDD_Usiarios_Netflix[[#This Row],[Mes Último Pago]],"/",BBDD_Usiarios_Netflix[[#This Row],[Año Último Pago]]))</f>
        <v>45485</v>
      </c>
      <c r="M2405" s="4">
        <f>DATEDIF(BBDD_Usiarios_Netflix[[#This Row],[Fecha Suscripción]],BBDD_Usiarios_Netflix[[#This Row],[Fecha Último Pago]],"M")+1</f>
        <v>10</v>
      </c>
      <c r="N2405" s="4">
        <f>BBDD_Usiarios_Netflix[[#This Row],[Ingresos Mensuales]]*BBDD_Usiarios_Netflix[[#This Row],[Meses contratados]]</f>
        <v>120</v>
      </c>
      <c r="O2405" t="s">
        <v>29</v>
      </c>
      <c r="P2405" t="str">
        <f>IF(BBDD_Usiarios_Netflix[[#This Row],[País]]="","Desconocido",BBDD_Usiarios_Netflix[[#This Row],[País]])</f>
        <v>EEUU</v>
      </c>
      <c r="Q2405">
        <v>48</v>
      </c>
      <c r="R2405" t="s">
        <v>30</v>
      </c>
      <c r="S2405" t="s">
        <v>31</v>
      </c>
      <c r="T2405" t="s">
        <v>41</v>
      </c>
      <c r="U2405">
        <f>IF(IFERROR(VLOOKUP(BBDD_Usiarios_Netflix[[#This Row],[Identificador Usuario]],A2406:$A$5870,1,FALSE),0)&lt;&gt;0,1,0)</f>
        <v>0</v>
      </c>
      <c r="V2405" s="6" t="str">
        <f>IF(BBDD_Usiarios_Netflix[[#This Row],[Duración Plan]]="12 Meses",LEFT(BBDD_Usiarios_Netflix[[#This Row],[Duración Plan]],2),LEFT(BBDD_Usiarios_Netflix[[#This Row],[Duración Plan]],1))</f>
        <v>12</v>
      </c>
      <c r="W240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06" spans="1:23" x14ac:dyDescent="0.25">
      <c r="A2406">
        <v>2405</v>
      </c>
      <c r="B2406" t="s">
        <v>23</v>
      </c>
      <c r="C2406">
        <v>10</v>
      </c>
      <c r="D2406" s="3">
        <v>6</v>
      </c>
      <c r="E2406" s="3">
        <v>9</v>
      </c>
      <c r="F2406">
        <v>23</v>
      </c>
      <c r="G2406" s="1">
        <f>DATEVALUE(_xlfn.CONCAT(BBDD_Usiarios_Netflix[[#This Row],[Día Suscripción]],"/",BBDD_Usiarios_Netflix[[#This Row],[Mes Suscripción]],"/",BBDD_Usiarios_Netflix[[#This Row],[Año Suscripción]]))</f>
        <v>45175</v>
      </c>
      <c r="H2406" s="1">
        <v>11</v>
      </c>
      <c r="I2406" s="1">
        <v>7</v>
      </c>
      <c r="J2406" s="1">
        <v>24</v>
      </c>
      <c r="K2406" s="1" t="str">
        <f>TEXT(BBDD_Usiarios_Netflix[[#This Row],[Fecha Suscripción]],"dddd")</f>
        <v>miércoles</v>
      </c>
      <c r="L2406" s="1">
        <f>DATEVALUE(_xlfn.CONCAT(BBDD_Usiarios_Netflix[[#This Row],[Día Último Pago]],"/",BBDD_Usiarios_Netflix[[#This Row],[Mes Último Pago]],"/",BBDD_Usiarios_Netflix[[#This Row],[Año Último Pago]]))</f>
        <v>45484</v>
      </c>
      <c r="M2406" s="4">
        <f>DATEDIF(BBDD_Usiarios_Netflix[[#This Row],[Fecha Suscripción]],BBDD_Usiarios_Netflix[[#This Row],[Fecha Último Pago]],"M")+1</f>
        <v>11</v>
      </c>
      <c r="N2406" s="4">
        <f>BBDD_Usiarios_Netflix[[#This Row],[Ingresos Mensuales]]*BBDD_Usiarios_Netflix[[#This Row],[Meses contratados]]</f>
        <v>110</v>
      </c>
      <c r="O2406" t="s">
        <v>39</v>
      </c>
      <c r="P2406" t="str">
        <f>IF(BBDD_Usiarios_Netflix[[#This Row],[País]]="","Desconocido",BBDD_Usiarios_Netflix[[#This Row],[País]])</f>
        <v>Canadá</v>
      </c>
      <c r="Q2406">
        <v>32</v>
      </c>
      <c r="R2406" t="s">
        <v>30</v>
      </c>
      <c r="S2406" t="s">
        <v>34</v>
      </c>
      <c r="T2406" t="s">
        <v>35</v>
      </c>
      <c r="U2406">
        <f>IF(IFERROR(VLOOKUP(BBDD_Usiarios_Netflix[[#This Row],[Identificador Usuario]],A2407:$A$5870,1,FALSE),0)&lt;&gt;0,1,0)</f>
        <v>0</v>
      </c>
      <c r="V2406" s="6" t="str">
        <f>IF(BBDD_Usiarios_Netflix[[#This Row],[Duración Plan]]="12 Meses",LEFT(BBDD_Usiarios_Netflix[[#This Row],[Duración Plan]],2),LEFT(BBDD_Usiarios_Netflix[[#This Row],[Duración Plan]],1))</f>
        <v>6</v>
      </c>
      <c r="W240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07" spans="1:23" x14ac:dyDescent="0.25">
      <c r="A2407">
        <v>2406</v>
      </c>
      <c r="B2407" t="s">
        <v>28</v>
      </c>
      <c r="C2407">
        <v>14</v>
      </c>
      <c r="D2407" s="3">
        <v>30</v>
      </c>
      <c r="E2407" s="3">
        <v>8</v>
      </c>
      <c r="F2407">
        <v>23</v>
      </c>
      <c r="G2407" s="1">
        <f>DATEVALUE(_xlfn.CONCAT(BBDD_Usiarios_Netflix[[#This Row],[Día Suscripción]],"/",BBDD_Usiarios_Netflix[[#This Row],[Mes Suscripción]],"/",BBDD_Usiarios_Netflix[[#This Row],[Año Suscripción]]))</f>
        <v>45168</v>
      </c>
      <c r="H2407" s="1">
        <v>15</v>
      </c>
      <c r="I2407" s="1">
        <v>7</v>
      </c>
      <c r="J2407" s="1">
        <v>24</v>
      </c>
      <c r="K2407" s="1" t="str">
        <f>TEXT(BBDD_Usiarios_Netflix[[#This Row],[Fecha Suscripción]],"dddd")</f>
        <v>miércoles</v>
      </c>
      <c r="L2407" s="1">
        <f>DATEVALUE(_xlfn.CONCAT(BBDD_Usiarios_Netflix[[#This Row],[Día Último Pago]],"/",BBDD_Usiarios_Netflix[[#This Row],[Mes Último Pago]],"/",BBDD_Usiarios_Netflix[[#This Row],[Año Último Pago]]))</f>
        <v>45488</v>
      </c>
      <c r="M2407" s="4">
        <f>DATEDIF(BBDD_Usiarios_Netflix[[#This Row],[Fecha Suscripción]],BBDD_Usiarios_Netflix[[#This Row],[Fecha Último Pago]],"M")+1</f>
        <v>11</v>
      </c>
      <c r="N2407" s="4">
        <f>BBDD_Usiarios_Netflix[[#This Row],[Ingresos Mensuales]]*BBDD_Usiarios_Netflix[[#This Row],[Meses contratados]]</f>
        <v>154</v>
      </c>
      <c r="O2407" t="s">
        <v>29</v>
      </c>
      <c r="P2407" t="str">
        <f>IF(BBDD_Usiarios_Netflix[[#This Row],[País]]="","Desconocido",BBDD_Usiarios_Netflix[[#This Row],[País]])</f>
        <v>EEUU</v>
      </c>
      <c r="Q2407">
        <v>35</v>
      </c>
      <c r="R2407" t="s">
        <v>30</v>
      </c>
      <c r="S2407" t="s">
        <v>34</v>
      </c>
      <c r="T2407" t="s">
        <v>38</v>
      </c>
      <c r="U2407">
        <f>IF(IFERROR(VLOOKUP(BBDD_Usiarios_Netflix[[#This Row],[Identificador Usuario]],A2408:$A$5870,1,FALSE),0)&lt;&gt;0,1,0)</f>
        <v>0</v>
      </c>
      <c r="V2407" s="6" t="str">
        <f>IF(BBDD_Usiarios_Netflix[[#This Row],[Duración Plan]]="12 Meses",LEFT(BBDD_Usiarios_Netflix[[#This Row],[Duración Plan]],2),LEFT(BBDD_Usiarios_Netflix[[#This Row],[Duración Plan]],1))</f>
        <v>3</v>
      </c>
      <c r="W240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08" spans="1:23" x14ac:dyDescent="0.25">
      <c r="A2408">
        <v>2407</v>
      </c>
      <c r="B2408" t="s">
        <v>32</v>
      </c>
      <c r="C2408">
        <v>12</v>
      </c>
      <c r="D2408" s="3">
        <v>29</v>
      </c>
      <c r="E2408" s="3">
        <v>8</v>
      </c>
      <c r="F2408">
        <v>23</v>
      </c>
      <c r="G2408" s="1">
        <f>DATEVALUE(_xlfn.CONCAT(BBDD_Usiarios_Netflix[[#This Row],[Día Suscripción]],"/",BBDD_Usiarios_Netflix[[#This Row],[Mes Suscripción]],"/",BBDD_Usiarios_Netflix[[#This Row],[Año Suscripción]]))</f>
        <v>45167</v>
      </c>
      <c r="H2408" s="1">
        <v>11</v>
      </c>
      <c r="I2408" s="1">
        <v>7</v>
      </c>
      <c r="J2408" s="1">
        <v>24</v>
      </c>
      <c r="K2408" s="1" t="str">
        <f>TEXT(BBDD_Usiarios_Netflix[[#This Row],[Fecha Suscripción]],"dddd")</f>
        <v>martes</v>
      </c>
      <c r="L2408" s="1">
        <f>DATEVALUE(_xlfn.CONCAT(BBDD_Usiarios_Netflix[[#This Row],[Día Último Pago]],"/",BBDD_Usiarios_Netflix[[#This Row],[Mes Último Pago]],"/",BBDD_Usiarios_Netflix[[#This Row],[Año Último Pago]]))</f>
        <v>45484</v>
      </c>
      <c r="M2408" s="4">
        <f>DATEDIF(BBDD_Usiarios_Netflix[[#This Row],[Fecha Suscripción]],BBDD_Usiarios_Netflix[[#This Row],[Fecha Último Pago]],"M")+1</f>
        <v>11</v>
      </c>
      <c r="N2408" s="4">
        <f>BBDD_Usiarios_Netflix[[#This Row],[Ingresos Mensuales]]*BBDD_Usiarios_Netflix[[#This Row],[Meses contratados]]</f>
        <v>132</v>
      </c>
      <c r="O2408" t="s">
        <v>24</v>
      </c>
      <c r="P2408" t="str">
        <f>IF(BBDD_Usiarios_Netflix[[#This Row],[País]]="","Desconocido",BBDD_Usiarios_Netflix[[#This Row],[País]])</f>
        <v>Australia</v>
      </c>
      <c r="Q2408">
        <v>31</v>
      </c>
      <c r="R2408" t="s">
        <v>30</v>
      </c>
      <c r="S2408" t="s">
        <v>26</v>
      </c>
      <c r="T2408" t="s">
        <v>41</v>
      </c>
      <c r="U2408">
        <f>IF(IFERROR(VLOOKUP(BBDD_Usiarios_Netflix[[#This Row],[Identificador Usuario]],A2409:$A$5870,1,FALSE),0)&lt;&gt;0,1,0)</f>
        <v>0</v>
      </c>
      <c r="V2408" s="6" t="str">
        <f>IF(BBDD_Usiarios_Netflix[[#This Row],[Duración Plan]]="12 Meses",LEFT(BBDD_Usiarios_Netflix[[#This Row],[Duración Plan]],2),LEFT(BBDD_Usiarios_Netflix[[#This Row],[Duración Plan]],1))</f>
        <v>12</v>
      </c>
      <c r="W240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09" spans="1:23" x14ac:dyDescent="0.25">
      <c r="A2409">
        <v>2408</v>
      </c>
      <c r="B2409" t="s">
        <v>23</v>
      </c>
      <c r="C2409">
        <v>10</v>
      </c>
      <c r="D2409" s="3">
        <v>25</v>
      </c>
      <c r="E2409" s="3">
        <v>8</v>
      </c>
      <c r="F2409">
        <v>23</v>
      </c>
      <c r="G2409" s="1">
        <f>DATEVALUE(_xlfn.CONCAT(BBDD_Usiarios_Netflix[[#This Row],[Día Suscripción]],"/",BBDD_Usiarios_Netflix[[#This Row],[Mes Suscripción]],"/",BBDD_Usiarios_Netflix[[#This Row],[Año Suscripción]]))</f>
        <v>45163</v>
      </c>
      <c r="H2409" s="1">
        <v>13</v>
      </c>
      <c r="I2409" s="1">
        <v>7</v>
      </c>
      <c r="J2409" s="1">
        <v>24</v>
      </c>
      <c r="K2409" s="1" t="str">
        <f>TEXT(BBDD_Usiarios_Netflix[[#This Row],[Fecha Suscripción]],"dddd")</f>
        <v>viernes</v>
      </c>
      <c r="L2409" s="1">
        <f>DATEVALUE(_xlfn.CONCAT(BBDD_Usiarios_Netflix[[#This Row],[Día Último Pago]],"/",BBDD_Usiarios_Netflix[[#This Row],[Mes Último Pago]],"/",BBDD_Usiarios_Netflix[[#This Row],[Año Último Pago]]))</f>
        <v>45486</v>
      </c>
      <c r="M2409" s="4">
        <f>DATEDIF(BBDD_Usiarios_Netflix[[#This Row],[Fecha Suscripción]],BBDD_Usiarios_Netflix[[#This Row],[Fecha Último Pago]],"M")+1</f>
        <v>11</v>
      </c>
      <c r="N2409" s="4">
        <f>BBDD_Usiarios_Netflix[[#This Row],[Ingresos Mensuales]]*BBDD_Usiarios_Netflix[[#This Row],[Meses contratados]]</f>
        <v>110</v>
      </c>
      <c r="O2409" t="s">
        <v>29</v>
      </c>
      <c r="P2409" t="str">
        <f>IF(BBDD_Usiarios_Netflix[[#This Row],[País]]="","Desconocido",BBDD_Usiarios_Netflix[[#This Row],[País]])</f>
        <v>EEUU</v>
      </c>
      <c r="Q2409">
        <v>45</v>
      </c>
      <c r="R2409" t="s">
        <v>30</v>
      </c>
      <c r="S2409" t="s">
        <v>26</v>
      </c>
      <c r="T2409" t="s">
        <v>35</v>
      </c>
      <c r="U2409">
        <f>IF(IFERROR(VLOOKUP(BBDD_Usiarios_Netflix[[#This Row],[Identificador Usuario]],A2410:$A$5870,1,FALSE),0)&lt;&gt;0,1,0)</f>
        <v>0</v>
      </c>
      <c r="V2409" s="6" t="str">
        <f>IF(BBDD_Usiarios_Netflix[[#This Row],[Duración Plan]]="12 Meses",LEFT(BBDD_Usiarios_Netflix[[#This Row],[Duración Plan]],2),LEFT(BBDD_Usiarios_Netflix[[#This Row],[Duración Plan]],1))</f>
        <v>6</v>
      </c>
      <c r="W240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10" spans="1:23" x14ac:dyDescent="0.25">
      <c r="A2410">
        <v>2409</v>
      </c>
      <c r="B2410" t="s">
        <v>32</v>
      </c>
      <c r="C2410">
        <v>12</v>
      </c>
      <c r="D2410" s="3">
        <v>3</v>
      </c>
      <c r="E2410" s="3">
        <v>8</v>
      </c>
      <c r="F2410">
        <v>23</v>
      </c>
      <c r="G2410" s="1">
        <f>DATEVALUE(_xlfn.CONCAT(BBDD_Usiarios_Netflix[[#This Row],[Día Suscripción]],"/",BBDD_Usiarios_Netflix[[#This Row],[Mes Suscripción]],"/",BBDD_Usiarios_Netflix[[#This Row],[Año Suscripción]]))</f>
        <v>45141</v>
      </c>
      <c r="H2410" s="1">
        <v>11</v>
      </c>
      <c r="I2410" s="1">
        <v>7</v>
      </c>
      <c r="J2410" s="1">
        <v>24</v>
      </c>
      <c r="K2410" s="1" t="str">
        <f>TEXT(BBDD_Usiarios_Netflix[[#This Row],[Fecha Suscripción]],"dddd")</f>
        <v>jueves</v>
      </c>
      <c r="L2410" s="1">
        <f>DATEVALUE(_xlfn.CONCAT(BBDD_Usiarios_Netflix[[#This Row],[Día Último Pago]],"/",BBDD_Usiarios_Netflix[[#This Row],[Mes Último Pago]],"/",BBDD_Usiarios_Netflix[[#This Row],[Año Último Pago]]))</f>
        <v>45484</v>
      </c>
      <c r="M2410" s="4">
        <f>DATEDIF(BBDD_Usiarios_Netflix[[#This Row],[Fecha Suscripción]],BBDD_Usiarios_Netflix[[#This Row],[Fecha Último Pago]],"M")+1</f>
        <v>12</v>
      </c>
      <c r="N2410" s="4">
        <f>BBDD_Usiarios_Netflix[[#This Row],[Ingresos Mensuales]]*BBDD_Usiarios_Netflix[[#This Row],[Meses contratados]]</f>
        <v>144</v>
      </c>
      <c r="O2410" t="s">
        <v>24</v>
      </c>
      <c r="P2410" t="str">
        <f>IF(BBDD_Usiarios_Netflix[[#This Row],[País]]="","Desconocido",BBDD_Usiarios_Netflix[[#This Row],[País]])</f>
        <v>Australia</v>
      </c>
      <c r="Q2410">
        <v>38</v>
      </c>
      <c r="R2410" t="s">
        <v>30</v>
      </c>
      <c r="S2410" t="s">
        <v>36</v>
      </c>
      <c r="T2410" t="s">
        <v>41</v>
      </c>
      <c r="U2410">
        <f>IF(IFERROR(VLOOKUP(BBDD_Usiarios_Netflix[[#This Row],[Identificador Usuario]],A2411:$A$5870,1,FALSE),0)&lt;&gt;0,1,0)</f>
        <v>0</v>
      </c>
      <c r="V2410" s="6" t="str">
        <f>IF(BBDD_Usiarios_Netflix[[#This Row],[Duración Plan]]="12 Meses",LEFT(BBDD_Usiarios_Netflix[[#This Row],[Duración Plan]],2),LEFT(BBDD_Usiarios_Netflix[[#This Row],[Duración Plan]],1))</f>
        <v>12</v>
      </c>
      <c r="W241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11" spans="1:23" x14ac:dyDescent="0.25">
      <c r="A2411">
        <v>2410</v>
      </c>
      <c r="B2411" t="s">
        <v>28</v>
      </c>
      <c r="C2411">
        <v>14</v>
      </c>
      <c r="D2411" s="3">
        <v>2</v>
      </c>
      <c r="E2411" s="3">
        <v>8</v>
      </c>
      <c r="F2411">
        <v>23</v>
      </c>
      <c r="G2411" s="1">
        <f>DATEVALUE(_xlfn.CONCAT(BBDD_Usiarios_Netflix[[#This Row],[Día Suscripción]],"/",BBDD_Usiarios_Netflix[[#This Row],[Mes Suscripción]],"/",BBDD_Usiarios_Netflix[[#This Row],[Año Suscripción]]))</f>
        <v>45140</v>
      </c>
      <c r="H2411" s="1">
        <v>14</v>
      </c>
      <c r="I2411" s="1">
        <v>7</v>
      </c>
      <c r="J2411" s="1">
        <v>24</v>
      </c>
      <c r="K2411" s="1" t="str">
        <f>TEXT(BBDD_Usiarios_Netflix[[#This Row],[Fecha Suscripción]],"dddd")</f>
        <v>miércoles</v>
      </c>
      <c r="L2411" s="1">
        <f>DATEVALUE(_xlfn.CONCAT(BBDD_Usiarios_Netflix[[#This Row],[Día Último Pago]],"/",BBDD_Usiarios_Netflix[[#This Row],[Mes Último Pago]],"/",BBDD_Usiarios_Netflix[[#This Row],[Año Último Pago]]))</f>
        <v>45487</v>
      </c>
      <c r="M2411" s="4">
        <f>DATEDIF(BBDD_Usiarios_Netflix[[#This Row],[Fecha Suscripción]],BBDD_Usiarios_Netflix[[#This Row],[Fecha Último Pago]],"M")+1</f>
        <v>12</v>
      </c>
      <c r="N2411" s="4">
        <f>BBDD_Usiarios_Netflix[[#This Row],[Ingresos Mensuales]]*BBDD_Usiarios_Netflix[[#This Row],[Meses contratados]]</f>
        <v>168</v>
      </c>
      <c r="O2411" t="s">
        <v>40</v>
      </c>
      <c r="P2411" t="str">
        <f>IF(BBDD_Usiarios_Netflix[[#This Row],[País]]="","Desconocido",BBDD_Usiarios_Netflix[[#This Row],[País]])</f>
        <v>Italia</v>
      </c>
      <c r="Q2411">
        <v>34</v>
      </c>
      <c r="R2411" t="s">
        <v>25</v>
      </c>
      <c r="S2411" t="s">
        <v>26</v>
      </c>
      <c r="T2411" t="s">
        <v>27</v>
      </c>
      <c r="U2411">
        <f>IF(IFERROR(VLOOKUP(BBDD_Usiarios_Netflix[[#This Row],[Identificador Usuario]],A2412:$A$5870,1,FALSE),0)&lt;&gt;0,1,0)</f>
        <v>0</v>
      </c>
      <c r="V2411" s="6" t="str">
        <f>IF(BBDD_Usiarios_Netflix[[#This Row],[Duración Plan]]="12 Meses",LEFT(BBDD_Usiarios_Netflix[[#This Row],[Duración Plan]],2),LEFT(BBDD_Usiarios_Netflix[[#This Row],[Duración Plan]],1))</f>
        <v>1</v>
      </c>
      <c r="W241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12" spans="1:23" x14ac:dyDescent="0.25">
      <c r="A2412">
        <v>2411</v>
      </c>
      <c r="B2412" t="s">
        <v>23</v>
      </c>
      <c r="C2412">
        <v>10</v>
      </c>
      <c r="D2412" s="3">
        <v>2</v>
      </c>
      <c r="E2412" s="3">
        <v>8</v>
      </c>
      <c r="F2412">
        <v>23</v>
      </c>
      <c r="G2412" s="1">
        <f>DATEVALUE(_xlfn.CONCAT(BBDD_Usiarios_Netflix[[#This Row],[Día Suscripción]],"/",BBDD_Usiarios_Netflix[[#This Row],[Mes Suscripción]],"/",BBDD_Usiarios_Netflix[[#This Row],[Año Suscripción]]))</f>
        <v>45140</v>
      </c>
      <c r="H2412" s="1">
        <v>11</v>
      </c>
      <c r="I2412" s="1">
        <v>7</v>
      </c>
      <c r="J2412" s="1">
        <v>24</v>
      </c>
      <c r="K2412" s="1" t="str">
        <f>TEXT(BBDD_Usiarios_Netflix[[#This Row],[Fecha Suscripción]],"dddd")</f>
        <v>miércoles</v>
      </c>
      <c r="L2412" s="1">
        <f>DATEVALUE(_xlfn.CONCAT(BBDD_Usiarios_Netflix[[#This Row],[Día Último Pago]],"/",BBDD_Usiarios_Netflix[[#This Row],[Mes Último Pago]],"/",BBDD_Usiarios_Netflix[[#This Row],[Año Último Pago]]))</f>
        <v>45484</v>
      </c>
      <c r="M2412" s="4">
        <f>DATEDIF(BBDD_Usiarios_Netflix[[#This Row],[Fecha Suscripción]],BBDD_Usiarios_Netflix[[#This Row],[Fecha Último Pago]],"M")+1</f>
        <v>12</v>
      </c>
      <c r="N2412" s="4">
        <f>BBDD_Usiarios_Netflix[[#This Row],[Ingresos Mensuales]]*BBDD_Usiarios_Netflix[[#This Row],[Meses contratados]]</f>
        <v>120</v>
      </c>
      <c r="O2412" t="s">
        <v>43</v>
      </c>
      <c r="P2412" t="str">
        <f>IF(BBDD_Usiarios_Netflix[[#This Row],[País]]="","Desconocido",BBDD_Usiarios_Netflix[[#This Row],[País]])</f>
        <v>Alemania</v>
      </c>
      <c r="Q2412">
        <v>37</v>
      </c>
      <c r="R2412" t="s">
        <v>30</v>
      </c>
      <c r="S2412" t="s">
        <v>26</v>
      </c>
      <c r="T2412" t="s">
        <v>27</v>
      </c>
      <c r="U2412">
        <f>IF(IFERROR(VLOOKUP(BBDD_Usiarios_Netflix[[#This Row],[Identificador Usuario]],A2413:$A$5870,1,FALSE),0)&lt;&gt;0,1,0)</f>
        <v>0</v>
      </c>
      <c r="V2412" s="6" t="str">
        <f>IF(BBDD_Usiarios_Netflix[[#This Row],[Duración Plan]]="12 Meses",LEFT(BBDD_Usiarios_Netflix[[#This Row],[Duración Plan]],2),LEFT(BBDD_Usiarios_Netflix[[#This Row],[Duración Plan]],1))</f>
        <v>1</v>
      </c>
      <c r="W241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13" spans="1:23" x14ac:dyDescent="0.25">
      <c r="A2413">
        <v>2412</v>
      </c>
      <c r="B2413" t="s">
        <v>28</v>
      </c>
      <c r="C2413">
        <v>14</v>
      </c>
      <c r="D2413" s="3">
        <v>1</v>
      </c>
      <c r="E2413" s="3">
        <v>8</v>
      </c>
      <c r="F2413">
        <v>23</v>
      </c>
      <c r="G2413" s="1">
        <f>DATEVALUE(_xlfn.CONCAT(BBDD_Usiarios_Netflix[[#This Row],[Día Suscripción]],"/",BBDD_Usiarios_Netflix[[#This Row],[Mes Suscripción]],"/",BBDD_Usiarios_Netflix[[#This Row],[Año Suscripción]]))</f>
        <v>45139</v>
      </c>
      <c r="H2413" s="1">
        <v>13</v>
      </c>
      <c r="I2413" s="1">
        <v>7</v>
      </c>
      <c r="J2413" s="1">
        <v>24</v>
      </c>
      <c r="K2413" s="1" t="str">
        <f>TEXT(BBDD_Usiarios_Netflix[[#This Row],[Fecha Suscripción]],"dddd")</f>
        <v>martes</v>
      </c>
      <c r="L2413" s="1">
        <f>DATEVALUE(_xlfn.CONCAT(BBDD_Usiarios_Netflix[[#This Row],[Día Último Pago]],"/",BBDD_Usiarios_Netflix[[#This Row],[Mes Último Pago]],"/",BBDD_Usiarios_Netflix[[#This Row],[Año Último Pago]]))</f>
        <v>45486</v>
      </c>
      <c r="M2413" s="4">
        <f>DATEDIF(BBDD_Usiarios_Netflix[[#This Row],[Fecha Suscripción]],BBDD_Usiarios_Netflix[[#This Row],[Fecha Último Pago]],"M")+1</f>
        <v>12</v>
      </c>
      <c r="N2413" s="4">
        <f>BBDD_Usiarios_Netflix[[#This Row],[Ingresos Mensuales]]*BBDD_Usiarios_Netflix[[#This Row],[Meses contratados]]</f>
        <v>168</v>
      </c>
      <c r="O2413" t="s">
        <v>29</v>
      </c>
      <c r="P2413" t="str">
        <f>IF(BBDD_Usiarios_Netflix[[#This Row],[País]]="","Desconocido",BBDD_Usiarios_Netflix[[#This Row],[País]])</f>
        <v>EEUU</v>
      </c>
      <c r="Q2413">
        <v>27</v>
      </c>
      <c r="R2413" t="s">
        <v>30</v>
      </c>
      <c r="S2413" t="s">
        <v>34</v>
      </c>
      <c r="T2413" t="s">
        <v>27</v>
      </c>
      <c r="U2413">
        <f>IF(IFERROR(VLOOKUP(BBDD_Usiarios_Netflix[[#This Row],[Identificador Usuario]],A2414:$A$5870,1,FALSE),0)&lt;&gt;0,1,0)</f>
        <v>0</v>
      </c>
      <c r="V2413" s="6" t="str">
        <f>IF(BBDD_Usiarios_Netflix[[#This Row],[Duración Plan]]="12 Meses",LEFT(BBDD_Usiarios_Netflix[[#This Row],[Duración Plan]],2),LEFT(BBDD_Usiarios_Netflix[[#This Row],[Duración Plan]],1))</f>
        <v>1</v>
      </c>
      <c r="W241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14" spans="1:23" x14ac:dyDescent="0.25">
      <c r="A2414">
        <v>2413</v>
      </c>
      <c r="B2414" t="s">
        <v>32</v>
      </c>
      <c r="C2414">
        <v>12</v>
      </c>
      <c r="D2414" s="3">
        <v>31</v>
      </c>
      <c r="E2414" s="3">
        <v>7</v>
      </c>
      <c r="F2414">
        <v>23</v>
      </c>
      <c r="G2414" s="1">
        <f>DATEVALUE(_xlfn.CONCAT(BBDD_Usiarios_Netflix[[#This Row],[Día Suscripción]],"/",BBDD_Usiarios_Netflix[[#This Row],[Mes Suscripción]],"/",BBDD_Usiarios_Netflix[[#This Row],[Año Suscripción]]))</f>
        <v>45138</v>
      </c>
      <c r="H2414" s="1">
        <v>11</v>
      </c>
      <c r="I2414" s="1">
        <v>7</v>
      </c>
      <c r="J2414" s="1">
        <v>24</v>
      </c>
      <c r="K2414" s="1" t="str">
        <f>TEXT(BBDD_Usiarios_Netflix[[#This Row],[Fecha Suscripción]],"dddd")</f>
        <v>lunes</v>
      </c>
      <c r="L2414" s="1">
        <f>DATEVALUE(_xlfn.CONCAT(BBDD_Usiarios_Netflix[[#This Row],[Día Último Pago]],"/",BBDD_Usiarios_Netflix[[#This Row],[Mes Último Pago]],"/",BBDD_Usiarios_Netflix[[#This Row],[Año Último Pago]]))</f>
        <v>45484</v>
      </c>
      <c r="M2414" s="4">
        <f>DATEDIF(BBDD_Usiarios_Netflix[[#This Row],[Fecha Suscripción]],BBDD_Usiarios_Netflix[[#This Row],[Fecha Último Pago]],"M")+1</f>
        <v>12</v>
      </c>
      <c r="N2414" s="4">
        <f>BBDD_Usiarios_Netflix[[#This Row],[Ingresos Mensuales]]*BBDD_Usiarios_Netflix[[#This Row],[Meses contratados]]</f>
        <v>144</v>
      </c>
      <c r="O2414" t="s">
        <v>43</v>
      </c>
      <c r="P2414" t="str">
        <f>IF(BBDD_Usiarios_Netflix[[#This Row],[País]]="","Desconocido",BBDD_Usiarios_Netflix[[#This Row],[País]])</f>
        <v>Alemania</v>
      </c>
      <c r="Q2414">
        <v>44</v>
      </c>
      <c r="R2414" t="s">
        <v>30</v>
      </c>
      <c r="S2414" t="s">
        <v>31</v>
      </c>
      <c r="T2414" t="s">
        <v>38</v>
      </c>
      <c r="U2414">
        <f>IF(IFERROR(VLOOKUP(BBDD_Usiarios_Netflix[[#This Row],[Identificador Usuario]],A2415:$A$5870,1,FALSE),0)&lt;&gt;0,1,0)</f>
        <v>0</v>
      </c>
      <c r="V2414" s="6" t="str">
        <f>IF(BBDD_Usiarios_Netflix[[#This Row],[Duración Plan]]="12 Meses",LEFT(BBDD_Usiarios_Netflix[[#This Row],[Duración Plan]],2),LEFT(BBDD_Usiarios_Netflix[[#This Row],[Duración Plan]],1))</f>
        <v>3</v>
      </c>
      <c r="W241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15" spans="1:23" x14ac:dyDescent="0.25">
      <c r="A2415">
        <v>2414</v>
      </c>
      <c r="B2415" t="s">
        <v>23</v>
      </c>
      <c r="C2415">
        <v>10</v>
      </c>
      <c r="D2415" s="3">
        <v>22</v>
      </c>
      <c r="E2415" s="3">
        <v>7</v>
      </c>
      <c r="F2415">
        <v>23</v>
      </c>
      <c r="G2415" s="1">
        <f>DATEVALUE(_xlfn.CONCAT(BBDD_Usiarios_Netflix[[#This Row],[Día Suscripción]],"/",BBDD_Usiarios_Netflix[[#This Row],[Mes Suscripción]],"/",BBDD_Usiarios_Netflix[[#This Row],[Año Suscripción]]))</f>
        <v>45129</v>
      </c>
      <c r="H2415" s="1">
        <v>13</v>
      </c>
      <c r="I2415" s="1">
        <v>7</v>
      </c>
      <c r="J2415" s="1">
        <v>24</v>
      </c>
      <c r="K2415" s="1" t="str">
        <f>TEXT(BBDD_Usiarios_Netflix[[#This Row],[Fecha Suscripción]],"dddd")</f>
        <v>sábado</v>
      </c>
      <c r="L2415" s="1">
        <f>DATEVALUE(_xlfn.CONCAT(BBDD_Usiarios_Netflix[[#This Row],[Día Último Pago]],"/",BBDD_Usiarios_Netflix[[#This Row],[Mes Último Pago]],"/",BBDD_Usiarios_Netflix[[#This Row],[Año Último Pago]]))</f>
        <v>45486</v>
      </c>
      <c r="M2415" s="4">
        <f>DATEDIF(BBDD_Usiarios_Netflix[[#This Row],[Fecha Suscripción]],BBDD_Usiarios_Netflix[[#This Row],[Fecha Último Pago]],"M")+1</f>
        <v>12</v>
      </c>
      <c r="N2415" s="4">
        <f>BBDD_Usiarios_Netflix[[#This Row],[Ingresos Mensuales]]*BBDD_Usiarios_Netflix[[#This Row],[Meses contratados]]</f>
        <v>120</v>
      </c>
      <c r="O2415" t="s">
        <v>29</v>
      </c>
      <c r="P2415" t="str">
        <f>IF(BBDD_Usiarios_Netflix[[#This Row],[País]]="","Desconocido",BBDD_Usiarios_Netflix[[#This Row],[País]])</f>
        <v>EEUU</v>
      </c>
      <c r="Q2415">
        <v>46</v>
      </c>
      <c r="R2415" t="s">
        <v>25</v>
      </c>
      <c r="S2415" t="s">
        <v>34</v>
      </c>
      <c r="T2415" t="s">
        <v>38</v>
      </c>
      <c r="U2415">
        <f>IF(IFERROR(VLOOKUP(BBDD_Usiarios_Netflix[[#This Row],[Identificador Usuario]],A2416:$A$5870,1,FALSE),0)&lt;&gt;0,1,0)</f>
        <v>0</v>
      </c>
      <c r="V2415" s="6" t="str">
        <f>IF(BBDD_Usiarios_Netflix[[#This Row],[Duración Plan]]="12 Meses",LEFT(BBDD_Usiarios_Netflix[[#This Row],[Duración Plan]],2),LEFT(BBDD_Usiarios_Netflix[[#This Row],[Duración Plan]],1))</f>
        <v>3</v>
      </c>
      <c r="W241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16" spans="1:23" x14ac:dyDescent="0.25">
      <c r="A2416">
        <v>2415</v>
      </c>
      <c r="B2416" t="s">
        <v>32</v>
      </c>
      <c r="C2416">
        <v>12</v>
      </c>
      <c r="D2416" s="3">
        <v>22</v>
      </c>
      <c r="E2416" s="3">
        <v>7</v>
      </c>
      <c r="F2416">
        <v>23</v>
      </c>
      <c r="G2416" s="1">
        <f>DATEVALUE(_xlfn.CONCAT(BBDD_Usiarios_Netflix[[#This Row],[Día Suscripción]],"/",BBDD_Usiarios_Netflix[[#This Row],[Mes Suscripción]],"/",BBDD_Usiarios_Netflix[[#This Row],[Año Suscripción]]))</f>
        <v>45129</v>
      </c>
      <c r="H2416" s="1">
        <v>11</v>
      </c>
      <c r="I2416" s="1">
        <v>7</v>
      </c>
      <c r="J2416" s="1">
        <v>24</v>
      </c>
      <c r="K2416" s="1" t="str">
        <f>TEXT(BBDD_Usiarios_Netflix[[#This Row],[Fecha Suscripción]],"dddd")</f>
        <v>sábado</v>
      </c>
      <c r="L2416" s="1">
        <f>DATEVALUE(_xlfn.CONCAT(BBDD_Usiarios_Netflix[[#This Row],[Día Último Pago]],"/",BBDD_Usiarios_Netflix[[#This Row],[Mes Último Pago]],"/",BBDD_Usiarios_Netflix[[#This Row],[Año Último Pago]]))</f>
        <v>45484</v>
      </c>
      <c r="M2416" s="4">
        <f>DATEDIF(BBDD_Usiarios_Netflix[[#This Row],[Fecha Suscripción]],BBDD_Usiarios_Netflix[[#This Row],[Fecha Último Pago]],"M")+1</f>
        <v>12</v>
      </c>
      <c r="N2416" s="4">
        <f>BBDD_Usiarios_Netflix[[#This Row],[Ingresos Mensuales]]*BBDD_Usiarios_Netflix[[#This Row],[Meses contratados]]</f>
        <v>144</v>
      </c>
      <c r="O2416" t="s">
        <v>24</v>
      </c>
      <c r="P2416" t="str">
        <f>IF(BBDD_Usiarios_Netflix[[#This Row],[País]]="","Desconocido",BBDD_Usiarios_Netflix[[#This Row],[País]])</f>
        <v>Australia</v>
      </c>
      <c r="Q2416">
        <v>37</v>
      </c>
      <c r="R2416" t="s">
        <v>25</v>
      </c>
      <c r="S2416" t="s">
        <v>34</v>
      </c>
      <c r="T2416" t="s">
        <v>27</v>
      </c>
      <c r="U2416">
        <f>IF(IFERROR(VLOOKUP(BBDD_Usiarios_Netflix[[#This Row],[Identificador Usuario]],A2417:$A$5870,1,FALSE),0)&lt;&gt;0,1,0)</f>
        <v>0</v>
      </c>
      <c r="V2416" s="6" t="str">
        <f>IF(BBDD_Usiarios_Netflix[[#This Row],[Duración Plan]]="12 Meses",LEFT(BBDD_Usiarios_Netflix[[#This Row],[Duración Plan]],2),LEFT(BBDD_Usiarios_Netflix[[#This Row],[Duración Plan]],1))</f>
        <v>1</v>
      </c>
      <c r="W241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17" spans="1:23" x14ac:dyDescent="0.25">
      <c r="A2417">
        <v>2416</v>
      </c>
      <c r="B2417" t="s">
        <v>28</v>
      </c>
      <c r="C2417">
        <v>14</v>
      </c>
      <c r="D2417" s="3">
        <v>19</v>
      </c>
      <c r="E2417" s="3">
        <v>7</v>
      </c>
      <c r="F2417">
        <v>23</v>
      </c>
      <c r="G2417" s="1">
        <f>DATEVALUE(_xlfn.CONCAT(BBDD_Usiarios_Netflix[[#This Row],[Día Suscripción]],"/",BBDD_Usiarios_Netflix[[#This Row],[Mes Suscripción]],"/",BBDD_Usiarios_Netflix[[#This Row],[Año Suscripción]]))</f>
        <v>45126</v>
      </c>
      <c r="H2417" s="1">
        <v>13</v>
      </c>
      <c r="I2417" s="1">
        <v>7</v>
      </c>
      <c r="J2417" s="1">
        <v>24</v>
      </c>
      <c r="K2417" s="1" t="str">
        <f>TEXT(BBDD_Usiarios_Netflix[[#This Row],[Fecha Suscripción]],"dddd")</f>
        <v>miércoles</v>
      </c>
      <c r="L2417" s="1">
        <f>DATEVALUE(_xlfn.CONCAT(BBDD_Usiarios_Netflix[[#This Row],[Día Último Pago]],"/",BBDD_Usiarios_Netflix[[#This Row],[Mes Último Pago]],"/",BBDD_Usiarios_Netflix[[#This Row],[Año Último Pago]]))</f>
        <v>45486</v>
      </c>
      <c r="M2417" s="4">
        <f>DATEDIF(BBDD_Usiarios_Netflix[[#This Row],[Fecha Suscripción]],BBDD_Usiarios_Netflix[[#This Row],[Fecha Último Pago]],"M")+1</f>
        <v>12</v>
      </c>
      <c r="N2417" s="4">
        <f>BBDD_Usiarios_Netflix[[#This Row],[Ingresos Mensuales]]*BBDD_Usiarios_Netflix[[#This Row],[Meses contratados]]</f>
        <v>168</v>
      </c>
      <c r="O2417" t="s">
        <v>40</v>
      </c>
      <c r="P2417" t="str">
        <f>IF(BBDD_Usiarios_Netflix[[#This Row],[País]]="","Desconocido",BBDD_Usiarios_Netflix[[#This Row],[País]])</f>
        <v>Italia</v>
      </c>
      <c r="Q2417">
        <v>44</v>
      </c>
      <c r="R2417" t="s">
        <v>25</v>
      </c>
      <c r="S2417" t="s">
        <v>31</v>
      </c>
      <c r="T2417" t="s">
        <v>27</v>
      </c>
      <c r="U2417">
        <f>IF(IFERROR(VLOOKUP(BBDD_Usiarios_Netflix[[#This Row],[Identificador Usuario]],A2418:$A$5870,1,FALSE),0)&lt;&gt;0,1,0)</f>
        <v>0</v>
      </c>
      <c r="V2417" s="6" t="str">
        <f>IF(BBDD_Usiarios_Netflix[[#This Row],[Duración Plan]]="12 Meses",LEFT(BBDD_Usiarios_Netflix[[#This Row],[Duración Plan]],2),LEFT(BBDD_Usiarios_Netflix[[#This Row],[Duración Plan]],1))</f>
        <v>1</v>
      </c>
      <c r="W241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18" spans="1:23" x14ac:dyDescent="0.25">
      <c r="A2418">
        <v>2417</v>
      </c>
      <c r="B2418" t="s">
        <v>23</v>
      </c>
      <c r="C2418">
        <v>10</v>
      </c>
      <c r="D2418" s="3">
        <v>17</v>
      </c>
      <c r="E2418" s="3">
        <v>7</v>
      </c>
      <c r="F2418">
        <v>23</v>
      </c>
      <c r="G2418" s="1">
        <f>DATEVALUE(_xlfn.CONCAT(BBDD_Usiarios_Netflix[[#This Row],[Día Suscripción]],"/",BBDD_Usiarios_Netflix[[#This Row],[Mes Suscripción]],"/",BBDD_Usiarios_Netflix[[#This Row],[Año Suscripción]]))</f>
        <v>45124</v>
      </c>
      <c r="H2418" s="1">
        <v>11</v>
      </c>
      <c r="I2418" s="1">
        <v>7</v>
      </c>
      <c r="J2418" s="1">
        <v>24</v>
      </c>
      <c r="K2418" s="1" t="str">
        <f>TEXT(BBDD_Usiarios_Netflix[[#This Row],[Fecha Suscripción]],"dddd")</f>
        <v>lunes</v>
      </c>
      <c r="L2418" s="1">
        <f>DATEVALUE(_xlfn.CONCAT(BBDD_Usiarios_Netflix[[#This Row],[Día Último Pago]],"/",BBDD_Usiarios_Netflix[[#This Row],[Mes Último Pago]],"/",BBDD_Usiarios_Netflix[[#This Row],[Año Último Pago]]))</f>
        <v>45484</v>
      </c>
      <c r="M2418" s="4">
        <f>DATEDIF(BBDD_Usiarios_Netflix[[#This Row],[Fecha Suscripción]],BBDD_Usiarios_Netflix[[#This Row],[Fecha Último Pago]],"M")+1</f>
        <v>12</v>
      </c>
      <c r="N2418" s="4">
        <f>BBDD_Usiarios_Netflix[[#This Row],[Ingresos Mensuales]]*BBDD_Usiarios_Netflix[[#This Row],[Meses contratados]]</f>
        <v>120</v>
      </c>
      <c r="O2418" t="s">
        <v>40</v>
      </c>
      <c r="P2418" t="str">
        <f>IF(BBDD_Usiarios_Netflix[[#This Row],[País]]="","Desconocido",BBDD_Usiarios_Netflix[[#This Row],[País]])</f>
        <v>Italia</v>
      </c>
      <c r="Q2418">
        <v>29</v>
      </c>
      <c r="R2418" t="s">
        <v>25</v>
      </c>
      <c r="S2418" t="s">
        <v>34</v>
      </c>
      <c r="T2418" t="s">
        <v>35</v>
      </c>
      <c r="U2418">
        <f>IF(IFERROR(VLOOKUP(BBDD_Usiarios_Netflix[[#This Row],[Identificador Usuario]],A2419:$A$5870,1,FALSE),0)&lt;&gt;0,1,0)</f>
        <v>0</v>
      </c>
      <c r="V2418" s="6" t="str">
        <f>IF(BBDD_Usiarios_Netflix[[#This Row],[Duración Plan]]="12 Meses",LEFT(BBDD_Usiarios_Netflix[[#This Row],[Duración Plan]],2),LEFT(BBDD_Usiarios_Netflix[[#This Row],[Duración Plan]],1))</f>
        <v>6</v>
      </c>
      <c r="W241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19" spans="1:23" x14ac:dyDescent="0.25">
      <c r="A2419">
        <v>2418</v>
      </c>
      <c r="B2419" t="s">
        <v>32</v>
      </c>
      <c r="C2419">
        <v>12</v>
      </c>
      <c r="D2419" s="3">
        <v>16</v>
      </c>
      <c r="E2419" s="3">
        <v>7</v>
      </c>
      <c r="F2419">
        <v>23</v>
      </c>
      <c r="G2419" s="1">
        <f>DATEVALUE(_xlfn.CONCAT(BBDD_Usiarios_Netflix[[#This Row],[Día Suscripción]],"/",BBDD_Usiarios_Netflix[[#This Row],[Mes Suscripción]],"/",BBDD_Usiarios_Netflix[[#This Row],[Año Suscripción]]))</f>
        <v>45123</v>
      </c>
      <c r="H2419" s="1">
        <v>13</v>
      </c>
      <c r="I2419" s="1">
        <v>7</v>
      </c>
      <c r="J2419" s="1">
        <v>24</v>
      </c>
      <c r="K2419" s="1" t="str">
        <f>TEXT(BBDD_Usiarios_Netflix[[#This Row],[Fecha Suscripción]],"dddd")</f>
        <v>domingo</v>
      </c>
      <c r="L2419" s="1">
        <f>DATEVALUE(_xlfn.CONCAT(BBDD_Usiarios_Netflix[[#This Row],[Día Último Pago]],"/",BBDD_Usiarios_Netflix[[#This Row],[Mes Último Pago]],"/",BBDD_Usiarios_Netflix[[#This Row],[Año Último Pago]]))</f>
        <v>45486</v>
      </c>
      <c r="M2419" s="4">
        <f>DATEDIF(BBDD_Usiarios_Netflix[[#This Row],[Fecha Suscripción]],BBDD_Usiarios_Netflix[[#This Row],[Fecha Último Pago]],"M")+1</f>
        <v>12</v>
      </c>
      <c r="N2419" s="4">
        <f>BBDD_Usiarios_Netflix[[#This Row],[Ingresos Mensuales]]*BBDD_Usiarios_Netflix[[#This Row],[Meses contratados]]</f>
        <v>144</v>
      </c>
      <c r="O2419" t="s">
        <v>39</v>
      </c>
      <c r="P2419" t="str">
        <f>IF(BBDD_Usiarios_Netflix[[#This Row],[País]]="","Desconocido",BBDD_Usiarios_Netflix[[#This Row],[País]])</f>
        <v>Canadá</v>
      </c>
      <c r="Q2419">
        <v>28</v>
      </c>
      <c r="R2419" t="s">
        <v>30</v>
      </c>
      <c r="S2419" t="s">
        <v>36</v>
      </c>
      <c r="T2419" t="s">
        <v>27</v>
      </c>
      <c r="U2419">
        <f>IF(IFERROR(VLOOKUP(BBDD_Usiarios_Netflix[[#This Row],[Identificador Usuario]],A2420:$A$5870,1,FALSE),0)&lt;&gt;0,1,0)</f>
        <v>0</v>
      </c>
      <c r="V2419" s="6" t="str">
        <f>IF(BBDD_Usiarios_Netflix[[#This Row],[Duración Plan]]="12 Meses",LEFT(BBDD_Usiarios_Netflix[[#This Row],[Duración Plan]],2),LEFT(BBDD_Usiarios_Netflix[[#This Row],[Duración Plan]],1))</f>
        <v>1</v>
      </c>
      <c r="W241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20" spans="1:23" x14ac:dyDescent="0.25">
      <c r="A2420">
        <v>2419</v>
      </c>
      <c r="B2420" t="s">
        <v>28</v>
      </c>
      <c r="C2420">
        <v>14</v>
      </c>
      <c r="D2420" s="3">
        <v>16</v>
      </c>
      <c r="E2420" s="3">
        <v>7</v>
      </c>
      <c r="F2420">
        <v>23</v>
      </c>
      <c r="G2420" s="1">
        <f>DATEVALUE(_xlfn.CONCAT(BBDD_Usiarios_Netflix[[#This Row],[Día Suscripción]],"/",BBDD_Usiarios_Netflix[[#This Row],[Mes Suscripción]],"/",BBDD_Usiarios_Netflix[[#This Row],[Año Suscripción]]))</f>
        <v>45123</v>
      </c>
      <c r="H2420" s="1">
        <v>11</v>
      </c>
      <c r="I2420" s="1">
        <v>7</v>
      </c>
      <c r="J2420" s="1">
        <v>24</v>
      </c>
      <c r="K2420" s="1" t="str">
        <f>TEXT(BBDD_Usiarios_Netflix[[#This Row],[Fecha Suscripción]],"dddd")</f>
        <v>domingo</v>
      </c>
      <c r="L2420" s="1">
        <f>DATEVALUE(_xlfn.CONCAT(BBDD_Usiarios_Netflix[[#This Row],[Día Último Pago]],"/",BBDD_Usiarios_Netflix[[#This Row],[Mes Último Pago]],"/",BBDD_Usiarios_Netflix[[#This Row],[Año Último Pago]]))</f>
        <v>45484</v>
      </c>
      <c r="M2420" s="4">
        <f>DATEDIF(BBDD_Usiarios_Netflix[[#This Row],[Fecha Suscripción]],BBDD_Usiarios_Netflix[[#This Row],[Fecha Último Pago]],"M")+1</f>
        <v>12</v>
      </c>
      <c r="N2420" s="4">
        <f>BBDD_Usiarios_Netflix[[#This Row],[Ingresos Mensuales]]*BBDD_Usiarios_Netflix[[#This Row],[Meses contratados]]</f>
        <v>168</v>
      </c>
      <c r="O2420" t="s">
        <v>45</v>
      </c>
      <c r="P2420" t="str">
        <f>IF(BBDD_Usiarios_Netflix[[#This Row],[País]]="","Desconocido",BBDD_Usiarios_Netflix[[#This Row],[País]])</f>
        <v>España</v>
      </c>
      <c r="Q2420">
        <v>50</v>
      </c>
      <c r="R2420" t="s">
        <v>25</v>
      </c>
      <c r="S2420" t="s">
        <v>34</v>
      </c>
      <c r="T2420" t="s">
        <v>35</v>
      </c>
      <c r="U2420">
        <f>IF(IFERROR(VLOOKUP(BBDD_Usiarios_Netflix[[#This Row],[Identificador Usuario]],A2421:$A$5870,1,FALSE),0)&lt;&gt;0,1,0)</f>
        <v>0</v>
      </c>
      <c r="V2420" s="6" t="str">
        <f>IF(BBDD_Usiarios_Netflix[[#This Row],[Duración Plan]]="12 Meses",LEFT(BBDD_Usiarios_Netflix[[#This Row],[Duración Plan]],2),LEFT(BBDD_Usiarios_Netflix[[#This Row],[Duración Plan]],1))</f>
        <v>6</v>
      </c>
      <c r="W242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21" spans="1:23" x14ac:dyDescent="0.25">
      <c r="A2421">
        <v>2420</v>
      </c>
      <c r="B2421" t="s">
        <v>23</v>
      </c>
      <c r="C2421">
        <v>10</v>
      </c>
      <c r="D2421" s="3">
        <v>16</v>
      </c>
      <c r="E2421" s="3">
        <v>7</v>
      </c>
      <c r="F2421">
        <v>23</v>
      </c>
      <c r="G2421" s="1">
        <f>DATEVALUE(_xlfn.CONCAT(BBDD_Usiarios_Netflix[[#This Row],[Día Suscripción]],"/",BBDD_Usiarios_Netflix[[#This Row],[Mes Suscripción]],"/",BBDD_Usiarios_Netflix[[#This Row],[Año Suscripción]]))</f>
        <v>45123</v>
      </c>
      <c r="H2421" s="1">
        <v>13</v>
      </c>
      <c r="I2421" s="1">
        <v>7</v>
      </c>
      <c r="J2421" s="1">
        <v>24</v>
      </c>
      <c r="K2421" s="1" t="str">
        <f>TEXT(BBDD_Usiarios_Netflix[[#This Row],[Fecha Suscripción]],"dddd")</f>
        <v>domingo</v>
      </c>
      <c r="L2421" s="1">
        <f>DATEVALUE(_xlfn.CONCAT(BBDD_Usiarios_Netflix[[#This Row],[Día Último Pago]],"/",BBDD_Usiarios_Netflix[[#This Row],[Mes Último Pago]],"/",BBDD_Usiarios_Netflix[[#This Row],[Año Último Pago]]))</f>
        <v>45486</v>
      </c>
      <c r="M2421" s="4">
        <f>DATEDIF(BBDD_Usiarios_Netflix[[#This Row],[Fecha Suscripción]],BBDD_Usiarios_Netflix[[#This Row],[Fecha Último Pago]],"M")+1</f>
        <v>12</v>
      </c>
      <c r="N2421" s="4">
        <f>BBDD_Usiarios_Netflix[[#This Row],[Ingresos Mensuales]]*BBDD_Usiarios_Netflix[[#This Row],[Meses contratados]]</f>
        <v>120</v>
      </c>
      <c r="O2421" t="s">
        <v>46</v>
      </c>
      <c r="P2421" t="str">
        <f>IF(BBDD_Usiarios_Netflix[[#This Row],[País]]="","Desconocido",BBDD_Usiarios_Netflix[[#This Row],[País]])</f>
        <v>Méjico</v>
      </c>
      <c r="Q2421">
        <v>39</v>
      </c>
      <c r="R2421" t="s">
        <v>25</v>
      </c>
      <c r="S2421" t="s">
        <v>36</v>
      </c>
      <c r="T2421" t="s">
        <v>27</v>
      </c>
      <c r="U2421">
        <f>IF(IFERROR(VLOOKUP(BBDD_Usiarios_Netflix[[#This Row],[Identificador Usuario]],A2422:$A$5870,1,FALSE),0)&lt;&gt;0,1,0)</f>
        <v>0</v>
      </c>
      <c r="V2421" s="6" t="str">
        <f>IF(BBDD_Usiarios_Netflix[[#This Row],[Duración Plan]]="12 Meses",LEFT(BBDD_Usiarios_Netflix[[#This Row],[Duración Plan]],2),LEFT(BBDD_Usiarios_Netflix[[#This Row],[Duración Plan]],1))</f>
        <v>1</v>
      </c>
      <c r="W242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22" spans="1:23" x14ac:dyDescent="0.25">
      <c r="A2422">
        <v>2421</v>
      </c>
      <c r="B2422" t="s">
        <v>28</v>
      </c>
      <c r="C2422">
        <v>14</v>
      </c>
      <c r="D2422" s="3">
        <v>16</v>
      </c>
      <c r="E2422" s="3">
        <v>7</v>
      </c>
      <c r="F2422">
        <v>23</v>
      </c>
      <c r="G2422" s="1">
        <f>DATEVALUE(_xlfn.CONCAT(BBDD_Usiarios_Netflix[[#This Row],[Día Suscripción]],"/",BBDD_Usiarios_Netflix[[#This Row],[Mes Suscripción]],"/",BBDD_Usiarios_Netflix[[#This Row],[Año Suscripción]]))</f>
        <v>45123</v>
      </c>
      <c r="H2422" s="1">
        <v>11</v>
      </c>
      <c r="I2422" s="1">
        <v>7</v>
      </c>
      <c r="J2422" s="1">
        <v>24</v>
      </c>
      <c r="K2422" s="1" t="str">
        <f>TEXT(BBDD_Usiarios_Netflix[[#This Row],[Fecha Suscripción]],"dddd")</f>
        <v>domingo</v>
      </c>
      <c r="L2422" s="1">
        <f>DATEVALUE(_xlfn.CONCAT(BBDD_Usiarios_Netflix[[#This Row],[Día Último Pago]],"/",BBDD_Usiarios_Netflix[[#This Row],[Mes Último Pago]],"/",BBDD_Usiarios_Netflix[[#This Row],[Año Último Pago]]))</f>
        <v>45484</v>
      </c>
      <c r="M2422" s="4">
        <f>DATEDIF(BBDD_Usiarios_Netflix[[#This Row],[Fecha Suscripción]],BBDD_Usiarios_Netflix[[#This Row],[Fecha Último Pago]],"M")+1</f>
        <v>12</v>
      </c>
      <c r="N2422" s="4">
        <f>BBDD_Usiarios_Netflix[[#This Row],[Ingresos Mensuales]]*BBDD_Usiarios_Netflix[[#This Row],[Meses contratados]]</f>
        <v>168</v>
      </c>
      <c r="O2422" t="s">
        <v>45</v>
      </c>
      <c r="P2422" t="str">
        <f>IF(BBDD_Usiarios_Netflix[[#This Row],[País]]="","Desconocido",BBDD_Usiarios_Netflix[[#This Row],[País]])</f>
        <v>España</v>
      </c>
      <c r="Q2422">
        <v>34</v>
      </c>
      <c r="R2422" t="s">
        <v>30</v>
      </c>
      <c r="S2422" t="s">
        <v>34</v>
      </c>
      <c r="T2422" t="s">
        <v>27</v>
      </c>
      <c r="U2422">
        <f>IF(IFERROR(VLOOKUP(BBDD_Usiarios_Netflix[[#This Row],[Identificador Usuario]],A2423:$A$5870,1,FALSE),0)&lt;&gt;0,1,0)</f>
        <v>0</v>
      </c>
      <c r="V2422" s="6" t="str">
        <f>IF(BBDD_Usiarios_Netflix[[#This Row],[Duración Plan]]="12 Meses",LEFT(BBDD_Usiarios_Netflix[[#This Row],[Duración Plan]],2),LEFT(BBDD_Usiarios_Netflix[[#This Row],[Duración Plan]],1))</f>
        <v>1</v>
      </c>
      <c r="W242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23" spans="1:23" x14ac:dyDescent="0.25">
      <c r="A2423">
        <v>2422</v>
      </c>
      <c r="B2423" t="s">
        <v>23</v>
      </c>
      <c r="C2423">
        <v>10</v>
      </c>
      <c r="D2423" s="3">
        <v>17</v>
      </c>
      <c r="E2423" s="3">
        <v>7</v>
      </c>
      <c r="F2423">
        <v>23</v>
      </c>
      <c r="G2423" s="1">
        <f>DATEVALUE(_xlfn.CONCAT(BBDD_Usiarios_Netflix[[#This Row],[Día Suscripción]],"/",BBDD_Usiarios_Netflix[[#This Row],[Mes Suscripción]],"/",BBDD_Usiarios_Netflix[[#This Row],[Año Suscripción]]))</f>
        <v>45124</v>
      </c>
      <c r="H2423" s="1">
        <v>12</v>
      </c>
      <c r="I2423" s="1">
        <v>7</v>
      </c>
      <c r="J2423" s="1">
        <v>24</v>
      </c>
      <c r="K2423" s="1" t="str">
        <f>TEXT(BBDD_Usiarios_Netflix[[#This Row],[Fecha Suscripción]],"dddd")</f>
        <v>lunes</v>
      </c>
      <c r="L2423" s="1">
        <f>DATEVALUE(_xlfn.CONCAT(BBDD_Usiarios_Netflix[[#This Row],[Día Último Pago]],"/",BBDD_Usiarios_Netflix[[#This Row],[Mes Último Pago]],"/",BBDD_Usiarios_Netflix[[#This Row],[Año Último Pago]]))</f>
        <v>45485</v>
      </c>
      <c r="M2423" s="4">
        <f>DATEDIF(BBDD_Usiarios_Netflix[[#This Row],[Fecha Suscripción]],BBDD_Usiarios_Netflix[[#This Row],[Fecha Último Pago]],"M")+1</f>
        <v>12</v>
      </c>
      <c r="N2423" s="4">
        <f>BBDD_Usiarios_Netflix[[#This Row],[Ingresos Mensuales]]*BBDD_Usiarios_Netflix[[#This Row],[Meses contratados]]</f>
        <v>120</v>
      </c>
      <c r="O2423" t="s">
        <v>24</v>
      </c>
      <c r="P2423" t="str">
        <f>IF(BBDD_Usiarios_Netflix[[#This Row],[País]]="","Desconocido",BBDD_Usiarios_Netflix[[#This Row],[País]])</f>
        <v>Australia</v>
      </c>
      <c r="Q2423">
        <v>40</v>
      </c>
      <c r="R2423" t="s">
        <v>25</v>
      </c>
      <c r="S2423" t="s">
        <v>34</v>
      </c>
      <c r="T2423" t="s">
        <v>41</v>
      </c>
      <c r="U2423">
        <f>IF(IFERROR(VLOOKUP(BBDD_Usiarios_Netflix[[#This Row],[Identificador Usuario]],A2424:$A$5870,1,FALSE),0)&lt;&gt;0,1,0)</f>
        <v>0</v>
      </c>
      <c r="V2423" s="6" t="str">
        <f>IF(BBDD_Usiarios_Netflix[[#This Row],[Duración Plan]]="12 Meses",LEFT(BBDD_Usiarios_Netflix[[#This Row],[Duración Plan]],2),LEFT(BBDD_Usiarios_Netflix[[#This Row],[Duración Plan]],1))</f>
        <v>12</v>
      </c>
      <c r="W242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24" spans="1:23" x14ac:dyDescent="0.25">
      <c r="A2424">
        <v>2423</v>
      </c>
      <c r="B2424" t="s">
        <v>32</v>
      </c>
      <c r="C2424">
        <v>12</v>
      </c>
      <c r="D2424" s="3">
        <v>19</v>
      </c>
      <c r="E2424" s="3">
        <v>7</v>
      </c>
      <c r="F2424">
        <v>23</v>
      </c>
      <c r="G2424" s="1">
        <f>DATEVALUE(_xlfn.CONCAT(BBDD_Usiarios_Netflix[[#This Row],[Día Suscripción]],"/",BBDD_Usiarios_Netflix[[#This Row],[Mes Suscripción]],"/",BBDD_Usiarios_Netflix[[#This Row],[Año Suscripción]]))</f>
        <v>45126</v>
      </c>
      <c r="H2424" s="1">
        <v>11</v>
      </c>
      <c r="I2424" s="1">
        <v>7</v>
      </c>
      <c r="J2424" s="1">
        <v>24</v>
      </c>
      <c r="K2424" s="1" t="str">
        <f>TEXT(BBDD_Usiarios_Netflix[[#This Row],[Fecha Suscripción]],"dddd")</f>
        <v>miércoles</v>
      </c>
      <c r="L2424" s="1">
        <f>DATEVALUE(_xlfn.CONCAT(BBDD_Usiarios_Netflix[[#This Row],[Día Último Pago]],"/",BBDD_Usiarios_Netflix[[#This Row],[Mes Último Pago]],"/",BBDD_Usiarios_Netflix[[#This Row],[Año Último Pago]]))</f>
        <v>45484</v>
      </c>
      <c r="M2424" s="4">
        <f>DATEDIF(BBDD_Usiarios_Netflix[[#This Row],[Fecha Suscripción]],BBDD_Usiarios_Netflix[[#This Row],[Fecha Último Pago]],"M")+1</f>
        <v>12</v>
      </c>
      <c r="N2424" s="4">
        <f>BBDD_Usiarios_Netflix[[#This Row],[Ingresos Mensuales]]*BBDD_Usiarios_Netflix[[#This Row],[Meses contratados]]</f>
        <v>144</v>
      </c>
      <c r="O2424" t="s">
        <v>33</v>
      </c>
      <c r="P2424" t="str">
        <f>IF(BBDD_Usiarios_Netflix[[#This Row],[País]]="","Desconocido",BBDD_Usiarios_Netflix[[#This Row],[País]])</f>
        <v>Francia</v>
      </c>
      <c r="Q2424">
        <v>30</v>
      </c>
      <c r="R2424" t="s">
        <v>25</v>
      </c>
      <c r="S2424" t="s">
        <v>36</v>
      </c>
      <c r="T2424" t="s">
        <v>27</v>
      </c>
      <c r="U2424">
        <f>IF(IFERROR(VLOOKUP(BBDD_Usiarios_Netflix[[#This Row],[Identificador Usuario]],A2425:$A$5870,1,FALSE),0)&lt;&gt;0,1,0)</f>
        <v>0</v>
      </c>
      <c r="V2424" s="6" t="str">
        <f>IF(BBDD_Usiarios_Netflix[[#This Row],[Duración Plan]]="12 Meses",LEFT(BBDD_Usiarios_Netflix[[#This Row],[Duración Plan]],2),LEFT(BBDD_Usiarios_Netflix[[#This Row],[Duración Plan]],1))</f>
        <v>1</v>
      </c>
      <c r="W242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25" spans="1:23" x14ac:dyDescent="0.25">
      <c r="A2425">
        <v>2424</v>
      </c>
      <c r="B2425" t="s">
        <v>32</v>
      </c>
      <c r="C2425">
        <v>12</v>
      </c>
      <c r="D2425" s="3">
        <v>20</v>
      </c>
      <c r="E2425" s="3">
        <v>7</v>
      </c>
      <c r="F2425">
        <v>23</v>
      </c>
      <c r="G2425" s="1">
        <f>DATEVALUE(_xlfn.CONCAT(BBDD_Usiarios_Netflix[[#This Row],[Día Suscripción]],"/",BBDD_Usiarios_Netflix[[#This Row],[Mes Suscripción]],"/",BBDD_Usiarios_Netflix[[#This Row],[Año Suscripción]]))</f>
        <v>45127</v>
      </c>
      <c r="H2425" s="1">
        <v>14</v>
      </c>
      <c r="I2425" s="1">
        <v>7</v>
      </c>
      <c r="J2425" s="1">
        <v>24</v>
      </c>
      <c r="K2425" s="1" t="str">
        <f>TEXT(BBDD_Usiarios_Netflix[[#This Row],[Fecha Suscripción]],"dddd")</f>
        <v>jueves</v>
      </c>
      <c r="L2425" s="1">
        <f>DATEVALUE(_xlfn.CONCAT(BBDD_Usiarios_Netflix[[#This Row],[Día Último Pago]],"/",BBDD_Usiarios_Netflix[[#This Row],[Mes Último Pago]],"/",BBDD_Usiarios_Netflix[[#This Row],[Año Último Pago]]))</f>
        <v>45487</v>
      </c>
      <c r="M2425" s="4">
        <f>DATEDIF(BBDD_Usiarios_Netflix[[#This Row],[Fecha Suscripción]],BBDD_Usiarios_Netflix[[#This Row],[Fecha Último Pago]],"M")+1</f>
        <v>12</v>
      </c>
      <c r="N2425" s="4">
        <f>BBDD_Usiarios_Netflix[[#This Row],[Ingresos Mensuales]]*BBDD_Usiarios_Netflix[[#This Row],[Meses contratados]]</f>
        <v>144</v>
      </c>
      <c r="O2425" t="s">
        <v>29</v>
      </c>
      <c r="P2425" t="str">
        <f>IF(BBDD_Usiarios_Netflix[[#This Row],[País]]="","Desconocido",BBDD_Usiarios_Netflix[[#This Row],[País]])</f>
        <v>EEUU</v>
      </c>
      <c r="Q2425">
        <v>41</v>
      </c>
      <c r="R2425" t="s">
        <v>30</v>
      </c>
      <c r="S2425" t="s">
        <v>36</v>
      </c>
      <c r="T2425" t="s">
        <v>41</v>
      </c>
      <c r="U2425">
        <f>IF(IFERROR(VLOOKUP(BBDD_Usiarios_Netflix[[#This Row],[Identificador Usuario]],A2426:$A$5870,1,FALSE),0)&lt;&gt;0,1,0)</f>
        <v>0</v>
      </c>
      <c r="V2425" s="6" t="str">
        <f>IF(BBDD_Usiarios_Netflix[[#This Row],[Duración Plan]]="12 Meses",LEFT(BBDD_Usiarios_Netflix[[#This Row],[Duración Plan]],2),LEFT(BBDD_Usiarios_Netflix[[#This Row],[Duración Plan]],1))</f>
        <v>12</v>
      </c>
      <c r="W242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26" spans="1:23" x14ac:dyDescent="0.25">
      <c r="A2426">
        <v>2425</v>
      </c>
      <c r="B2426" t="s">
        <v>23</v>
      </c>
      <c r="C2426">
        <v>10</v>
      </c>
      <c r="D2426" s="3">
        <v>21</v>
      </c>
      <c r="E2426" s="3">
        <v>7</v>
      </c>
      <c r="F2426">
        <v>23</v>
      </c>
      <c r="G2426" s="1">
        <f>DATEVALUE(_xlfn.CONCAT(BBDD_Usiarios_Netflix[[#This Row],[Día Suscripción]],"/",BBDD_Usiarios_Netflix[[#This Row],[Mes Suscripción]],"/",BBDD_Usiarios_Netflix[[#This Row],[Año Suscripción]]))</f>
        <v>45128</v>
      </c>
      <c r="H2426" s="1">
        <v>10</v>
      </c>
      <c r="I2426" s="1">
        <v>7</v>
      </c>
      <c r="J2426" s="1">
        <v>24</v>
      </c>
      <c r="K2426" s="1" t="str">
        <f>TEXT(BBDD_Usiarios_Netflix[[#This Row],[Fecha Suscripción]],"dddd")</f>
        <v>viernes</v>
      </c>
      <c r="L2426" s="1">
        <f>DATEVALUE(_xlfn.CONCAT(BBDD_Usiarios_Netflix[[#This Row],[Día Último Pago]],"/",BBDD_Usiarios_Netflix[[#This Row],[Mes Último Pago]],"/",BBDD_Usiarios_Netflix[[#This Row],[Año Último Pago]]))</f>
        <v>45483</v>
      </c>
      <c r="M2426" s="4">
        <f>DATEDIF(BBDD_Usiarios_Netflix[[#This Row],[Fecha Suscripción]],BBDD_Usiarios_Netflix[[#This Row],[Fecha Último Pago]],"M")+1</f>
        <v>12</v>
      </c>
      <c r="N2426" s="4">
        <f>BBDD_Usiarios_Netflix[[#This Row],[Ingresos Mensuales]]*BBDD_Usiarios_Netflix[[#This Row],[Meses contratados]]</f>
        <v>120</v>
      </c>
      <c r="O2426" t="s">
        <v>29</v>
      </c>
      <c r="P2426" t="str">
        <f>IF(BBDD_Usiarios_Netflix[[#This Row],[País]]="","Desconocido",BBDD_Usiarios_Netflix[[#This Row],[País]])</f>
        <v>EEUU</v>
      </c>
      <c r="Q2426">
        <v>39</v>
      </c>
      <c r="R2426" t="s">
        <v>25</v>
      </c>
      <c r="S2426" t="s">
        <v>31</v>
      </c>
      <c r="T2426" t="s">
        <v>27</v>
      </c>
      <c r="U2426">
        <f>IF(IFERROR(VLOOKUP(BBDD_Usiarios_Netflix[[#This Row],[Identificador Usuario]],A2427:$A$5870,1,FALSE),0)&lt;&gt;0,1,0)</f>
        <v>0</v>
      </c>
      <c r="V2426" s="6" t="str">
        <f>IF(BBDD_Usiarios_Netflix[[#This Row],[Duración Plan]]="12 Meses",LEFT(BBDD_Usiarios_Netflix[[#This Row],[Duración Plan]],2),LEFT(BBDD_Usiarios_Netflix[[#This Row],[Duración Plan]],1))</f>
        <v>1</v>
      </c>
      <c r="W242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27" spans="1:23" x14ac:dyDescent="0.25">
      <c r="A2427">
        <v>2426</v>
      </c>
      <c r="B2427" t="s">
        <v>28</v>
      </c>
      <c r="C2427">
        <v>14</v>
      </c>
      <c r="D2427" s="3">
        <v>23</v>
      </c>
      <c r="E2427" s="3">
        <v>7</v>
      </c>
      <c r="F2427">
        <v>23</v>
      </c>
      <c r="G2427" s="1">
        <f>DATEVALUE(_xlfn.CONCAT(BBDD_Usiarios_Netflix[[#This Row],[Día Suscripción]],"/",BBDD_Usiarios_Netflix[[#This Row],[Mes Suscripción]],"/",BBDD_Usiarios_Netflix[[#This Row],[Año Suscripción]]))</f>
        <v>45130</v>
      </c>
      <c r="H2427" s="1">
        <v>12</v>
      </c>
      <c r="I2427" s="1">
        <v>7</v>
      </c>
      <c r="J2427" s="1">
        <v>24</v>
      </c>
      <c r="K2427" s="1" t="str">
        <f>TEXT(BBDD_Usiarios_Netflix[[#This Row],[Fecha Suscripción]],"dddd")</f>
        <v>domingo</v>
      </c>
      <c r="L2427" s="1">
        <f>DATEVALUE(_xlfn.CONCAT(BBDD_Usiarios_Netflix[[#This Row],[Día Último Pago]],"/",BBDD_Usiarios_Netflix[[#This Row],[Mes Último Pago]],"/",BBDD_Usiarios_Netflix[[#This Row],[Año Último Pago]]))</f>
        <v>45485</v>
      </c>
      <c r="M2427" s="4">
        <f>DATEDIF(BBDD_Usiarios_Netflix[[#This Row],[Fecha Suscripción]],BBDD_Usiarios_Netflix[[#This Row],[Fecha Último Pago]],"M")+1</f>
        <v>12</v>
      </c>
      <c r="N2427" s="4">
        <f>BBDD_Usiarios_Netflix[[#This Row],[Ingresos Mensuales]]*BBDD_Usiarios_Netflix[[#This Row],[Meses contratados]]</f>
        <v>168</v>
      </c>
      <c r="O2427" t="s">
        <v>39</v>
      </c>
      <c r="P2427" t="str">
        <f>IF(BBDD_Usiarios_Netflix[[#This Row],[País]]="","Desconocido",BBDD_Usiarios_Netflix[[#This Row],[País]])</f>
        <v>Canadá</v>
      </c>
      <c r="Q2427">
        <v>51</v>
      </c>
      <c r="R2427" t="s">
        <v>25</v>
      </c>
      <c r="S2427" t="s">
        <v>26</v>
      </c>
      <c r="T2427" t="s">
        <v>35</v>
      </c>
      <c r="U2427">
        <f>IF(IFERROR(VLOOKUP(BBDD_Usiarios_Netflix[[#This Row],[Identificador Usuario]],A2428:$A$5870,1,FALSE),0)&lt;&gt;0,1,0)</f>
        <v>0</v>
      </c>
      <c r="V2427" s="6" t="str">
        <f>IF(BBDD_Usiarios_Netflix[[#This Row],[Duración Plan]]="12 Meses",LEFT(BBDD_Usiarios_Netflix[[#This Row],[Duración Plan]],2),LEFT(BBDD_Usiarios_Netflix[[#This Row],[Duración Plan]],1))</f>
        <v>6</v>
      </c>
      <c r="W242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28" spans="1:23" x14ac:dyDescent="0.25">
      <c r="A2428">
        <v>2427</v>
      </c>
      <c r="B2428" t="s">
        <v>23</v>
      </c>
      <c r="C2428">
        <v>10</v>
      </c>
      <c r="D2428" s="3">
        <v>3</v>
      </c>
      <c r="E2428" s="3">
        <v>8</v>
      </c>
      <c r="F2428">
        <v>23</v>
      </c>
      <c r="G2428" s="1">
        <f>DATEVALUE(_xlfn.CONCAT(BBDD_Usiarios_Netflix[[#This Row],[Día Suscripción]],"/",BBDD_Usiarios_Netflix[[#This Row],[Mes Suscripción]],"/",BBDD_Usiarios_Netflix[[#This Row],[Año Suscripción]]))</f>
        <v>45141</v>
      </c>
      <c r="H2428" s="1">
        <v>14</v>
      </c>
      <c r="I2428" s="1">
        <v>7</v>
      </c>
      <c r="J2428" s="1">
        <v>24</v>
      </c>
      <c r="K2428" s="1" t="str">
        <f>TEXT(BBDD_Usiarios_Netflix[[#This Row],[Fecha Suscripción]],"dddd")</f>
        <v>jueves</v>
      </c>
      <c r="L2428" s="1">
        <f>DATEVALUE(_xlfn.CONCAT(BBDD_Usiarios_Netflix[[#This Row],[Día Último Pago]],"/",BBDD_Usiarios_Netflix[[#This Row],[Mes Último Pago]],"/",BBDD_Usiarios_Netflix[[#This Row],[Año Último Pago]]))</f>
        <v>45487</v>
      </c>
      <c r="M2428" s="4">
        <f>DATEDIF(BBDD_Usiarios_Netflix[[#This Row],[Fecha Suscripción]],BBDD_Usiarios_Netflix[[#This Row],[Fecha Último Pago]],"M")+1</f>
        <v>12</v>
      </c>
      <c r="N2428" s="4">
        <f>BBDD_Usiarios_Netflix[[#This Row],[Ingresos Mensuales]]*BBDD_Usiarios_Netflix[[#This Row],[Meses contratados]]</f>
        <v>120</v>
      </c>
      <c r="O2428" t="s">
        <v>43</v>
      </c>
      <c r="P2428" t="str">
        <f>IF(BBDD_Usiarios_Netflix[[#This Row],[País]]="","Desconocido",BBDD_Usiarios_Netflix[[#This Row],[País]])</f>
        <v>Alemania</v>
      </c>
      <c r="Q2428">
        <v>28</v>
      </c>
      <c r="R2428" t="s">
        <v>30</v>
      </c>
      <c r="S2428" t="s">
        <v>26</v>
      </c>
      <c r="T2428" t="s">
        <v>27</v>
      </c>
      <c r="U2428">
        <f>IF(IFERROR(VLOOKUP(BBDD_Usiarios_Netflix[[#This Row],[Identificador Usuario]],A2429:$A$5870,1,FALSE),0)&lt;&gt;0,1,0)</f>
        <v>0</v>
      </c>
      <c r="V2428" s="6" t="str">
        <f>IF(BBDD_Usiarios_Netflix[[#This Row],[Duración Plan]]="12 Meses",LEFT(BBDD_Usiarios_Netflix[[#This Row],[Duración Plan]],2),LEFT(BBDD_Usiarios_Netflix[[#This Row],[Duración Plan]],1))</f>
        <v>1</v>
      </c>
      <c r="W242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29" spans="1:23" x14ac:dyDescent="0.25">
      <c r="A2429">
        <v>2428</v>
      </c>
      <c r="B2429" t="s">
        <v>32</v>
      </c>
      <c r="C2429">
        <v>12</v>
      </c>
      <c r="D2429" s="3">
        <v>6</v>
      </c>
      <c r="E2429" s="3">
        <v>8</v>
      </c>
      <c r="F2429">
        <v>23</v>
      </c>
      <c r="G2429" s="1">
        <f>DATEVALUE(_xlfn.CONCAT(BBDD_Usiarios_Netflix[[#This Row],[Día Suscripción]],"/",BBDD_Usiarios_Netflix[[#This Row],[Mes Suscripción]],"/",BBDD_Usiarios_Netflix[[#This Row],[Año Suscripción]]))</f>
        <v>45144</v>
      </c>
      <c r="H2429" s="1">
        <v>15</v>
      </c>
      <c r="I2429" s="1">
        <v>7</v>
      </c>
      <c r="J2429" s="1">
        <v>24</v>
      </c>
      <c r="K2429" s="1" t="str">
        <f>TEXT(BBDD_Usiarios_Netflix[[#This Row],[Fecha Suscripción]],"dddd")</f>
        <v>domingo</v>
      </c>
      <c r="L2429" s="1">
        <f>DATEVALUE(_xlfn.CONCAT(BBDD_Usiarios_Netflix[[#This Row],[Día Último Pago]],"/",BBDD_Usiarios_Netflix[[#This Row],[Mes Último Pago]],"/",BBDD_Usiarios_Netflix[[#This Row],[Año Último Pago]]))</f>
        <v>45488</v>
      </c>
      <c r="M2429" s="4">
        <f>DATEDIF(BBDD_Usiarios_Netflix[[#This Row],[Fecha Suscripción]],BBDD_Usiarios_Netflix[[#This Row],[Fecha Último Pago]],"M")+1</f>
        <v>12</v>
      </c>
      <c r="N2429" s="4">
        <f>BBDD_Usiarios_Netflix[[#This Row],[Ingresos Mensuales]]*BBDD_Usiarios_Netflix[[#This Row],[Meses contratados]]</f>
        <v>144</v>
      </c>
      <c r="O2429" t="s">
        <v>46</v>
      </c>
      <c r="P2429" t="str">
        <f>IF(BBDD_Usiarios_Netflix[[#This Row],[País]]="","Desconocido",BBDD_Usiarios_Netflix[[#This Row],[País]])</f>
        <v>Méjico</v>
      </c>
      <c r="Q2429">
        <v>30</v>
      </c>
      <c r="R2429" t="s">
        <v>30</v>
      </c>
      <c r="S2429" t="s">
        <v>31</v>
      </c>
      <c r="T2429" t="s">
        <v>38</v>
      </c>
      <c r="U2429">
        <f>IF(IFERROR(VLOOKUP(BBDD_Usiarios_Netflix[[#This Row],[Identificador Usuario]],A2430:$A$5870,1,FALSE),0)&lt;&gt;0,1,0)</f>
        <v>0</v>
      </c>
      <c r="V2429" s="6" t="str">
        <f>IF(BBDD_Usiarios_Netflix[[#This Row],[Duración Plan]]="12 Meses",LEFT(BBDD_Usiarios_Netflix[[#This Row],[Duración Plan]],2),LEFT(BBDD_Usiarios_Netflix[[#This Row],[Duración Plan]],1))</f>
        <v>3</v>
      </c>
      <c r="W242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30" spans="1:23" x14ac:dyDescent="0.25">
      <c r="A2430">
        <v>2429</v>
      </c>
      <c r="B2430" t="s">
        <v>28</v>
      </c>
      <c r="C2430">
        <v>14</v>
      </c>
      <c r="D2430" s="3">
        <v>10</v>
      </c>
      <c r="E2430" s="3">
        <v>8</v>
      </c>
      <c r="F2430">
        <v>23</v>
      </c>
      <c r="G2430" s="1">
        <f>DATEVALUE(_xlfn.CONCAT(BBDD_Usiarios_Netflix[[#This Row],[Día Suscripción]],"/",BBDD_Usiarios_Netflix[[#This Row],[Mes Suscripción]],"/",BBDD_Usiarios_Netflix[[#This Row],[Año Suscripción]]))</f>
        <v>45148</v>
      </c>
      <c r="H2430" s="1">
        <v>12</v>
      </c>
      <c r="I2430" s="1">
        <v>7</v>
      </c>
      <c r="J2430" s="1">
        <v>24</v>
      </c>
      <c r="K2430" s="1" t="str">
        <f>TEXT(BBDD_Usiarios_Netflix[[#This Row],[Fecha Suscripción]],"dddd")</f>
        <v>jueves</v>
      </c>
      <c r="L2430" s="1">
        <f>DATEVALUE(_xlfn.CONCAT(BBDD_Usiarios_Netflix[[#This Row],[Día Último Pago]],"/",BBDD_Usiarios_Netflix[[#This Row],[Mes Último Pago]],"/",BBDD_Usiarios_Netflix[[#This Row],[Año Último Pago]]))</f>
        <v>45485</v>
      </c>
      <c r="M2430" s="4">
        <f>DATEDIF(BBDD_Usiarios_Netflix[[#This Row],[Fecha Suscripción]],BBDD_Usiarios_Netflix[[#This Row],[Fecha Último Pago]],"M")+1</f>
        <v>12</v>
      </c>
      <c r="N2430" s="4">
        <f>BBDD_Usiarios_Netflix[[#This Row],[Ingresos Mensuales]]*BBDD_Usiarios_Netflix[[#This Row],[Meses contratados]]</f>
        <v>168</v>
      </c>
      <c r="O2430" t="s">
        <v>24</v>
      </c>
      <c r="P2430" t="str">
        <f>IF(BBDD_Usiarios_Netflix[[#This Row],[País]]="","Desconocido",BBDD_Usiarios_Netflix[[#This Row],[País]])</f>
        <v>Australia</v>
      </c>
      <c r="Q2430">
        <v>30</v>
      </c>
      <c r="R2430" t="s">
        <v>30</v>
      </c>
      <c r="S2430" t="s">
        <v>26</v>
      </c>
      <c r="T2430" t="s">
        <v>27</v>
      </c>
      <c r="U2430">
        <f>IF(IFERROR(VLOOKUP(BBDD_Usiarios_Netflix[[#This Row],[Identificador Usuario]],A2431:$A$5870,1,FALSE),0)&lt;&gt;0,1,0)</f>
        <v>0</v>
      </c>
      <c r="V2430" s="6" t="str">
        <f>IF(BBDD_Usiarios_Netflix[[#This Row],[Duración Plan]]="12 Meses",LEFT(BBDD_Usiarios_Netflix[[#This Row],[Duración Plan]],2),LEFT(BBDD_Usiarios_Netflix[[#This Row],[Duración Plan]],1))</f>
        <v>1</v>
      </c>
      <c r="W243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31" spans="1:23" x14ac:dyDescent="0.25">
      <c r="A2431">
        <v>2430</v>
      </c>
      <c r="B2431" t="s">
        <v>23</v>
      </c>
      <c r="C2431">
        <v>10</v>
      </c>
      <c r="D2431" s="3">
        <v>13</v>
      </c>
      <c r="E2431" s="3">
        <v>8</v>
      </c>
      <c r="F2431">
        <v>23</v>
      </c>
      <c r="G2431" s="1">
        <f>DATEVALUE(_xlfn.CONCAT(BBDD_Usiarios_Netflix[[#This Row],[Día Suscripción]],"/",BBDD_Usiarios_Netflix[[#This Row],[Mes Suscripción]],"/",BBDD_Usiarios_Netflix[[#This Row],[Año Suscripción]]))</f>
        <v>45151</v>
      </c>
      <c r="H2431" s="1">
        <v>11</v>
      </c>
      <c r="I2431" s="1">
        <v>7</v>
      </c>
      <c r="J2431" s="1">
        <v>24</v>
      </c>
      <c r="K2431" s="1" t="str">
        <f>TEXT(BBDD_Usiarios_Netflix[[#This Row],[Fecha Suscripción]],"dddd")</f>
        <v>domingo</v>
      </c>
      <c r="L2431" s="1">
        <f>DATEVALUE(_xlfn.CONCAT(BBDD_Usiarios_Netflix[[#This Row],[Día Último Pago]],"/",BBDD_Usiarios_Netflix[[#This Row],[Mes Último Pago]],"/",BBDD_Usiarios_Netflix[[#This Row],[Año Último Pago]]))</f>
        <v>45484</v>
      </c>
      <c r="M2431" s="4">
        <f>DATEDIF(BBDD_Usiarios_Netflix[[#This Row],[Fecha Suscripción]],BBDD_Usiarios_Netflix[[#This Row],[Fecha Último Pago]],"M")+1</f>
        <v>11</v>
      </c>
      <c r="N2431" s="4">
        <f>BBDD_Usiarios_Netflix[[#This Row],[Ingresos Mensuales]]*BBDD_Usiarios_Netflix[[#This Row],[Meses contratados]]</f>
        <v>110</v>
      </c>
      <c r="O2431" t="s">
        <v>29</v>
      </c>
      <c r="P2431" t="str">
        <f>IF(BBDD_Usiarios_Netflix[[#This Row],[País]]="","Desconocido",BBDD_Usiarios_Netflix[[#This Row],[País]])</f>
        <v>EEUU</v>
      </c>
      <c r="Q2431">
        <v>44</v>
      </c>
      <c r="R2431" t="s">
        <v>30</v>
      </c>
      <c r="S2431" t="s">
        <v>31</v>
      </c>
      <c r="T2431" t="s">
        <v>38</v>
      </c>
      <c r="U2431">
        <f>IF(IFERROR(VLOOKUP(BBDD_Usiarios_Netflix[[#This Row],[Identificador Usuario]],A2432:$A$5870,1,FALSE),0)&lt;&gt;0,1,0)</f>
        <v>0</v>
      </c>
      <c r="V2431" s="6" t="str">
        <f>IF(BBDD_Usiarios_Netflix[[#This Row],[Duración Plan]]="12 Meses",LEFT(BBDD_Usiarios_Netflix[[#This Row],[Duración Plan]],2),LEFT(BBDD_Usiarios_Netflix[[#This Row],[Duración Plan]],1))</f>
        <v>3</v>
      </c>
      <c r="W243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32" spans="1:23" x14ac:dyDescent="0.25">
      <c r="A2432">
        <v>2431</v>
      </c>
      <c r="B2432" t="s">
        <v>28</v>
      </c>
      <c r="C2432">
        <v>14</v>
      </c>
      <c r="D2432" s="3">
        <v>15</v>
      </c>
      <c r="E2432" s="3">
        <v>8</v>
      </c>
      <c r="F2432">
        <v>23</v>
      </c>
      <c r="G2432" s="1">
        <f>DATEVALUE(_xlfn.CONCAT(BBDD_Usiarios_Netflix[[#This Row],[Día Suscripción]],"/",BBDD_Usiarios_Netflix[[#This Row],[Mes Suscripción]],"/",BBDD_Usiarios_Netflix[[#This Row],[Año Suscripción]]))</f>
        <v>45153</v>
      </c>
      <c r="H2432" s="1">
        <v>14</v>
      </c>
      <c r="I2432" s="1">
        <v>7</v>
      </c>
      <c r="J2432" s="1">
        <v>24</v>
      </c>
      <c r="K2432" s="1" t="str">
        <f>TEXT(BBDD_Usiarios_Netflix[[#This Row],[Fecha Suscripción]],"dddd")</f>
        <v>martes</v>
      </c>
      <c r="L2432" s="1">
        <f>DATEVALUE(_xlfn.CONCAT(BBDD_Usiarios_Netflix[[#This Row],[Día Último Pago]],"/",BBDD_Usiarios_Netflix[[#This Row],[Mes Último Pago]],"/",BBDD_Usiarios_Netflix[[#This Row],[Año Último Pago]]))</f>
        <v>45487</v>
      </c>
      <c r="M2432" s="4">
        <f>DATEDIF(BBDD_Usiarios_Netflix[[#This Row],[Fecha Suscripción]],BBDD_Usiarios_Netflix[[#This Row],[Fecha Último Pago]],"M")+1</f>
        <v>11</v>
      </c>
      <c r="N2432" s="4">
        <f>BBDD_Usiarios_Netflix[[#This Row],[Ingresos Mensuales]]*BBDD_Usiarios_Netflix[[#This Row],[Meses contratados]]</f>
        <v>154</v>
      </c>
      <c r="O2432" t="s">
        <v>42</v>
      </c>
      <c r="P2432" t="str">
        <f>IF(BBDD_Usiarios_Netflix[[#This Row],[País]]="","Desconocido",BBDD_Usiarios_Netflix[[#This Row],[País]])</f>
        <v>Reino Unido</v>
      </c>
      <c r="Q2432">
        <v>29</v>
      </c>
      <c r="R2432" t="s">
        <v>30</v>
      </c>
      <c r="S2432" t="s">
        <v>34</v>
      </c>
      <c r="T2432" t="s">
        <v>38</v>
      </c>
      <c r="U2432">
        <f>IF(IFERROR(VLOOKUP(BBDD_Usiarios_Netflix[[#This Row],[Identificador Usuario]],A2433:$A$5870,1,FALSE),0)&lt;&gt;0,1,0)</f>
        <v>0</v>
      </c>
      <c r="V2432" s="6" t="str">
        <f>IF(BBDD_Usiarios_Netflix[[#This Row],[Duración Plan]]="12 Meses",LEFT(BBDD_Usiarios_Netflix[[#This Row],[Duración Plan]],2),LEFT(BBDD_Usiarios_Netflix[[#This Row],[Duración Plan]],1))</f>
        <v>3</v>
      </c>
      <c r="W243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33" spans="1:23" x14ac:dyDescent="0.25">
      <c r="A2433">
        <v>2432</v>
      </c>
      <c r="B2433" t="s">
        <v>23</v>
      </c>
      <c r="C2433">
        <v>10</v>
      </c>
      <c r="D2433" s="3">
        <v>19</v>
      </c>
      <c r="E2433" s="3">
        <v>8</v>
      </c>
      <c r="F2433">
        <v>23</v>
      </c>
      <c r="G2433" s="1">
        <f>DATEVALUE(_xlfn.CONCAT(BBDD_Usiarios_Netflix[[#This Row],[Día Suscripción]],"/",BBDD_Usiarios_Netflix[[#This Row],[Mes Suscripción]],"/",BBDD_Usiarios_Netflix[[#This Row],[Año Suscripción]]))</f>
        <v>45157</v>
      </c>
      <c r="H2433" s="1">
        <v>14</v>
      </c>
      <c r="I2433" s="1">
        <v>7</v>
      </c>
      <c r="J2433" s="1">
        <v>24</v>
      </c>
      <c r="K2433" s="1" t="str">
        <f>TEXT(BBDD_Usiarios_Netflix[[#This Row],[Fecha Suscripción]],"dddd")</f>
        <v>sábado</v>
      </c>
      <c r="L2433" s="1">
        <f>DATEVALUE(_xlfn.CONCAT(BBDD_Usiarios_Netflix[[#This Row],[Día Último Pago]],"/",BBDD_Usiarios_Netflix[[#This Row],[Mes Último Pago]],"/",BBDD_Usiarios_Netflix[[#This Row],[Año Último Pago]]))</f>
        <v>45487</v>
      </c>
      <c r="M2433" s="4">
        <f>DATEDIF(BBDD_Usiarios_Netflix[[#This Row],[Fecha Suscripción]],BBDD_Usiarios_Netflix[[#This Row],[Fecha Último Pago]],"M")+1</f>
        <v>11</v>
      </c>
      <c r="N2433" s="4">
        <f>BBDD_Usiarios_Netflix[[#This Row],[Ingresos Mensuales]]*BBDD_Usiarios_Netflix[[#This Row],[Meses contratados]]</f>
        <v>110</v>
      </c>
      <c r="O2433" t="s">
        <v>29</v>
      </c>
      <c r="P2433" t="str">
        <f>IF(BBDD_Usiarios_Netflix[[#This Row],[País]]="","Desconocido",BBDD_Usiarios_Netflix[[#This Row],[País]])</f>
        <v>EEUU</v>
      </c>
      <c r="Q2433">
        <v>28</v>
      </c>
      <c r="R2433" t="s">
        <v>30</v>
      </c>
      <c r="S2433" t="s">
        <v>31</v>
      </c>
      <c r="T2433" t="s">
        <v>27</v>
      </c>
      <c r="U2433">
        <f>IF(IFERROR(VLOOKUP(BBDD_Usiarios_Netflix[[#This Row],[Identificador Usuario]],A2434:$A$5870,1,FALSE),0)&lt;&gt;0,1,0)</f>
        <v>0</v>
      </c>
      <c r="V2433" s="6" t="str">
        <f>IF(BBDD_Usiarios_Netflix[[#This Row],[Duración Plan]]="12 Meses",LEFT(BBDD_Usiarios_Netflix[[#This Row],[Duración Plan]],2),LEFT(BBDD_Usiarios_Netflix[[#This Row],[Duración Plan]],1))</f>
        <v>1</v>
      </c>
      <c r="W243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34" spans="1:23" x14ac:dyDescent="0.25">
      <c r="A2434">
        <v>2433</v>
      </c>
      <c r="B2434" t="s">
        <v>32</v>
      </c>
      <c r="C2434">
        <v>12</v>
      </c>
      <c r="D2434" s="3">
        <v>22</v>
      </c>
      <c r="E2434" s="3">
        <v>8</v>
      </c>
      <c r="F2434">
        <v>23</v>
      </c>
      <c r="G2434" s="1">
        <f>DATEVALUE(_xlfn.CONCAT(BBDD_Usiarios_Netflix[[#This Row],[Día Suscripción]],"/",BBDD_Usiarios_Netflix[[#This Row],[Mes Suscripción]],"/",BBDD_Usiarios_Netflix[[#This Row],[Año Suscripción]]))</f>
        <v>45160</v>
      </c>
      <c r="H2434" s="1">
        <v>11</v>
      </c>
      <c r="I2434" s="1">
        <v>7</v>
      </c>
      <c r="J2434" s="1">
        <v>24</v>
      </c>
      <c r="K2434" s="1" t="str">
        <f>TEXT(BBDD_Usiarios_Netflix[[#This Row],[Fecha Suscripción]],"dddd")</f>
        <v>martes</v>
      </c>
      <c r="L2434" s="1">
        <f>DATEVALUE(_xlfn.CONCAT(BBDD_Usiarios_Netflix[[#This Row],[Día Último Pago]],"/",BBDD_Usiarios_Netflix[[#This Row],[Mes Último Pago]],"/",BBDD_Usiarios_Netflix[[#This Row],[Año Último Pago]]))</f>
        <v>45484</v>
      </c>
      <c r="M2434" s="4">
        <f>DATEDIF(BBDD_Usiarios_Netflix[[#This Row],[Fecha Suscripción]],BBDD_Usiarios_Netflix[[#This Row],[Fecha Último Pago]],"M")+1</f>
        <v>11</v>
      </c>
      <c r="N2434" s="4">
        <f>BBDD_Usiarios_Netflix[[#This Row],[Ingresos Mensuales]]*BBDD_Usiarios_Netflix[[#This Row],[Meses contratados]]</f>
        <v>132</v>
      </c>
      <c r="O2434" t="s">
        <v>43</v>
      </c>
      <c r="P2434" t="str">
        <f>IF(BBDD_Usiarios_Netflix[[#This Row],[País]]="","Desconocido",BBDD_Usiarios_Netflix[[#This Row],[País]])</f>
        <v>Alemania</v>
      </c>
      <c r="Q2434">
        <v>48</v>
      </c>
      <c r="R2434" t="s">
        <v>25</v>
      </c>
      <c r="S2434" t="s">
        <v>31</v>
      </c>
      <c r="T2434" t="s">
        <v>27</v>
      </c>
      <c r="U2434">
        <f>IF(IFERROR(VLOOKUP(BBDD_Usiarios_Netflix[[#This Row],[Identificador Usuario]],A2435:$A$5870,1,FALSE),0)&lt;&gt;0,1,0)</f>
        <v>0</v>
      </c>
      <c r="V2434" s="6" t="str">
        <f>IF(BBDD_Usiarios_Netflix[[#This Row],[Duración Plan]]="12 Meses",LEFT(BBDD_Usiarios_Netflix[[#This Row],[Duración Plan]],2),LEFT(BBDD_Usiarios_Netflix[[#This Row],[Duración Plan]],1))</f>
        <v>1</v>
      </c>
      <c r="W243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35" spans="1:23" x14ac:dyDescent="0.25">
      <c r="A2435">
        <v>2434</v>
      </c>
      <c r="B2435" t="s">
        <v>32</v>
      </c>
      <c r="C2435">
        <v>12</v>
      </c>
      <c r="D2435" s="3">
        <v>28</v>
      </c>
      <c r="E2435" s="3">
        <v>8</v>
      </c>
      <c r="F2435">
        <v>23</v>
      </c>
      <c r="G2435" s="1">
        <f>DATEVALUE(_xlfn.CONCAT(BBDD_Usiarios_Netflix[[#This Row],[Día Suscripción]],"/",BBDD_Usiarios_Netflix[[#This Row],[Mes Suscripción]],"/",BBDD_Usiarios_Netflix[[#This Row],[Año Suscripción]]))</f>
        <v>45166</v>
      </c>
      <c r="H2435" s="1">
        <v>11</v>
      </c>
      <c r="I2435" s="1">
        <v>7</v>
      </c>
      <c r="J2435" s="1">
        <v>24</v>
      </c>
      <c r="K2435" s="1" t="str">
        <f>TEXT(BBDD_Usiarios_Netflix[[#This Row],[Fecha Suscripción]],"dddd")</f>
        <v>lunes</v>
      </c>
      <c r="L2435" s="1">
        <f>DATEVALUE(_xlfn.CONCAT(BBDD_Usiarios_Netflix[[#This Row],[Día Último Pago]],"/",BBDD_Usiarios_Netflix[[#This Row],[Mes Último Pago]],"/",BBDD_Usiarios_Netflix[[#This Row],[Año Último Pago]]))</f>
        <v>45484</v>
      </c>
      <c r="M2435" s="4">
        <f>DATEDIF(BBDD_Usiarios_Netflix[[#This Row],[Fecha Suscripción]],BBDD_Usiarios_Netflix[[#This Row],[Fecha Último Pago]],"M")+1</f>
        <v>11</v>
      </c>
      <c r="N2435" s="4">
        <f>BBDD_Usiarios_Netflix[[#This Row],[Ingresos Mensuales]]*BBDD_Usiarios_Netflix[[#This Row],[Meses contratados]]</f>
        <v>132</v>
      </c>
      <c r="O2435" t="s">
        <v>37</v>
      </c>
      <c r="P2435" t="str">
        <f>IF(BBDD_Usiarios_Netflix[[#This Row],[País]]="","Desconocido",BBDD_Usiarios_Netflix[[#This Row],[País]])</f>
        <v>Brasil</v>
      </c>
      <c r="Q2435">
        <v>42</v>
      </c>
      <c r="R2435" t="s">
        <v>30</v>
      </c>
      <c r="S2435" t="s">
        <v>34</v>
      </c>
      <c r="T2435" t="s">
        <v>27</v>
      </c>
      <c r="U2435">
        <f>IF(IFERROR(VLOOKUP(BBDD_Usiarios_Netflix[[#This Row],[Identificador Usuario]],A2436:$A$5870,1,FALSE),0)&lt;&gt;0,1,0)</f>
        <v>0</v>
      </c>
      <c r="V2435" s="6" t="str">
        <f>IF(BBDD_Usiarios_Netflix[[#This Row],[Duración Plan]]="12 Meses",LEFT(BBDD_Usiarios_Netflix[[#This Row],[Duración Plan]],2),LEFT(BBDD_Usiarios_Netflix[[#This Row],[Duración Plan]],1))</f>
        <v>1</v>
      </c>
      <c r="W243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36" spans="1:23" x14ac:dyDescent="0.25">
      <c r="A2436">
        <v>2435</v>
      </c>
      <c r="B2436" t="s">
        <v>23</v>
      </c>
      <c r="C2436">
        <v>10</v>
      </c>
      <c r="D2436" s="3">
        <v>6</v>
      </c>
      <c r="E2436" s="3">
        <v>9</v>
      </c>
      <c r="F2436">
        <v>23</v>
      </c>
      <c r="G2436" s="1">
        <f>DATEVALUE(_xlfn.CONCAT(BBDD_Usiarios_Netflix[[#This Row],[Día Suscripción]],"/",BBDD_Usiarios_Netflix[[#This Row],[Mes Suscripción]],"/",BBDD_Usiarios_Netflix[[#This Row],[Año Suscripción]]))</f>
        <v>45175</v>
      </c>
      <c r="H2436" s="1">
        <v>13</v>
      </c>
      <c r="I2436" s="1">
        <v>7</v>
      </c>
      <c r="J2436" s="1">
        <v>24</v>
      </c>
      <c r="K2436" s="1" t="str">
        <f>TEXT(BBDD_Usiarios_Netflix[[#This Row],[Fecha Suscripción]],"dddd")</f>
        <v>miércoles</v>
      </c>
      <c r="L2436" s="1">
        <f>DATEVALUE(_xlfn.CONCAT(BBDD_Usiarios_Netflix[[#This Row],[Día Último Pago]],"/",BBDD_Usiarios_Netflix[[#This Row],[Mes Último Pago]],"/",BBDD_Usiarios_Netflix[[#This Row],[Año Último Pago]]))</f>
        <v>45486</v>
      </c>
      <c r="M2436" s="4">
        <f>DATEDIF(BBDD_Usiarios_Netflix[[#This Row],[Fecha Suscripción]],BBDD_Usiarios_Netflix[[#This Row],[Fecha Último Pago]],"M")+1</f>
        <v>11</v>
      </c>
      <c r="N2436" s="4">
        <f>BBDD_Usiarios_Netflix[[#This Row],[Ingresos Mensuales]]*BBDD_Usiarios_Netflix[[#This Row],[Meses contratados]]</f>
        <v>110</v>
      </c>
      <c r="O2436" t="s">
        <v>29</v>
      </c>
      <c r="P2436" t="str">
        <f>IF(BBDD_Usiarios_Netflix[[#This Row],[País]]="","Desconocido",BBDD_Usiarios_Netflix[[#This Row],[País]])</f>
        <v>EEUU</v>
      </c>
      <c r="Q2436">
        <v>39</v>
      </c>
      <c r="R2436" t="s">
        <v>25</v>
      </c>
      <c r="S2436" t="s">
        <v>26</v>
      </c>
      <c r="T2436" t="s">
        <v>41</v>
      </c>
      <c r="U2436">
        <f>IF(IFERROR(VLOOKUP(BBDD_Usiarios_Netflix[[#This Row],[Identificador Usuario]],A2437:$A$5870,1,FALSE),0)&lt;&gt;0,1,0)</f>
        <v>0</v>
      </c>
      <c r="V2436" s="6" t="str">
        <f>IF(BBDD_Usiarios_Netflix[[#This Row],[Duración Plan]]="12 Meses",LEFT(BBDD_Usiarios_Netflix[[#This Row],[Duración Plan]],2),LEFT(BBDD_Usiarios_Netflix[[#This Row],[Duración Plan]],1))</f>
        <v>12</v>
      </c>
      <c r="W243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37" spans="1:23" x14ac:dyDescent="0.25">
      <c r="A2437">
        <v>2436</v>
      </c>
      <c r="B2437" t="s">
        <v>28</v>
      </c>
      <c r="C2437">
        <v>14</v>
      </c>
      <c r="D2437" s="3">
        <v>16</v>
      </c>
      <c r="E2437" s="3">
        <v>9</v>
      </c>
      <c r="F2437">
        <v>23</v>
      </c>
      <c r="G2437" s="1">
        <f>DATEVALUE(_xlfn.CONCAT(BBDD_Usiarios_Netflix[[#This Row],[Día Suscripción]],"/",BBDD_Usiarios_Netflix[[#This Row],[Mes Suscripción]],"/",BBDD_Usiarios_Netflix[[#This Row],[Año Suscripción]]))</f>
        <v>45185</v>
      </c>
      <c r="H2437" s="1">
        <v>13</v>
      </c>
      <c r="I2437" s="1">
        <v>7</v>
      </c>
      <c r="J2437" s="1">
        <v>24</v>
      </c>
      <c r="K2437" s="1" t="str">
        <f>TEXT(BBDD_Usiarios_Netflix[[#This Row],[Fecha Suscripción]],"dddd")</f>
        <v>sábado</v>
      </c>
      <c r="L2437" s="1">
        <f>DATEVALUE(_xlfn.CONCAT(BBDD_Usiarios_Netflix[[#This Row],[Día Último Pago]],"/",BBDD_Usiarios_Netflix[[#This Row],[Mes Último Pago]],"/",BBDD_Usiarios_Netflix[[#This Row],[Año Último Pago]]))</f>
        <v>45486</v>
      </c>
      <c r="M2437" s="4">
        <f>DATEDIF(BBDD_Usiarios_Netflix[[#This Row],[Fecha Suscripción]],BBDD_Usiarios_Netflix[[#This Row],[Fecha Último Pago]],"M")+1</f>
        <v>10</v>
      </c>
      <c r="N2437" s="4">
        <f>BBDD_Usiarios_Netflix[[#This Row],[Ingresos Mensuales]]*BBDD_Usiarios_Netflix[[#This Row],[Meses contratados]]</f>
        <v>140</v>
      </c>
      <c r="O2437" t="s">
        <v>42</v>
      </c>
      <c r="P2437" t="str">
        <f>IF(BBDD_Usiarios_Netflix[[#This Row],[País]]="","Desconocido",BBDD_Usiarios_Netflix[[#This Row],[País]])</f>
        <v>Reino Unido</v>
      </c>
      <c r="Q2437">
        <v>44</v>
      </c>
      <c r="R2437" t="s">
        <v>30</v>
      </c>
      <c r="S2437" t="s">
        <v>34</v>
      </c>
      <c r="T2437" t="s">
        <v>41</v>
      </c>
      <c r="U2437">
        <f>IF(IFERROR(VLOOKUP(BBDD_Usiarios_Netflix[[#This Row],[Identificador Usuario]],A2438:$A$5870,1,FALSE),0)&lt;&gt;0,1,0)</f>
        <v>0</v>
      </c>
      <c r="V2437" s="6" t="str">
        <f>IF(BBDD_Usiarios_Netflix[[#This Row],[Duración Plan]]="12 Meses",LEFT(BBDD_Usiarios_Netflix[[#This Row],[Duración Plan]],2),LEFT(BBDD_Usiarios_Netflix[[#This Row],[Duración Plan]],1))</f>
        <v>12</v>
      </c>
      <c r="W243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38" spans="1:23" x14ac:dyDescent="0.25">
      <c r="A2438">
        <v>2437</v>
      </c>
      <c r="B2438" t="s">
        <v>23</v>
      </c>
      <c r="C2438">
        <v>10</v>
      </c>
      <c r="D2438" s="3">
        <v>18</v>
      </c>
      <c r="E2438" s="3">
        <v>9</v>
      </c>
      <c r="F2438">
        <v>23</v>
      </c>
      <c r="G2438" s="1">
        <f>DATEVALUE(_xlfn.CONCAT(BBDD_Usiarios_Netflix[[#This Row],[Día Suscripción]],"/",BBDD_Usiarios_Netflix[[#This Row],[Mes Suscripción]],"/",BBDD_Usiarios_Netflix[[#This Row],[Año Suscripción]]))</f>
        <v>45187</v>
      </c>
      <c r="H2438" s="1">
        <v>11</v>
      </c>
      <c r="I2438" s="1">
        <v>7</v>
      </c>
      <c r="J2438" s="1">
        <v>24</v>
      </c>
      <c r="K2438" s="1" t="str">
        <f>TEXT(BBDD_Usiarios_Netflix[[#This Row],[Fecha Suscripción]],"dddd")</f>
        <v>lunes</v>
      </c>
      <c r="L2438" s="1">
        <f>DATEVALUE(_xlfn.CONCAT(BBDD_Usiarios_Netflix[[#This Row],[Día Último Pago]],"/",BBDD_Usiarios_Netflix[[#This Row],[Mes Último Pago]],"/",BBDD_Usiarios_Netflix[[#This Row],[Año Último Pago]]))</f>
        <v>45484</v>
      </c>
      <c r="M2438" s="4">
        <f>DATEDIF(BBDD_Usiarios_Netflix[[#This Row],[Fecha Suscripción]],BBDD_Usiarios_Netflix[[#This Row],[Fecha Último Pago]],"M")+1</f>
        <v>10</v>
      </c>
      <c r="N2438" s="4">
        <f>BBDD_Usiarios_Netflix[[#This Row],[Ingresos Mensuales]]*BBDD_Usiarios_Netflix[[#This Row],[Meses contratados]]</f>
        <v>100</v>
      </c>
      <c r="O2438" t="s">
        <v>46</v>
      </c>
      <c r="P2438" t="str">
        <f>IF(BBDD_Usiarios_Netflix[[#This Row],[País]]="","Desconocido",BBDD_Usiarios_Netflix[[#This Row],[País]])</f>
        <v>Méjico</v>
      </c>
      <c r="Q2438">
        <v>49</v>
      </c>
      <c r="R2438" t="s">
        <v>25</v>
      </c>
      <c r="S2438" t="s">
        <v>34</v>
      </c>
      <c r="T2438" t="s">
        <v>41</v>
      </c>
      <c r="U2438">
        <f>IF(IFERROR(VLOOKUP(BBDD_Usiarios_Netflix[[#This Row],[Identificador Usuario]],A2439:$A$5870,1,FALSE),0)&lt;&gt;0,1,0)</f>
        <v>0</v>
      </c>
      <c r="V2438" s="6" t="str">
        <f>IF(BBDD_Usiarios_Netflix[[#This Row],[Duración Plan]]="12 Meses",LEFT(BBDD_Usiarios_Netflix[[#This Row],[Duración Plan]],2),LEFT(BBDD_Usiarios_Netflix[[#This Row],[Duración Plan]],1))</f>
        <v>12</v>
      </c>
      <c r="W243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39" spans="1:23" x14ac:dyDescent="0.25">
      <c r="A2439">
        <v>2438</v>
      </c>
      <c r="B2439" t="s">
        <v>32</v>
      </c>
      <c r="C2439">
        <v>12</v>
      </c>
      <c r="D2439" s="3">
        <v>23</v>
      </c>
      <c r="E2439" s="3">
        <v>9</v>
      </c>
      <c r="F2439">
        <v>23</v>
      </c>
      <c r="G2439" s="1">
        <f>DATEVALUE(_xlfn.CONCAT(BBDD_Usiarios_Netflix[[#This Row],[Día Suscripción]],"/",BBDD_Usiarios_Netflix[[#This Row],[Mes Suscripción]],"/",BBDD_Usiarios_Netflix[[#This Row],[Año Suscripción]]))</f>
        <v>45192</v>
      </c>
      <c r="H2439" s="1">
        <v>11</v>
      </c>
      <c r="I2439" s="1">
        <v>7</v>
      </c>
      <c r="J2439" s="1">
        <v>24</v>
      </c>
      <c r="K2439" s="1" t="str">
        <f>TEXT(BBDD_Usiarios_Netflix[[#This Row],[Fecha Suscripción]],"dddd")</f>
        <v>sábado</v>
      </c>
      <c r="L2439" s="1">
        <f>DATEVALUE(_xlfn.CONCAT(BBDD_Usiarios_Netflix[[#This Row],[Día Último Pago]],"/",BBDD_Usiarios_Netflix[[#This Row],[Mes Último Pago]],"/",BBDD_Usiarios_Netflix[[#This Row],[Año Último Pago]]))</f>
        <v>45484</v>
      </c>
      <c r="M2439" s="4">
        <f>DATEDIF(BBDD_Usiarios_Netflix[[#This Row],[Fecha Suscripción]],BBDD_Usiarios_Netflix[[#This Row],[Fecha Último Pago]],"M")+1</f>
        <v>10</v>
      </c>
      <c r="N2439" s="4">
        <f>BBDD_Usiarios_Netflix[[#This Row],[Ingresos Mensuales]]*BBDD_Usiarios_Netflix[[#This Row],[Meses contratados]]</f>
        <v>120</v>
      </c>
      <c r="O2439" t="s">
        <v>29</v>
      </c>
      <c r="P2439" t="str">
        <f>IF(BBDD_Usiarios_Netflix[[#This Row],[País]]="","Desconocido",BBDD_Usiarios_Netflix[[#This Row],[País]])</f>
        <v>EEUU</v>
      </c>
      <c r="Q2439">
        <v>49</v>
      </c>
      <c r="R2439" t="s">
        <v>30</v>
      </c>
      <c r="S2439" t="s">
        <v>34</v>
      </c>
      <c r="T2439" t="s">
        <v>35</v>
      </c>
      <c r="U2439">
        <f>IF(IFERROR(VLOOKUP(BBDD_Usiarios_Netflix[[#This Row],[Identificador Usuario]],A2440:$A$5870,1,FALSE),0)&lt;&gt;0,1,0)</f>
        <v>0</v>
      </c>
      <c r="V2439" s="6" t="str">
        <f>IF(BBDD_Usiarios_Netflix[[#This Row],[Duración Plan]]="12 Meses",LEFT(BBDD_Usiarios_Netflix[[#This Row],[Duración Plan]],2),LEFT(BBDD_Usiarios_Netflix[[#This Row],[Duración Plan]],1))</f>
        <v>6</v>
      </c>
      <c r="W243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40" spans="1:23" x14ac:dyDescent="0.25">
      <c r="A2440">
        <v>2439</v>
      </c>
      <c r="B2440" t="s">
        <v>28</v>
      </c>
      <c r="C2440">
        <v>14</v>
      </c>
      <c r="D2440" s="3">
        <v>28</v>
      </c>
      <c r="E2440" s="3">
        <v>9</v>
      </c>
      <c r="F2440">
        <v>23</v>
      </c>
      <c r="G2440" s="1">
        <f>DATEVALUE(_xlfn.CONCAT(BBDD_Usiarios_Netflix[[#This Row],[Día Suscripción]],"/",BBDD_Usiarios_Netflix[[#This Row],[Mes Suscripción]],"/",BBDD_Usiarios_Netflix[[#This Row],[Año Suscripción]]))</f>
        <v>45197</v>
      </c>
      <c r="H2440" s="1">
        <v>13</v>
      </c>
      <c r="I2440" s="1">
        <v>7</v>
      </c>
      <c r="J2440" s="1">
        <v>24</v>
      </c>
      <c r="K2440" s="1" t="str">
        <f>TEXT(BBDD_Usiarios_Netflix[[#This Row],[Fecha Suscripción]],"dddd")</f>
        <v>jueves</v>
      </c>
      <c r="L2440" s="1">
        <f>DATEVALUE(_xlfn.CONCAT(BBDD_Usiarios_Netflix[[#This Row],[Día Último Pago]],"/",BBDD_Usiarios_Netflix[[#This Row],[Mes Último Pago]],"/",BBDD_Usiarios_Netflix[[#This Row],[Año Último Pago]]))</f>
        <v>45486</v>
      </c>
      <c r="M2440" s="4">
        <f>DATEDIF(BBDD_Usiarios_Netflix[[#This Row],[Fecha Suscripción]],BBDD_Usiarios_Netflix[[#This Row],[Fecha Último Pago]],"M")+1</f>
        <v>10</v>
      </c>
      <c r="N2440" s="4">
        <f>BBDD_Usiarios_Netflix[[#This Row],[Ingresos Mensuales]]*BBDD_Usiarios_Netflix[[#This Row],[Meses contratados]]</f>
        <v>140</v>
      </c>
      <c r="O2440" t="s">
        <v>29</v>
      </c>
      <c r="P2440" t="str">
        <f>IF(BBDD_Usiarios_Netflix[[#This Row],[País]]="","Desconocido",BBDD_Usiarios_Netflix[[#This Row],[País]])</f>
        <v>EEUU</v>
      </c>
      <c r="Q2440">
        <v>36</v>
      </c>
      <c r="R2440" t="s">
        <v>30</v>
      </c>
      <c r="S2440" t="s">
        <v>36</v>
      </c>
      <c r="T2440" t="s">
        <v>27</v>
      </c>
      <c r="U2440">
        <f>IF(IFERROR(VLOOKUP(BBDD_Usiarios_Netflix[[#This Row],[Identificador Usuario]],A2441:$A$5870,1,FALSE),0)&lt;&gt;0,1,0)</f>
        <v>0</v>
      </c>
      <c r="V2440" s="6" t="str">
        <f>IF(BBDD_Usiarios_Netflix[[#This Row],[Duración Plan]]="12 Meses",LEFT(BBDD_Usiarios_Netflix[[#This Row],[Duración Plan]],2),LEFT(BBDD_Usiarios_Netflix[[#This Row],[Duración Plan]],1))</f>
        <v>1</v>
      </c>
      <c r="W244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41" spans="1:23" x14ac:dyDescent="0.25">
      <c r="A2441">
        <v>2440</v>
      </c>
      <c r="B2441" t="s">
        <v>23</v>
      </c>
      <c r="C2441">
        <v>10</v>
      </c>
      <c r="D2441" s="3">
        <v>29</v>
      </c>
      <c r="E2441" s="3">
        <v>9</v>
      </c>
      <c r="F2441">
        <v>23</v>
      </c>
      <c r="G2441" s="1">
        <f>DATEVALUE(_xlfn.CONCAT(BBDD_Usiarios_Netflix[[#This Row],[Día Suscripción]],"/",BBDD_Usiarios_Netflix[[#This Row],[Mes Suscripción]],"/",BBDD_Usiarios_Netflix[[#This Row],[Año Suscripción]]))</f>
        <v>45198</v>
      </c>
      <c r="H2441" s="1">
        <v>12</v>
      </c>
      <c r="I2441" s="1">
        <v>7</v>
      </c>
      <c r="J2441" s="1">
        <v>24</v>
      </c>
      <c r="K2441" s="1" t="str">
        <f>TEXT(BBDD_Usiarios_Netflix[[#This Row],[Fecha Suscripción]],"dddd")</f>
        <v>viernes</v>
      </c>
      <c r="L2441" s="1">
        <f>DATEVALUE(_xlfn.CONCAT(BBDD_Usiarios_Netflix[[#This Row],[Día Último Pago]],"/",BBDD_Usiarios_Netflix[[#This Row],[Mes Último Pago]],"/",BBDD_Usiarios_Netflix[[#This Row],[Año Último Pago]]))</f>
        <v>45485</v>
      </c>
      <c r="M2441" s="4">
        <f>DATEDIF(BBDD_Usiarios_Netflix[[#This Row],[Fecha Suscripción]],BBDD_Usiarios_Netflix[[#This Row],[Fecha Último Pago]],"M")+1</f>
        <v>10</v>
      </c>
      <c r="N2441" s="4">
        <f>BBDD_Usiarios_Netflix[[#This Row],[Ingresos Mensuales]]*BBDD_Usiarios_Netflix[[#This Row],[Meses contratados]]</f>
        <v>100</v>
      </c>
      <c r="O2441" t="s">
        <v>39</v>
      </c>
      <c r="P2441" t="str">
        <f>IF(BBDD_Usiarios_Netflix[[#This Row],[País]]="","Desconocido",BBDD_Usiarios_Netflix[[#This Row],[País]])</f>
        <v>Canadá</v>
      </c>
      <c r="Q2441">
        <v>50</v>
      </c>
      <c r="R2441" t="s">
        <v>30</v>
      </c>
      <c r="S2441" t="s">
        <v>36</v>
      </c>
      <c r="T2441" t="s">
        <v>38</v>
      </c>
      <c r="U2441">
        <f>IF(IFERROR(VLOOKUP(BBDD_Usiarios_Netflix[[#This Row],[Identificador Usuario]],A2442:$A$5870,1,FALSE),0)&lt;&gt;0,1,0)</f>
        <v>0</v>
      </c>
      <c r="V2441" s="6" t="str">
        <f>IF(BBDD_Usiarios_Netflix[[#This Row],[Duración Plan]]="12 Meses",LEFT(BBDD_Usiarios_Netflix[[#This Row],[Duración Plan]],2),LEFT(BBDD_Usiarios_Netflix[[#This Row],[Duración Plan]],1))</f>
        <v>3</v>
      </c>
      <c r="W244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42" spans="1:23" x14ac:dyDescent="0.25">
      <c r="A2442">
        <v>2441</v>
      </c>
      <c r="B2442" t="s">
        <v>28</v>
      </c>
      <c r="C2442">
        <v>14</v>
      </c>
      <c r="D2442" s="3">
        <v>7</v>
      </c>
      <c r="E2442" s="3">
        <v>10</v>
      </c>
      <c r="F2442">
        <v>23</v>
      </c>
      <c r="G2442" s="1">
        <f>DATEVALUE(_xlfn.CONCAT(BBDD_Usiarios_Netflix[[#This Row],[Día Suscripción]],"/",BBDD_Usiarios_Netflix[[#This Row],[Mes Suscripción]],"/",BBDD_Usiarios_Netflix[[#This Row],[Año Suscripción]]))</f>
        <v>45206</v>
      </c>
      <c r="H2442" s="1">
        <v>10</v>
      </c>
      <c r="I2442" s="1">
        <v>7</v>
      </c>
      <c r="J2442" s="1">
        <v>24</v>
      </c>
      <c r="K2442" s="1" t="str">
        <f>TEXT(BBDD_Usiarios_Netflix[[#This Row],[Fecha Suscripción]],"dddd")</f>
        <v>sábado</v>
      </c>
      <c r="L2442" s="1">
        <f>DATEVALUE(_xlfn.CONCAT(BBDD_Usiarios_Netflix[[#This Row],[Día Último Pago]],"/",BBDD_Usiarios_Netflix[[#This Row],[Mes Último Pago]],"/",BBDD_Usiarios_Netflix[[#This Row],[Año Último Pago]]))</f>
        <v>45483</v>
      </c>
      <c r="M2442" s="4">
        <f>DATEDIF(BBDD_Usiarios_Netflix[[#This Row],[Fecha Suscripción]],BBDD_Usiarios_Netflix[[#This Row],[Fecha Último Pago]],"M")+1</f>
        <v>10</v>
      </c>
      <c r="N2442" s="4">
        <f>BBDD_Usiarios_Netflix[[#This Row],[Ingresos Mensuales]]*BBDD_Usiarios_Netflix[[#This Row],[Meses contratados]]</f>
        <v>140</v>
      </c>
      <c r="O2442" t="s">
        <v>39</v>
      </c>
      <c r="P2442" t="str">
        <f>IF(BBDD_Usiarios_Netflix[[#This Row],[País]]="","Desconocido",BBDD_Usiarios_Netflix[[#This Row],[País]])</f>
        <v>Canadá</v>
      </c>
      <c r="Q2442">
        <v>49</v>
      </c>
      <c r="R2442" t="s">
        <v>30</v>
      </c>
      <c r="S2442" t="s">
        <v>26</v>
      </c>
      <c r="T2442" t="s">
        <v>38</v>
      </c>
      <c r="U2442">
        <f>IF(IFERROR(VLOOKUP(BBDD_Usiarios_Netflix[[#This Row],[Identificador Usuario]],A2443:$A$5870,1,FALSE),0)&lt;&gt;0,1,0)</f>
        <v>0</v>
      </c>
      <c r="V2442" s="6" t="str">
        <f>IF(BBDD_Usiarios_Netflix[[#This Row],[Duración Plan]]="12 Meses",LEFT(BBDD_Usiarios_Netflix[[#This Row],[Duración Plan]],2),LEFT(BBDD_Usiarios_Netflix[[#This Row],[Duración Plan]],1))</f>
        <v>3</v>
      </c>
      <c r="W244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43" spans="1:23" x14ac:dyDescent="0.25">
      <c r="A2443">
        <v>2442</v>
      </c>
      <c r="B2443" t="s">
        <v>23</v>
      </c>
      <c r="C2443">
        <v>10</v>
      </c>
      <c r="D2443" s="3">
        <v>8</v>
      </c>
      <c r="E2443" s="3">
        <v>10</v>
      </c>
      <c r="F2443">
        <v>23</v>
      </c>
      <c r="G2443" s="1">
        <f>DATEVALUE(_xlfn.CONCAT(BBDD_Usiarios_Netflix[[#This Row],[Día Suscripción]],"/",BBDD_Usiarios_Netflix[[#This Row],[Mes Suscripción]],"/",BBDD_Usiarios_Netflix[[#This Row],[Año Suscripción]]))</f>
        <v>45207</v>
      </c>
      <c r="H2443" s="1">
        <v>12</v>
      </c>
      <c r="I2443" s="1">
        <v>7</v>
      </c>
      <c r="J2443" s="1">
        <v>24</v>
      </c>
      <c r="K2443" s="1" t="str">
        <f>TEXT(BBDD_Usiarios_Netflix[[#This Row],[Fecha Suscripción]],"dddd")</f>
        <v>domingo</v>
      </c>
      <c r="L2443" s="1">
        <f>DATEVALUE(_xlfn.CONCAT(BBDD_Usiarios_Netflix[[#This Row],[Día Último Pago]],"/",BBDD_Usiarios_Netflix[[#This Row],[Mes Último Pago]],"/",BBDD_Usiarios_Netflix[[#This Row],[Año Último Pago]]))</f>
        <v>45485</v>
      </c>
      <c r="M2443" s="4">
        <f>DATEDIF(BBDD_Usiarios_Netflix[[#This Row],[Fecha Suscripción]],BBDD_Usiarios_Netflix[[#This Row],[Fecha Último Pago]],"M")+1</f>
        <v>10</v>
      </c>
      <c r="N2443" s="4">
        <f>BBDD_Usiarios_Netflix[[#This Row],[Ingresos Mensuales]]*BBDD_Usiarios_Netflix[[#This Row],[Meses contratados]]</f>
        <v>100</v>
      </c>
      <c r="O2443" t="s">
        <v>39</v>
      </c>
      <c r="P2443" t="str">
        <f>IF(BBDD_Usiarios_Netflix[[#This Row],[País]]="","Desconocido",BBDD_Usiarios_Netflix[[#This Row],[País]])</f>
        <v>Canadá</v>
      </c>
      <c r="Q2443">
        <v>36</v>
      </c>
      <c r="R2443" t="s">
        <v>25</v>
      </c>
      <c r="S2443" t="s">
        <v>26</v>
      </c>
      <c r="T2443" t="s">
        <v>38</v>
      </c>
      <c r="U2443">
        <f>IF(IFERROR(VLOOKUP(BBDD_Usiarios_Netflix[[#This Row],[Identificador Usuario]],A2444:$A$5870,1,FALSE),0)&lt;&gt;0,1,0)</f>
        <v>0</v>
      </c>
      <c r="V2443" s="6" t="str">
        <f>IF(BBDD_Usiarios_Netflix[[#This Row],[Duración Plan]]="12 Meses",LEFT(BBDD_Usiarios_Netflix[[#This Row],[Duración Plan]],2),LEFT(BBDD_Usiarios_Netflix[[#This Row],[Duración Plan]],1))</f>
        <v>3</v>
      </c>
      <c r="W244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44" spans="1:23" x14ac:dyDescent="0.25">
      <c r="A2444">
        <v>2443</v>
      </c>
      <c r="B2444" t="s">
        <v>32</v>
      </c>
      <c r="C2444">
        <v>12</v>
      </c>
      <c r="D2444" s="3">
        <v>10</v>
      </c>
      <c r="E2444" s="3">
        <v>10</v>
      </c>
      <c r="F2444">
        <v>23</v>
      </c>
      <c r="G2444" s="1">
        <f>DATEVALUE(_xlfn.CONCAT(BBDD_Usiarios_Netflix[[#This Row],[Día Suscripción]],"/",BBDD_Usiarios_Netflix[[#This Row],[Mes Suscripción]],"/",BBDD_Usiarios_Netflix[[#This Row],[Año Suscripción]]))</f>
        <v>45209</v>
      </c>
      <c r="H2444" s="1">
        <v>13</v>
      </c>
      <c r="I2444" s="1">
        <v>7</v>
      </c>
      <c r="J2444" s="1">
        <v>24</v>
      </c>
      <c r="K2444" s="1" t="str">
        <f>TEXT(BBDD_Usiarios_Netflix[[#This Row],[Fecha Suscripción]],"dddd")</f>
        <v>martes</v>
      </c>
      <c r="L2444" s="1">
        <f>DATEVALUE(_xlfn.CONCAT(BBDD_Usiarios_Netflix[[#This Row],[Día Último Pago]],"/",BBDD_Usiarios_Netflix[[#This Row],[Mes Último Pago]],"/",BBDD_Usiarios_Netflix[[#This Row],[Año Último Pago]]))</f>
        <v>45486</v>
      </c>
      <c r="M2444" s="4">
        <f>DATEDIF(BBDD_Usiarios_Netflix[[#This Row],[Fecha Suscripción]],BBDD_Usiarios_Netflix[[#This Row],[Fecha Último Pago]],"M")+1</f>
        <v>10</v>
      </c>
      <c r="N2444" s="4">
        <f>BBDD_Usiarios_Netflix[[#This Row],[Ingresos Mensuales]]*BBDD_Usiarios_Netflix[[#This Row],[Meses contratados]]</f>
        <v>120</v>
      </c>
      <c r="O2444" t="s">
        <v>33</v>
      </c>
      <c r="P2444" t="str">
        <f>IF(BBDD_Usiarios_Netflix[[#This Row],[País]]="","Desconocido",BBDD_Usiarios_Netflix[[#This Row],[País]])</f>
        <v>Francia</v>
      </c>
      <c r="Q2444">
        <v>28</v>
      </c>
      <c r="R2444" t="s">
        <v>30</v>
      </c>
      <c r="S2444" t="s">
        <v>36</v>
      </c>
      <c r="T2444" t="s">
        <v>38</v>
      </c>
      <c r="U2444">
        <f>IF(IFERROR(VLOOKUP(BBDD_Usiarios_Netflix[[#This Row],[Identificador Usuario]],A2445:$A$5870,1,FALSE),0)&lt;&gt;0,1,0)</f>
        <v>0</v>
      </c>
      <c r="V2444" s="6" t="str">
        <f>IF(BBDD_Usiarios_Netflix[[#This Row],[Duración Plan]]="12 Meses",LEFT(BBDD_Usiarios_Netflix[[#This Row],[Duración Plan]],2),LEFT(BBDD_Usiarios_Netflix[[#This Row],[Duración Plan]],1))</f>
        <v>3</v>
      </c>
      <c r="W244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45" spans="1:23" x14ac:dyDescent="0.25">
      <c r="A2445">
        <v>2444</v>
      </c>
      <c r="B2445" t="s">
        <v>32</v>
      </c>
      <c r="C2445">
        <v>12</v>
      </c>
      <c r="D2445" s="3">
        <v>14</v>
      </c>
      <c r="E2445" s="3">
        <v>10</v>
      </c>
      <c r="F2445">
        <v>23</v>
      </c>
      <c r="G2445" s="1">
        <f>DATEVALUE(_xlfn.CONCAT(BBDD_Usiarios_Netflix[[#This Row],[Día Suscripción]],"/",BBDD_Usiarios_Netflix[[#This Row],[Mes Suscripción]],"/",BBDD_Usiarios_Netflix[[#This Row],[Año Suscripción]]))</f>
        <v>45213</v>
      </c>
      <c r="H2445" s="1">
        <v>12</v>
      </c>
      <c r="I2445" s="1">
        <v>7</v>
      </c>
      <c r="J2445" s="1">
        <v>24</v>
      </c>
      <c r="K2445" s="1" t="str">
        <f>TEXT(BBDD_Usiarios_Netflix[[#This Row],[Fecha Suscripción]],"dddd")</f>
        <v>sábado</v>
      </c>
      <c r="L2445" s="1">
        <f>DATEVALUE(_xlfn.CONCAT(BBDD_Usiarios_Netflix[[#This Row],[Día Último Pago]],"/",BBDD_Usiarios_Netflix[[#This Row],[Mes Último Pago]],"/",BBDD_Usiarios_Netflix[[#This Row],[Año Último Pago]]))</f>
        <v>45485</v>
      </c>
      <c r="M2445" s="4">
        <f>DATEDIF(BBDD_Usiarios_Netflix[[#This Row],[Fecha Suscripción]],BBDD_Usiarios_Netflix[[#This Row],[Fecha Último Pago]],"M")+1</f>
        <v>9</v>
      </c>
      <c r="N2445" s="4">
        <f>BBDD_Usiarios_Netflix[[#This Row],[Ingresos Mensuales]]*BBDD_Usiarios_Netflix[[#This Row],[Meses contratados]]</f>
        <v>108</v>
      </c>
      <c r="O2445" t="s">
        <v>42</v>
      </c>
      <c r="P2445" t="str">
        <f>IF(BBDD_Usiarios_Netflix[[#This Row],[País]]="","Desconocido",BBDD_Usiarios_Netflix[[#This Row],[País]])</f>
        <v>Reino Unido</v>
      </c>
      <c r="Q2445">
        <v>45</v>
      </c>
      <c r="R2445" t="s">
        <v>30</v>
      </c>
      <c r="S2445" t="s">
        <v>26</v>
      </c>
      <c r="T2445" t="s">
        <v>38</v>
      </c>
      <c r="U2445">
        <f>IF(IFERROR(VLOOKUP(BBDD_Usiarios_Netflix[[#This Row],[Identificador Usuario]],A2446:$A$5870,1,FALSE),0)&lt;&gt;0,1,0)</f>
        <v>0</v>
      </c>
      <c r="V2445" s="6" t="str">
        <f>IF(BBDD_Usiarios_Netflix[[#This Row],[Duración Plan]]="12 Meses",LEFT(BBDD_Usiarios_Netflix[[#This Row],[Duración Plan]],2),LEFT(BBDD_Usiarios_Netflix[[#This Row],[Duración Plan]],1))</f>
        <v>3</v>
      </c>
      <c r="W244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46" spans="1:23" x14ac:dyDescent="0.25">
      <c r="A2446">
        <v>2445</v>
      </c>
      <c r="B2446" t="s">
        <v>23</v>
      </c>
      <c r="C2446">
        <v>10</v>
      </c>
      <c r="D2446" s="3">
        <v>16</v>
      </c>
      <c r="E2446" s="3">
        <v>10</v>
      </c>
      <c r="F2446">
        <v>23</v>
      </c>
      <c r="G2446" s="1">
        <f>DATEVALUE(_xlfn.CONCAT(BBDD_Usiarios_Netflix[[#This Row],[Día Suscripción]],"/",BBDD_Usiarios_Netflix[[#This Row],[Mes Suscripción]],"/",BBDD_Usiarios_Netflix[[#This Row],[Año Suscripción]]))</f>
        <v>45215</v>
      </c>
      <c r="H2446" s="1">
        <v>10</v>
      </c>
      <c r="I2446" s="1">
        <v>7</v>
      </c>
      <c r="J2446" s="1">
        <v>24</v>
      </c>
      <c r="K2446" s="1" t="str">
        <f>TEXT(BBDD_Usiarios_Netflix[[#This Row],[Fecha Suscripción]],"dddd")</f>
        <v>lunes</v>
      </c>
      <c r="L2446" s="1">
        <f>DATEVALUE(_xlfn.CONCAT(BBDD_Usiarios_Netflix[[#This Row],[Día Último Pago]],"/",BBDD_Usiarios_Netflix[[#This Row],[Mes Último Pago]],"/",BBDD_Usiarios_Netflix[[#This Row],[Año Último Pago]]))</f>
        <v>45483</v>
      </c>
      <c r="M2446" s="4">
        <f>DATEDIF(BBDD_Usiarios_Netflix[[#This Row],[Fecha Suscripción]],BBDD_Usiarios_Netflix[[#This Row],[Fecha Último Pago]],"M")+1</f>
        <v>9</v>
      </c>
      <c r="N2446" s="4">
        <f>BBDD_Usiarios_Netflix[[#This Row],[Ingresos Mensuales]]*BBDD_Usiarios_Netflix[[#This Row],[Meses contratados]]</f>
        <v>90</v>
      </c>
      <c r="O2446" t="s">
        <v>42</v>
      </c>
      <c r="P2446" t="str">
        <f>IF(BBDD_Usiarios_Netflix[[#This Row],[País]]="","Desconocido",BBDD_Usiarios_Netflix[[#This Row],[País]])</f>
        <v>Reino Unido</v>
      </c>
      <c r="Q2446">
        <v>31</v>
      </c>
      <c r="R2446" t="s">
        <v>30</v>
      </c>
      <c r="S2446" t="s">
        <v>26</v>
      </c>
      <c r="T2446" t="s">
        <v>27</v>
      </c>
      <c r="U2446">
        <f>IF(IFERROR(VLOOKUP(BBDD_Usiarios_Netflix[[#This Row],[Identificador Usuario]],A2447:$A$5870,1,FALSE),0)&lt;&gt;0,1,0)</f>
        <v>0</v>
      </c>
      <c r="V2446" s="6" t="str">
        <f>IF(BBDD_Usiarios_Netflix[[#This Row],[Duración Plan]]="12 Meses",LEFT(BBDD_Usiarios_Netflix[[#This Row],[Duración Plan]],2),LEFT(BBDD_Usiarios_Netflix[[#This Row],[Duración Plan]],1))</f>
        <v>1</v>
      </c>
      <c r="W244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47" spans="1:23" x14ac:dyDescent="0.25">
      <c r="A2447">
        <v>2446</v>
      </c>
      <c r="B2447" t="s">
        <v>28</v>
      </c>
      <c r="C2447">
        <v>14</v>
      </c>
      <c r="D2447" s="3">
        <v>18</v>
      </c>
      <c r="E2447" s="3">
        <v>10</v>
      </c>
      <c r="F2447">
        <v>23</v>
      </c>
      <c r="G2447" s="1">
        <f>DATEVALUE(_xlfn.CONCAT(BBDD_Usiarios_Netflix[[#This Row],[Día Suscripción]],"/",BBDD_Usiarios_Netflix[[#This Row],[Mes Suscripción]],"/",BBDD_Usiarios_Netflix[[#This Row],[Año Suscripción]]))</f>
        <v>45217</v>
      </c>
      <c r="H2447" s="1">
        <v>12</v>
      </c>
      <c r="I2447" s="1">
        <v>7</v>
      </c>
      <c r="J2447" s="1">
        <v>24</v>
      </c>
      <c r="K2447" s="1" t="str">
        <f>TEXT(BBDD_Usiarios_Netflix[[#This Row],[Fecha Suscripción]],"dddd")</f>
        <v>miércoles</v>
      </c>
      <c r="L2447" s="1">
        <f>DATEVALUE(_xlfn.CONCAT(BBDD_Usiarios_Netflix[[#This Row],[Día Último Pago]],"/",BBDD_Usiarios_Netflix[[#This Row],[Mes Último Pago]],"/",BBDD_Usiarios_Netflix[[#This Row],[Año Último Pago]]))</f>
        <v>45485</v>
      </c>
      <c r="M2447" s="4">
        <f>DATEDIF(BBDD_Usiarios_Netflix[[#This Row],[Fecha Suscripción]],BBDD_Usiarios_Netflix[[#This Row],[Fecha Último Pago]],"M")+1</f>
        <v>9</v>
      </c>
      <c r="N2447" s="4">
        <f>BBDD_Usiarios_Netflix[[#This Row],[Ingresos Mensuales]]*BBDD_Usiarios_Netflix[[#This Row],[Meses contratados]]</f>
        <v>126</v>
      </c>
      <c r="O2447" t="s">
        <v>39</v>
      </c>
      <c r="P2447" t="str">
        <f>IF(BBDD_Usiarios_Netflix[[#This Row],[País]]="","Desconocido",BBDD_Usiarios_Netflix[[#This Row],[País]])</f>
        <v>Canadá</v>
      </c>
      <c r="Q2447">
        <v>46</v>
      </c>
      <c r="R2447" t="s">
        <v>25</v>
      </c>
      <c r="S2447" t="s">
        <v>31</v>
      </c>
      <c r="T2447" t="s">
        <v>35</v>
      </c>
      <c r="U2447">
        <f>IF(IFERROR(VLOOKUP(BBDD_Usiarios_Netflix[[#This Row],[Identificador Usuario]],A2448:$A$5870,1,FALSE),0)&lt;&gt;0,1,0)</f>
        <v>0</v>
      </c>
      <c r="V2447" s="6" t="str">
        <f>IF(BBDD_Usiarios_Netflix[[#This Row],[Duración Plan]]="12 Meses",LEFT(BBDD_Usiarios_Netflix[[#This Row],[Duración Plan]],2),LEFT(BBDD_Usiarios_Netflix[[#This Row],[Duración Plan]],1))</f>
        <v>6</v>
      </c>
      <c r="W244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48" spans="1:23" x14ac:dyDescent="0.25">
      <c r="A2448">
        <v>2447</v>
      </c>
      <c r="B2448" t="s">
        <v>23</v>
      </c>
      <c r="C2448">
        <v>10</v>
      </c>
      <c r="D2448" s="3">
        <v>21</v>
      </c>
      <c r="E2448" s="3">
        <v>10</v>
      </c>
      <c r="F2448">
        <v>23</v>
      </c>
      <c r="G2448" s="1">
        <f>DATEVALUE(_xlfn.CONCAT(BBDD_Usiarios_Netflix[[#This Row],[Día Suscripción]],"/",BBDD_Usiarios_Netflix[[#This Row],[Mes Suscripción]],"/",BBDD_Usiarios_Netflix[[#This Row],[Año Suscripción]]))</f>
        <v>45220</v>
      </c>
      <c r="H2448" s="1">
        <v>12</v>
      </c>
      <c r="I2448" s="1">
        <v>7</v>
      </c>
      <c r="J2448" s="1">
        <v>24</v>
      </c>
      <c r="K2448" s="1" t="str">
        <f>TEXT(BBDD_Usiarios_Netflix[[#This Row],[Fecha Suscripción]],"dddd")</f>
        <v>sábado</v>
      </c>
      <c r="L2448" s="1">
        <f>DATEVALUE(_xlfn.CONCAT(BBDD_Usiarios_Netflix[[#This Row],[Día Último Pago]],"/",BBDD_Usiarios_Netflix[[#This Row],[Mes Último Pago]],"/",BBDD_Usiarios_Netflix[[#This Row],[Año Último Pago]]))</f>
        <v>45485</v>
      </c>
      <c r="M2448" s="4">
        <f>DATEDIF(BBDD_Usiarios_Netflix[[#This Row],[Fecha Suscripción]],BBDD_Usiarios_Netflix[[#This Row],[Fecha Último Pago]],"M")+1</f>
        <v>9</v>
      </c>
      <c r="N2448" s="4">
        <f>BBDD_Usiarios_Netflix[[#This Row],[Ingresos Mensuales]]*BBDD_Usiarios_Netflix[[#This Row],[Meses contratados]]</f>
        <v>90</v>
      </c>
      <c r="O2448" t="s">
        <v>39</v>
      </c>
      <c r="P2448" t="str">
        <f>IF(BBDD_Usiarios_Netflix[[#This Row],[País]]="","Desconocido",BBDD_Usiarios_Netflix[[#This Row],[País]])</f>
        <v>Canadá</v>
      </c>
      <c r="Q2448">
        <v>27</v>
      </c>
      <c r="R2448" t="s">
        <v>25</v>
      </c>
      <c r="S2448" t="s">
        <v>31</v>
      </c>
      <c r="T2448" t="s">
        <v>27</v>
      </c>
      <c r="U2448">
        <f>IF(IFERROR(VLOOKUP(BBDD_Usiarios_Netflix[[#This Row],[Identificador Usuario]],A2449:$A$5870,1,FALSE),0)&lt;&gt;0,1,0)</f>
        <v>0</v>
      </c>
      <c r="V2448" s="6" t="str">
        <f>IF(BBDD_Usiarios_Netflix[[#This Row],[Duración Plan]]="12 Meses",LEFT(BBDD_Usiarios_Netflix[[#This Row],[Duración Plan]],2),LEFT(BBDD_Usiarios_Netflix[[#This Row],[Duración Plan]],1))</f>
        <v>1</v>
      </c>
      <c r="W244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49" spans="1:23" x14ac:dyDescent="0.25">
      <c r="A2449">
        <v>2448</v>
      </c>
      <c r="B2449" t="s">
        <v>32</v>
      </c>
      <c r="C2449">
        <v>12</v>
      </c>
      <c r="D2449" s="3">
        <v>24</v>
      </c>
      <c r="E2449" s="3">
        <v>10</v>
      </c>
      <c r="F2449">
        <v>23</v>
      </c>
      <c r="G2449" s="1">
        <f>DATEVALUE(_xlfn.CONCAT(BBDD_Usiarios_Netflix[[#This Row],[Día Suscripción]],"/",BBDD_Usiarios_Netflix[[#This Row],[Mes Suscripción]],"/",BBDD_Usiarios_Netflix[[#This Row],[Año Suscripción]]))</f>
        <v>45223</v>
      </c>
      <c r="H2449" s="1">
        <v>12</v>
      </c>
      <c r="I2449" s="1">
        <v>7</v>
      </c>
      <c r="J2449" s="1">
        <v>24</v>
      </c>
      <c r="K2449" s="1" t="str">
        <f>TEXT(BBDD_Usiarios_Netflix[[#This Row],[Fecha Suscripción]],"dddd")</f>
        <v>martes</v>
      </c>
      <c r="L2449" s="1">
        <f>DATEVALUE(_xlfn.CONCAT(BBDD_Usiarios_Netflix[[#This Row],[Día Último Pago]],"/",BBDD_Usiarios_Netflix[[#This Row],[Mes Último Pago]],"/",BBDD_Usiarios_Netflix[[#This Row],[Año Último Pago]]))</f>
        <v>45485</v>
      </c>
      <c r="M2449" s="4">
        <f>DATEDIF(BBDD_Usiarios_Netflix[[#This Row],[Fecha Suscripción]],BBDD_Usiarios_Netflix[[#This Row],[Fecha Último Pago]],"M")+1</f>
        <v>9</v>
      </c>
      <c r="N2449" s="4">
        <f>BBDD_Usiarios_Netflix[[#This Row],[Ingresos Mensuales]]*BBDD_Usiarios_Netflix[[#This Row],[Meses contratados]]</f>
        <v>108</v>
      </c>
      <c r="O2449" t="s">
        <v>39</v>
      </c>
      <c r="P2449" t="str">
        <f>IF(BBDD_Usiarios_Netflix[[#This Row],[País]]="","Desconocido",BBDD_Usiarios_Netflix[[#This Row],[País]])</f>
        <v>Canadá</v>
      </c>
      <c r="Q2449">
        <v>43</v>
      </c>
      <c r="R2449" t="s">
        <v>25</v>
      </c>
      <c r="S2449" t="s">
        <v>31</v>
      </c>
      <c r="T2449" t="s">
        <v>38</v>
      </c>
      <c r="U2449">
        <f>IF(IFERROR(VLOOKUP(BBDD_Usiarios_Netflix[[#This Row],[Identificador Usuario]],A2450:$A$5870,1,FALSE),0)&lt;&gt;0,1,0)</f>
        <v>0</v>
      </c>
      <c r="V2449" s="6" t="str">
        <f>IF(BBDD_Usiarios_Netflix[[#This Row],[Duración Plan]]="12 Meses",LEFT(BBDD_Usiarios_Netflix[[#This Row],[Duración Plan]],2),LEFT(BBDD_Usiarios_Netflix[[#This Row],[Duración Plan]],1))</f>
        <v>3</v>
      </c>
      <c r="W244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50" spans="1:23" x14ac:dyDescent="0.25">
      <c r="A2450">
        <v>2449</v>
      </c>
      <c r="B2450" t="s">
        <v>28</v>
      </c>
      <c r="C2450">
        <v>14</v>
      </c>
      <c r="D2450" s="3">
        <v>27</v>
      </c>
      <c r="E2450" s="3">
        <v>10</v>
      </c>
      <c r="F2450">
        <v>23</v>
      </c>
      <c r="G2450" s="1">
        <f>DATEVALUE(_xlfn.CONCAT(BBDD_Usiarios_Netflix[[#This Row],[Día Suscripción]],"/",BBDD_Usiarios_Netflix[[#This Row],[Mes Suscripción]],"/",BBDD_Usiarios_Netflix[[#This Row],[Año Suscripción]]))</f>
        <v>45226</v>
      </c>
      <c r="H2450" s="1">
        <v>9</v>
      </c>
      <c r="I2450" s="1">
        <v>7</v>
      </c>
      <c r="J2450" s="1">
        <v>24</v>
      </c>
      <c r="K2450" s="1" t="str">
        <f>TEXT(BBDD_Usiarios_Netflix[[#This Row],[Fecha Suscripción]],"dddd")</f>
        <v>viernes</v>
      </c>
      <c r="L2450" s="1">
        <f>DATEVALUE(_xlfn.CONCAT(BBDD_Usiarios_Netflix[[#This Row],[Día Último Pago]],"/",BBDD_Usiarios_Netflix[[#This Row],[Mes Último Pago]],"/",BBDD_Usiarios_Netflix[[#This Row],[Año Último Pago]]))</f>
        <v>45482</v>
      </c>
      <c r="M2450" s="4">
        <f>DATEDIF(BBDD_Usiarios_Netflix[[#This Row],[Fecha Suscripción]],BBDD_Usiarios_Netflix[[#This Row],[Fecha Último Pago]],"M")+1</f>
        <v>9</v>
      </c>
      <c r="N2450" s="4">
        <f>BBDD_Usiarios_Netflix[[#This Row],[Ingresos Mensuales]]*BBDD_Usiarios_Netflix[[#This Row],[Meses contratados]]</f>
        <v>126</v>
      </c>
      <c r="O2450" t="s">
        <v>39</v>
      </c>
      <c r="P2450" t="str">
        <f>IF(BBDD_Usiarios_Netflix[[#This Row],[País]]="","Desconocido",BBDD_Usiarios_Netflix[[#This Row],[País]])</f>
        <v>Canadá</v>
      </c>
      <c r="Q2450">
        <v>51</v>
      </c>
      <c r="R2450" t="s">
        <v>30</v>
      </c>
      <c r="S2450" t="s">
        <v>34</v>
      </c>
      <c r="T2450" t="s">
        <v>41</v>
      </c>
      <c r="U2450">
        <f>IF(IFERROR(VLOOKUP(BBDD_Usiarios_Netflix[[#This Row],[Identificador Usuario]],A2451:$A$5870,1,FALSE),0)&lt;&gt;0,1,0)</f>
        <v>0</v>
      </c>
      <c r="V2450" s="6" t="str">
        <f>IF(BBDD_Usiarios_Netflix[[#This Row],[Duración Plan]]="12 Meses",LEFT(BBDD_Usiarios_Netflix[[#This Row],[Duración Plan]],2),LEFT(BBDD_Usiarios_Netflix[[#This Row],[Duración Plan]],1))</f>
        <v>12</v>
      </c>
      <c r="W245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51" spans="1:23" x14ac:dyDescent="0.25">
      <c r="A2451">
        <v>2450</v>
      </c>
      <c r="B2451" t="s">
        <v>23</v>
      </c>
      <c r="C2451">
        <v>10</v>
      </c>
      <c r="D2451" s="3">
        <v>29</v>
      </c>
      <c r="E2451" s="3">
        <v>10</v>
      </c>
      <c r="F2451">
        <v>23</v>
      </c>
      <c r="G2451" s="1">
        <f>DATEVALUE(_xlfn.CONCAT(BBDD_Usiarios_Netflix[[#This Row],[Día Suscripción]],"/",BBDD_Usiarios_Netflix[[#This Row],[Mes Suscripción]],"/",BBDD_Usiarios_Netflix[[#This Row],[Año Suscripción]]))</f>
        <v>45228</v>
      </c>
      <c r="H2451" s="1">
        <v>13</v>
      </c>
      <c r="I2451" s="1">
        <v>7</v>
      </c>
      <c r="J2451" s="1">
        <v>24</v>
      </c>
      <c r="K2451" s="1" t="str">
        <f>TEXT(BBDD_Usiarios_Netflix[[#This Row],[Fecha Suscripción]],"dddd")</f>
        <v>domingo</v>
      </c>
      <c r="L2451" s="1">
        <f>DATEVALUE(_xlfn.CONCAT(BBDD_Usiarios_Netflix[[#This Row],[Día Último Pago]],"/",BBDD_Usiarios_Netflix[[#This Row],[Mes Último Pago]],"/",BBDD_Usiarios_Netflix[[#This Row],[Año Último Pago]]))</f>
        <v>45486</v>
      </c>
      <c r="M2451" s="4">
        <f>DATEDIF(BBDD_Usiarios_Netflix[[#This Row],[Fecha Suscripción]],BBDD_Usiarios_Netflix[[#This Row],[Fecha Último Pago]],"M")+1</f>
        <v>9</v>
      </c>
      <c r="N2451" s="4">
        <f>BBDD_Usiarios_Netflix[[#This Row],[Ingresos Mensuales]]*BBDD_Usiarios_Netflix[[#This Row],[Meses contratados]]</f>
        <v>90</v>
      </c>
      <c r="O2451" t="s">
        <v>42</v>
      </c>
      <c r="P2451" t="str">
        <f>IF(BBDD_Usiarios_Netflix[[#This Row],[País]]="","Desconocido",BBDD_Usiarios_Netflix[[#This Row],[País]])</f>
        <v>Reino Unido</v>
      </c>
      <c r="Q2451">
        <v>47</v>
      </c>
      <c r="R2451" t="s">
        <v>30</v>
      </c>
      <c r="S2451" t="s">
        <v>26</v>
      </c>
      <c r="T2451" t="s">
        <v>35</v>
      </c>
      <c r="U2451">
        <f>IF(IFERROR(VLOOKUP(BBDD_Usiarios_Netflix[[#This Row],[Identificador Usuario]],A2452:$A$5870,1,FALSE),0)&lt;&gt;0,1,0)</f>
        <v>0</v>
      </c>
      <c r="V2451" s="6" t="str">
        <f>IF(BBDD_Usiarios_Netflix[[#This Row],[Duración Plan]]="12 Meses",LEFT(BBDD_Usiarios_Netflix[[#This Row],[Duración Plan]],2),LEFT(BBDD_Usiarios_Netflix[[#This Row],[Duración Plan]],1))</f>
        <v>6</v>
      </c>
      <c r="W245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52" spans="1:23" x14ac:dyDescent="0.25">
      <c r="A2452">
        <v>2451</v>
      </c>
      <c r="B2452" t="s">
        <v>28</v>
      </c>
      <c r="C2452">
        <v>14</v>
      </c>
      <c r="D2452" s="3">
        <v>31</v>
      </c>
      <c r="E2452" s="3">
        <v>10</v>
      </c>
      <c r="F2452">
        <v>23</v>
      </c>
      <c r="G2452" s="1">
        <f>DATEVALUE(_xlfn.CONCAT(BBDD_Usiarios_Netflix[[#This Row],[Día Suscripción]],"/",BBDD_Usiarios_Netflix[[#This Row],[Mes Suscripción]],"/",BBDD_Usiarios_Netflix[[#This Row],[Año Suscripción]]))</f>
        <v>45230</v>
      </c>
      <c r="H2452" s="1">
        <v>12</v>
      </c>
      <c r="I2452" s="1">
        <v>7</v>
      </c>
      <c r="J2452" s="1">
        <v>24</v>
      </c>
      <c r="K2452" s="1" t="str">
        <f>TEXT(BBDD_Usiarios_Netflix[[#This Row],[Fecha Suscripción]],"dddd")</f>
        <v>martes</v>
      </c>
      <c r="L2452" s="1">
        <f>DATEVALUE(_xlfn.CONCAT(BBDD_Usiarios_Netflix[[#This Row],[Día Último Pago]],"/",BBDD_Usiarios_Netflix[[#This Row],[Mes Último Pago]],"/",BBDD_Usiarios_Netflix[[#This Row],[Año Último Pago]]))</f>
        <v>45485</v>
      </c>
      <c r="M2452" s="4">
        <f>DATEDIF(BBDD_Usiarios_Netflix[[#This Row],[Fecha Suscripción]],BBDD_Usiarios_Netflix[[#This Row],[Fecha Último Pago]],"M")+1</f>
        <v>9</v>
      </c>
      <c r="N2452" s="4">
        <f>BBDD_Usiarios_Netflix[[#This Row],[Ingresos Mensuales]]*BBDD_Usiarios_Netflix[[#This Row],[Meses contratados]]</f>
        <v>126</v>
      </c>
      <c r="O2452" t="s">
        <v>43</v>
      </c>
      <c r="P2452" t="str">
        <f>IF(BBDD_Usiarios_Netflix[[#This Row],[País]]="","Desconocido",BBDD_Usiarios_Netflix[[#This Row],[País]])</f>
        <v>Alemania</v>
      </c>
      <c r="Q2452">
        <v>48</v>
      </c>
      <c r="R2452" t="s">
        <v>30</v>
      </c>
      <c r="S2452" t="s">
        <v>31</v>
      </c>
      <c r="T2452" t="s">
        <v>38</v>
      </c>
      <c r="U2452">
        <f>IF(IFERROR(VLOOKUP(BBDD_Usiarios_Netflix[[#This Row],[Identificador Usuario]],A2453:$A$5870,1,FALSE),0)&lt;&gt;0,1,0)</f>
        <v>0</v>
      </c>
      <c r="V2452" s="6" t="str">
        <f>IF(BBDD_Usiarios_Netflix[[#This Row],[Duración Plan]]="12 Meses",LEFT(BBDD_Usiarios_Netflix[[#This Row],[Duración Plan]],2),LEFT(BBDD_Usiarios_Netflix[[#This Row],[Duración Plan]],1))</f>
        <v>3</v>
      </c>
      <c r="W245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53" spans="1:23" x14ac:dyDescent="0.25">
      <c r="A2453">
        <v>2452</v>
      </c>
      <c r="B2453" t="s">
        <v>23</v>
      </c>
      <c r="C2453">
        <v>10</v>
      </c>
      <c r="D2453" s="3">
        <v>4</v>
      </c>
      <c r="E2453" s="3">
        <v>11</v>
      </c>
      <c r="F2453">
        <v>23</v>
      </c>
      <c r="G2453" s="1">
        <f>DATEVALUE(_xlfn.CONCAT(BBDD_Usiarios_Netflix[[#This Row],[Día Suscripción]],"/",BBDD_Usiarios_Netflix[[#This Row],[Mes Suscripción]],"/",BBDD_Usiarios_Netflix[[#This Row],[Año Suscripción]]))</f>
        <v>45234</v>
      </c>
      <c r="H2453" s="1">
        <v>13</v>
      </c>
      <c r="I2453" s="1">
        <v>7</v>
      </c>
      <c r="J2453" s="1">
        <v>24</v>
      </c>
      <c r="K2453" s="1" t="str">
        <f>TEXT(BBDD_Usiarios_Netflix[[#This Row],[Fecha Suscripción]],"dddd")</f>
        <v>sábado</v>
      </c>
      <c r="L2453" s="1">
        <f>DATEVALUE(_xlfn.CONCAT(BBDD_Usiarios_Netflix[[#This Row],[Día Último Pago]],"/",BBDD_Usiarios_Netflix[[#This Row],[Mes Último Pago]],"/",BBDD_Usiarios_Netflix[[#This Row],[Año Último Pago]]))</f>
        <v>45486</v>
      </c>
      <c r="M2453" s="4">
        <f>DATEDIF(BBDD_Usiarios_Netflix[[#This Row],[Fecha Suscripción]],BBDD_Usiarios_Netflix[[#This Row],[Fecha Último Pago]],"M")+1</f>
        <v>9</v>
      </c>
      <c r="N2453" s="4">
        <f>BBDD_Usiarios_Netflix[[#This Row],[Ingresos Mensuales]]*BBDD_Usiarios_Netflix[[#This Row],[Meses contratados]]</f>
        <v>90</v>
      </c>
      <c r="O2453" t="s">
        <v>24</v>
      </c>
      <c r="P2453" t="str">
        <f>IF(BBDD_Usiarios_Netflix[[#This Row],[País]]="","Desconocido",BBDD_Usiarios_Netflix[[#This Row],[País]])</f>
        <v>Australia</v>
      </c>
      <c r="Q2453">
        <v>31</v>
      </c>
      <c r="R2453" t="s">
        <v>30</v>
      </c>
      <c r="S2453" t="s">
        <v>31</v>
      </c>
      <c r="T2453" t="s">
        <v>41</v>
      </c>
      <c r="U2453">
        <f>IF(IFERROR(VLOOKUP(BBDD_Usiarios_Netflix[[#This Row],[Identificador Usuario]],A2454:$A$5870,1,FALSE),0)&lt;&gt;0,1,0)</f>
        <v>0</v>
      </c>
      <c r="V2453" s="6" t="str">
        <f>IF(BBDD_Usiarios_Netflix[[#This Row],[Duración Plan]]="12 Meses",LEFT(BBDD_Usiarios_Netflix[[#This Row],[Duración Plan]],2),LEFT(BBDD_Usiarios_Netflix[[#This Row],[Duración Plan]],1))</f>
        <v>12</v>
      </c>
      <c r="W245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54" spans="1:23" x14ac:dyDescent="0.25">
      <c r="A2454">
        <v>2453</v>
      </c>
      <c r="B2454" t="s">
        <v>32</v>
      </c>
      <c r="C2454">
        <v>12</v>
      </c>
      <c r="D2454" s="3">
        <v>6</v>
      </c>
      <c r="E2454" s="3">
        <v>11</v>
      </c>
      <c r="F2454">
        <v>23</v>
      </c>
      <c r="G2454" s="1">
        <f>DATEVALUE(_xlfn.CONCAT(BBDD_Usiarios_Netflix[[#This Row],[Día Suscripción]],"/",BBDD_Usiarios_Netflix[[#This Row],[Mes Suscripción]],"/",BBDD_Usiarios_Netflix[[#This Row],[Año Suscripción]]))</f>
        <v>45236</v>
      </c>
      <c r="H2454" s="1">
        <v>11</v>
      </c>
      <c r="I2454" s="1">
        <v>7</v>
      </c>
      <c r="J2454" s="1">
        <v>24</v>
      </c>
      <c r="K2454" s="1" t="str">
        <f>TEXT(BBDD_Usiarios_Netflix[[#This Row],[Fecha Suscripción]],"dddd")</f>
        <v>lunes</v>
      </c>
      <c r="L2454" s="1">
        <f>DATEVALUE(_xlfn.CONCAT(BBDD_Usiarios_Netflix[[#This Row],[Día Último Pago]],"/",BBDD_Usiarios_Netflix[[#This Row],[Mes Último Pago]],"/",BBDD_Usiarios_Netflix[[#This Row],[Año Último Pago]]))</f>
        <v>45484</v>
      </c>
      <c r="M2454" s="4">
        <f>DATEDIF(BBDD_Usiarios_Netflix[[#This Row],[Fecha Suscripción]],BBDD_Usiarios_Netflix[[#This Row],[Fecha Último Pago]],"M")+1</f>
        <v>9</v>
      </c>
      <c r="N2454" s="4">
        <f>BBDD_Usiarios_Netflix[[#This Row],[Ingresos Mensuales]]*BBDD_Usiarios_Netflix[[#This Row],[Meses contratados]]</f>
        <v>108</v>
      </c>
      <c r="O2454" t="s">
        <v>24</v>
      </c>
      <c r="P2454" t="str">
        <f>IF(BBDD_Usiarios_Netflix[[#This Row],[País]]="","Desconocido",BBDD_Usiarios_Netflix[[#This Row],[País]])</f>
        <v>Australia</v>
      </c>
      <c r="Q2454">
        <v>48</v>
      </c>
      <c r="R2454" t="s">
        <v>30</v>
      </c>
      <c r="S2454" t="s">
        <v>26</v>
      </c>
      <c r="T2454" t="s">
        <v>27</v>
      </c>
      <c r="U2454">
        <f>IF(IFERROR(VLOOKUP(BBDD_Usiarios_Netflix[[#This Row],[Identificador Usuario]],A2455:$A$5870,1,FALSE),0)&lt;&gt;0,1,0)</f>
        <v>0</v>
      </c>
      <c r="V2454" s="6" t="str">
        <f>IF(BBDD_Usiarios_Netflix[[#This Row],[Duración Plan]]="12 Meses",LEFT(BBDD_Usiarios_Netflix[[#This Row],[Duración Plan]],2),LEFT(BBDD_Usiarios_Netflix[[#This Row],[Duración Plan]],1))</f>
        <v>1</v>
      </c>
      <c r="W245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55" spans="1:23" x14ac:dyDescent="0.25">
      <c r="A2455">
        <v>2454</v>
      </c>
      <c r="B2455" t="s">
        <v>32</v>
      </c>
      <c r="C2455">
        <v>12</v>
      </c>
      <c r="D2455" s="3">
        <v>8</v>
      </c>
      <c r="E2455" s="3">
        <v>11</v>
      </c>
      <c r="F2455">
        <v>23</v>
      </c>
      <c r="G2455" s="1">
        <f>DATEVALUE(_xlfn.CONCAT(BBDD_Usiarios_Netflix[[#This Row],[Día Suscripción]],"/",BBDD_Usiarios_Netflix[[#This Row],[Mes Suscripción]],"/",BBDD_Usiarios_Netflix[[#This Row],[Año Suscripción]]))</f>
        <v>45238</v>
      </c>
      <c r="H2455" s="1">
        <v>13</v>
      </c>
      <c r="I2455" s="1">
        <v>7</v>
      </c>
      <c r="J2455" s="1">
        <v>24</v>
      </c>
      <c r="K2455" s="1" t="str">
        <f>TEXT(BBDD_Usiarios_Netflix[[#This Row],[Fecha Suscripción]],"dddd")</f>
        <v>miércoles</v>
      </c>
      <c r="L2455" s="1">
        <f>DATEVALUE(_xlfn.CONCAT(BBDD_Usiarios_Netflix[[#This Row],[Día Último Pago]],"/",BBDD_Usiarios_Netflix[[#This Row],[Mes Último Pago]],"/",BBDD_Usiarios_Netflix[[#This Row],[Año Último Pago]]))</f>
        <v>45486</v>
      </c>
      <c r="M2455" s="4">
        <f>DATEDIF(BBDD_Usiarios_Netflix[[#This Row],[Fecha Suscripción]],BBDD_Usiarios_Netflix[[#This Row],[Fecha Último Pago]],"M")+1</f>
        <v>9</v>
      </c>
      <c r="N2455" s="4">
        <f>BBDD_Usiarios_Netflix[[#This Row],[Ingresos Mensuales]]*BBDD_Usiarios_Netflix[[#This Row],[Meses contratados]]</f>
        <v>108</v>
      </c>
      <c r="O2455" t="s">
        <v>33</v>
      </c>
      <c r="P2455" t="str">
        <f>IF(BBDD_Usiarios_Netflix[[#This Row],[País]]="","Desconocido",BBDD_Usiarios_Netflix[[#This Row],[País]])</f>
        <v>Francia</v>
      </c>
      <c r="Q2455">
        <v>36</v>
      </c>
      <c r="R2455" t="s">
        <v>25</v>
      </c>
      <c r="S2455" t="s">
        <v>26</v>
      </c>
      <c r="T2455" t="s">
        <v>27</v>
      </c>
      <c r="U2455">
        <f>IF(IFERROR(VLOOKUP(BBDD_Usiarios_Netflix[[#This Row],[Identificador Usuario]],A2456:$A$5870,1,FALSE),0)&lt;&gt;0,1,0)</f>
        <v>0</v>
      </c>
      <c r="V2455" s="6" t="str">
        <f>IF(BBDD_Usiarios_Netflix[[#This Row],[Duración Plan]]="12 Meses",LEFT(BBDD_Usiarios_Netflix[[#This Row],[Duración Plan]],2),LEFT(BBDD_Usiarios_Netflix[[#This Row],[Duración Plan]],1))</f>
        <v>1</v>
      </c>
      <c r="W245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56" spans="1:23" x14ac:dyDescent="0.25">
      <c r="A2456">
        <v>2455</v>
      </c>
      <c r="B2456" t="s">
        <v>23</v>
      </c>
      <c r="C2456">
        <v>10</v>
      </c>
      <c r="D2456" s="3">
        <v>9</v>
      </c>
      <c r="E2456" s="3">
        <v>11</v>
      </c>
      <c r="F2456">
        <v>23</v>
      </c>
      <c r="G2456" s="1">
        <f>DATEVALUE(_xlfn.CONCAT(BBDD_Usiarios_Netflix[[#This Row],[Día Suscripción]],"/",BBDD_Usiarios_Netflix[[#This Row],[Mes Suscripción]],"/",BBDD_Usiarios_Netflix[[#This Row],[Año Suscripción]]))</f>
        <v>45239</v>
      </c>
      <c r="H2456" s="1">
        <v>11</v>
      </c>
      <c r="I2456" s="1">
        <v>7</v>
      </c>
      <c r="J2456" s="1">
        <v>24</v>
      </c>
      <c r="K2456" s="1" t="str">
        <f>TEXT(BBDD_Usiarios_Netflix[[#This Row],[Fecha Suscripción]],"dddd")</f>
        <v>jueves</v>
      </c>
      <c r="L2456" s="1">
        <f>DATEVALUE(_xlfn.CONCAT(BBDD_Usiarios_Netflix[[#This Row],[Día Último Pago]],"/",BBDD_Usiarios_Netflix[[#This Row],[Mes Último Pago]],"/",BBDD_Usiarios_Netflix[[#This Row],[Año Último Pago]]))</f>
        <v>45484</v>
      </c>
      <c r="M2456" s="4">
        <f>DATEDIF(BBDD_Usiarios_Netflix[[#This Row],[Fecha Suscripción]],BBDD_Usiarios_Netflix[[#This Row],[Fecha Último Pago]],"M")+1</f>
        <v>9</v>
      </c>
      <c r="N2456" s="4">
        <f>BBDD_Usiarios_Netflix[[#This Row],[Ingresos Mensuales]]*BBDD_Usiarios_Netflix[[#This Row],[Meses contratados]]</f>
        <v>90</v>
      </c>
      <c r="O2456" t="s">
        <v>37</v>
      </c>
      <c r="P2456" t="str">
        <f>IF(BBDD_Usiarios_Netflix[[#This Row],[País]]="","Desconocido",BBDD_Usiarios_Netflix[[#This Row],[País]])</f>
        <v>Brasil</v>
      </c>
      <c r="Q2456">
        <v>38</v>
      </c>
      <c r="R2456" t="s">
        <v>30</v>
      </c>
      <c r="S2456" t="s">
        <v>31</v>
      </c>
      <c r="T2456" t="s">
        <v>38</v>
      </c>
      <c r="U2456">
        <f>IF(IFERROR(VLOOKUP(BBDD_Usiarios_Netflix[[#This Row],[Identificador Usuario]],A2457:$A$5870,1,FALSE),0)&lt;&gt;0,1,0)</f>
        <v>0</v>
      </c>
      <c r="V2456" s="6" t="str">
        <f>IF(BBDD_Usiarios_Netflix[[#This Row],[Duración Plan]]="12 Meses",LEFT(BBDD_Usiarios_Netflix[[#This Row],[Duración Plan]],2),LEFT(BBDD_Usiarios_Netflix[[#This Row],[Duración Plan]],1))</f>
        <v>3</v>
      </c>
      <c r="W245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57" spans="1:23" x14ac:dyDescent="0.25">
      <c r="A2457">
        <v>2456</v>
      </c>
      <c r="B2457" t="s">
        <v>28</v>
      </c>
      <c r="C2457">
        <v>14</v>
      </c>
      <c r="D2457" s="3">
        <v>11</v>
      </c>
      <c r="E2457" s="3">
        <v>11</v>
      </c>
      <c r="F2457">
        <v>23</v>
      </c>
      <c r="G2457" s="1">
        <f>DATEVALUE(_xlfn.CONCAT(BBDD_Usiarios_Netflix[[#This Row],[Día Suscripción]],"/",BBDD_Usiarios_Netflix[[#This Row],[Mes Suscripción]],"/",BBDD_Usiarios_Netflix[[#This Row],[Año Suscripción]]))</f>
        <v>45241</v>
      </c>
      <c r="H2457" s="1">
        <v>13</v>
      </c>
      <c r="I2457" s="1">
        <v>7</v>
      </c>
      <c r="J2457" s="1">
        <v>24</v>
      </c>
      <c r="K2457" s="1" t="str">
        <f>TEXT(BBDD_Usiarios_Netflix[[#This Row],[Fecha Suscripción]],"dddd")</f>
        <v>sábado</v>
      </c>
      <c r="L2457" s="1">
        <f>DATEVALUE(_xlfn.CONCAT(BBDD_Usiarios_Netflix[[#This Row],[Día Último Pago]],"/",BBDD_Usiarios_Netflix[[#This Row],[Mes Último Pago]],"/",BBDD_Usiarios_Netflix[[#This Row],[Año Último Pago]]))</f>
        <v>45486</v>
      </c>
      <c r="M2457" s="4">
        <f>DATEDIF(BBDD_Usiarios_Netflix[[#This Row],[Fecha Suscripción]],BBDD_Usiarios_Netflix[[#This Row],[Fecha Último Pago]],"M")+1</f>
        <v>9</v>
      </c>
      <c r="N2457" s="4">
        <f>BBDD_Usiarios_Netflix[[#This Row],[Ingresos Mensuales]]*BBDD_Usiarios_Netflix[[#This Row],[Meses contratados]]</f>
        <v>126</v>
      </c>
      <c r="O2457" t="s">
        <v>33</v>
      </c>
      <c r="P2457" t="str">
        <f>IF(BBDD_Usiarios_Netflix[[#This Row],[País]]="","Desconocido",BBDD_Usiarios_Netflix[[#This Row],[País]])</f>
        <v>Francia</v>
      </c>
      <c r="Q2457">
        <v>39</v>
      </c>
      <c r="R2457" t="s">
        <v>25</v>
      </c>
      <c r="S2457" t="s">
        <v>26</v>
      </c>
      <c r="T2457" t="s">
        <v>27</v>
      </c>
      <c r="U2457">
        <f>IF(IFERROR(VLOOKUP(BBDD_Usiarios_Netflix[[#This Row],[Identificador Usuario]],A2458:$A$5870,1,FALSE),0)&lt;&gt;0,1,0)</f>
        <v>0</v>
      </c>
      <c r="V2457" s="6" t="str">
        <f>IF(BBDD_Usiarios_Netflix[[#This Row],[Duración Plan]]="12 Meses",LEFT(BBDD_Usiarios_Netflix[[#This Row],[Duración Plan]],2),LEFT(BBDD_Usiarios_Netflix[[#This Row],[Duración Plan]],1))</f>
        <v>1</v>
      </c>
      <c r="W245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58" spans="1:23" x14ac:dyDescent="0.25">
      <c r="A2458">
        <v>2457</v>
      </c>
      <c r="B2458" t="s">
        <v>23</v>
      </c>
      <c r="C2458">
        <v>10</v>
      </c>
      <c r="D2458" s="3">
        <v>12</v>
      </c>
      <c r="E2458" s="3">
        <v>11</v>
      </c>
      <c r="F2458">
        <v>23</v>
      </c>
      <c r="G2458" s="1">
        <f>DATEVALUE(_xlfn.CONCAT(BBDD_Usiarios_Netflix[[#This Row],[Día Suscripción]],"/",BBDD_Usiarios_Netflix[[#This Row],[Mes Suscripción]],"/",BBDD_Usiarios_Netflix[[#This Row],[Año Suscripción]]))</f>
        <v>45242</v>
      </c>
      <c r="H2458" s="1">
        <v>10</v>
      </c>
      <c r="I2458" s="1">
        <v>7</v>
      </c>
      <c r="J2458" s="1">
        <v>24</v>
      </c>
      <c r="K2458" s="1" t="str">
        <f>TEXT(BBDD_Usiarios_Netflix[[#This Row],[Fecha Suscripción]],"dddd")</f>
        <v>domingo</v>
      </c>
      <c r="L2458" s="1">
        <f>DATEVALUE(_xlfn.CONCAT(BBDD_Usiarios_Netflix[[#This Row],[Día Último Pago]],"/",BBDD_Usiarios_Netflix[[#This Row],[Mes Último Pago]],"/",BBDD_Usiarios_Netflix[[#This Row],[Año Último Pago]]))</f>
        <v>45483</v>
      </c>
      <c r="M2458" s="4">
        <f>DATEDIF(BBDD_Usiarios_Netflix[[#This Row],[Fecha Suscripción]],BBDD_Usiarios_Netflix[[#This Row],[Fecha Último Pago]],"M")+1</f>
        <v>8</v>
      </c>
      <c r="N2458" s="4">
        <f>BBDD_Usiarios_Netflix[[#This Row],[Ingresos Mensuales]]*BBDD_Usiarios_Netflix[[#This Row],[Meses contratados]]</f>
        <v>80</v>
      </c>
      <c r="O2458" t="s">
        <v>43</v>
      </c>
      <c r="P2458" t="str">
        <f>IF(BBDD_Usiarios_Netflix[[#This Row],[País]]="","Desconocido",BBDD_Usiarios_Netflix[[#This Row],[País]])</f>
        <v>Alemania</v>
      </c>
      <c r="Q2458">
        <v>48</v>
      </c>
      <c r="R2458" t="s">
        <v>25</v>
      </c>
      <c r="S2458" t="s">
        <v>31</v>
      </c>
      <c r="T2458" t="s">
        <v>27</v>
      </c>
      <c r="U2458">
        <f>IF(IFERROR(VLOOKUP(BBDD_Usiarios_Netflix[[#This Row],[Identificador Usuario]],A2459:$A$5870,1,FALSE),0)&lt;&gt;0,1,0)</f>
        <v>0</v>
      </c>
      <c r="V2458" s="6" t="str">
        <f>IF(BBDD_Usiarios_Netflix[[#This Row],[Duración Plan]]="12 Meses",LEFT(BBDD_Usiarios_Netflix[[#This Row],[Duración Plan]],2),LEFT(BBDD_Usiarios_Netflix[[#This Row],[Duración Plan]],1))</f>
        <v>1</v>
      </c>
      <c r="W245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59" spans="1:23" x14ac:dyDescent="0.25">
      <c r="A2459">
        <v>2458</v>
      </c>
      <c r="B2459" t="s">
        <v>32</v>
      </c>
      <c r="C2459">
        <v>12</v>
      </c>
      <c r="D2459" s="3">
        <v>12</v>
      </c>
      <c r="E2459" s="3">
        <v>11</v>
      </c>
      <c r="F2459">
        <v>23</v>
      </c>
      <c r="G2459" s="1">
        <f>DATEVALUE(_xlfn.CONCAT(BBDD_Usiarios_Netflix[[#This Row],[Día Suscripción]],"/",BBDD_Usiarios_Netflix[[#This Row],[Mes Suscripción]],"/",BBDD_Usiarios_Netflix[[#This Row],[Año Suscripción]]))</f>
        <v>45242</v>
      </c>
      <c r="H2459" s="1">
        <v>12</v>
      </c>
      <c r="I2459" s="1">
        <v>7</v>
      </c>
      <c r="J2459" s="1">
        <v>24</v>
      </c>
      <c r="K2459" s="1" t="str">
        <f>TEXT(BBDD_Usiarios_Netflix[[#This Row],[Fecha Suscripción]],"dddd")</f>
        <v>domingo</v>
      </c>
      <c r="L2459" s="1">
        <f>DATEVALUE(_xlfn.CONCAT(BBDD_Usiarios_Netflix[[#This Row],[Día Último Pago]],"/",BBDD_Usiarios_Netflix[[#This Row],[Mes Último Pago]],"/",BBDD_Usiarios_Netflix[[#This Row],[Año Último Pago]]))</f>
        <v>45485</v>
      </c>
      <c r="M2459" s="4">
        <f>DATEDIF(BBDD_Usiarios_Netflix[[#This Row],[Fecha Suscripción]],BBDD_Usiarios_Netflix[[#This Row],[Fecha Último Pago]],"M")+1</f>
        <v>9</v>
      </c>
      <c r="N2459" s="4">
        <f>BBDD_Usiarios_Netflix[[#This Row],[Ingresos Mensuales]]*BBDD_Usiarios_Netflix[[#This Row],[Meses contratados]]</f>
        <v>108</v>
      </c>
      <c r="O2459" t="s">
        <v>45</v>
      </c>
      <c r="P2459" t="str">
        <f>IF(BBDD_Usiarios_Netflix[[#This Row],[País]]="","Desconocido",BBDD_Usiarios_Netflix[[#This Row],[País]])</f>
        <v>España</v>
      </c>
      <c r="Q2459">
        <v>30</v>
      </c>
      <c r="R2459" t="s">
        <v>30</v>
      </c>
      <c r="S2459" t="s">
        <v>34</v>
      </c>
      <c r="T2459" t="s">
        <v>41</v>
      </c>
      <c r="U2459">
        <f>IF(IFERROR(VLOOKUP(BBDD_Usiarios_Netflix[[#This Row],[Identificador Usuario]],A2460:$A$5870,1,FALSE),0)&lt;&gt;0,1,0)</f>
        <v>0</v>
      </c>
      <c r="V2459" s="6" t="str">
        <f>IF(BBDD_Usiarios_Netflix[[#This Row],[Duración Plan]]="12 Meses",LEFT(BBDD_Usiarios_Netflix[[#This Row],[Duración Plan]],2),LEFT(BBDD_Usiarios_Netflix[[#This Row],[Duración Plan]],1))</f>
        <v>12</v>
      </c>
      <c r="W245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60" spans="1:23" x14ac:dyDescent="0.25">
      <c r="A2460">
        <v>2459</v>
      </c>
      <c r="B2460" t="s">
        <v>28</v>
      </c>
      <c r="C2460">
        <v>14</v>
      </c>
      <c r="D2460" s="3">
        <v>12</v>
      </c>
      <c r="E2460" s="3">
        <v>11</v>
      </c>
      <c r="F2460">
        <v>23</v>
      </c>
      <c r="G2460" s="1">
        <f>DATEVALUE(_xlfn.CONCAT(BBDD_Usiarios_Netflix[[#This Row],[Día Suscripción]],"/",BBDD_Usiarios_Netflix[[#This Row],[Mes Suscripción]],"/",BBDD_Usiarios_Netflix[[#This Row],[Año Suscripción]]))</f>
        <v>45242</v>
      </c>
      <c r="H2460" s="1">
        <v>12</v>
      </c>
      <c r="I2460" s="1">
        <v>7</v>
      </c>
      <c r="J2460" s="1">
        <v>24</v>
      </c>
      <c r="K2460" s="1" t="str">
        <f>TEXT(BBDD_Usiarios_Netflix[[#This Row],[Fecha Suscripción]],"dddd")</f>
        <v>domingo</v>
      </c>
      <c r="L2460" s="1">
        <f>DATEVALUE(_xlfn.CONCAT(BBDD_Usiarios_Netflix[[#This Row],[Día Último Pago]],"/",BBDD_Usiarios_Netflix[[#This Row],[Mes Último Pago]],"/",BBDD_Usiarios_Netflix[[#This Row],[Año Último Pago]]))</f>
        <v>45485</v>
      </c>
      <c r="M2460" s="4">
        <f>DATEDIF(BBDD_Usiarios_Netflix[[#This Row],[Fecha Suscripción]],BBDD_Usiarios_Netflix[[#This Row],[Fecha Último Pago]],"M")+1</f>
        <v>9</v>
      </c>
      <c r="N2460" s="4">
        <f>BBDD_Usiarios_Netflix[[#This Row],[Ingresos Mensuales]]*BBDD_Usiarios_Netflix[[#This Row],[Meses contratados]]</f>
        <v>126</v>
      </c>
      <c r="O2460" t="s">
        <v>45</v>
      </c>
      <c r="P2460" t="str">
        <f>IF(BBDD_Usiarios_Netflix[[#This Row],[País]]="","Desconocido",BBDD_Usiarios_Netflix[[#This Row],[País]])</f>
        <v>España</v>
      </c>
      <c r="Q2460">
        <v>30</v>
      </c>
      <c r="R2460" t="s">
        <v>25</v>
      </c>
      <c r="S2460" t="s">
        <v>34</v>
      </c>
      <c r="T2460" t="s">
        <v>27</v>
      </c>
      <c r="U2460">
        <f>IF(IFERROR(VLOOKUP(BBDD_Usiarios_Netflix[[#This Row],[Identificador Usuario]],A2461:$A$5870,1,FALSE),0)&lt;&gt;0,1,0)</f>
        <v>0</v>
      </c>
      <c r="V2460" s="6" t="str">
        <f>IF(BBDD_Usiarios_Netflix[[#This Row],[Duración Plan]]="12 Meses",LEFT(BBDD_Usiarios_Netflix[[#This Row],[Duración Plan]],2),LEFT(BBDD_Usiarios_Netflix[[#This Row],[Duración Plan]],1))</f>
        <v>1</v>
      </c>
      <c r="W246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61" spans="1:23" x14ac:dyDescent="0.25">
      <c r="A2461">
        <v>2460</v>
      </c>
      <c r="B2461" t="s">
        <v>23</v>
      </c>
      <c r="C2461">
        <v>10</v>
      </c>
      <c r="D2461" s="3">
        <v>12</v>
      </c>
      <c r="E2461" s="3">
        <v>11</v>
      </c>
      <c r="F2461">
        <v>23</v>
      </c>
      <c r="G2461" s="1">
        <f>DATEVALUE(_xlfn.CONCAT(BBDD_Usiarios_Netflix[[#This Row],[Día Suscripción]],"/",BBDD_Usiarios_Netflix[[#This Row],[Mes Suscripción]],"/",BBDD_Usiarios_Netflix[[#This Row],[Año Suscripción]]))</f>
        <v>45242</v>
      </c>
      <c r="H2461" s="1">
        <v>13</v>
      </c>
      <c r="I2461" s="1">
        <v>7</v>
      </c>
      <c r="J2461" s="1">
        <v>24</v>
      </c>
      <c r="K2461" s="1" t="str">
        <f>TEXT(BBDD_Usiarios_Netflix[[#This Row],[Fecha Suscripción]],"dddd")</f>
        <v>domingo</v>
      </c>
      <c r="L2461" s="1">
        <f>DATEVALUE(_xlfn.CONCAT(BBDD_Usiarios_Netflix[[#This Row],[Día Último Pago]],"/",BBDD_Usiarios_Netflix[[#This Row],[Mes Último Pago]],"/",BBDD_Usiarios_Netflix[[#This Row],[Año Último Pago]]))</f>
        <v>45486</v>
      </c>
      <c r="M2461" s="4">
        <f>DATEDIF(BBDD_Usiarios_Netflix[[#This Row],[Fecha Suscripción]],BBDD_Usiarios_Netflix[[#This Row],[Fecha Último Pago]],"M")+1</f>
        <v>9</v>
      </c>
      <c r="N2461" s="4">
        <f>BBDD_Usiarios_Netflix[[#This Row],[Ingresos Mensuales]]*BBDD_Usiarios_Netflix[[#This Row],[Meses contratados]]</f>
        <v>90</v>
      </c>
      <c r="O2461" t="s">
        <v>40</v>
      </c>
      <c r="P2461" t="str">
        <f>IF(BBDD_Usiarios_Netflix[[#This Row],[País]]="","Desconocido",BBDD_Usiarios_Netflix[[#This Row],[País]])</f>
        <v>Italia</v>
      </c>
      <c r="Q2461">
        <v>35</v>
      </c>
      <c r="R2461" t="s">
        <v>30</v>
      </c>
      <c r="S2461" t="s">
        <v>34</v>
      </c>
      <c r="T2461" t="s">
        <v>38</v>
      </c>
      <c r="U2461">
        <f>IF(IFERROR(VLOOKUP(BBDD_Usiarios_Netflix[[#This Row],[Identificador Usuario]],A2462:$A$5870,1,FALSE),0)&lt;&gt;0,1,0)</f>
        <v>0</v>
      </c>
      <c r="V2461" s="6" t="str">
        <f>IF(BBDD_Usiarios_Netflix[[#This Row],[Duración Plan]]="12 Meses",LEFT(BBDD_Usiarios_Netflix[[#This Row],[Duración Plan]],2),LEFT(BBDD_Usiarios_Netflix[[#This Row],[Duración Plan]],1))</f>
        <v>3</v>
      </c>
      <c r="W246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62" spans="1:23" x14ac:dyDescent="0.25">
      <c r="A2462">
        <v>2461</v>
      </c>
      <c r="B2462" t="s">
        <v>28</v>
      </c>
      <c r="C2462">
        <v>14</v>
      </c>
      <c r="D2462" s="3">
        <v>13</v>
      </c>
      <c r="E2462" s="3">
        <v>11</v>
      </c>
      <c r="F2462">
        <v>23</v>
      </c>
      <c r="G2462" s="1">
        <f>DATEVALUE(_xlfn.CONCAT(BBDD_Usiarios_Netflix[[#This Row],[Día Suscripción]],"/",BBDD_Usiarios_Netflix[[#This Row],[Mes Suscripción]],"/",BBDD_Usiarios_Netflix[[#This Row],[Año Suscripción]]))</f>
        <v>45243</v>
      </c>
      <c r="H2462" s="1">
        <v>12</v>
      </c>
      <c r="I2462" s="1">
        <v>7</v>
      </c>
      <c r="J2462" s="1">
        <v>24</v>
      </c>
      <c r="K2462" s="1" t="str">
        <f>TEXT(BBDD_Usiarios_Netflix[[#This Row],[Fecha Suscripción]],"dddd")</f>
        <v>lunes</v>
      </c>
      <c r="L2462" s="1">
        <f>DATEVALUE(_xlfn.CONCAT(BBDD_Usiarios_Netflix[[#This Row],[Día Último Pago]],"/",BBDD_Usiarios_Netflix[[#This Row],[Mes Último Pago]],"/",BBDD_Usiarios_Netflix[[#This Row],[Año Último Pago]]))</f>
        <v>45485</v>
      </c>
      <c r="M2462" s="4">
        <f>DATEDIF(BBDD_Usiarios_Netflix[[#This Row],[Fecha Suscripción]],BBDD_Usiarios_Netflix[[#This Row],[Fecha Último Pago]],"M")+1</f>
        <v>8</v>
      </c>
      <c r="N2462" s="4">
        <f>BBDD_Usiarios_Netflix[[#This Row],[Ingresos Mensuales]]*BBDD_Usiarios_Netflix[[#This Row],[Meses contratados]]</f>
        <v>112</v>
      </c>
      <c r="O2462" t="s">
        <v>39</v>
      </c>
      <c r="P2462" t="str">
        <f>IF(BBDD_Usiarios_Netflix[[#This Row],[País]]="","Desconocido",BBDD_Usiarios_Netflix[[#This Row],[País]])</f>
        <v>Canadá</v>
      </c>
      <c r="Q2462">
        <v>41</v>
      </c>
      <c r="R2462" t="s">
        <v>25</v>
      </c>
      <c r="S2462" t="s">
        <v>36</v>
      </c>
      <c r="T2462" t="s">
        <v>35</v>
      </c>
      <c r="U2462">
        <f>IF(IFERROR(VLOOKUP(BBDD_Usiarios_Netflix[[#This Row],[Identificador Usuario]],A2463:$A$5870,1,FALSE),0)&lt;&gt;0,1,0)</f>
        <v>0</v>
      </c>
      <c r="V2462" s="6" t="str">
        <f>IF(BBDD_Usiarios_Netflix[[#This Row],[Duración Plan]]="12 Meses",LEFT(BBDD_Usiarios_Netflix[[#This Row],[Duración Plan]],2),LEFT(BBDD_Usiarios_Netflix[[#This Row],[Duración Plan]],1))</f>
        <v>6</v>
      </c>
      <c r="W246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63" spans="1:23" x14ac:dyDescent="0.25">
      <c r="A2463">
        <v>2462</v>
      </c>
      <c r="B2463" t="s">
        <v>23</v>
      </c>
      <c r="C2463">
        <v>10</v>
      </c>
      <c r="D2463" s="3">
        <v>13</v>
      </c>
      <c r="E2463" s="3">
        <v>11</v>
      </c>
      <c r="F2463">
        <v>23</v>
      </c>
      <c r="G2463" s="1">
        <f>DATEVALUE(_xlfn.CONCAT(BBDD_Usiarios_Netflix[[#This Row],[Día Suscripción]],"/",BBDD_Usiarios_Netflix[[#This Row],[Mes Suscripción]],"/",BBDD_Usiarios_Netflix[[#This Row],[Año Suscripción]]))</f>
        <v>45243</v>
      </c>
      <c r="H2463" s="1">
        <v>13</v>
      </c>
      <c r="I2463" s="1">
        <v>7</v>
      </c>
      <c r="J2463" s="1">
        <v>24</v>
      </c>
      <c r="K2463" s="1" t="str">
        <f>TEXT(BBDD_Usiarios_Netflix[[#This Row],[Fecha Suscripción]],"dddd")</f>
        <v>lunes</v>
      </c>
      <c r="L2463" s="1">
        <f>DATEVALUE(_xlfn.CONCAT(BBDD_Usiarios_Netflix[[#This Row],[Día Último Pago]],"/",BBDD_Usiarios_Netflix[[#This Row],[Mes Último Pago]],"/",BBDD_Usiarios_Netflix[[#This Row],[Año Último Pago]]))</f>
        <v>45486</v>
      </c>
      <c r="M2463" s="4">
        <f>DATEDIF(BBDD_Usiarios_Netflix[[#This Row],[Fecha Suscripción]],BBDD_Usiarios_Netflix[[#This Row],[Fecha Último Pago]],"M")+1</f>
        <v>9</v>
      </c>
      <c r="N2463" s="4">
        <f>BBDD_Usiarios_Netflix[[#This Row],[Ingresos Mensuales]]*BBDD_Usiarios_Netflix[[#This Row],[Meses contratados]]</f>
        <v>90</v>
      </c>
      <c r="O2463" t="s">
        <v>39</v>
      </c>
      <c r="P2463" t="str">
        <f>IF(BBDD_Usiarios_Netflix[[#This Row],[País]]="","Desconocido",BBDD_Usiarios_Netflix[[#This Row],[País]])</f>
        <v>Canadá</v>
      </c>
      <c r="Q2463">
        <v>40</v>
      </c>
      <c r="R2463" t="s">
        <v>30</v>
      </c>
      <c r="S2463" t="s">
        <v>34</v>
      </c>
      <c r="T2463" t="s">
        <v>27</v>
      </c>
      <c r="U2463">
        <f>IF(IFERROR(VLOOKUP(BBDD_Usiarios_Netflix[[#This Row],[Identificador Usuario]],A2464:$A$5870,1,FALSE),0)&lt;&gt;0,1,0)</f>
        <v>0</v>
      </c>
      <c r="V2463" s="6" t="str">
        <f>IF(BBDD_Usiarios_Netflix[[#This Row],[Duración Plan]]="12 Meses",LEFT(BBDD_Usiarios_Netflix[[#This Row],[Duración Plan]],2),LEFT(BBDD_Usiarios_Netflix[[#This Row],[Duración Plan]],1))</f>
        <v>1</v>
      </c>
      <c r="W246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64" spans="1:23" x14ac:dyDescent="0.25">
      <c r="A2464">
        <v>2463</v>
      </c>
      <c r="B2464" t="s">
        <v>32</v>
      </c>
      <c r="C2464">
        <v>12</v>
      </c>
      <c r="D2464" s="3">
        <v>12</v>
      </c>
      <c r="E2464" s="3">
        <v>11</v>
      </c>
      <c r="F2464">
        <v>23</v>
      </c>
      <c r="G2464" s="1">
        <f>DATEVALUE(_xlfn.CONCAT(BBDD_Usiarios_Netflix[[#This Row],[Día Suscripción]],"/",BBDD_Usiarios_Netflix[[#This Row],[Mes Suscripción]],"/",BBDD_Usiarios_Netflix[[#This Row],[Año Suscripción]]))</f>
        <v>45242</v>
      </c>
      <c r="H2464" s="1">
        <v>11</v>
      </c>
      <c r="I2464" s="1">
        <v>7</v>
      </c>
      <c r="J2464" s="1">
        <v>24</v>
      </c>
      <c r="K2464" s="1" t="str">
        <f>TEXT(BBDD_Usiarios_Netflix[[#This Row],[Fecha Suscripción]],"dddd")</f>
        <v>domingo</v>
      </c>
      <c r="L2464" s="1">
        <f>DATEVALUE(_xlfn.CONCAT(BBDD_Usiarios_Netflix[[#This Row],[Día Último Pago]],"/",BBDD_Usiarios_Netflix[[#This Row],[Mes Último Pago]],"/",BBDD_Usiarios_Netflix[[#This Row],[Año Último Pago]]))</f>
        <v>45484</v>
      </c>
      <c r="M2464" s="4">
        <f>DATEDIF(BBDD_Usiarios_Netflix[[#This Row],[Fecha Suscripción]],BBDD_Usiarios_Netflix[[#This Row],[Fecha Último Pago]],"M")+1</f>
        <v>8</v>
      </c>
      <c r="N2464" s="4">
        <f>BBDD_Usiarios_Netflix[[#This Row],[Ingresos Mensuales]]*BBDD_Usiarios_Netflix[[#This Row],[Meses contratados]]</f>
        <v>96</v>
      </c>
      <c r="O2464" t="s">
        <v>33</v>
      </c>
      <c r="P2464" t="str">
        <f>IF(BBDD_Usiarios_Netflix[[#This Row],[País]]="","Desconocido",BBDD_Usiarios_Netflix[[#This Row],[País]])</f>
        <v>Francia</v>
      </c>
      <c r="Q2464">
        <v>50</v>
      </c>
      <c r="R2464" t="s">
        <v>25</v>
      </c>
      <c r="S2464" t="s">
        <v>34</v>
      </c>
      <c r="T2464" t="s">
        <v>41</v>
      </c>
      <c r="U2464">
        <f>IF(IFERROR(VLOOKUP(BBDD_Usiarios_Netflix[[#This Row],[Identificador Usuario]],A2465:$A$5870,1,FALSE),0)&lt;&gt;0,1,0)</f>
        <v>0</v>
      </c>
      <c r="V2464" s="6" t="str">
        <f>IF(BBDD_Usiarios_Netflix[[#This Row],[Duración Plan]]="12 Meses",LEFT(BBDD_Usiarios_Netflix[[#This Row],[Duración Plan]],2),LEFT(BBDD_Usiarios_Netflix[[#This Row],[Duración Plan]],1))</f>
        <v>12</v>
      </c>
      <c r="W246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65" spans="1:23" x14ac:dyDescent="0.25">
      <c r="A2465">
        <v>2464</v>
      </c>
      <c r="B2465" t="s">
        <v>32</v>
      </c>
      <c r="C2465">
        <v>12</v>
      </c>
      <c r="D2465" s="3">
        <v>5</v>
      </c>
      <c r="E2465" s="3">
        <v>11</v>
      </c>
      <c r="F2465">
        <v>23</v>
      </c>
      <c r="G2465" s="1">
        <f>DATEVALUE(_xlfn.CONCAT(BBDD_Usiarios_Netflix[[#This Row],[Día Suscripción]],"/",BBDD_Usiarios_Netflix[[#This Row],[Mes Suscripción]],"/",BBDD_Usiarios_Netflix[[#This Row],[Año Suscripción]]))</f>
        <v>45235</v>
      </c>
      <c r="H2465" s="1">
        <v>12</v>
      </c>
      <c r="I2465" s="1">
        <v>7</v>
      </c>
      <c r="J2465" s="1">
        <v>24</v>
      </c>
      <c r="K2465" s="1" t="str">
        <f>TEXT(BBDD_Usiarios_Netflix[[#This Row],[Fecha Suscripción]],"dddd")</f>
        <v>domingo</v>
      </c>
      <c r="L2465" s="1">
        <f>DATEVALUE(_xlfn.CONCAT(BBDD_Usiarios_Netflix[[#This Row],[Día Último Pago]],"/",BBDD_Usiarios_Netflix[[#This Row],[Mes Último Pago]],"/",BBDD_Usiarios_Netflix[[#This Row],[Año Último Pago]]))</f>
        <v>45485</v>
      </c>
      <c r="M2465" s="4">
        <f>DATEDIF(BBDD_Usiarios_Netflix[[#This Row],[Fecha Suscripción]],BBDD_Usiarios_Netflix[[#This Row],[Fecha Último Pago]],"M")+1</f>
        <v>9</v>
      </c>
      <c r="N2465" s="4">
        <f>BBDD_Usiarios_Netflix[[#This Row],[Ingresos Mensuales]]*BBDD_Usiarios_Netflix[[#This Row],[Meses contratados]]</f>
        <v>108</v>
      </c>
      <c r="O2465" t="s">
        <v>29</v>
      </c>
      <c r="P2465" t="str">
        <f>IF(BBDD_Usiarios_Netflix[[#This Row],[País]]="","Desconocido",BBDD_Usiarios_Netflix[[#This Row],[País]])</f>
        <v>EEUU</v>
      </c>
      <c r="Q2465">
        <v>42</v>
      </c>
      <c r="R2465" t="s">
        <v>30</v>
      </c>
      <c r="S2465" t="s">
        <v>26</v>
      </c>
      <c r="T2465" t="s">
        <v>35</v>
      </c>
      <c r="U2465">
        <f>IF(IFERROR(VLOOKUP(BBDD_Usiarios_Netflix[[#This Row],[Identificador Usuario]],A2466:$A$5870,1,FALSE),0)&lt;&gt;0,1,0)</f>
        <v>0</v>
      </c>
      <c r="V2465" s="6" t="str">
        <f>IF(BBDD_Usiarios_Netflix[[#This Row],[Duración Plan]]="12 Meses",LEFT(BBDD_Usiarios_Netflix[[#This Row],[Duración Plan]],2),LEFT(BBDD_Usiarios_Netflix[[#This Row],[Duración Plan]],1))</f>
        <v>6</v>
      </c>
      <c r="W246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66" spans="1:23" x14ac:dyDescent="0.25">
      <c r="A2466">
        <v>2465</v>
      </c>
      <c r="B2466" t="s">
        <v>23</v>
      </c>
      <c r="C2466">
        <v>10</v>
      </c>
      <c r="D2466" s="3">
        <v>3</v>
      </c>
      <c r="E2466" s="3">
        <v>11</v>
      </c>
      <c r="F2466">
        <v>23</v>
      </c>
      <c r="G2466" s="1">
        <f>DATEVALUE(_xlfn.CONCAT(BBDD_Usiarios_Netflix[[#This Row],[Día Suscripción]],"/",BBDD_Usiarios_Netflix[[#This Row],[Mes Suscripción]],"/",BBDD_Usiarios_Netflix[[#This Row],[Año Suscripción]]))</f>
        <v>45233</v>
      </c>
      <c r="H2466" s="1">
        <v>11</v>
      </c>
      <c r="I2466" s="1">
        <v>7</v>
      </c>
      <c r="J2466" s="1">
        <v>24</v>
      </c>
      <c r="K2466" s="1" t="str">
        <f>TEXT(BBDD_Usiarios_Netflix[[#This Row],[Fecha Suscripción]],"dddd")</f>
        <v>viernes</v>
      </c>
      <c r="L2466" s="1">
        <f>DATEVALUE(_xlfn.CONCAT(BBDD_Usiarios_Netflix[[#This Row],[Día Último Pago]],"/",BBDD_Usiarios_Netflix[[#This Row],[Mes Último Pago]],"/",BBDD_Usiarios_Netflix[[#This Row],[Año Último Pago]]))</f>
        <v>45484</v>
      </c>
      <c r="M2466" s="4">
        <f>DATEDIF(BBDD_Usiarios_Netflix[[#This Row],[Fecha Suscripción]],BBDD_Usiarios_Netflix[[#This Row],[Fecha Último Pago]],"M")+1</f>
        <v>9</v>
      </c>
      <c r="N2466" s="4">
        <f>BBDD_Usiarios_Netflix[[#This Row],[Ingresos Mensuales]]*BBDD_Usiarios_Netflix[[#This Row],[Meses contratados]]</f>
        <v>90</v>
      </c>
      <c r="O2466" t="s">
        <v>42</v>
      </c>
      <c r="P2466" t="str">
        <f>IF(BBDD_Usiarios_Netflix[[#This Row],[País]]="","Desconocido",BBDD_Usiarios_Netflix[[#This Row],[País]])</f>
        <v>Reino Unido</v>
      </c>
      <c r="Q2466">
        <v>30</v>
      </c>
      <c r="R2466" t="s">
        <v>25</v>
      </c>
      <c r="S2466" t="s">
        <v>31</v>
      </c>
      <c r="T2466" t="s">
        <v>41</v>
      </c>
      <c r="U2466">
        <f>IF(IFERROR(VLOOKUP(BBDD_Usiarios_Netflix[[#This Row],[Identificador Usuario]],A2467:$A$5870,1,FALSE),0)&lt;&gt;0,1,0)</f>
        <v>0</v>
      </c>
      <c r="V2466" s="6" t="str">
        <f>IF(BBDD_Usiarios_Netflix[[#This Row],[Duración Plan]]="12 Meses",LEFT(BBDD_Usiarios_Netflix[[#This Row],[Duración Plan]],2),LEFT(BBDD_Usiarios_Netflix[[#This Row],[Duración Plan]],1))</f>
        <v>12</v>
      </c>
      <c r="W246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67" spans="1:23" x14ac:dyDescent="0.25">
      <c r="A2467">
        <v>2466</v>
      </c>
      <c r="B2467" t="s">
        <v>28</v>
      </c>
      <c r="C2467">
        <v>14</v>
      </c>
      <c r="D2467" s="3">
        <v>30</v>
      </c>
      <c r="E2467" s="3">
        <v>10</v>
      </c>
      <c r="F2467">
        <v>23</v>
      </c>
      <c r="G2467" s="1">
        <f>DATEVALUE(_xlfn.CONCAT(BBDD_Usiarios_Netflix[[#This Row],[Día Suscripción]],"/",BBDD_Usiarios_Netflix[[#This Row],[Mes Suscripción]],"/",BBDD_Usiarios_Netflix[[#This Row],[Año Suscripción]]))</f>
        <v>45229</v>
      </c>
      <c r="H2467" s="1">
        <v>14</v>
      </c>
      <c r="I2467" s="1">
        <v>7</v>
      </c>
      <c r="J2467" s="1">
        <v>24</v>
      </c>
      <c r="K2467" s="1" t="str">
        <f>TEXT(BBDD_Usiarios_Netflix[[#This Row],[Fecha Suscripción]],"dddd")</f>
        <v>lunes</v>
      </c>
      <c r="L2467" s="1">
        <f>DATEVALUE(_xlfn.CONCAT(BBDD_Usiarios_Netflix[[#This Row],[Día Último Pago]],"/",BBDD_Usiarios_Netflix[[#This Row],[Mes Último Pago]],"/",BBDD_Usiarios_Netflix[[#This Row],[Año Último Pago]]))</f>
        <v>45487</v>
      </c>
      <c r="M2467" s="4">
        <f>DATEDIF(BBDD_Usiarios_Netflix[[#This Row],[Fecha Suscripción]],BBDD_Usiarios_Netflix[[#This Row],[Fecha Último Pago]],"M")+1</f>
        <v>9</v>
      </c>
      <c r="N2467" s="4">
        <f>BBDD_Usiarios_Netflix[[#This Row],[Ingresos Mensuales]]*BBDD_Usiarios_Netflix[[#This Row],[Meses contratados]]</f>
        <v>126</v>
      </c>
      <c r="O2467" t="s">
        <v>33</v>
      </c>
      <c r="P2467" t="str">
        <f>IF(BBDD_Usiarios_Netflix[[#This Row],[País]]="","Desconocido",BBDD_Usiarios_Netflix[[#This Row],[País]])</f>
        <v>Francia</v>
      </c>
      <c r="Q2467">
        <v>34</v>
      </c>
      <c r="R2467" t="s">
        <v>25</v>
      </c>
      <c r="S2467" t="s">
        <v>36</v>
      </c>
      <c r="T2467" t="s">
        <v>27</v>
      </c>
      <c r="U2467">
        <f>IF(IFERROR(VLOOKUP(BBDD_Usiarios_Netflix[[#This Row],[Identificador Usuario]],A2468:$A$5870,1,FALSE),0)&lt;&gt;0,1,0)</f>
        <v>0</v>
      </c>
      <c r="V2467" s="6" t="str">
        <f>IF(BBDD_Usiarios_Netflix[[#This Row],[Duración Plan]]="12 Meses",LEFT(BBDD_Usiarios_Netflix[[#This Row],[Duración Plan]],2),LEFT(BBDD_Usiarios_Netflix[[#This Row],[Duración Plan]],1))</f>
        <v>1</v>
      </c>
      <c r="W246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68" spans="1:23" x14ac:dyDescent="0.25">
      <c r="A2468">
        <v>2467</v>
      </c>
      <c r="B2468" t="s">
        <v>23</v>
      </c>
      <c r="C2468">
        <v>10</v>
      </c>
      <c r="D2468" s="3">
        <v>26</v>
      </c>
      <c r="E2468" s="3">
        <v>10</v>
      </c>
      <c r="F2468">
        <v>23</v>
      </c>
      <c r="G2468" s="1">
        <f>DATEVALUE(_xlfn.CONCAT(BBDD_Usiarios_Netflix[[#This Row],[Día Suscripción]],"/",BBDD_Usiarios_Netflix[[#This Row],[Mes Suscripción]],"/",BBDD_Usiarios_Netflix[[#This Row],[Año Suscripción]]))</f>
        <v>45225</v>
      </c>
      <c r="H2468" s="1">
        <v>11</v>
      </c>
      <c r="I2468" s="1">
        <v>7</v>
      </c>
      <c r="J2468" s="1">
        <v>24</v>
      </c>
      <c r="K2468" s="1" t="str">
        <f>TEXT(BBDD_Usiarios_Netflix[[#This Row],[Fecha Suscripción]],"dddd")</f>
        <v>jueves</v>
      </c>
      <c r="L2468" s="1">
        <f>DATEVALUE(_xlfn.CONCAT(BBDD_Usiarios_Netflix[[#This Row],[Día Último Pago]],"/",BBDD_Usiarios_Netflix[[#This Row],[Mes Último Pago]],"/",BBDD_Usiarios_Netflix[[#This Row],[Año Último Pago]]))</f>
        <v>45484</v>
      </c>
      <c r="M2468" s="4">
        <f>DATEDIF(BBDD_Usiarios_Netflix[[#This Row],[Fecha Suscripción]],BBDD_Usiarios_Netflix[[#This Row],[Fecha Último Pago]],"M")+1</f>
        <v>9</v>
      </c>
      <c r="N2468" s="4">
        <f>BBDD_Usiarios_Netflix[[#This Row],[Ingresos Mensuales]]*BBDD_Usiarios_Netflix[[#This Row],[Meses contratados]]</f>
        <v>90</v>
      </c>
      <c r="O2468" t="s">
        <v>42</v>
      </c>
      <c r="P2468" t="str">
        <f>IF(BBDD_Usiarios_Netflix[[#This Row],[País]]="","Desconocido",BBDD_Usiarios_Netflix[[#This Row],[País]])</f>
        <v>Reino Unido</v>
      </c>
      <c r="Q2468">
        <v>40</v>
      </c>
      <c r="R2468" t="s">
        <v>30</v>
      </c>
      <c r="S2468" t="s">
        <v>26</v>
      </c>
      <c r="T2468" t="s">
        <v>35</v>
      </c>
      <c r="U2468">
        <f>IF(IFERROR(VLOOKUP(BBDD_Usiarios_Netflix[[#This Row],[Identificador Usuario]],A2469:$A$5870,1,FALSE),0)&lt;&gt;0,1,0)</f>
        <v>0</v>
      </c>
      <c r="V2468" s="6" t="str">
        <f>IF(BBDD_Usiarios_Netflix[[#This Row],[Duración Plan]]="12 Meses",LEFT(BBDD_Usiarios_Netflix[[#This Row],[Duración Plan]],2),LEFT(BBDD_Usiarios_Netflix[[#This Row],[Duración Plan]],1))</f>
        <v>6</v>
      </c>
      <c r="W246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69" spans="1:23" x14ac:dyDescent="0.25">
      <c r="A2469">
        <v>2468</v>
      </c>
      <c r="B2469" t="s">
        <v>32</v>
      </c>
      <c r="C2469">
        <v>12</v>
      </c>
      <c r="D2469" s="3">
        <v>24</v>
      </c>
      <c r="E2469" s="3">
        <v>10</v>
      </c>
      <c r="F2469">
        <v>23</v>
      </c>
      <c r="G2469" s="1">
        <f>DATEVALUE(_xlfn.CONCAT(BBDD_Usiarios_Netflix[[#This Row],[Día Suscripción]],"/",BBDD_Usiarios_Netflix[[#This Row],[Mes Suscripción]],"/",BBDD_Usiarios_Netflix[[#This Row],[Año Suscripción]]))</f>
        <v>45223</v>
      </c>
      <c r="H2469" s="1">
        <v>12</v>
      </c>
      <c r="I2469" s="1">
        <v>7</v>
      </c>
      <c r="J2469" s="1">
        <v>24</v>
      </c>
      <c r="K2469" s="1" t="str">
        <f>TEXT(BBDD_Usiarios_Netflix[[#This Row],[Fecha Suscripción]],"dddd")</f>
        <v>martes</v>
      </c>
      <c r="L2469" s="1">
        <f>DATEVALUE(_xlfn.CONCAT(BBDD_Usiarios_Netflix[[#This Row],[Día Último Pago]],"/",BBDD_Usiarios_Netflix[[#This Row],[Mes Último Pago]],"/",BBDD_Usiarios_Netflix[[#This Row],[Año Último Pago]]))</f>
        <v>45485</v>
      </c>
      <c r="M2469" s="4">
        <f>DATEDIF(BBDD_Usiarios_Netflix[[#This Row],[Fecha Suscripción]],BBDD_Usiarios_Netflix[[#This Row],[Fecha Último Pago]],"M")+1</f>
        <v>9</v>
      </c>
      <c r="N2469" s="4">
        <f>BBDD_Usiarios_Netflix[[#This Row],[Ingresos Mensuales]]*BBDD_Usiarios_Netflix[[#This Row],[Meses contratados]]</f>
        <v>108</v>
      </c>
      <c r="O2469" t="s">
        <v>45</v>
      </c>
      <c r="P2469" t="str">
        <f>IF(BBDD_Usiarios_Netflix[[#This Row],[País]]="","Desconocido",BBDD_Usiarios_Netflix[[#This Row],[País]])</f>
        <v>España</v>
      </c>
      <c r="Q2469">
        <v>47</v>
      </c>
      <c r="R2469" t="s">
        <v>30</v>
      </c>
      <c r="S2469" t="s">
        <v>26</v>
      </c>
      <c r="T2469" t="s">
        <v>27</v>
      </c>
      <c r="U2469">
        <f>IF(IFERROR(VLOOKUP(BBDD_Usiarios_Netflix[[#This Row],[Identificador Usuario]],A2470:$A$5870,1,FALSE),0)&lt;&gt;0,1,0)</f>
        <v>0</v>
      </c>
      <c r="V2469" s="6" t="str">
        <f>IF(BBDD_Usiarios_Netflix[[#This Row],[Duración Plan]]="12 Meses",LEFT(BBDD_Usiarios_Netflix[[#This Row],[Duración Plan]],2),LEFT(BBDD_Usiarios_Netflix[[#This Row],[Duración Plan]],1))</f>
        <v>1</v>
      </c>
      <c r="W246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70" spans="1:23" x14ac:dyDescent="0.25">
      <c r="A2470">
        <v>2469</v>
      </c>
      <c r="B2470" t="s">
        <v>28</v>
      </c>
      <c r="C2470">
        <v>14</v>
      </c>
      <c r="D2470" s="3">
        <v>24</v>
      </c>
      <c r="E2470" s="3">
        <v>10</v>
      </c>
      <c r="F2470">
        <v>23</v>
      </c>
      <c r="G2470" s="1">
        <f>DATEVALUE(_xlfn.CONCAT(BBDD_Usiarios_Netflix[[#This Row],[Día Suscripción]],"/",BBDD_Usiarios_Netflix[[#This Row],[Mes Suscripción]],"/",BBDD_Usiarios_Netflix[[#This Row],[Año Suscripción]]))</f>
        <v>45223</v>
      </c>
      <c r="H2470" s="1">
        <v>11</v>
      </c>
      <c r="I2470" s="1">
        <v>7</v>
      </c>
      <c r="J2470" s="1">
        <v>24</v>
      </c>
      <c r="K2470" s="1" t="str">
        <f>TEXT(BBDD_Usiarios_Netflix[[#This Row],[Fecha Suscripción]],"dddd")</f>
        <v>martes</v>
      </c>
      <c r="L2470" s="1">
        <f>DATEVALUE(_xlfn.CONCAT(BBDD_Usiarios_Netflix[[#This Row],[Día Último Pago]],"/",BBDD_Usiarios_Netflix[[#This Row],[Mes Último Pago]],"/",BBDD_Usiarios_Netflix[[#This Row],[Año Último Pago]]))</f>
        <v>45484</v>
      </c>
      <c r="M2470" s="4">
        <f>DATEDIF(BBDD_Usiarios_Netflix[[#This Row],[Fecha Suscripción]],BBDD_Usiarios_Netflix[[#This Row],[Fecha Último Pago]],"M")+1</f>
        <v>9</v>
      </c>
      <c r="N2470" s="4">
        <f>BBDD_Usiarios_Netflix[[#This Row],[Ingresos Mensuales]]*BBDD_Usiarios_Netflix[[#This Row],[Meses contratados]]</f>
        <v>126</v>
      </c>
      <c r="O2470" t="s">
        <v>42</v>
      </c>
      <c r="P2470" t="str">
        <f>IF(BBDD_Usiarios_Netflix[[#This Row],[País]]="","Desconocido",BBDD_Usiarios_Netflix[[#This Row],[País]])</f>
        <v>Reino Unido</v>
      </c>
      <c r="Q2470">
        <v>36</v>
      </c>
      <c r="R2470" t="s">
        <v>25</v>
      </c>
      <c r="S2470" t="s">
        <v>36</v>
      </c>
      <c r="T2470" t="s">
        <v>38</v>
      </c>
      <c r="U2470">
        <f>IF(IFERROR(VLOOKUP(BBDD_Usiarios_Netflix[[#This Row],[Identificador Usuario]],A2471:$A$5870,1,FALSE),0)&lt;&gt;0,1,0)</f>
        <v>0</v>
      </c>
      <c r="V2470" s="6" t="str">
        <f>IF(BBDD_Usiarios_Netflix[[#This Row],[Duración Plan]]="12 Meses",LEFT(BBDD_Usiarios_Netflix[[#This Row],[Duración Plan]],2),LEFT(BBDD_Usiarios_Netflix[[#This Row],[Duración Plan]],1))</f>
        <v>3</v>
      </c>
      <c r="W247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71" spans="1:23" x14ac:dyDescent="0.25">
      <c r="A2471">
        <v>2470</v>
      </c>
      <c r="B2471" t="s">
        <v>23</v>
      </c>
      <c r="C2471">
        <v>10</v>
      </c>
      <c r="D2471" s="3">
        <v>20</v>
      </c>
      <c r="E2471" s="3">
        <v>10</v>
      </c>
      <c r="F2471">
        <v>23</v>
      </c>
      <c r="G2471" s="1">
        <f>DATEVALUE(_xlfn.CONCAT(BBDD_Usiarios_Netflix[[#This Row],[Día Suscripción]],"/",BBDD_Usiarios_Netflix[[#This Row],[Mes Suscripción]],"/",BBDD_Usiarios_Netflix[[#This Row],[Año Suscripción]]))</f>
        <v>45219</v>
      </c>
      <c r="H2471" s="1">
        <v>13</v>
      </c>
      <c r="I2471" s="1">
        <v>7</v>
      </c>
      <c r="J2471" s="1">
        <v>24</v>
      </c>
      <c r="K2471" s="1" t="str">
        <f>TEXT(BBDD_Usiarios_Netflix[[#This Row],[Fecha Suscripción]],"dddd")</f>
        <v>viernes</v>
      </c>
      <c r="L2471" s="1">
        <f>DATEVALUE(_xlfn.CONCAT(BBDD_Usiarios_Netflix[[#This Row],[Día Último Pago]],"/",BBDD_Usiarios_Netflix[[#This Row],[Mes Último Pago]],"/",BBDD_Usiarios_Netflix[[#This Row],[Año Último Pago]]))</f>
        <v>45486</v>
      </c>
      <c r="M2471" s="4">
        <f>DATEDIF(BBDD_Usiarios_Netflix[[#This Row],[Fecha Suscripción]],BBDD_Usiarios_Netflix[[#This Row],[Fecha Último Pago]],"M")+1</f>
        <v>9</v>
      </c>
      <c r="N2471" s="4">
        <f>BBDD_Usiarios_Netflix[[#This Row],[Ingresos Mensuales]]*BBDD_Usiarios_Netflix[[#This Row],[Meses contratados]]</f>
        <v>90</v>
      </c>
      <c r="O2471" t="s">
        <v>37</v>
      </c>
      <c r="P2471" t="str">
        <f>IF(BBDD_Usiarios_Netflix[[#This Row],[País]]="","Desconocido",BBDD_Usiarios_Netflix[[#This Row],[País]])</f>
        <v>Brasil</v>
      </c>
      <c r="Q2471">
        <v>50</v>
      </c>
      <c r="R2471" t="s">
        <v>30</v>
      </c>
      <c r="S2471" t="s">
        <v>31</v>
      </c>
      <c r="T2471" t="s">
        <v>27</v>
      </c>
      <c r="U2471">
        <f>IF(IFERROR(VLOOKUP(BBDD_Usiarios_Netflix[[#This Row],[Identificador Usuario]],A2472:$A$5870,1,FALSE),0)&lt;&gt;0,1,0)</f>
        <v>0</v>
      </c>
      <c r="V2471" s="6" t="str">
        <f>IF(BBDD_Usiarios_Netflix[[#This Row],[Duración Plan]]="12 Meses",LEFT(BBDD_Usiarios_Netflix[[#This Row],[Duración Plan]],2),LEFT(BBDD_Usiarios_Netflix[[#This Row],[Duración Plan]],1))</f>
        <v>1</v>
      </c>
      <c r="W247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72" spans="1:23" x14ac:dyDescent="0.25">
      <c r="A2472">
        <v>2471</v>
      </c>
      <c r="B2472" t="s">
        <v>23</v>
      </c>
      <c r="C2472">
        <v>10</v>
      </c>
      <c r="D2472" s="3">
        <v>17</v>
      </c>
      <c r="E2472" s="3">
        <v>10</v>
      </c>
      <c r="F2472">
        <v>23</v>
      </c>
      <c r="G2472" s="1">
        <f>DATEVALUE(_xlfn.CONCAT(BBDD_Usiarios_Netflix[[#This Row],[Día Suscripción]],"/",BBDD_Usiarios_Netflix[[#This Row],[Mes Suscripción]],"/",BBDD_Usiarios_Netflix[[#This Row],[Año Suscripción]]))</f>
        <v>45216</v>
      </c>
      <c r="H2472" s="1">
        <v>11</v>
      </c>
      <c r="I2472" s="1">
        <v>7</v>
      </c>
      <c r="J2472" s="1">
        <v>24</v>
      </c>
      <c r="K2472" s="1" t="str">
        <f>TEXT(BBDD_Usiarios_Netflix[[#This Row],[Fecha Suscripción]],"dddd")</f>
        <v>martes</v>
      </c>
      <c r="L2472" s="1">
        <f>DATEVALUE(_xlfn.CONCAT(BBDD_Usiarios_Netflix[[#This Row],[Día Último Pago]],"/",BBDD_Usiarios_Netflix[[#This Row],[Mes Último Pago]],"/",BBDD_Usiarios_Netflix[[#This Row],[Año Último Pago]]))</f>
        <v>45484</v>
      </c>
      <c r="M2472" s="4">
        <f>DATEDIF(BBDD_Usiarios_Netflix[[#This Row],[Fecha Suscripción]],BBDD_Usiarios_Netflix[[#This Row],[Fecha Último Pago]],"M")+1</f>
        <v>9</v>
      </c>
      <c r="N2472" s="4">
        <f>BBDD_Usiarios_Netflix[[#This Row],[Ingresos Mensuales]]*BBDD_Usiarios_Netflix[[#This Row],[Meses contratados]]</f>
        <v>90</v>
      </c>
      <c r="O2472" t="s">
        <v>42</v>
      </c>
      <c r="P2472" t="str">
        <f>IF(BBDD_Usiarios_Netflix[[#This Row],[País]]="","Desconocido",BBDD_Usiarios_Netflix[[#This Row],[País]])</f>
        <v>Reino Unido</v>
      </c>
      <c r="Q2472">
        <v>46</v>
      </c>
      <c r="R2472" t="s">
        <v>25</v>
      </c>
      <c r="S2472" t="s">
        <v>26</v>
      </c>
      <c r="T2472" t="s">
        <v>27</v>
      </c>
      <c r="U2472">
        <f>IF(IFERROR(VLOOKUP(BBDD_Usiarios_Netflix[[#This Row],[Identificador Usuario]],A2473:$A$5870,1,FALSE),0)&lt;&gt;0,1,0)</f>
        <v>0</v>
      </c>
      <c r="V2472" s="6" t="str">
        <f>IF(BBDD_Usiarios_Netflix[[#This Row],[Duración Plan]]="12 Meses",LEFT(BBDD_Usiarios_Netflix[[#This Row],[Duración Plan]],2),LEFT(BBDD_Usiarios_Netflix[[#This Row],[Duración Plan]],1))</f>
        <v>1</v>
      </c>
      <c r="W247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73" spans="1:23" x14ac:dyDescent="0.25">
      <c r="A2473">
        <v>2472</v>
      </c>
      <c r="B2473" t="s">
        <v>23</v>
      </c>
      <c r="C2473">
        <v>10</v>
      </c>
      <c r="D2473" s="3">
        <v>29</v>
      </c>
      <c r="E2473" s="3">
        <v>9</v>
      </c>
      <c r="F2473">
        <v>23</v>
      </c>
      <c r="G2473" s="1">
        <f>DATEVALUE(_xlfn.CONCAT(BBDD_Usiarios_Netflix[[#This Row],[Día Suscripción]],"/",BBDD_Usiarios_Netflix[[#This Row],[Mes Suscripción]],"/",BBDD_Usiarios_Netflix[[#This Row],[Año Suscripción]]))</f>
        <v>45198</v>
      </c>
      <c r="H2473" s="1">
        <v>14</v>
      </c>
      <c r="I2473" s="1">
        <v>7</v>
      </c>
      <c r="J2473" s="1">
        <v>24</v>
      </c>
      <c r="K2473" s="1" t="str">
        <f>TEXT(BBDD_Usiarios_Netflix[[#This Row],[Fecha Suscripción]],"dddd")</f>
        <v>viernes</v>
      </c>
      <c r="L2473" s="1">
        <f>DATEVALUE(_xlfn.CONCAT(BBDD_Usiarios_Netflix[[#This Row],[Día Último Pago]],"/",BBDD_Usiarios_Netflix[[#This Row],[Mes Último Pago]],"/",BBDD_Usiarios_Netflix[[#This Row],[Año Último Pago]]))</f>
        <v>45487</v>
      </c>
      <c r="M2473" s="4">
        <f>DATEDIF(BBDD_Usiarios_Netflix[[#This Row],[Fecha Suscripción]],BBDD_Usiarios_Netflix[[#This Row],[Fecha Último Pago]],"M")+1</f>
        <v>10</v>
      </c>
      <c r="N2473" s="4">
        <f>BBDD_Usiarios_Netflix[[#This Row],[Ingresos Mensuales]]*BBDD_Usiarios_Netflix[[#This Row],[Meses contratados]]</f>
        <v>100</v>
      </c>
      <c r="O2473" t="s">
        <v>29</v>
      </c>
      <c r="P2473" t="str">
        <f>IF(BBDD_Usiarios_Netflix[[#This Row],[País]]="","Desconocido",BBDD_Usiarios_Netflix[[#This Row],[País]])</f>
        <v>EEUU</v>
      </c>
      <c r="Q2473">
        <v>27</v>
      </c>
      <c r="R2473" t="s">
        <v>30</v>
      </c>
      <c r="S2473" t="s">
        <v>31</v>
      </c>
      <c r="T2473" t="s">
        <v>41</v>
      </c>
      <c r="U2473">
        <f>IF(IFERROR(VLOOKUP(BBDD_Usiarios_Netflix[[#This Row],[Identificador Usuario]],A2474:$A$5870,1,FALSE),0)&lt;&gt;0,1,0)</f>
        <v>0</v>
      </c>
      <c r="V2473" s="6" t="str">
        <f>IF(BBDD_Usiarios_Netflix[[#This Row],[Duración Plan]]="12 Meses",LEFT(BBDD_Usiarios_Netflix[[#This Row],[Duración Plan]],2),LEFT(BBDD_Usiarios_Netflix[[#This Row],[Duración Plan]],1))</f>
        <v>12</v>
      </c>
      <c r="W247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74" spans="1:23" x14ac:dyDescent="0.25">
      <c r="A2474">
        <v>2473</v>
      </c>
      <c r="B2474" t="s">
        <v>32</v>
      </c>
      <c r="C2474">
        <v>12</v>
      </c>
      <c r="D2474" s="3">
        <v>28</v>
      </c>
      <c r="E2474" s="3">
        <v>9</v>
      </c>
      <c r="F2474">
        <v>23</v>
      </c>
      <c r="G2474" s="1">
        <f>DATEVALUE(_xlfn.CONCAT(BBDD_Usiarios_Netflix[[#This Row],[Día Suscripción]],"/",BBDD_Usiarios_Netflix[[#This Row],[Mes Suscripción]],"/",BBDD_Usiarios_Netflix[[#This Row],[Año Suscripción]]))</f>
        <v>45197</v>
      </c>
      <c r="H2474" s="1">
        <v>11</v>
      </c>
      <c r="I2474" s="1">
        <v>7</v>
      </c>
      <c r="J2474" s="1">
        <v>24</v>
      </c>
      <c r="K2474" s="1" t="str">
        <f>TEXT(BBDD_Usiarios_Netflix[[#This Row],[Fecha Suscripción]],"dddd")</f>
        <v>jueves</v>
      </c>
      <c r="L2474" s="1">
        <f>DATEVALUE(_xlfn.CONCAT(BBDD_Usiarios_Netflix[[#This Row],[Día Último Pago]],"/",BBDD_Usiarios_Netflix[[#This Row],[Mes Último Pago]],"/",BBDD_Usiarios_Netflix[[#This Row],[Año Último Pago]]))</f>
        <v>45484</v>
      </c>
      <c r="M2474" s="4">
        <f>DATEDIF(BBDD_Usiarios_Netflix[[#This Row],[Fecha Suscripción]],BBDD_Usiarios_Netflix[[#This Row],[Fecha Último Pago]],"M")+1</f>
        <v>10</v>
      </c>
      <c r="N2474" s="4">
        <f>BBDD_Usiarios_Netflix[[#This Row],[Ingresos Mensuales]]*BBDD_Usiarios_Netflix[[#This Row],[Meses contratados]]</f>
        <v>120</v>
      </c>
      <c r="O2474" t="s">
        <v>42</v>
      </c>
      <c r="P2474" t="str">
        <f>IF(BBDD_Usiarios_Netflix[[#This Row],[País]]="","Desconocido",BBDD_Usiarios_Netflix[[#This Row],[País]])</f>
        <v>Reino Unido</v>
      </c>
      <c r="Q2474">
        <v>39</v>
      </c>
      <c r="R2474" t="s">
        <v>30</v>
      </c>
      <c r="S2474" t="s">
        <v>36</v>
      </c>
      <c r="T2474" t="s">
        <v>41</v>
      </c>
      <c r="U2474">
        <f>IF(IFERROR(VLOOKUP(BBDD_Usiarios_Netflix[[#This Row],[Identificador Usuario]],A2475:$A$5870,1,FALSE),0)&lt;&gt;0,1,0)</f>
        <v>0</v>
      </c>
      <c r="V2474" s="6" t="str">
        <f>IF(BBDD_Usiarios_Netflix[[#This Row],[Duración Plan]]="12 Meses",LEFT(BBDD_Usiarios_Netflix[[#This Row],[Duración Plan]],2),LEFT(BBDD_Usiarios_Netflix[[#This Row],[Duración Plan]],1))</f>
        <v>12</v>
      </c>
      <c r="W247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75" spans="1:23" x14ac:dyDescent="0.25">
      <c r="A2475">
        <v>2474</v>
      </c>
      <c r="B2475" t="s">
        <v>28</v>
      </c>
      <c r="C2475">
        <v>14</v>
      </c>
      <c r="D2475" s="3">
        <v>6</v>
      </c>
      <c r="E2475" s="3">
        <v>9</v>
      </c>
      <c r="F2475">
        <v>23</v>
      </c>
      <c r="G2475" s="1">
        <f>DATEVALUE(_xlfn.CONCAT(BBDD_Usiarios_Netflix[[#This Row],[Día Suscripción]],"/",BBDD_Usiarios_Netflix[[#This Row],[Mes Suscripción]],"/",BBDD_Usiarios_Netflix[[#This Row],[Año Suscripción]]))</f>
        <v>45175</v>
      </c>
      <c r="H2475" s="1">
        <v>12</v>
      </c>
      <c r="I2475" s="1">
        <v>7</v>
      </c>
      <c r="J2475" s="1">
        <v>24</v>
      </c>
      <c r="K2475" s="1" t="str">
        <f>TEXT(BBDD_Usiarios_Netflix[[#This Row],[Fecha Suscripción]],"dddd")</f>
        <v>miércoles</v>
      </c>
      <c r="L2475" s="1">
        <f>DATEVALUE(_xlfn.CONCAT(BBDD_Usiarios_Netflix[[#This Row],[Día Último Pago]],"/",BBDD_Usiarios_Netflix[[#This Row],[Mes Último Pago]],"/",BBDD_Usiarios_Netflix[[#This Row],[Año Último Pago]]))</f>
        <v>45485</v>
      </c>
      <c r="M2475" s="4">
        <f>DATEDIF(BBDD_Usiarios_Netflix[[#This Row],[Fecha Suscripción]],BBDD_Usiarios_Netflix[[#This Row],[Fecha Último Pago]],"M")+1</f>
        <v>11</v>
      </c>
      <c r="N2475" s="4">
        <f>BBDD_Usiarios_Netflix[[#This Row],[Ingresos Mensuales]]*BBDD_Usiarios_Netflix[[#This Row],[Meses contratados]]</f>
        <v>154</v>
      </c>
      <c r="O2475" t="s">
        <v>33</v>
      </c>
      <c r="P2475" t="str">
        <f>IF(BBDD_Usiarios_Netflix[[#This Row],[País]]="","Desconocido",BBDD_Usiarios_Netflix[[#This Row],[País]])</f>
        <v>Francia</v>
      </c>
      <c r="Q2475">
        <v>49</v>
      </c>
      <c r="R2475" t="s">
        <v>25</v>
      </c>
      <c r="S2475" t="s">
        <v>34</v>
      </c>
      <c r="T2475" t="s">
        <v>35</v>
      </c>
      <c r="U2475">
        <f>IF(IFERROR(VLOOKUP(BBDD_Usiarios_Netflix[[#This Row],[Identificador Usuario]],A2476:$A$5870,1,FALSE),0)&lt;&gt;0,1,0)</f>
        <v>0</v>
      </c>
      <c r="V2475" s="6" t="str">
        <f>IF(BBDD_Usiarios_Netflix[[#This Row],[Duración Plan]]="12 Meses",LEFT(BBDD_Usiarios_Netflix[[#This Row],[Duración Plan]],2),LEFT(BBDD_Usiarios_Netflix[[#This Row],[Duración Plan]],1))</f>
        <v>6</v>
      </c>
      <c r="W247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76" spans="1:23" x14ac:dyDescent="0.25">
      <c r="A2476">
        <v>2475</v>
      </c>
      <c r="B2476" t="s">
        <v>23</v>
      </c>
      <c r="C2476">
        <v>10</v>
      </c>
      <c r="D2476" s="3">
        <v>5</v>
      </c>
      <c r="E2476" s="3">
        <v>9</v>
      </c>
      <c r="F2476">
        <v>23</v>
      </c>
      <c r="G2476" s="1">
        <f>DATEVALUE(_xlfn.CONCAT(BBDD_Usiarios_Netflix[[#This Row],[Día Suscripción]],"/",BBDD_Usiarios_Netflix[[#This Row],[Mes Suscripción]],"/",BBDD_Usiarios_Netflix[[#This Row],[Año Suscripción]]))</f>
        <v>45174</v>
      </c>
      <c r="H2476" s="1">
        <v>11</v>
      </c>
      <c r="I2476" s="1">
        <v>7</v>
      </c>
      <c r="J2476" s="1">
        <v>24</v>
      </c>
      <c r="K2476" s="1" t="str">
        <f>TEXT(BBDD_Usiarios_Netflix[[#This Row],[Fecha Suscripción]],"dddd")</f>
        <v>martes</v>
      </c>
      <c r="L2476" s="1">
        <f>DATEVALUE(_xlfn.CONCAT(BBDD_Usiarios_Netflix[[#This Row],[Día Último Pago]],"/",BBDD_Usiarios_Netflix[[#This Row],[Mes Último Pago]],"/",BBDD_Usiarios_Netflix[[#This Row],[Año Último Pago]]))</f>
        <v>45484</v>
      </c>
      <c r="M2476" s="4">
        <f>DATEDIF(BBDD_Usiarios_Netflix[[#This Row],[Fecha Suscripción]],BBDD_Usiarios_Netflix[[#This Row],[Fecha Último Pago]],"M")+1</f>
        <v>11</v>
      </c>
      <c r="N2476" s="4">
        <f>BBDD_Usiarios_Netflix[[#This Row],[Ingresos Mensuales]]*BBDD_Usiarios_Netflix[[#This Row],[Meses contratados]]</f>
        <v>110</v>
      </c>
      <c r="O2476" t="s">
        <v>39</v>
      </c>
      <c r="P2476" t="str">
        <f>IF(BBDD_Usiarios_Netflix[[#This Row],[País]]="","Desconocido",BBDD_Usiarios_Netflix[[#This Row],[País]])</f>
        <v>Canadá</v>
      </c>
      <c r="Q2476">
        <v>37</v>
      </c>
      <c r="R2476" t="s">
        <v>30</v>
      </c>
      <c r="S2476" t="s">
        <v>31</v>
      </c>
      <c r="T2476" t="s">
        <v>35</v>
      </c>
      <c r="U2476">
        <f>IF(IFERROR(VLOOKUP(BBDD_Usiarios_Netflix[[#This Row],[Identificador Usuario]],A2477:$A$5870,1,FALSE),0)&lt;&gt;0,1,0)</f>
        <v>0</v>
      </c>
      <c r="V2476" s="6" t="str">
        <f>IF(BBDD_Usiarios_Netflix[[#This Row],[Duración Plan]]="12 Meses",LEFT(BBDD_Usiarios_Netflix[[#This Row],[Duración Plan]],2),LEFT(BBDD_Usiarios_Netflix[[#This Row],[Duración Plan]],1))</f>
        <v>6</v>
      </c>
      <c r="W247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77" spans="1:23" x14ac:dyDescent="0.25">
      <c r="A2477">
        <v>2476</v>
      </c>
      <c r="B2477" t="s">
        <v>23</v>
      </c>
      <c r="C2477">
        <v>10</v>
      </c>
      <c r="D2477" s="3">
        <v>31</v>
      </c>
      <c r="E2477" s="3">
        <v>8</v>
      </c>
      <c r="F2477">
        <v>23</v>
      </c>
      <c r="G2477" s="1">
        <f>DATEVALUE(_xlfn.CONCAT(BBDD_Usiarios_Netflix[[#This Row],[Día Suscripción]],"/",BBDD_Usiarios_Netflix[[#This Row],[Mes Suscripción]],"/",BBDD_Usiarios_Netflix[[#This Row],[Año Suscripción]]))</f>
        <v>45169</v>
      </c>
      <c r="H2477" s="1">
        <v>15</v>
      </c>
      <c r="I2477" s="1">
        <v>7</v>
      </c>
      <c r="J2477" s="1">
        <v>24</v>
      </c>
      <c r="K2477" s="1" t="str">
        <f>TEXT(BBDD_Usiarios_Netflix[[#This Row],[Fecha Suscripción]],"dddd")</f>
        <v>jueves</v>
      </c>
      <c r="L2477" s="1">
        <f>DATEVALUE(_xlfn.CONCAT(BBDD_Usiarios_Netflix[[#This Row],[Día Último Pago]],"/",BBDD_Usiarios_Netflix[[#This Row],[Mes Último Pago]],"/",BBDD_Usiarios_Netflix[[#This Row],[Año Último Pago]]))</f>
        <v>45488</v>
      </c>
      <c r="M2477" s="4">
        <f>DATEDIF(BBDD_Usiarios_Netflix[[#This Row],[Fecha Suscripción]],BBDD_Usiarios_Netflix[[#This Row],[Fecha Último Pago]],"M")+1</f>
        <v>11</v>
      </c>
      <c r="N2477" s="4">
        <f>BBDD_Usiarios_Netflix[[#This Row],[Ingresos Mensuales]]*BBDD_Usiarios_Netflix[[#This Row],[Meses contratados]]</f>
        <v>110</v>
      </c>
      <c r="O2477" t="s">
        <v>33</v>
      </c>
      <c r="P2477" t="str">
        <f>IF(BBDD_Usiarios_Netflix[[#This Row],[País]]="","Desconocido",BBDD_Usiarios_Netflix[[#This Row],[País]])</f>
        <v>Francia</v>
      </c>
      <c r="Q2477">
        <v>28</v>
      </c>
      <c r="R2477" t="s">
        <v>25</v>
      </c>
      <c r="S2477" t="s">
        <v>31</v>
      </c>
      <c r="T2477" t="s">
        <v>38</v>
      </c>
      <c r="U2477">
        <f>IF(IFERROR(VLOOKUP(BBDD_Usiarios_Netflix[[#This Row],[Identificador Usuario]],A2478:$A$5870,1,FALSE),0)&lt;&gt;0,1,0)</f>
        <v>0</v>
      </c>
      <c r="V2477" s="6" t="str">
        <f>IF(BBDD_Usiarios_Netflix[[#This Row],[Duración Plan]]="12 Meses",LEFT(BBDD_Usiarios_Netflix[[#This Row],[Duración Plan]],2),LEFT(BBDD_Usiarios_Netflix[[#This Row],[Duración Plan]],1))</f>
        <v>3</v>
      </c>
      <c r="W247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78" spans="1:23" x14ac:dyDescent="0.25">
      <c r="A2478">
        <v>2477</v>
      </c>
      <c r="B2478" t="s">
        <v>28</v>
      </c>
      <c r="C2478">
        <v>14</v>
      </c>
      <c r="D2478" s="3">
        <v>30</v>
      </c>
      <c r="E2478" s="3">
        <v>8</v>
      </c>
      <c r="F2478">
        <v>23</v>
      </c>
      <c r="G2478" s="1">
        <f>DATEVALUE(_xlfn.CONCAT(BBDD_Usiarios_Netflix[[#This Row],[Día Suscripción]],"/",BBDD_Usiarios_Netflix[[#This Row],[Mes Suscripción]],"/",BBDD_Usiarios_Netflix[[#This Row],[Año Suscripción]]))</f>
        <v>45168</v>
      </c>
      <c r="H2478" s="1">
        <v>12</v>
      </c>
      <c r="I2478" s="1">
        <v>7</v>
      </c>
      <c r="J2478" s="1">
        <v>24</v>
      </c>
      <c r="K2478" s="1" t="str">
        <f>TEXT(BBDD_Usiarios_Netflix[[#This Row],[Fecha Suscripción]],"dddd")</f>
        <v>miércoles</v>
      </c>
      <c r="L2478" s="1">
        <f>DATEVALUE(_xlfn.CONCAT(BBDD_Usiarios_Netflix[[#This Row],[Día Último Pago]],"/",BBDD_Usiarios_Netflix[[#This Row],[Mes Último Pago]],"/",BBDD_Usiarios_Netflix[[#This Row],[Año Último Pago]]))</f>
        <v>45485</v>
      </c>
      <c r="M2478" s="4">
        <f>DATEDIF(BBDD_Usiarios_Netflix[[#This Row],[Fecha Suscripción]],BBDD_Usiarios_Netflix[[#This Row],[Fecha Último Pago]],"M")+1</f>
        <v>11</v>
      </c>
      <c r="N2478" s="4">
        <f>BBDD_Usiarios_Netflix[[#This Row],[Ingresos Mensuales]]*BBDD_Usiarios_Netflix[[#This Row],[Meses contratados]]</f>
        <v>154</v>
      </c>
      <c r="O2478" t="s">
        <v>42</v>
      </c>
      <c r="P2478" t="str">
        <f>IF(BBDD_Usiarios_Netflix[[#This Row],[País]]="","Desconocido",BBDD_Usiarios_Netflix[[#This Row],[País]])</f>
        <v>Reino Unido</v>
      </c>
      <c r="Q2478">
        <v>40</v>
      </c>
      <c r="R2478" t="s">
        <v>25</v>
      </c>
      <c r="S2478" t="s">
        <v>36</v>
      </c>
      <c r="T2478" t="s">
        <v>35</v>
      </c>
      <c r="U2478">
        <f>IF(IFERROR(VLOOKUP(BBDD_Usiarios_Netflix[[#This Row],[Identificador Usuario]],A2479:$A$5870,1,FALSE),0)&lt;&gt;0,1,0)</f>
        <v>0</v>
      </c>
      <c r="V2478" s="6" t="str">
        <f>IF(BBDD_Usiarios_Netflix[[#This Row],[Duración Plan]]="12 Meses",LEFT(BBDD_Usiarios_Netflix[[#This Row],[Duración Plan]],2),LEFT(BBDD_Usiarios_Netflix[[#This Row],[Duración Plan]],1))</f>
        <v>6</v>
      </c>
      <c r="W247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79" spans="1:23" x14ac:dyDescent="0.25">
      <c r="A2479">
        <v>2478</v>
      </c>
      <c r="B2479" t="s">
        <v>32</v>
      </c>
      <c r="C2479">
        <v>12</v>
      </c>
      <c r="D2479" s="3">
        <v>16</v>
      </c>
      <c r="E2479" s="3">
        <v>8</v>
      </c>
      <c r="F2479">
        <v>23</v>
      </c>
      <c r="G2479" s="1">
        <f>DATEVALUE(_xlfn.CONCAT(BBDD_Usiarios_Netflix[[#This Row],[Día Suscripción]],"/",BBDD_Usiarios_Netflix[[#This Row],[Mes Suscripción]],"/",BBDD_Usiarios_Netflix[[#This Row],[Año Suscripción]]))</f>
        <v>45154</v>
      </c>
      <c r="H2479" s="1">
        <v>13</v>
      </c>
      <c r="I2479" s="1">
        <v>7</v>
      </c>
      <c r="J2479" s="1">
        <v>24</v>
      </c>
      <c r="K2479" s="1" t="str">
        <f>TEXT(BBDD_Usiarios_Netflix[[#This Row],[Fecha Suscripción]],"dddd")</f>
        <v>miércoles</v>
      </c>
      <c r="L2479" s="1">
        <f>DATEVALUE(_xlfn.CONCAT(BBDD_Usiarios_Netflix[[#This Row],[Día Último Pago]],"/",BBDD_Usiarios_Netflix[[#This Row],[Mes Último Pago]],"/",BBDD_Usiarios_Netflix[[#This Row],[Año Último Pago]]))</f>
        <v>45486</v>
      </c>
      <c r="M2479" s="4">
        <f>DATEDIF(BBDD_Usiarios_Netflix[[#This Row],[Fecha Suscripción]],BBDD_Usiarios_Netflix[[#This Row],[Fecha Último Pago]],"M")+1</f>
        <v>11</v>
      </c>
      <c r="N2479" s="4">
        <f>BBDD_Usiarios_Netflix[[#This Row],[Ingresos Mensuales]]*BBDD_Usiarios_Netflix[[#This Row],[Meses contratados]]</f>
        <v>132</v>
      </c>
      <c r="O2479" t="s">
        <v>44</v>
      </c>
      <c r="P2479" t="str">
        <f>IF(BBDD_Usiarios_Netflix[[#This Row],[País]]="","Desconocido",BBDD_Usiarios_Netflix[[#This Row],[País]])</f>
        <v>Desconocido</v>
      </c>
      <c r="Q2479">
        <v>47</v>
      </c>
      <c r="R2479" t="s">
        <v>25</v>
      </c>
      <c r="S2479" t="s">
        <v>31</v>
      </c>
      <c r="T2479" t="s">
        <v>27</v>
      </c>
      <c r="U2479">
        <f>IF(IFERROR(VLOOKUP(BBDD_Usiarios_Netflix[[#This Row],[Identificador Usuario]],A2480:$A$5870,1,FALSE),0)&lt;&gt;0,1,0)</f>
        <v>0</v>
      </c>
      <c r="V2479" s="6" t="str">
        <f>IF(BBDD_Usiarios_Netflix[[#This Row],[Duración Plan]]="12 Meses",LEFT(BBDD_Usiarios_Netflix[[#This Row],[Duración Plan]],2),LEFT(BBDD_Usiarios_Netflix[[#This Row],[Duración Plan]],1))</f>
        <v>1</v>
      </c>
      <c r="W247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0" spans="1:23" x14ac:dyDescent="0.25">
      <c r="A2480">
        <v>2479</v>
      </c>
      <c r="B2480" t="s">
        <v>32</v>
      </c>
      <c r="C2480">
        <v>12</v>
      </c>
      <c r="D2480" s="3">
        <v>16</v>
      </c>
      <c r="E2480" s="3">
        <v>8</v>
      </c>
      <c r="F2480">
        <v>23</v>
      </c>
      <c r="G2480" s="1">
        <f>DATEVALUE(_xlfn.CONCAT(BBDD_Usiarios_Netflix[[#This Row],[Día Suscripción]],"/",BBDD_Usiarios_Netflix[[#This Row],[Mes Suscripción]],"/",BBDD_Usiarios_Netflix[[#This Row],[Año Suscripción]]))</f>
        <v>45154</v>
      </c>
      <c r="H2480" s="1">
        <v>11</v>
      </c>
      <c r="I2480" s="1">
        <v>7</v>
      </c>
      <c r="J2480" s="1">
        <v>24</v>
      </c>
      <c r="K2480" s="1" t="str">
        <f>TEXT(BBDD_Usiarios_Netflix[[#This Row],[Fecha Suscripción]],"dddd")</f>
        <v>miércoles</v>
      </c>
      <c r="L2480" s="1">
        <f>DATEVALUE(_xlfn.CONCAT(BBDD_Usiarios_Netflix[[#This Row],[Día Último Pago]],"/",BBDD_Usiarios_Netflix[[#This Row],[Mes Último Pago]],"/",BBDD_Usiarios_Netflix[[#This Row],[Año Último Pago]]))</f>
        <v>45484</v>
      </c>
      <c r="M2480" s="4">
        <f>DATEDIF(BBDD_Usiarios_Netflix[[#This Row],[Fecha Suscripción]],BBDD_Usiarios_Netflix[[#This Row],[Fecha Último Pago]],"M")+1</f>
        <v>11</v>
      </c>
      <c r="N2480" s="4">
        <f>BBDD_Usiarios_Netflix[[#This Row],[Ingresos Mensuales]]*BBDD_Usiarios_Netflix[[#This Row],[Meses contratados]]</f>
        <v>132</v>
      </c>
      <c r="O2480" t="s">
        <v>33</v>
      </c>
      <c r="P2480" t="str">
        <f>IF(BBDD_Usiarios_Netflix[[#This Row],[País]]="","Desconocido",BBDD_Usiarios_Netflix[[#This Row],[País]])</f>
        <v>Francia</v>
      </c>
      <c r="Q2480">
        <v>51</v>
      </c>
      <c r="R2480" t="s">
        <v>30</v>
      </c>
      <c r="S2480" t="s">
        <v>36</v>
      </c>
      <c r="T2480" t="s">
        <v>41</v>
      </c>
      <c r="U2480">
        <f>IF(IFERROR(VLOOKUP(BBDD_Usiarios_Netflix[[#This Row],[Identificador Usuario]],A2481:$A$5870,1,FALSE),0)&lt;&gt;0,1,0)</f>
        <v>0</v>
      </c>
      <c r="V2480" s="6" t="str">
        <f>IF(BBDD_Usiarios_Netflix[[#This Row],[Duración Plan]]="12 Meses",LEFT(BBDD_Usiarios_Netflix[[#This Row],[Duración Plan]],2),LEFT(BBDD_Usiarios_Netflix[[#This Row],[Duración Plan]],1))</f>
        <v>12</v>
      </c>
      <c r="W248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81" spans="1:23" x14ac:dyDescent="0.25">
      <c r="A2481">
        <v>2480</v>
      </c>
      <c r="B2481" t="s">
        <v>23</v>
      </c>
      <c r="C2481">
        <v>10</v>
      </c>
      <c r="D2481" s="3">
        <v>7</v>
      </c>
      <c r="E2481" s="3">
        <v>8</v>
      </c>
      <c r="F2481">
        <v>23</v>
      </c>
      <c r="G2481" s="1">
        <f>DATEVALUE(_xlfn.CONCAT(BBDD_Usiarios_Netflix[[#This Row],[Día Suscripción]],"/",BBDD_Usiarios_Netflix[[#This Row],[Mes Suscripción]],"/",BBDD_Usiarios_Netflix[[#This Row],[Año Suscripción]]))</f>
        <v>45145</v>
      </c>
      <c r="H2481" s="1">
        <v>14</v>
      </c>
      <c r="I2481" s="1">
        <v>7</v>
      </c>
      <c r="J2481" s="1">
        <v>24</v>
      </c>
      <c r="K2481" s="1" t="str">
        <f>TEXT(BBDD_Usiarios_Netflix[[#This Row],[Fecha Suscripción]],"dddd")</f>
        <v>lunes</v>
      </c>
      <c r="L2481" s="1">
        <f>DATEVALUE(_xlfn.CONCAT(BBDD_Usiarios_Netflix[[#This Row],[Día Último Pago]],"/",BBDD_Usiarios_Netflix[[#This Row],[Mes Último Pago]],"/",BBDD_Usiarios_Netflix[[#This Row],[Año Último Pago]]))</f>
        <v>45487</v>
      </c>
      <c r="M2481" s="4">
        <f>DATEDIF(BBDD_Usiarios_Netflix[[#This Row],[Fecha Suscripción]],BBDD_Usiarios_Netflix[[#This Row],[Fecha Último Pago]],"M")+1</f>
        <v>12</v>
      </c>
      <c r="N2481" s="4">
        <f>BBDD_Usiarios_Netflix[[#This Row],[Ingresos Mensuales]]*BBDD_Usiarios_Netflix[[#This Row],[Meses contratados]]</f>
        <v>120</v>
      </c>
      <c r="O2481" t="s">
        <v>39</v>
      </c>
      <c r="P2481" t="str">
        <f>IF(BBDD_Usiarios_Netflix[[#This Row],[País]]="","Desconocido",BBDD_Usiarios_Netflix[[#This Row],[País]])</f>
        <v>Canadá</v>
      </c>
      <c r="Q2481">
        <v>47</v>
      </c>
      <c r="R2481" t="s">
        <v>25</v>
      </c>
      <c r="S2481" t="s">
        <v>36</v>
      </c>
      <c r="T2481" t="s">
        <v>27</v>
      </c>
      <c r="U2481">
        <f>IF(IFERROR(VLOOKUP(BBDD_Usiarios_Netflix[[#This Row],[Identificador Usuario]],A2482:$A$5870,1,FALSE),0)&lt;&gt;0,1,0)</f>
        <v>0</v>
      </c>
      <c r="V2481" s="6" t="str">
        <f>IF(BBDD_Usiarios_Netflix[[#This Row],[Duración Plan]]="12 Meses",LEFT(BBDD_Usiarios_Netflix[[#This Row],[Duración Plan]],2),LEFT(BBDD_Usiarios_Netflix[[#This Row],[Duración Plan]],1))</f>
        <v>1</v>
      </c>
      <c r="W248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2" spans="1:23" x14ac:dyDescent="0.25">
      <c r="A2482">
        <v>2481</v>
      </c>
      <c r="B2482" t="s">
        <v>28</v>
      </c>
      <c r="C2482">
        <v>14</v>
      </c>
      <c r="D2482" s="3">
        <v>5</v>
      </c>
      <c r="E2482" s="3">
        <v>8</v>
      </c>
      <c r="F2482">
        <v>23</v>
      </c>
      <c r="G2482" s="1">
        <f>DATEVALUE(_xlfn.CONCAT(BBDD_Usiarios_Netflix[[#This Row],[Día Suscripción]],"/",BBDD_Usiarios_Netflix[[#This Row],[Mes Suscripción]],"/",BBDD_Usiarios_Netflix[[#This Row],[Año Suscripción]]))</f>
        <v>45143</v>
      </c>
      <c r="H2482" s="1">
        <v>12</v>
      </c>
      <c r="I2482" s="1">
        <v>7</v>
      </c>
      <c r="J2482" s="1">
        <v>24</v>
      </c>
      <c r="K2482" s="1" t="str">
        <f>TEXT(BBDD_Usiarios_Netflix[[#This Row],[Fecha Suscripción]],"dddd")</f>
        <v>sábado</v>
      </c>
      <c r="L2482" s="1">
        <f>DATEVALUE(_xlfn.CONCAT(BBDD_Usiarios_Netflix[[#This Row],[Día Último Pago]],"/",BBDD_Usiarios_Netflix[[#This Row],[Mes Último Pago]],"/",BBDD_Usiarios_Netflix[[#This Row],[Año Último Pago]]))</f>
        <v>45485</v>
      </c>
      <c r="M2482" s="4">
        <f>DATEDIF(BBDD_Usiarios_Netflix[[#This Row],[Fecha Suscripción]],BBDD_Usiarios_Netflix[[#This Row],[Fecha Último Pago]],"M")+1</f>
        <v>12</v>
      </c>
      <c r="N2482" s="4">
        <f>BBDD_Usiarios_Netflix[[#This Row],[Ingresos Mensuales]]*BBDD_Usiarios_Netflix[[#This Row],[Meses contratados]]</f>
        <v>168</v>
      </c>
      <c r="O2482" t="s">
        <v>29</v>
      </c>
      <c r="P2482" t="str">
        <f>IF(BBDD_Usiarios_Netflix[[#This Row],[País]]="","Desconocido",BBDD_Usiarios_Netflix[[#This Row],[País]])</f>
        <v>EEUU</v>
      </c>
      <c r="Q2482">
        <v>33</v>
      </c>
      <c r="R2482" t="s">
        <v>30</v>
      </c>
      <c r="S2482" t="s">
        <v>36</v>
      </c>
      <c r="T2482" t="s">
        <v>27</v>
      </c>
      <c r="U2482">
        <f>IF(IFERROR(VLOOKUP(BBDD_Usiarios_Netflix[[#This Row],[Identificador Usuario]],A2483:$A$5870,1,FALSE),0)&lt;&gt;0,1,0)</f>
        <v>0</v>
      </c>
      <c r="V2482" s="6" t="str">
        <f>IF(BBDD_Usiarios_Netflix[[#This Row],[Duración Plan]]="12 Meses",LEFT(BBDD_Usiarios_Netflix[[#This Row],[Duración Plan]],2),LEFT(BBDD_Usiarios_Netflix[[#This Row],[Duración Plan]],1))</f>
        <v>1</v>
      </c>
      <c r="W248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3" spans="1:23" x14ac:dyDescent="0.25">
      <c r="A2483">
        <v>2482</v>
      </c>
      <c r="B2483" t="s">
        <v>32</v>
      </c>
      <c r="C2483">
        <v>12</v>
      </c>
      <c r="D2483" s="3">
        <v>6</v>
      </c>
      <c r="E2483" s="3">
        <v>8</v>
      </c>
      <c r="F2483">
        <v>23</v>
      </c>
      <c r="G2483" s="1">
        <f>DATEVALUE(_xlfn.CONCAT(BBDD_Usiarios_Netflix[[#This Row],[Día Suscripción]],"/",BBDD_Usiarios_Netflix[[#This Row],[Mes Suscripción]],"/",BBDD_Usiarios_Netflix[[#This Row],[Año Suscripción]]))</f>
        <v>45144</v>
      </c>
      <c r="H2483" s="1">
        <v>14</v>
      </c>
      <c r="I2483" s="1">
        <v>7</v>
      </c>
      <c r="J2483" s="1">
        <v>24</v>
      </c>
      <c r="K2483" s="1" t="str">
        <f>TEXT(BBDD_Usiarios_Netflix[[#This Row],[Fecha Suscripción]],"dddd")</f>
        <v>domingo</v>
      </c>
      <c r="L2483" s="1">
        <f>DATEVALUE(_xlfn.CONCAT(BBDD_Usiarios_Netflix[[#This Row],[Día Último Pago]],"/",BBDD_Usiarios_Netflix[[#This Row],[Mes Último Pago]],"/",BBDD_Usiarios_Netflix[[#This Row],[Año Último Pago]]))</f>
        <v>45487</v>
      </c>
      <c r="M2483" s="4">
        <f>DATEDIF(BBDD_Usiarios_Netflix[[#This Row],[Fecha Suscripción]],BBDD_Usiarios_Netflix[[#This Row],[Fecha Último Pago]],"M")+1</f>
        <v>12</v>
      </c>
      <c r="N2483" s="4">
        <f>BBDD_Usiarios_Netflix[[#This Row],[Ingresos Mensuales]]*BBDD_Usiarios_Netflix[[#This Row],[Meses contratados]]</f>
        <v>144</v>
      </c>
      <c r="O2483" t="s">
        <v>37</v>
      </c>
      <c r="P2483" t="str">
        <f>IF(BBDD_Usiarios_Netflix[[#This Row],[País]]="","Desconocido",BBDD_Usiarios_Netflix[[#This Row],[País]])</f>
        <v>Brasil</v>
      </c>
      <c r="Q2483">
        <v>37</v>
      </c>
      <c r="R2483" t="s">
        <v>30</v>
      </c>
      <c r="S2483" t="s">
        <v>36</v>
      </c>
      <c r="T2483" t="s">
        <v>38</v>
      </c>
      <c r="U2483">
        <f>IF(IFERROR(VLOOKUP(BBDD_Usiarios_Netflix[[#This Row],[Identificador Usuario]],A2484:$A$5870,1,FALSE),0)&lt;&gt;0,1,0)</f>
        <v>0</v>
      </c>
      <c r="V2483" s="6" t="str">
        <f>IF(BBDD_Usiarios_Netflix[[#This Row],[Duración Plan]]="12 Meses",LEFT(BBDD_Usiarios_Netflix[[#This Row],[Duración Plan]],2),LEFT(BBDD_Usiarios_Netflix[[#This Row],[Duración Plan]],1))</f>
        <v>3</v>
      </c>
      <c r="W248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84" spans="1:23" x14ac:dyDescent="0.25">
      <c r="A2484">
        <v>2483</v>
      </c>
      <c r="B2484" t="s">
        <v>23</v>
      </c>
      <c r="C2484">
        <v>10</v>
      </c>
      <c r="D2484" s="3">
        <v>28</v>
      </c>
      <c r="E2484" s="3">
        <v>7</v>
      </c>
      <c r="F2484">
        <v>23</v>
      </c>
      <c r="G2484" s="1">
        <f>DATEVALUE(_xlfn.CONCAT(BBDD_Usiarios_Netflix[[#This Row],[Día Suscripción]],"/",BBDD_Usiarios_Netflix[[#This Row],[Mes Suscripción]],"/",BBDD_Usiarios_Netflix[[#This Row],[Año Suscripción]]))</f>
        <v>45135</v>
      </c>
      <c r="H2484" s="1">
        <v>11</v>
      </c>
      <c r="I2484" s="1">
        <v>7</v>
      </c>
      <c r="J2484" s="1">
        <v>24</v>
      </c>
      <c r="K2484" s="1" t="str">
        <f>TEXT(BBDD_Usiarios_Netflix[[#This Row],[Fecha Suscripción]],"dddd")</f>
        <v>viernes</v>
      </c>
      <c r="L2484" s="1">
        <f>DATEVALUE(_xlfn.CONCAT(BBDD_Usiarios_Netflix[[#This Row],[Día Último Pago]],"/",BBDD_Usiarios_Netflix[[#This Row],[Mes Último Pago]],"/",BBDD_Usiarios_Netflix[[#This Row],[Año Último Pago]]))</f>
        <v>45484</v>
      </c>
      <c r="M2484" s="4">
        <f>DATEDIF(BBDD_Usiarios_Netflix[[#This Row],[Fecha Suscripción]],BBDD_Usiarios_Netflix[[#This Row],[Fecha Último Pago]],"M")+1</f>
        <v>12</v>
      </c>
      <c r="N2484" s="4">
        <f>BBDD_Usiarios_Netflix[[#This Row],[Ingresos Mensuales]]*BBDD_Usiarios_Netflix[[#This Row],[Meses contratados]]</f>
        <v>120</v>
      </c>
      <c r="O2484" t="s">
        <v>39</v>
      </c>
      <c r="P2484" t="str">
        <f>IF(BBDD_Usiarios_Netflix[[#This Row],[País]]="","Desconocido",BBDD_Usiarios_Netflix[[#This Row],[País]])</f>
        <v>Canadá</v>
      </c>
      <c r="Q2484">
        <v>42</v>
      </c>
      <c r="R2484" t="s">
        <v>25</v>
      </c>
      <c r="S2484" t="s">
        <v>36</v>
      </c>
      <c r="T2484" t="s">
        <v>27</v>
      </c>
      <c r="U2484">
        <f>IF(IFERROR(VLOOKUP(BBDD_Usiarios_Netflix[[#This Row],[Identificador Usuario]],A2485:$A$5870,1,FALSE),0)&lt;&gt;0,1,0)</f>
        <v>0</v>
      </c>
      <c r="V2484" s="6" t="str">
        <f>IF(BBDD_Usiarios_Netflix[[#This Row],[Duración Plan]]="12 Meses",LEFT(BBDD_Usiarios_Netflix[[#This Row],[Duración Plan]],2),LEFT(BBDD_Usiarios_Netflix[[#This Row],[Duración Plan]],1))</f>
        <v>1</v>
      </c>
      <c r="W248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5" spans="1:23" x14ac:dyDescent="0.25">
      <c r="A2485">
        <v>2484</v>
      </c>
      <c r="B2485" t="s">
        <v>32</v>
      </c>
      <c r="C2485">
        <v>12</v>
      </c>
      <c r="D2485" s="3">
        <v>29</v>
      </c>
      <c r="E2485" s="3">
        <v>7</v>
      </c>
      <c r="F2485">
        <v>23</v>
      </c>
      <c r="G2485" s="1">
        <f>DATEVALUE(_xlfn.CONCAT(BBDD_Usiarios_Netflix[[#This Row],[Día Suscripción]],"/",BBDD_Usiarios_Netflix[[#This Row],[Mes Suscripción]],"/",BBDD_Usiarios_Netflix[[#This Row],[Año Suscripción]]))</f>
        <v>45136</v>
      </c>
      <c r="H2485" s="1">
        <v>13</v>
      </c>
      <c r="I2485" s="1">
        <v>7</v>
      </c>
      <c r="J2485" s="1">
        <v>24</v>
      </c>
      <c r="K2485" s="1" t="str">
        <f>TEXT(BBDD_Usiarios_Netflix[[#This Row],[Fecha Suscripción]],"dddd")</f>
        <v>sábado</v>
      </c>
      <c r="L2485" s="1">
        <f>DATEVALUE(_xlfn.CONCAT(BBDD_Usiarios_Netflix[[#This Row],[Día Último Pago]],"/",BBDD_Usiarios_Netflix[[#This Row],[Mes Último Pago]],"/",BBDD_Usiarios_Netflix[[#This Row],[Año Último Pago]]))</f>
        <v>45486</v>
      </c>
      <c r="M2485" s="4">
        <f>DATEDIF(BBDD_Usiarios_Netflix[[#This Row],[Fecha Suscripción]],BBDD_Usiarios_Netflix[[#This Row],[Fecha Último Pago]],"M")+1</f>
        <v>12</v>
      </c>
      <c r="N2485" s="4">
        <f>BBDD_Usiarios_Netflix[[#This Row],[Ingresos Mensuales]]*BBDD_Usiarios_Netflix[[#This Row],[Meses contratados]]</f>
        <v>144</v>
      </c>
      <c r="O2485" t="s">
        <v>24</v>
      </c>
      <c r="P2485" t="str">
        <f>IF(BBDD_Usiarios_Netflix[[#This Row],[País]]="","Desconocido",BBDD_Usiarios_Netflix[[#This Row],[País]])</f>
        <v>Australia</v>
      </c>
      <c r="Q2485">
        <v>50</v>
      </c>
      <c r="R2485" t="s">
        <v>30</v>
      </c>
      <c r="S2485" t="s">
        <v>34</v>
      </c>
      <c r="T2485" t="s">
        <v>38</v>
      </c>
      <c r="U2485">
        <f>IF(IFERROR(VLOOKUP(BBDD_Usiarios_Netflix[[#This Row],[Identificador Usuario]],A2486:$A$5870,1,FALSE),0)&lt;&gt;0,1,0)</f>
        <v>0</v>
      </c>
      <c r="V2485" s="6" t="str">
        <f>IF(BBDD_Usiarios_Netflix[[#This Row],[Duración Plan]]="12 Meses",LEFT(BBDD_Usiarios_Netflix[[#This Row],[Duración Plan]],2),LEFT(BBDD_Usiarios_Netflix[[#This Row],[Duración Plan]],1))</f>
        <v>3</v>
      </c>
      <c r="W248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86" spans="1:23" x14ac:dyDescent="0.25">
      <c r="A2486">
        <v>2485</v>
      </c>
      <c r="B2486" t="s">
        <v>28</v>
      </c>
      <c r="C2486">
        <v>14</v>
      </c>
      <c r="D2486" s="3">
        <v>25</v>
      </c>
      <c r="E2486" s="3">
        <v>7</v>
      </c>
      <c r="F2486">
        <v>23</v>
      </c>
      <c r="G2486" s="1">
        <f>DATEVALUE(_xlfn.CONCAT(BBDD_Usiarios_Netflix[[#This Row],[Día Suscripción]],"/",BBDD_Usiarios_Netflix[[#This Row],[Mes Suscripción]],"/",BBDD_Usiarios_Netflix[[#This Row],[Año Suscripción]]))</f>
        <v>45132</v>
      </c>
      <c r="H2486" s="1">
        <v>12</v>
      </c>
      <c r="I2486" s="1">
        <v>7</v>
      </c>
      <c r="J2486" s="1">
        <v>24</v>
      </c>
      <c r="K2486" s="1" t="str">
        <f>TEXT(BBDD_Usiarios_Netflix[[#This Row],[Fecha Suscripción]],"dddd")</f>
        <v>martes</v>
      </c>
      <c r="L2486" s="1">
        <f>DATEVALUE(_xlfn.CONCAT(BBDD_Usiarios_Netflix[[#This Row],[Día Último Pago]],"/",BBDD_Usiarios_Netflix[[#This Row],[Mes Último Pago]],"/",BBDD_Usiarios_Netflix[[#This Row],[Año Último Pago]]))</f>
        <v>45485</v>
      </c>
      <c r="M2486" s="4">
        <f>DATEDIF(BBDD_Usiarios_Netflix[[#This Row],[Fecha Suscripción]],BBDD_Usiarios_Netflix[[#This Row],[Fecha Último Pago]],"M")+1</f>
        <v>12</v>
      </c>
      <c r="N2486" s="4">
        <f>BBDD_Usiarios_Netflix[[#This Row],[Ingresos Mensuales]]*BBDD_Usiarios_Netflix[[#This Row],[Meses contratados]]</f>
        <v>168</v>
      </c>
      <c r="O2486" t="s">
        <v>39</v>
      </c>
      <c r="P2486" t="str">
        <f>IF(BBDD_Usiarios_Netflix[[#This Row],[País]]="","Desconocido",BBDD_Usiarios_Netflix[[#This Row],[País]])</f>
        <v>Canadá</v>
      </c>
      <c r="Q2486">
        <v>47</v>
      </c>
      <c r="R2486" t="s">
        <v>30</v>
      </c>
      <c r="S2486" t="s">
        <v>31</v>
      </c>
      <c r="T2486" t="s">
        <v>27</v>
      </c>
      <c r="U2486">
        <f>IF(IFERROR(VLOOKUP(BBDD_Usiarios_Netflix[[#This Row],[Identificador Usuario]],A2487:$A$5870,1,FALSE),0)&lt;&gt;0,1,0)</f>
        <v>0</v>
      </c>
      <c r="V2486" s="6" t="str">
        <f>IF(BBDD_Usiarios_Netflix[[#This Row],[Duración Plan]]="12 Meses",LEFT(BBDD_Usiarios_Netflix[[#This Row],[Duración Plan]],2),LEFT(BBDD_Usiarios_Netflix[[#This Row],[Duración Plan]],1))</f>
        <v>1</v>
      </c>
      <c r="W248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7" spans="1:23" x14ac:dyDescent="0.25">
      <c r="A2487">
        <v>2486</v>
      </c>
      <c r="B2487" t="s">
        <v>23</v>
      </c>
      <c r="C2487">
        <v>10</v>
      </c>
      <c r="D2487" s="3">
        <v>25</v>
      </c>
      <c r="E2487" s="3">
        <v>7</v>
      </c>
      <c r="F2487">
        <v>23</v>
      </c>
      <c r="G2487" s="1">
        <f>DATEVALUE(_xlfn.CONCAT(BBDD_Usiarios_Netflix[[#This Row],[Día Suscripción]],"/",BBDD_Usiarios_Netflix[[#This Row],[Mes Suscripción]],"/",BBDD_Usiarios_Netflix[[#This Row],[Año Suscripción]]))</f>
        <v>45132</v>
      </c>
      <c r="H2487" s="1">
        <v>14</v>
      </c>
      <c r="I2487" s="1">
        <v>7</v>
      </c>
      <c r="J2487" s="1">
        <v>24</v>
      </c>
      <c r="K2487" s="1" t="str">
        <f>TEXT(BBDD_Usiarios_Netflix[[#This Row],[Fecha Suscripción]],"dddd")</f>
        <v>martes</v>
      </c>
      <c r="L2487" s="1">
        <f>DATEVALUE(_xlfn.CONCAT(BBDD_Usiarios_Netflix[[#This Row],[Día Último Pago]],"/",BBDD_Usiarios_Netflix[[#This Row],[Mes Último Pago]],"/",BBDD_Usiarios_Netflix[[#This Row],[Año Último Pago]]))</f>
        <v>45487</v>
      </c>
      <c r="M2487" s="4">
        <f>DATEDIF(BBDD_Usiarios_Netflix[[#This Row],[Fecha Suscripción]],BBDD_Usiarios_Netflix[[#This Row],[Fecha Último Pago]],"M")+1</f>
        <v>12</v>
      </c>
      <c r="N2487" s="4">
        <f>BBDD_Usiarios_Netflix[[#This Row],[Ingresos Mensuales]]*BBDD_Usiarios_Netflix[[#This Row],[Meses contratados]]</f>
        <v>120</v>
      </c>
      <c r="O2487" t="s">
        <v>40</v>
      </c>
      <c r="P2487" t="str">
        <f>IF(BBDD_Usiarios_Netflix[[#This Row],[País]]="","Desconocido",BBDD_Usiarios_Netflix[[#This Row],[País]])</f>
        <v>Italia</v>
      </c>
      <c r="Q2487">
        <v>40</v>
      </c>
      <c r="R2487" t="s">
        <v>30</v>
      </c>
      <c r="S2487" t="s">
        <v>26</v>
      </c>
      <c r="T2487" t="s">
        <v>38</v>
      </c>
      <c r="U2487">
        <f>IF(IFERROR(VLOOKUP(BBDD_Usiarios_Netflix[[#This Row],[Identificador Usuario]],A2488:$A$5870,1,FALSE),0)&lt;&gt;0,1,0)</f>
        <v>0</v>
      </c>
      <c r="V2487" s="6" t="str">
        <f>IF(BBDD_Usiarios_Netflix[[#This Row],[Duración Plan]]="12 Meses",LEFT(BBDD_Usiarios_Netflix[[#This Row],[Duración Plan]],2),LEFT(BBDD_Usiarios_Netflix[[#This Row],[Duración Plan]],1))</f>
        <v>3</v>
      </c>
      <c r="W248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88" spans="1:23" x14ac:dyDescent="0.25">
      <c r="A2488">
        <v>2487</v>
      </c>
      <c r="B2488" t="s">
        <v>28</v>
      </c>
      <c r="C2488">
        <v>14</v>
      </c>
      <c r="D2488" s="3">
        <v>25</v>
      </c>
      <c r="E2488" s="3">
        <v>7</v>
      </c>
      <c r="F2488">
        <v>23</v>
      </c>
      <c r="G2488" s="1">
        <f>DATEVALUE(_xlfn.CONCAT(BBDD_Usiarios_Netflix[[#This Row],[Día Suscripción]],"/",BBDD_Usiarios_Netflix[[#This Row],[Mes Suscripción]],"/",BBDD_Usiarios_Netflix[[#This Row],[Año Suscripción]]))</f>
        <v>45132</v>
      </c>
      <c r="H2488" s="1">
        <v>12</v>
      </c>
      <c r="I2488" s="1">
        <v>7</v>
      </c>
      <c r="J2488" s="1">
        <v>24</v>
      </c>
      <c r="K2488" s="1" t="str">
        <f>TEXT(BBDD_Usiarios_Netflix[[#This Row],[Fecha Suscripción]],"dddd")</f>
        <v>martes</v>
      </c>
      <c r="L2488" s="1">
        <f>DATEVALUE(_xlfn.CONCAT(BBDD_Usiarios_Netflix[[#This Row],[Día Último Pago]],"/",BBDD_Usiarios_Netflix[[#This Row],[Mes Último Pago]],"/",BBDD_Usiarios_Netflix[[#This Row],[Año Último Pago]]))</f>
        <v>45485</v>
      </c>
      <c r="M2488" s="4">
        <f>DATEDIF(BBDD_Usiarios_Netflix[[#This Row],[Fecha Suscripción]],BBDD_Usiarios_Netflix[[#This Row],[Fecha Último Pago]],"M")+1</f>
        <v>12</v>
      </c>
      <c r="N2488" s="4">
        <f>BBDD_Usiarios_Netflix[[#This Row],[Ingresos Mensuales]]*BBDD_Usiarios_Netflix[[#This Row],[Meses contratados]]</f>
        <v>168</v>
      </c>
      <c r="O2488" t="s">
        <v>39</v>
      </c>
      <c r="P2488" t="str">
        <f>IF(BBDD_Usiarios_Netflix[[#This Row],[País]]="","Desconocido",BBDD_Usiarios_Netflix[[#This Row],[País]])</f>
        <v>Canadá</v>
      </c>
      <c r="Q2488">
        <v>35</v>
      </c>
      <c r="R2488" t="s">
        <v>25</v>
      </c>
      <c r="S2488" t="s">
        <v>34</v>
      </c>
      <c r="T2488" t="s">
        <v>27</v>
      </c>
      <c r="U2488">
        <f>IF(IFERROR(VLOOKUP(BBDD_Usiarios_Netflix[[#This Row],[Identificador Usuario]],A2489:$A$5870,1,FALSE),0)&lt;&gt;0,1,0)</f>
        <v>0</v>
      </c>
      <c r="V2488" s="6" t="str">
        <f>IF(BBDD_Usiarios_Netflix[[#This Row],[Duración Plan]]="12 Meses",LEFT(BBDD_Usiarios_Netflix[[#This Row],[Duración Plan]],2),LEFT(BBDD_Usiarios_Netflix[[#This Row],[Duración Plan]],1))</f>
        <v>1</v>
      </c>
      <c r="W248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89" spans="1:23" x14ac:dyDescent="0.25">
      <c r="A2489">
        <v>2488</v>
      </c>
      <c r="B2489" t="s">
        <v>32</v>
      </c>
      <c r="C2489">
        <v>12</v>
      </c>
      <c r="D2489" s="3">
        <v>18</v>
      </c>
      <c r="E2489" s="3">
        <v>7</v>
      </c>
      <c r="F2489">
        <v>23</v>
      </c>
      <c r="G2489" s="1">
        <f>DATEVALUE(_xlfn.CONCAT(BBDD_Usiarios_Netflix[[#This Row],[Día Suscripción]],"/",BBDD_Usiarios_Netflix[[#This Row],[Mes Suscripción]],"/",BBDD_Usiarios_Netflix[[#This Row],[Año Suscripción]]))</f>
        <v>45125</v>
      </c>
      <c r="H2489" s="1">
        <v>13</v>
      </c>
      <c r="I2489" s="1">
        <v>7</v>
      </c>
      <c r="J2489" s="1">
        <v>24</v>
      </c>
      <c r="K2489" s="1" t="str">
        <f>TEXT(BBDD_Usiarios_Netflix[[#This Row],[Fecha Suscripción]],"dddd")</f>
        <v>martes</v>
      </c>
      <c r="L2489" s="1">
        <f>DATEVALUE(_xlfn.CONCAT(BBDD_Usiarios_Netflix[[#This Row],[Día Último Pago]],"/",BBDD_Usiarios_Netflix[[#This Row],[Mes Último Pago]],"/",BBDD_Usiarios_Netflix[[#This Row],[Año Último Pago]]))</f>
        <v>45486</v>
      </c>
      <c r="M2489" s="4">
        <f>DATEDIF(BBDD_Usiarios_Netflix[[#This Row],[Fecha Suscripción]],BBDD_Usiarios_Netflix[[#This Row],[Fecha Último Pago]],"M")+1</f>
        <v>12</v>
      </c>
      <c r="N2489" s="4">
        <f>BBDD_Usiarios_Netflix[[#This Row],[Ingresos Mensuales]]*BBDD_Usiarios_Netflix[[#This Row],[Meses contratados]]</f>
        <v>144</v>
      </c>
      <c r="O2489" t="s">
        <v>29</v>
      </c>
      <c r="P2489" t="str">
        <f>IF(BBDD_Usiarios_Netflix[[#This Row],[País]]="","Desconocido",BBDD_Usiarios_Netflix[[#This Row],[País]])</f>
        <v>EEUU</v>
      </c>
      <c r="Q2489">
        <v>29</v>
      </c>
      <c r="R2489" t="s">
        <v>30</v>
      </c>
      <c r="S2489" t="s">
        <v>26</v>
      </c>
      <c r="T2489" t="s">
        <v>38</v>
      </c>
      <c r="U2489">
        <f>IF(IFERROR(VLOOKUP(BBDD_Usiarios_Netflix[[#This Row],[Identificador Usuario]],A2490:$A$5870,1,FALSE),0)&lt;&gt;0,1,0)</f>
        <v>0</v>
      </c>
      <c r="V2489" s="6" t="str">
        <f>IF(BBDD_Usiarios_Netflix[[#This Row],[Duración Plan]]="12 Meses",LEFT(BBDD_Usiarios_Netflix[[#This Row],[Duración Plan]],2),LEFT(BBDD_Usiarios_Netflix[[#This Row],[Duración Plan]],1))</f>
        <v>3</v>
      </c>
      <c r="W248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90" spans="1:23" x14ac:dyDescent="0.25">
      <c r="A2490">
        <v>2489</v>
      </c>
      <c r="B2490" t="s">
        <v>23</v>
      </c>
      <c r="C2490">
        <v>10</v>
      </c>
      <c r="D2490" s="3">
        <v>17</v>
      </c>
      <c r="E2490" s="3">
        <v>7</v>
      </c>
      <c r="F2490">
        <v>23</v>
      </c>
      <c r="G2490" s="1">
        <f>DATEVALUE(_xlfn.CONCAT(BBDD_Usiarios_Netflix[[#This Row],[Día Suscripción]],"/",BBDD_Usiarios_Netflix[[#This Row],[Mes Suscripción]],"/",BBDD_Usiarios_Netflix[[#This Row],[Año Suscripción]]))</f>
        <v>45124</v>
      </c>
      <c r="H2490" s="1">
        <v>12</v>
      </c>
      <c r="I2490" s="1">
        <v>7</v>
      </c>
      <c r="J2490" s="1">
        <v>24</v>
      </c>
      <c r="K2490" s="1" t="str">
        <f>TEXT(BBDD_Usiarios_Netflix[[#This Row],[Fecha Suscripción]],"dddd")</f>
        <v>lunes</v>
      </c>
      <c r="L2490" s="1">
        <f>DATEVALUE(_xlfn.CONCAT(BBDD_Usiarios_Netflix[[#This Row],[Día Último Pago]],"/",BBDD_Usiarios_Netflix[[#This Row],[Mes Último Pago]],"/",BBDD_Usiarios_Netflix[[#This Row],[Año Último Pago]]))</f>
        <v>45485</v>
      </c>
      <c r="M2490" s="4">
        <f>DATEDIF(BBDD_Usiarios_Netflix[[#This Row],[Fecha Suscripción]],BBDD_Usiarios_Netflix[[#This Row],[Fecha Último Pago]],"M")+1</f>
        <v>12</v>
      </c>
      <c r="N2490" s="4">
        <f>BBDD_Usiarios_Netflix[[#This Row],[Ingresos Mensuales]]*BBDD_Usiarios_Netflix[[#This Row],[Meses contratados]]</f>
        <v>120</v>
      </c>
      <c r="O2490" t="s">
        <v>29</v>
      </c>
      <c r="P2490" t="str">
        <f>IF(BBDD_Usiarios_Netflix[[#This Row],[País]]="","Desconocido",BBDD_Usiarios_Netflix[[#This Row],[País]])</f>
        <v>EEUU</v>
      </c>
      <c r="Q2490">
        <v>48</v>
      </c>
      <c r="R2490" t="s">
        <v>30</v>
      </c>
      <c r="S2490" t="s">
        <v>26</v>
      </c>
      <c r="T2490" t="s">
        <v>35</v>
      </c>
      <c r="U2490">
        <f>IF(IFERROR(VLOOKUP(BBDD_Usiarios_Netflix[[#This Row],[Identificador Usuario]],A2491:$A$5870,1,FALSE),0)&lt;&gt;0,1,0)</f>
        <v>0</v>
      </c>
      <c r="V2490" s="6" t="str">
        <f>IF(BBDD_Usiarios_Netflix[[#This Row],[Duración Plan]]="12 Meses",LEFT(BBDD_Usiarios_Netflix[[#This Row],[Duración Plan]],2),LEFT(BBDD_Usiarios_Netflix[[#This Row],[Duración Plan]],1))</f>
        <v>6</v>
      </c>
      <c r="W249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91" spans="1:23" x14ac:dyDescent="0.25">
      <c r="A2491">
        <v>2490</v>
      </c>
      <c r="B2491" t="s">
        <v>32</v>
      </c>
      <c r="C2491">
        <v>12</v>
      </c>
      <c r="D2491" s="3">
        <v>17</v>
      </c>
      <c r="E2491" s="3">
        <v>7</v>
      </c>
      <c r="F2491">
        <v>23</v>
      </c>
      <c r="G2491" s="1">
        <f>DATEVALUE(_xlfn.CONCAT(BBDD_Usiarios_Netflix[[#This Row],[Día Suscripción]],"/",BBDD_Usiarios_Netflix[[#This Row],[Mes Suscripción]],"/",BBDD_Usiarios_Netflix[[#This Row],[Año Suscripción]]))</f>
        <v>45124</v>
      </c>
      <c r="H2491" s="1">
        <v>15</v>
      </c>
      <c r="I2491" s="1">
        <v>7</v>
      </c>
      <c r="J2491" s="1">
        <v>24</v>
      </c>
      <c r="K2491" s="1" t="str">
        <f>TEXT(BBDD_Usiarios_Netflix[[#This Row],[Fecha Suscripción]],"dddd")</f>
        <v>lunes</v>
      </c>
      <c r="L2491" s="1">
        <f>DATEVALUE(_xlfn.CONCAT(BBDD_Usiarios_Netflix[[#This Row],[Día Último Pago]],"/",BBDD_Usiarios_Netflix[[#This Row],[Mes Último Pago]],"/",BBDD_Usiarios_Netflix[[#This Row],[Año Último Pago]]))</f>
        <v>45488</v>
      </c>
      <c r="M2491" s="4">
        <f>DATEDIF(BBDD_Usiarios_Netflix[[#This Row],[Fecha Suscripción]],BBDD_Usiarios_Netflix[[#This Row],[Fecha Último Pago]],"M")+1</f>
        <v>12</v>
      </c>
      <c r="N2491" s="4">
        <f>BBDD_Usiarios_Netflix[[#This Row],[Ingresos Mensuales]]*BBDD_Usiarios_Netflix[[#This Row],[Meses contratados]]</f>
        <v>144</v>
      </c>
      <c r="O2491" t="s">
        <v>42</v>
      </c>
      <c r="P2491" t="str">
        <f>IF(BBDD_Usiarios_Netflix[[#This Row],[País]]="","Desconocido",BBDD_Usiarios_Netflix[[#This Row],[País]])</f>
        <v>Reino Unido</v>
      </c>
      <c r="Q2491">
        <v>35</v>
      </c>
      <c r="R2491" t="s">
        <v>25</v>
      </c>
      <c r="S2491" t="s">
        <v>34</v>
      </c>
      <c r="T2491" t="s">
        <v>35</v>
      </c>
      <c r="U2491">
        <f>IF(IFERROR(VLOOKUP(BBDD_Usiarios_Netflix[[#This Row],[Identificador Usuario]],A2492:$A$5870,1,FALSE),0)&lt;&gt;0,1,0)</f>
        <v>0</v>
      </c>
      <c r="V2491" s="6" t="str">
        <f>IF(BBDD_Usiarios_Netflix[[#This Row],[Duración Plan]]="12 Meses",LEFT(BBDD_Usiarios_Netflix[[#This Row],[Duración Plan]],2),LEFT(BBDD_Usiarios_Netflix[[#This Row],[Duración Plan]],1))</f>
        <v>6</v>
      </c>
      <c r="W249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492" spans="1:23" x14ac:dyDescent="0.25">
      <c r="A2492">
        <v>2491</v>
      </c>
      <c r="B2492" t="s">
        <v>28</v>
      </c>
      <c r="C2492">
        <v>14</v>
      </c>
      <c r="D2492" s="3">
        <v>18</v>
      </c>
      <c r="E2492" s="3">
        <v>7</v>
      </c>
      <c r="F2492">
        <v>23</v>
      </c>
      <c r="G2492" s="1">
        <f>DATEVALUE(_xlfn.CONCAT(BBDD_Usiarios_Netflix[[#This Row],[Día Suscripción]],"/",BBDD_Usiarios_Netflix[[#This Row],[Mes Suscripción]],"/",BBDD_Usiarios_Netflix[[#This Row],[Año Suscripción]]))</f>
        <v>45125</v>
      </c>
      <c r="H2492" s="1">
        <v>11</v>
      </c>
      <c r="I2492" s="1">
        <v>7</v>
      </c>
      <c r="J2492" s="1">
        <v>24</v>
      </c>
      <c r="K2492" s="1" t="str">
        <f>TEXT(BBDD_Usiarios_Netflix[[#This Row],[Fecha Suscripción]],"dddd")</f>
        <v>martes</v>
      </c>
      <c r="L2492" s="1">
        <f>DATEVALUE(_xlfn.CONCAT(BBDD_Usiarios_Netflix[[#This Row],[Día Último Pago]],"/",BBDD_Usiarios_Netflix[[#This Row],[Mes Último Pago]],"/",BBDD_Usiarios_Netflix[[#This Row],[Año Último Pago]]))</f>
        <v>45484</v>
      </c>
      <c r="M2492" s="4">
        <f>DATEDIF(BBDD_Usiarios_Netflix[[#This Row],[Fecha Suscripción]],BBDD_Usiarios_Netflix[[#This Row],[Fecha Último Pago]],"M")+1</f>
        <v>12</v>
      </c>
      <c r="N2492" s="4">
        <f>BBDD_Usiarios_Netflix[[#This Row],[Ingresos Mensuales]]*BBDD_Usiarios_Netflix[[#This Row],[Meses contratados]]</f>
        <v>168</v>
      </c>
      <c r="O2492" t="s">
        <v>43</v>
      </c>
      <c r="P2492" t="str">
        <f>IF(BBDD_Usiarios_Netflix[[#This Row],[País]]="","Desconocido",BBDD_Usiarios_Netflix[[#This Row],[País]])</f>
        <v>Alemania</v>
      </c>
      <c r="Q2492">
        <v>41</v>
      </c>
      <c r="R2492" t="s">
        <v>30</v>
      </c>
      <c r="S2492" t="s">
        <v>26</v>
      </c>
      <c r="T2492" t="s">
        <v>38</v>
      </c>
      <c r="U2492">
        <f>IF(IFERROR(VLOOKUP(BBDD_Usiarios_Netflix[[#This Row],[Identificador Usuario]],A2493:$A$5870,1,FALSE),0)&lt;&gt;0,1,0)</f>
        <v>0</v>
      </c>
      <c r="V2492" s="6" t="str">
        <f>IF(BBDD_Usiarios_Netflix[[#This Row],[Duración Plan]]="12 Meses",LEFT(BBDD_Usiarios_Netflix[[#This Row],[Duración Plan]],2),LEFT(BBDD_Usiarios_Netflix[[#This Row],[Duración Plan]],1))</f>
        <v>3</v>
      </c>
      <c r="W2492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93" spans="1:23" x14ac:dyDescent="0.25">
      <c r="A2493">
        <v>2492</v>
      </c>
      <c r="B2493" t="s">
        <v>23</v>
      </c>
      <c r="C2493">
        <v>10</v>
      </c>
      <c r="D2493" s="3">
        <v>19</v>
      </c>
      <c r="E2493" s="3">
        <v>7</v>
      </c>
      <c r="F2493">
        <v>23</v>
      </c>
      <c r="G2493" s="1">
        <f>DATEVALUE(_xlfn.CONCAT(BBDD_Usiarios_Netflix[[#This Row],[Día Suscripción]],"/",BBDD_Usiarios_Netflix[[#This Row],[Mes Suscripción]],"/",BBDD_Usiarios_Netflix[[#This Row],[Año Suscripción]]))</f>
        <v>45126</v>
      </c>
      <c r="H2493" s="1">
        <v>12</v>
      </c>
      <c r="I2493" s="1">
        <v>7</v>
      </c>
      <c r="J2493" s="1">
        <v>24</v>
      </c>
      <c r="K2493" s="1" t="str">
        <f>TEXT(BBDD_Usiarios_Netflix[[#This Row],[Fecha Suscripción]],"dddd")</f>
        <v>miércoles</v>
      </c>
      <c r="L2493" s="1">
        <f>DATEVALUE(_xlfn.CONCAT(BBDD_Usiarios_Netflix[[#This Row],[Día Último Pago]],"/",BBDD_Usiarios_Netflix[[#This Row],[Mes Último Pago]],"/",BBDD_Usiarios_Netflix[[#This Row],[Año Último Pago]]))</f>
        <v>45485</v>
      </c>
      <c r="M2493" s="4">
        <f>DATEDIF(BBDD_Usiarios_Netflix[[#This Row],[Fecha Suscripción]],BBDD_Usiarios_Netflix[[#This Row],[Fecha Último Pago]],"M")+1</f>
        <v>12</v>
      </c>
      <c r="N2493" s="4">
        <f>BBDD_Usiarios_Netflix[[#This Row],[Ingresos Mensuales]]*BBDD_Usiarios_Netflix[[#This Row],[Meses contratados]]</f>
        <v>120</v>
      </c>
      <c r="O2493" t="s">
        <v>24</v>
      </c>
      <c r="P2493" t="str">
        <f>IF(BBDD_Usiarios_Netflix[[#This Row],[País]]="","Desconocido",BBDD_Usiarios_Netflix[[#This Row],[País]])</f>
        <v>Australia</v>
      </c>
      <c r="Q2493">
        <v>29</v>
      </c>
      <c r="R2493" t="s">
        <v>30</v>
      </c>
      <c r="S2493" t="s">
        <v>36</v>
      </c>
      <c r="T2493" t="s">
        <v>27</v>
      </c>
      <c r="U2493">
        <f>IF(IFERROR(VLOOKUP(BBDD_Usiarios_Netflix[[#This Row],[Identificador Usuario]],A2494:$A$5870,1,FALSE),0)&lt;&gt;0,1,0)</f>
        <v>0</v>
      </c>
      <c r="V2493" s="6" t="str">
        <f>IF(BBDD_Usiarios_Netflix[[#This Row],[Duración Plan]]="12 Meses",LEFT(BBDD_Usiarios_Netflix[[#This Row],[Duración Plan]],2),LEFT(BBDD_Usiarios_Netflix[[#This Row],[Duración Plan]],1))</f>
        <v>1</v>
      </c>
      <c r="W2493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94" spans="1:23" x14ac:dyDescent="0.25">
      <c r="A2494">
        <v>2493</v>
      </c>
      <c r="B2494" t="s">
        <v>32</v>
      </c>
      <c r="C2494">
        <v>12</v>
      </c>
      <c r="D2494" s="3">
        <v>20</v>
      </c>
      <c r="E2494" s="3">
        <v>7</v>
      </c>
      <c r="F2494">
        <v>23</v>
      </c>
      <c r="G2494" s="1">
        <f>DATEVALUE(_xlfn.CONCAT(BBDD_Usiarios_Netflix[[#This Row],[Día Suscripción]],"/",BBDD_Usiarios_Netflix[[#This Row],[Mes Suscripción]],"/",BBDD_Usiarios_Netflix[[#This Row],[Año Suscripción]]))</f>
        <v>45127</v>
      </c>
      <c r="H2494" s="1">
        <v>11</v>
      </c>
      <c r="I2494" s="1">
        <v>7</v>
      </c>
      <c r="J2494" s="1">
        <v>24</v>
      </c>
      <c r="K2494" s="1" t="str">
        <f>TEXT(BBDD_Usiarios_Netflix[[#This Row],[Fecha Suscripción]],"dddd")</f>
        <v>jueves</v>
      </c>
      <c r="L2494" s="1">
        <f>DATEVALUE(_xlfn.CONCAT(BBDD_Usiarios_Netflix[[#This Row],[Día Último Pago]],"/",BBDD_Usiarios_Netflix[[#This Row],[Mes Último Pago]],"/",BBDD_Usiarios_Netflix[[#This Row],[Año Último Pago]]))</f>
        <v>45484</v>
      </c>
      <c r="M2494" s="4">
        <f>DATEDIF(BBDD_Usiarios_Netflix[[#This Row],[Fecha Suscripción]],BBDD_Usiarios_Netflix[[#This Row],[Fecha Último Pago]],"M")+1</f>
        <v>12</v>
      </c>
      <c r="N2494" s="4">
        <f>BBDD_Usiarios_Netflix[[#This Row],[Ingresos Mensuales]]*BBDD_Usiarios_Netflix[[#This Row],[Meses contratados]]</f>
        <v>144</v>
      </c>
      <c r="O2494" t="s">
        <v>45</v>
      </c>
      <c r="P2494" t="str">
        <f>IF(BBDD_Usiarios_Netflix[[#This Row],[País]]="","Desconocido",BBDD_Usiarios_Netflix[[#This Row],[País]])</f>
        <v>España</v>
      </c>
      <c r="Q2494">
        <v>33</v>
      </c>
      <c r="R2494" t="s">
        <v>25</v>
      </c>
      <c r="S2494" t="s">
        <v>34</v>
      </c>
      <c r="T2494" t="s">
        <v>27</v>
      </c>
      <c r="U2494">
        <f>IF(IFERROR(VLOOKUP(BBDD_Usiarios_Netflix[[#This Row],[Identificador Usuario]],A2495:$A$5870,1,FALSE),0)&lt;&gt;0,1,0)</f>
        <v>0</v>
      </c>
      <c r="V2494" s="6" t="str">
        <f>IF(BBDD_Usiarios_Netflix[[#This Row],[Duración Plan]]="12 Meses",LEFT(BBDD_Usiarios_Netflix[[#This Row],[Duración Plan]],2),LEFT(BBDD_Usiarios_Netflix[[#This Row],[Duración Plan]],1))</f>
        <v>1</v>
      </c>
      <c r="W2494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495" spans="1:23" x14ac:dyDescent="0.25">
      <c r="A2495">
        <v>2494</v>
      </c>
      <c r="B2495" t="s">
        <v>28</v>
      </c>
      <c r="C2495">
        <v>14</v>
      </c>
      <c r="D2495" s="3">
        <v>21</v>
      </c>
      <c r="E2495" s="3">
        <v>7</v>
      </c>
      <c r="F2495">
        <v>23</v>
      </c>
      <c r="G2495" s="1">
        <f>DATEVALUE(_xlfn.CONCAT(BBDD_Usiarios_Netflix[[#This Row],[Día Suscripción]],"/",BBDD_Usiarios_Netflix[[#This Row],[Mes Suscripción]],"/",BBDD_Usiarios_Netflix[[#This Row],[Año Suscripción]]))</f>
        <v>45128</v>
      </c>
      <c r="H2495" s="1">
        <v>15</v>
      </c>
      <c r="I2495" s="1">
        <v>7</v>
      </c>
      <c r="J2495" s="1">
        <v>24</v>
      </c>
      <c r="K2495" s="1" t="str">
        <f>TEXT(BBDD_Usiarios_Netflix[[#This Row],[Fecha Suscripción]],"dddd")</f>
        <v>viernes</v>
      </c>
      <c r="L2495" s="1">
        <f>DATEVALUE(_xlfn.CONCAT(BBDD_Usiarios_Netflix[[#This Row],[Día Último Pago]],"/",BBDD_Usiarios_Netflix[[#This Row],[Mes Último Pago]],"/",BBDD_Usiarios_Netflix[[#This Row],[Año Último Pago]]))</f>
        <v>45488</v>
      </c>
      <c r="M2495" s="4">
        <f>DATEDIF(BBDD_Usiarios_Netflix[[#This Row],[Fecha Suscripción]],BBDD_Usiarios_Netflix[[#This Row],[Fecha Último Pago]],"M")+1</f>
        <v>12</v>
      </c>
      <c r="N2495" s="4">
        <f>BBDD_Usiarios_Netflix[[#This Row],[Ingresos Mensuales]]*BBDD_Usiarios_Netflix[[#This Row],[Meses contratados]]</f>
        <v>168</v>
      </c>
      <c r="O2495" t="s">
        <v>42</v>
      </c>
      <c r="P2495" t="str">
        <f>IF(BBDD_Usiarios_Netflix[[#This Row],[País]]="","Desconocido",BBDD_Usiarios_Netflix[[#This Row],[País]])</f>
        <v>Reino Unido</v>
      </c>
      <c r="Q2495">
        <v>36</v>
      </c>
      <c r="R2495" t="s">
        <v>25</v>
      </c>
      <c r="S2495" t="s">
        <v>34</v>
      </c>
      <c r="T2495" t="s">
        <v>38</v>
      </c>
      <c r="U2495">
        <f>IF(IFERROR(VLOOKUP(BBDD_Usiarios_Netflix[[#This Row],[Identificador Usuario]],A2496:$A$5870,1,FALSE),0)&lt;&gt;0,1,0)</f>
        <v>0</v>
      </c>
      <c r="V2495" s="6" t="str">
        <f>IF(BBDD_Usiarios_Netflix[[#This Row],[Duración Plan]]="12 Meses",LEFT(BBDD_Usiarios_Netflix[[#This Row],[Duración Plan]],2),LEFT(BBDD_Usiarios_Netflix[[#This Row],[Duración Plan]],1))</f>
        <v>3</v>
      </c>
      <c r="W2495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96" spans="1:23" x14ac:dyDescent="0.25">
      <c r="A2496">
        <v>2495</v>
      </c>
      <c r="B2496" t="s">
        <v>23</v>
      </c>
      <c r="C2496">
        <v>10</v>
      </c>
      <c r="D2496" s="3">
        <v>23</v>
      </c>
      <c r="E2496" s="3">
        <v>7</v>
      </c>
      <c r="F2496">
        <v>23</v>
      </c>
      <c r="G2496" s="1">
        <f>DATEVALUE(_xlfn.CONCAT(BBDD_Usiarios_Netflix[[#This Row],[Día Suscripción]],"/",BBDD_Usiarios_Netflix[[#This Row],[Mes Suscripción]],"/",BBDD_Usiarios_Netflix[[#This Row],[Año Suscripción]]))</f>
        <v>45130</v>
      </c>
      <c r="H2496" s="1">
        <v>12</v>
      </c>
      <c r="I2496" s="1">
        <v>7</v>
      </c>
      <c r="J2496" s="1">
        <v>24</v>
      </c>
      <c r="K2496" s="1" t="str">
        <f>TEXT(BBDD_Usiarios_Netflix[[#This Row],[Fecha Suscripción]],"dddd")</f>
        <v>domingo</v>
      </c>
      <c r="L2496" s="1">
        <f>DATEVALUE(_xlfn.CONCAT(BBDD_Usiarios_Netflix[[#This Row],[Día Último Pago]],"/",BBDD_Usiarios_Netflix[[#This Row],[Mes Último Pago]],"/",BBDD_Usiarios_Netflix[[#This Row],[Año Último Pago]]))</f>
        <v>45485</v>
      </c>
      <c r="M2496" s="4">
        <f>DATEDIF(BBDD_Usiarios_Netflix[[#This Row],[Fecha Suscripción]],BBDD_Usiarios_Netflix[[#This Row],[Fecha Último Pago]],"M")+1</f>
        <v>12</v>
      </c>
      <c r="N2496" s="4">
        <f>BBDD_Usiarios_Netflix[[#This Row],[Ingresos Mensuales]]*BBDD_Usiarios_Netflix[[#This Row],[Meses contratados]]</f>
        <v>120</v>
      </c>
      <c r="O2496" t="s">
        <v>24</v>
      </c>
      <c r="P2496" t="str">
        <f>IF(BBDD_Usiarios_Netflix[[#This Row],[País]]="","Desconocido",BBDD_Usiarios_Netflix[[#This Row],[País]])</f>
        <v>Australia</v>
      </c>
      <c r="Q2496">
        <v>43</v>
      </c>
      <c r="R2496" t="s">
        <v>30</v>
      </c>
      <c r="S2496" t="s">
        <v>36</v>
      </c>
      <c r="T2496" t="s">
        <v>41</v>
      </c>
      <c r="U2496">
        <f>IF(IFERROR(VLOOKUP(BBDD_Usiarios_Netflix[[#This Row],[Identificador Usuario]],A2497:$A$5870,1,FALSE),0)&lt;&gt;0,1,0)</f>
        <v>0</v>
      </c>
      <c r="V2496" s="6" t="str">
        <f>IF(BBDD_Usiarios_Netflix[[#This Row],[Duración Plan]]="12 Meses",LEFT(BBDD_Usiarios_Netflix[[#This Row],[Duración Plan]],2),LEFT(BBDD_Usiarios_Netflix[[#This Row],[Duración Plan]],1))</f>
        <v>12</v>
      </c>
      <c r="W2496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97" spans="1:23" x14ac:dyDescent="0.25">
      <c r="A2497">
        <v>2496</v>
      </c>
      <c r="B2497" t="s">
        <v>28</v>
      </c>
      <c r="C2497">
        <v>14</v>
      </c>
      <c r="D2497" s="3">
        <v>25</v>
      </c>
      <c r="E2497" s="3">
        <v>7</v>
      </c>
      <c r="F2497">
        <v>23</v>
      </c>
      <c r="G2497" s="1">
        <f>DATEVALUE(_xlfn.CONCAT(BBDD_Usiarios_Netflix[[#This Row],[Día Suscripción]],"/",BBDD_Usiarios_Netflix[[#This Row],[Mes Suscripción]],"/",BBDD_Usiarios_Netflix[[#This Row],[Año Suscripción]]))</f>
        <v>45132</v>
      </c>
      <c r="H2497" s="1">
        <v>12</v>
      </c>
      <c r="I2497" s="1">
        <v>7</v>
      </c>
      <c r="J2497" s="1">
        <v>24</v>
      </c>
      <c r="K2497" s="1" t="str">
        <f>TEXT(BBDD_Usiarios_Netflix[[#This Row],[Fecha Suscripción]],"dddd")</f>
        <v>martes</v>
      </c>
      <c r="L2497" s="1">
        <f>DATEVALUE(_xlfn.CONCAT(BBDD_Usiarios_Netflix[[#This Row],[Día Último Pago]],"/",BBDD_Usiarios_Netflix[[#This Row],[Mes Último Pago]],"/",BBDD_Usiarios_Netflix[[#This Row],[Año Último Pago]]))</f>
        <v>45485</v>
      </c>
      <c r="M2497" s="4">
        <f>DATEDIF(BBDD_Usiarios_Netflix[[#This Row],[Fecha Suscripción]],BBDD_Usiarios_Netflix[[#This Row],[Fecha Último Pago]],"M")+1</f>
        <v>12</v>
      </c>
      <c r="N2497" s="4">
        <f>BBDD_Usiarios_Netflix[[#This Row],[Ingresos Mensuales]]*BBDD_Usiarios_Netflix[[#This Row],[Meses contratados]]</f>
        <v>168</v>
      </c>
      <c r="O2497" t="s">
        <v>29</v>
      </c>
      <c r="P2497" t="str">
        <f>IF(BBDD_Usiarios_Netflix[[#This Row],[País]]="","Desconocido",BBDD_Usiarios_Netflix[[#This Row],[País]])</f>
        <v>EEUU</v>
      </c>
      <c r="Q2497">
        <v>28</v>
      </c>
      <c r="R2497" t="s">
        <v>30</v>
      </c>
      <c r="S2497" t="s">
        <v>34</v>
      </c>
      <c r="T2497" t="s">
        <v>41</v>
      </c>
      <c r="U2497">
        <f>IF(IFERROR(VLOOKUP(BBDD_Usiarios_Netflix[[#This Row],[Identificador Usuario]],A2498:$A$5870,1,FALSE),0)&lt;&gt;0,1,0)</f>
        <v>0</v>
      </c>
      <c r="V2497" s="6" t="str">
        <f>IF(BBDD_Usiarios_Netflix[[#This Row],[Duración Plan]]="12 Meses",LEFT(BBDD_Usiarios_Netflix[[#This Row],[Duración Plan]],2),LEFT(BBDD_Usiarios_Netflix[[#This Row],[Duración Plan]],1))</f>
        <v>12</v>
      </c>
      <c r="W2497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Anual</v>
      </c>
    </row>
    <row r="2498" spans="1:23" x14ac:dyDescent="0.25">
      <c r="A2498">
        <v>2497</v>
      </c>
      <c r="B2498" t="s">
        <v>23</v>
      </c>
      <c r="C2498">
        <v>10</v>
      </c>
      <c r="D2498" s="3">
        <v>4</v>
      </c>
      <c r="E2498" s="3">
        <v>8</v>
      </c>
      <c r="F2498">
        <v>23</v>
      </c>
      <c r="G2498" s="1">
        <f>DATEVALUE(_xlfn.CONCAT(BBDD_Usiarios_Netflix[[#This Row],[Día Suscripción]],"/",BBDD_Usiarios_Netflix[[#This Row],[Mes Suscripción]],"/",BBDD_Usiarios_Netflix[[#This Row],[Año Suscripción]]))</f>
        <v>45142</v>
      </c>
      <c r="H2498" s="1">
        <v>14</v>
      </c>
      <c r="I2498" s="1">
        <v>7</v>
      </c>
      <c r="J2498" s="1">
        <v>24</v>
      </c>
      <c r="K2498" s="1" t="str">
        <f>TEXT(BBDD_Usiarios_Netflix[[#This Row],[Fecha Suscripción]],"dddd")</f>
        <v>viernes</v>
      </c>
      <c r="L2498" s="1">
        <f>DATEVALUE(_xlfn.CONCAT(BBDD_Usiarios_Netflix[[#This Row],[Día Último Pago]],"/",BBDD_Usiarios_Netflix[[#This Row],[Mes Último Pago]],"/",BBDD_Usiarios_Netflix[[#This Row],[Año Último Pago]]))</f>
        <v>45487</v>
      </c>
      <c r="M2498" s="4">
        <f>DATEDIF(BBDD_Usiarios_Netflix[[#This Row],[Fecha Suscripción]],BBDD_Usiarios_Netflix[[#This Row],[Fecha Último Pago]],"M")+1</f>
        <v>12</v>
      </c>
      <c r="N2498" s="4">
        <f>BBDD_Usiarios_Netflix[[#This Row],[Ingresos Mensuales]]*BBDD_Usiarios_Netflix[[#This Row],[Meses contratados]]</f>
        <v>120</v>
      </c>
      <c r="O2498" t="s">
        <v>40</v>
      </c>
      <c r="P2498" t="str">
        <f>IF(BBDD_Usiarios_Netflix[[#This Row],[País]]="","Desconocido",BBDD_Usiarios_Netflix[[#This Row],[País]])</f>
        <v>Italia</v>
      </c>
      <c r="Q2498">
        <v>33</v>
      </c>
      <c r="R2498" t="s">
        <v>30</v>
      </c>
      <c r="S2498" t="s">
        <v>34</v>
      </c>
      <c r="T2498" t="s">
        <v>38</v>
      </c>
      <c r="U2498">
        <f>IF(IFERROR(VLOOKUP(BBDD_Usiarios_Netflix[[#This Row],[Identificador Usuario]],A2499:$A$5870,1,FALSE),0)&lt;&gt;0,1,0)</f>
        <v>0</v>
      </c>
      <c r="V2498" s="6" t="str">
        <f>IF(BBDD_Usiarios_Netflix[[#This Row],[Duración Plan]]="12 Meses",LEFT(BBDD_Usiarios_Netflix[[#This Row],[Duración Plan]],2),LEFT(BBDD_Usiarios_Netflix[[#This Row],[Duración Plan]],1))</f>
        <v>3</v>
      </c>
      <c r="W2498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Trimestral</v>
      </c>
    </row>
    <row r="2499" spans="1:23" x14ac:dyDescent="0.25">
      <c r="A2499">
        <v>2498</v>
      </c>
      <c r="B2499" t="s">
        <v>32</v>
      </c>
      <c r="C2499">
        <v>12</v>
      </c>
      <c r="D2499" s="3">
        <v>9</v>
      </c>
      <c r="E2499" s="3">
        <v>8</v>
      </c>
      <c r="F2499">
        <v>23</v>
      </c>
      <c r="G2499" s="1">
        <f>DATEVALUE(_xlfn.CONCAT(BBDD_Usiarios_Netflix[[#This Row],[Día Suscripción]],"/",BBDD_Usiarios_Netflix[[#This Row],[Mes Suscripción]],"/",BBDD_Usiarios_Netflix[[#This Row],[Año Suscripción]]))</f>
        <v>45147</v>
      </c>
      <c r="H2499" s="1">
        <v>15</v>
      </c>
      <c r="I2499" s="1">
        <v>7</v>
      </c>
      <c r="J2499" s="1">
        <v>24</v>
      </c>
      <c r="K2499" s="1" t="str">
        <f>TEXT(BBDD_Usiarios_Netflix[[#This Row],[Fecha Suscripción]],"dddd")</f>
        <v>miércoles</v>
      </c>
      <c r="L2499" s="1">
        <f>DATEVALUE(_xlfn.CONCAT(BBDD_Usiarios_Netflix[[#This Row],[Día Último Pago]],"/",BBDD_Usiarios_Netflix[[#This Row],[Mes Último Pago]],"/",BBDD_Usiarios_Netflix[[#This Row],[Año Último Pago]]))</f>
        <v>45488</v>
      </c>
      <c r="M2499" s="4">
        <f>DATEDIF(BBDD_Usiarios_Netflix[[#This Row],[Fecha Suscripción]],BBDD_Usiarios_Netflix[[#This Row],[Fecha Último Pago]],"M")+1</f>
        <v>12</v>
      </c>
      <c r="N2499" s="4">
        <f>BBDD_Usiarios_Netflix[[#This Row],[Ingresos Mensuales]]*BBDD_Usiarios_Netflix[[#This Row],[Meses contratados]]</f>
        <v>144</v>
      </c>
      <c r="O2499" t="s">
        <v>44</v>
      </c>
      <c r="P2499" t="str">
        <f>IF(BBDD_Usiarios_Netflix[[#This Row],[País]]="","Desconocido",BBDD_Usiarios_Netflix[[#This Row],[País]])</f>
        <v>Desconocido</v>
      </c>
      <c r="Q2499">
        <v>38</v>
      </c>
      <c r="R2499" t="s">
        <v>25</v>
      </c>
      <c r="S2499" t="s">
        <v>36</v>
      </c>
      <c r="T2499" t="s">
        <v>27</v>
      </c>
      <c r="U2499">
        <f>IF(IFERROR(VLOOKUP(BBDD_Usiarios_Netflix[[#This Row],[Identificador Usuario]],A2500:$A$5870,1,FALSE),0)&lt;&gt;0,1,0)</f>
        <v>0</v>
      </c>
      <c r="V2499" s="6" t="str">
        <f>IF(BBDD_Usiarios_Netflix[[#This Row],[Duración Plan]]="12 Meses",LEFT(BBDD_Usiarios_Netflix[[#This Row],[Duración Plan]],2),LEFT(BBDD_Usiarios_Netflix[[#This Row],[Duración Plan]],1))</f>
        <v>1</v>
      </c>
      <c r="W2499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  <row r="2500" spans="1:23" x14ac:dyDescent="0.25">
      <c r="A2500">
        <v>2499</v>
      </c>
      <c r="B2500" t="s">
        <v>32</v>
      </c>
      <c r="C2500">
        <v>12</v>
      </c>
      <c r="D2500" s="3">
        <v>12</v>
      </c>
      <c r="E2500" s="3">
        <v>8</v>
      </c>
      <c r="F2500">
        <v>23</v>
      </c>
      <c r="G2500" s="1">
        <f>DATEVALUE(_xlfn.CONCAT(BBDD_Usiarios_Netflix[[#This Row],[Día Suscripción]],"/",BBDD_Usiarios_Netflix[[#This Row],[Mes Suscripción]],"/",BBDD_Usiarios_Netflix[[#This Row],[Año Suscripción]]))</f>
        <v>45150</v>
      </c>
      <c r="H2500" s="1">
        <v>12</v>
      </c>
      <c r="I2500" s="1">
        <v>7</v>
      </c>
      <c r="J2500" s="1">
        <v>24</v>
      </c>
      <c r="K2500" s="1" t="str">
        <f>TEXT(BBDD_Usiarios_Netflix[[#This Row],[Fecha Suscripción]],"dddd")</f>
        <v>sábado</v>
      </c>
      <c r="L2500" s="1">
        <f>DATEVALUE(_xlfn.CONCAT(BBDD_Usiarios_Netflix[[#This Row],[Día Último Pago]],"/",BBDD_Usiarios_Netflix[[#This Row],[Mes Último Pago]],"/",BBDD_Usiarios_Netflix[[#This Row],[Año Último Pago]]))</f>
        <v>45485</v>
      </c>
      <c r="M2500" s="4">
        <f>DATEDIF(BBDD_Usiarios_Netflix[[#This Row],[Fecha Suscripción]],BBDD_Usiarios_Netflix[[#This Row],[Fecha Último Pago]],"M")+1</f>
        <v>12</v>
      </c>
      <c r="N2500" s="4">
        <f>BBDD_Usiarios_Netflix[[#This Row],[Ingresos Mensuales]]*BBDD_Usiarios_Netflix[[#This Row],[Meses contratados]]</f>
        <v>144</v>
      </c>
      <c r="O2500" t="s">
        <v>43</v>
      </c>
      <c r="P2500" t="str">
        <f>IF(BBDD_Usiarios_Netflix[[#This Row],[País]]="","Desconocido",BBDD_Usiarios_Netflix[[#This Row],[País]])</f>
        <v>Alemania</v>
      </c>
      <c r="Q2500">
        <v>48</v>
      </c>
      <c r="R2500" t="s">
        <v>30</v>
      </c>
      <c r="S2500" t="s">
        <v>31</v>
      </c>
      <c r="T2500" t="s">
        <v>35</v>
      </c>
      <c r="U2500">
        <f>IF(IFERROR(VLOOKUP(BBDD_Usiarios_Netflix[[#This Row],[Identificador Usuario]],A2501:$A$5870,1,FALSE),0)&lt;&gt;0,1,0)</f>
        <v>0</v>
      </c>
      <c r="V2500" s="6" t="str">
        <f>IF(BBDD_Usiarios_Netflix[[#This Row],[Duración Plan]]="12 Meses",LEFT(BBDD_Usiarios_Netflix[[#This Row],[Duración Plan]],2),LEFT(BBDD_Usiarios_Netflix[[#This Row],[Duración Plan]],1))</f>
        <v>6</v>
      </c>
      <c r="W2500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Semestral</v>
      </c>
    </row>
    <row r="2501" spans="1:23" x14ac:dyDescent="0.25">
      <c r="A2501">
        <v>2500</v>
      </c>
      <c r="B2501" t="s">
        <v>23</v>
      </c>
      <c r="C2501">
        <v>10</v>
      </c>
      <c r="D2501" s="3">
        <v>13</v>
      </c>
      <c r="E2501" s="3">
        <v>8</v>
      </c>
      <c r="F2501">
        <v>23</v>
      </c>
      <c r="G2501" s="1">
        <f>DATEVALUE(_xlfn.CONCAT(BBDD_Usiarios_Netflix[[#This Row],[Día Suscripción]],"/",BBDD_Usiarios_Netflix[[#This Row],[Mes Suscripción]],"/",BBDD_Usiarios_Netflix[[#This Row],[Año Suscripción]]))</f>
        <v>45151</v>
      </c>
      <c r="H2501" s="1">
        <v>12</v>
      </c>
      <c r="I2501" s="1">
        <v>7</v>
      </c>
      <c r="J2501" s="1">
        <v>24</v>
      </c>
      <c r="K2501" s="1" t="str">
        <f>TEXT(BBDD_Usiarios_Netflix[[#This Row],[Fecha Suscripción]],"dddd")</f>
        <v>domingo</v>
      </c>
      <c r="L2501" s="1">
        <f>DATEVALUE(_xlfn.CONCAT(BBDD_Usiarios_Netflix[[#This Row],[Día Último Pago]],"/",BBDD_Usiarios_Netflix[[#This Row],[Mes Último Pago]],"/",BBDD_Usiarios_Netflix[[#This Row],[Año Último Pago]]))</f>
        <v>45485</v>
      </c>
      <c r="M2501" s="4">
        <f>DATEDIF(BBDD_Usiarios_Netflix[[#This Row],[Fecha Suscripción]],BBDD_Usiarios_Netflix[[#This Row],[Fecha Último Pago]],"M")+1</f>
        <v>11</v>
      </c>
      <c r="N2501" s="4">
        <f>BBDD_Usiarios_Netflix[[#This Row],[Ingresos Mensuales]]*BBDD_Usiarios_Netflix[[#This Row],[Meses contratados]]</f>
        <v>110</v>
      </c>
      <c r="O2501" t="s">
        <v>33</v>
      </c>
      <c r="P2501" t="str">
        <f>IF(BBDD_Usiarios_Netflix[[#This Row],[País]]="","Desconocido",BBDD_Usiarios_Netflix[[#This Row],[País]])</f>
        <v>Francia</v>
      </c>
      <c r="Q2501">
        <v>35</v>
      </c>
      <c r="R2501" t="s">
        <v>30</v>
      </c>
      <c r="S2501" t="s">
        <v>34</v>
      </c>
      <c r="T2501" t="s">
        <v>27</v>
      </c>
      <c r="U2501">
        <f>IF(IFERROR(VLOOKUP(BBDD_Usiarios_Netflix[[#This Row],[Identificador Usuario]],A2502:$A$5870,1,FALSE),0)&lt;&gt;0,1,0)</f>
        <v>0</v>
      </c>
      <c r="V2501" s="6" t="str">
        <f>IF(BBDD_Usiarios_Netflix[[#This Row],[Duración Plan]]="12 Meses",LEFT(BBDD_Usiarios_Netflix[[#This Row],[Duración Plan]],2),LEFT(BBDD_Usiarios_Netflix[[#This Row],[Duración Plan]],1))</f>
        <v>1</v>
      </c>
      <c r="W2501" t="str">
        <f>IF(BBDD_Usiarios_Netflix[[#This Row],[Duracion Plan (Meses)]]="1", "Mensual",IF(BBDD_Usiarios_Netflix[[#This Row],[Duracion Plan (Meses)]]="3","Trimestral",IF(BBDD_Usiarios_Netflix[[#This Row],[Duracion Plan (Meses)]]="6","Semestral","Anual")))</f>
        <v>Mensual</v>
      </c>
    </row>
  </sheetData>
  <conditionalFormatting sqref="A2:A2501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53296-2D11-44A9-BC70-D6A8AAD90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Morales</dc:creator>
  <cp:lastModifiedBy>Natalia Morales</cp:lastModifiedBy>
  <dcterms:created xsi:type="dcterms:W3CDTF">2026-03-26T10:22:44Z</dcterms:created>
  <dcterms:modified xsi:type="dcterms:W3CDTF">2026-03-26T10:23:35Z</dcterms:modified>
</cp:coreProperties>
</file>